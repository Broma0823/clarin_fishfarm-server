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  <Override PartName="/xl/commentsmeta5" ContentType="application/binary"/>
  <Override PartName="/xl/commentsmeta6" ContentType="application/binary"/>
  <Override PartName="/xl/commentsmeta7" ContentType="application/binary"/>
  <Override PartName="/xl/commentsmeta8" ContentType="application/binary"/>
  <Override PartName="/xl/commentsmeta9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phet\Downloads\"/>
    </mc:Choice>
  </mc:AlternateContent>
  <xr:revisionPtr revIDLastSave="0" documentId="13_ncr:1_{321BA2E0-E319-407A-B72C-31F1AEDA5812}" xr6:coauthVersionLast="47" xr6:coauthVersionMax="47" xr10:uidLastSave="{00000000-0000-0000-0000-000000000000}"/>
  <bookViews>
    <workbookView xWindow="1425" yWindow="2400" windowWidth="21600" windowHeight="11295" firstSheet="21" activeTab="25" xr2:uid="{00000000-000D-0000-FFFF-FFFF00000000}"/>
  </bookViews>
  <sheets>
    <sheet name="December 2021" sheetId="1" r:id="rId1"/>
    <sheet name="December (Group)" sheetId="2" r:id="rId2"/>
    <sheet name="SUMMARY" sheetId="3" r:id="rId3"/>
    <sheet name="Monthly Production" sheetId="4" r:id="rId4"/>
    <sheet name="November 2021" sheetId="5" r:id="rId5"/>
    <sheet name="November (Group)" sheetId="6" r:id="rId6"/>
    <sheet name="October 2021" sheetId="7" r:id="rId7"/>
    <sheet name="October (Group) " sheetId="8" r:id="rId8"/>
    <sheet name="September 2021" sheetId="9" r:id="rId9"/>
    <sheet name="September (Group)" sheetId="10" r:id="rId10"/>
    <sheet name="August 2021" sheetId="11" r:id="rId11"/>
    <sheet name="August (Group)" sheetId="12" r:id="rId12"/>
    <sheet name="July 2021" sheetId="13" r:id="rId13"/>
    <sheet name="July 2021 (Group)" sheetId="14" r:id="rId14"/>
    <sheet name="June 2021" sheetId="15" r:id="rId15"/>
    <sheet name="June (Group)" sheetId="16" r:id="rId16"/>
    <sheet name="May 2021" sheetId="17" r:id="rId17"/>
    <sheet name="May (Group)" sheetId="18" r:id="rId18"/>
    <sheet name="April 2021" sheetId="19" r:id="rId19"/>
    <sheet name="April (Group)" sheetId="20" r:id="rId20"/>
    <sheet name="March 2021" sheetId="21" r:id="rId21"/>
    <sheet name="March (Group)" sheetId="22" r:id="rId22"/>
    <sheet name="February 2021" sheetId="23" r:id="rId23"/>
    <sheet name="February (Group)" sheetId="24" r:id="rId24"/>
    <sheet name="January 2021" sheetId="25" r:id="rId25"/>
    <sheet name="January (Group)" sheetId="26" r:id="rId26"/>
    <sheet name="Region 7 Tilapia Production" sheetId="27" r:id="rId27"/>
    <sheet name="Province of Bohol" sheetId="2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2" roundtripDataChecksum="zLZGjvTjJ+Kak4SwoXNsSQU6ws94aqbnsp92kjuQQBo="/>
    </ext>
  </extLst>
</workbook>
</file>

<file path=xl/calcChain.xml><?xml version="1.0" encoding="utf-8"?>
<calcChain xmlns="http://schemas.openxmlformats.org/spreadsheetml/2006/main">
  <c r="F16" i="27" l="1"/>
  <c r="D16" i="27"/>
  <c r="B16" i="27"/>
  <c r="G15" i="27"/>
  <c r="E15" i="27"/>
  <c r="C15" i="27"/>
  <c r="G14" i="27"/>
  <c r="E14" i="27"/>
  <c r="C14" i="27"/>
  <c r="G13" i="27"/>
  <c r="E13" i="27"/>
  <c r="C13" i="27"/>
  <c r="G12" i="27"/>
  <c r="E12" i="27"/>
  <c r="C12" i="27"/>
  <c r="K11" i="27"/>
  <c r="G11" i="27"/>
  <c r="E11" i="27"/>
  <c r="C11" i="27"/>
  <c r="G10" i="27"/>
  <c r="E10" i="27"/>
  <c r="C10" i="27"/>
  <c r="G9" i="27"/>
  <c r="E9" i="27"/>
  <c r="C9" i="27"/>
  <c r="G8" i="27"/>
  <c r="E8" i="27"/>
  <c r="C8" i="27"/>
  <c r="G7" i="27"/>
  <c r="G16" i="27" s="1"/>
  <c r="E7" i="27"/>
  <c r="C7" i="27"/>
  <c r="G6" i="27"/>
  <c r="E6" i="27"/>
  <c r="C6" i="27"/>
  <c r="G5" i="27"/>
  <c r="E5" i="27"/>
  <c r="C5" i="27"/>
  <c r="I4" i="27"/>
  <c r="G4" i="27"/>
  <c r="E4" i="27"/>
  <c r="E16" i="27" s="1"/>
  <c r="C4" i="27"/>
  <c r="C16" i="27" s="1"/>
  <c r="B17" i="27" s="1"/>
  <c r="O17" i="26"/>
  <c r="O14" i="26"/>
  <c r="M215" i="25"/>
  <c r="O14" i="24"/>
  <c r="Q166" i="23"/>
  <c r="Q165" i="23"/>
  <c r="Q160" i="23"/>
  <c r="N18" i="22"/>
  <c r="N16" i="22"/>
  <c r="M247" i="17"/>
  <c r="Q226" i="17"/>
  <c r="Q225" i="17"/>
  <c r="Q223" i="17"/>
  <c r="V28" i="17"/>
  <c r="S28" i="17"/>
  <c r="V27" i="17"/>
  <c r="S27" i="17"/>
  <c r="V25" i="17"/>
  <c r="Q17" i="17"/>
  <c r="Q19" i="17" s="1"/>
  <c r="Q16" i="17"/>
  <c r="Q14" i="17"/>
  <c r="O215" i="15"/>
  <c r="M211" i="15"/>
  <c r="O117" i="15"/>
  <c r="Q116" i="15"/>
  <c r="O115" i="15"/>
  <c r="Q53" i="15"/>
  <c r="Q50" i="15"/>
  <c r="Q49" i="15"/>
  <c r="Q54" i="15" s="1"/>
  <c r="P15" i="15"/>
  <c r="P14" i="15"/>
  <c r="P13" i="15"/>
  <c r="P12" i="15"/>
  <c r="M347" i="13"/>
  <c r="O341" i="13"/>
  <c r="O340" i="13"/>
  <c r="O74" i="13"/>
  <c r="O72" i="13"/>
  <c r="O70" i="13"/>
  <c r="O71" i="13" s="1"/>
  <c r="O75" i="13" s="1"/>
  <c r="P106" i="11"/>
  <c r="P53" i="11"/>
  <c r="P52" i="11"/>
  <c r="M256" i="9"/>
  <c r="M255" i="9"/>
  <c r="M254" i="9"/>
  <c r="M253" i="9"/>
  <c r="M252" i="9"/>
  <c r="M251" i="9"/>
  <c r="M250" i="9"/>
  <c r="M249" i="9"/>
  <c r="M248" i="9"/>
  <c r="M247" i="9"/>
  <c r="M246" i="9"/>
  <c r="M245" i="9"/>
  <c r="M244" i="9"/>
  <c r="M243" i="9"/>
  <c r="M242" i="9"/>
  <c r="M241" i="9"/>
  <c r="M240" i="9"/>
  <c r="M239" i="9"/>
  <c r="M238" i="9"/>
  <c r="M237" i="9"/>
  <c r="M236" i="9"/>
  <c r="M235" i="9"/>
  <c r="M234" i="9"/>
  <c r="P233" i="9"/>
  <c r="M233" i="9"/>
  <c r="M232" i="9"/>
  <c r="P231" i="9"/>
  <c r="M231" i="9"/>
  <c r="P230" i="9"/>
  <c r="M230" i="9"/>
  <c r="M229" i="9"/>
  <c r="M228" i="9"/>
  <c r="M227" i="9"/>
  <c r="M226" i="9"/>
  <c r="M225" i="9"/>
  <c r="M224" i="9"/>
  <c r="M223" i="9"/>
  <c r="M222" i="9"/>
  <c r="M221" i="9"/>
  <c r="M220" i="9"/>
  <c r="P219" i="9"/>
  <c r="M219" i="9"/>
  <c r="P218" i="9"/>
  <c r="P221" i="9" s="1"/>
  <c r="M218" i="9"/>
  <c r="M217" i="9"/>
  <c r="M216" i="9"/>
  <c r="M215" i="9"/>
  <c r="M214" i="9"/>
  <c r="M213" i="9"/>
  <c r="M212" i="9"/>
  <c r="M211" i="9"/>
  <c r="M210" i="9"/>
  <c r="M209" i="9"/>
  <c r="M208" i="9"/>
  <c r="M207" i="9"/>
  <c r="M206" i="9"/>
  <c r="M205" i="9"/>
  <c r="M204" i="9"/>
  <c r="P203" i="9"/>
  <c r="M203" i="9"/>
  <c r="P202" i="9"/>
  <c r="M202" i="9"/>
  <c r="P201" i="9"/>
  <c r="M201" i="9"/>
  <c r="M200" i="9"/>
  <c r="M199" i="9"/>
  <c r="M198" i="9"/>
  <c r="M197" i="9"/>
  <c r="M196" i="9"/>
  <c r="M195" i="9"/>
  <c r="M194" i="9"/>
  <c r="M193" i="9"/>
  <c r="M192" i="9"/>
  <c r="M191" i="9"/>
  <c r="M190" i="9"/>
  <c r="M189" i="9"/>
  <c r="M188" i="9"/>
  <c r="M187" i="9"/>
  <c r="M186" i="9"/>
  <c r="M185" i="9"/>
  <c r="M184" i="9"/>
  <c r="M183" i="9"/>
  <c r="M182" i="9"/>
  <c r="M181" i="9"/>
  <c r="M180" i="9"/>
  <c r="M179" i="9"/>
  <c r="M178" i="9"/>
  <c r="M177" i="9"/>
  <c r="M176" i="9"/>
  <c r="M175" i="9"/>
  <c r="M174" i="9"/>
  <c r="M173" i="9"/>
  <c r="M172" i="9"/>
  <c r="M171" i="9"/>
  <c r="M170" i="9"/>
  <c r="M169" i="9"/>
  <c r="M168" i="9"/>
  <c r="M167" i="9"/>
  <c r="M166" i="9"/>
  <c r="M165" i="9"/>
  <c r="M164" i="9"/>
  <c r="M163" i="9"/>
  <c r="M162" i="9"/>
  <c r="M161" i="9"/>
  <c r="M160" i="9"/>
  <c r="M159" i="9"/>
  <c r="M158" i="9"/>
  <c r="M157" i="9"/>
  <c r="M156" i="9"/>
  <c r="M155" i="9"/>
  <c r="M154" i="9"/>
  <c r="M153" i="9"/>
  <c r="M152" i="9"/>
  <c r="M151" i="9"/>
  <c r="M150" i="9"/>
  <c r="M149" i="9"/>
  <c r="M148" i="9"/>
  <c r="M147" i="9"/>
  <c r="M146" i="9"/>
  <c r="M145" i="9"/>
  <c r="M144" i="9"/>
  <c r="M143" i="9"/>
  <c r="M142" i="9"/>
  <c r="M141" i="9"/>
  <c r="M140" i="9"/>
  <c r="M139" i="9"/>
  <c r="M138" i="9"/>
  <c r="M137" i="9"/>
  <c r="M136" i="9"/>
  <c r="M135" i="9"/>
  <c r="M134" i="9"/>
  <c r="M133" i="9"/>
  <c r="M132" i="9"/>
  <c r="M131" i="9"/>
  <c r="M130" i="9"/>
  <c r="M129" i="9"/>
  <c r="M128" i="9"/>
  <c r="M127" i="9"/>
  <c r="M126" i="9"/>
  <c r="M125" i="9"/>
  <c r="M124" i="9"/>
  <c r="M123" i="9"/>
  <c r="M122" i="9"/>
  <c r="M121" i="9"/>
  <c r="M120" i="9"/>
  <c r="M119" i="9"/>
  <c r="M118" i="9"/>
  <c r="M117" i="9"/>
  <c r="M116" i="9"/>
  <c r="M115" i="9"/>
  <c r="M114" i="9"/>
  <c r="M113" i="9"/>
  <c r="M112" i="9"/>
  <c r="M111" i="9"/>
  <c r="M110" i="9"/>
  <c r="M109" i="9"/>
  <c r="M108" i="9"/>
  <c r="M107" i="9"/>
  <c r="M106" i="9"/>
  <c r="M105" i="9"/>
  <c r="M104" i="9"/>
  <c r="M103" i="9"/>
  <c r="M102" i="9"/>
  <c r="M101" i="9"/>
  <c r="M100" i="9"/>
  <c r="M99" i="9"/>
  <c r="M98" i="9"/>
  <c r="M97" i="9"/>
  <c r="M96" i="9"/>
  <c r="M95" i="9"/>
  <c r="M94" i="9"/>
  <c r="M93" i="9"/>
  <c r="M92" i="9"/>
  <c r="M91" i="9"/>
  <c r="M90" i="9"/>
  <c r="M89" i="9"/>
  <c r="M88" i="9"/>
  <c r="M87" i="9"/>
  <c r="M86" i="9"/>
  <c r="M85" i="9"/>
  <c r="M84" i="9"/>
  <c r="M83" i="9"/>
  <c r="M82" i="9"/>
  <c r="M81" i="9"/>
  <c r="M80" i="9"/>
  <c r="M79" i="9"/>
  <c r="M78" i="9"/>
  <c r="P77" i="9"/>
  <c r="M77" i="9"/>
  <c r="P76" i="9"/>
  <c r="P78" i="9" s="1"/>
  <c r="M76" i="9"/>
  <c r="M75" i="9"/>
  <c r="M74" i="9"/>
  <c r="M73" i="9"/>
  <c r="M72" i="9"/>
  <c r="M71" i="9"/>
  <c r="M70" i="9"/>
  <c r="M69" i="9"/>
  <c r="M68" i="9"/>
  <c r="M67" i="9"/>
  <c r="M66" i="9"/>
  <c r="M65" i="9"/>
  <c r="M64" i="9"/>
  <c r="M63" i="9"/>
  <c r="M62" i="9"/>
  <c r="M61" i="9"/>
  <c r="M60" i="9"/>
  <c r="M59" i="9"/>
  <c r="P58" i="9"/>
  <c r="R58" i="9" s="1"/>
  <c r="M58" i="9"/>
  <c r="P57" i="9"/>
  <c r="Q62" i="9" s="1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58" i="9" s="1"/>
  <c r="M21" i="9"/>
  <c r="M20" i="9"/>
  <c r="M19" i="9"/>
  <c r="M18" i="9"/>
  <c r="M17" i="9"/>
  <c r="P259" i="7"/>
  <c r="P255" i="7"/>
  <c r="M252" i="7"/>
  <c r="M251" i="7"/>
  <c r="M250" i="7"/>
  <c r="M249" i="7"/>
  <c r="M248" i="7"/>
  <c r="M247" i="7"/>
  <c r="M243" i="7"/>
  <c r="M242" i="7"/>
  <c r="M241" i="7"/>
  <c r="M240" i="7"/>
  <c r="M239" i="7"/>
  <c r="M238" i="7"/>
  <c r="M237" i="7"/>
  <c r="M236" i="7"/>
  <c r="M235" i="7"/>
  <c r="M234" i="7"/>
  <c r="M233" i="7"/>
  <c r="M232" i="7"/>
  <c r="M231" i="7"/>
  <c r="M230" i="7"/>
  <c r="M229" i="7"/>
  <c r="M228" i="7"/>
  <c r="M227" i="7"/>
  <c r="M226" i="7"/>
  <c r="M225" i="7"/>
  <c r="M224" i="7"/>
  <c r="M223" i="7"/>
  <c r="M222" i="7"/>
  <c r="M221" i="7"/>
  <c r="M220" i="7"/>
  <c r="M219" i="7"/>
  <c r="M218" i="7"/>
  <c r="M217" i="7"/>
  <c r="M216" i="7"/>
  <c r="M215" i="7"/>
  <c r="M214" i="7"/>
  <c r="M213" i="7"/>
  <c r="M212" i="7"/>
  <c r="M211" i="7"/>
  <c r="M210" i="7"/>
  <c r="M209" i="7"/>
  <c r="M208" i="7"/>
  <c r="M207" i="7"/>
  <c r="M206" i="7"/>
  <c r="M205" i="7"/>
  <c r="M204" i="7"/>
  <c r="M203" i="7"/>
  <c r="M202" i="7"/>
  <c r="M201" i="7"/>
  <c r="M200" i="7"/>
  <c r="M199" i="7"/>
  <c r="M198" i="7"/>
  <c r="M197" i="7"/>
  <c r="M196" i="7"/>
  <c r="M195" i="7"/>
  <c r="M194" i="7"/>
  <c r="M193" i="7"/>
  <c r="M192" i="7"/>
  <c r="M191" i="7"/>
  <c r="M190" i="7"/>
  <c r="M189" i="7"/>
  <c r="M188" i="7"/>
  <c r="M187" i="7"/>
  <c r="M186" i="7"/>
  <c r="M185" i="7"/>
  <c r="M184" i="7"/>
  <c r="M183" i="7"/>
  <c r="M182" i="7"/>
  <c r="M181" i="7"/>
  <c r="M180" i="7"/>
  <c r="M179" i="7"/>
  <c r="M178" i="7"/>
  <c r="M177" i="7"/>
  <c r="M176" i="7"/>
  <c r="M175" i="7"/>
  <c r="M174" i="7"/>
  <c r="M173" i="7"/>
  <c r="M172" i="7"/>
  <c r="M171" i="7"/>
  <c r="M170" i="7"/>
  <c r="M169" i="7"/>
  <c r="M168" i="7"/>
  <c r="M167" i="7"/>
  <c r="M166" i="7"/>
  <c r="M165" i="7"/>
  <c r="M164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254" i="7" s="1"/>
  <c r="M17" i="7"/>
  <c r="M248" i="5"/>
  <c r="M247" i="5"/>
  <c r="M246" i="5"/>
  <c r="P245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P208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P152" i="5"/>
  <c r="M152" i="5"/>
  <c r="P151" i="5"/>
  <c r="M151" i="5"/>
  <c r="P150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O112" i="5"/>
  <c r="M112" i="5"/>
  <c r="O111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P68" i="5"/>
  <c r="M68" i="5"/>
  <c r="M67" i="5"/>
  <c r="M66" i="5"/>
  <c r="P65" i="5"/>
  <c r="M65" i="5"/>
  <c r="P64" i="5"/>
  <c r="M64" i="5"/>
  <c r="M63" i="5"/>
  <c r="P62" i="5"/>
  <c r="M62" i="5"/>
  <c r="P61" i="5"/>
  <c r="Q69" i="5" s="1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250" i="5" s="1"/>
  <c r="O10" i="4"/>
  <c r="P10" i="4" s="1"/>
  <c r="N10" i="4"/>
  <c r="N9" i="4"/>
  <c r="P8" i="4"/>
  <c r="O8" i="4"/>
  <c r="N8" i="4"/>
  <c r="N7" i="4"/>
  <c r="O7" i="4" s="1"/>
  <c r="P6" i="4"/>
  <c r="O6" i="4"/>
  <c r="N6" i="4"/>
  <c r="N5" i="4"/>
  <c r="P5" i="4" s="1"/>
  <c r="P4" i="4"/>
  <c r="O4" i="4"/>
  <c r="N4" i="4"/>
  <c r="S100" i="3"/>
  <c r="Q100" i="3"/>
  <c r="O100" i="3"/>
  <c r="I100" i="3"/>
  <c r="H100" i="3"/>
  <c r="F100" i="3"/>
  <c r="C100" i="3"/>
  <c r="S99" i="3"/>
  <c r="R99" i="3"/>
  <c r="R100" i="3" s="1"/>
  <c r="P99" i="3"/>
  <c r="L99" i="3"/>
  <c r="K99" i="3"/>
  <c r="M99" i="3" s="1"/>
  <c r="J99" i="3"/>
  <c r="H99" i="3"/>
  <c r="D99" i="3"/>
  <c r="C99" i="3"/>
  <c r="B99" i="3"/>
  <c r="P98" i="3"/>
  <c r="L98" i="3"/>
  <c r="K98" i="3"/>
  <c r="M98" i="3" s="1"/>
  <c r="J98" i="3"/>
  <c r="J100" i="3" s="1"/>
  <c r="H98" i="3"/>
  <c r="C98" i="3"/>
  <c r="B98" i="3"/>
  <c r="D98" i="3" s="1"/>
  <c r="P97" i="3"/>
  <c r="L97" i="3"/>
  <c r="M97" i="3" s="1"/>
  <c r="K97" i="3"/>
  <c r="C97" i="3"/>
  <c r="B97" i="3"/>
  <c r="D97" i="3" s="1"/>
  <c r="P96" i="3"/>
  <c r="P100" i="3" s="1"/>
  <c r="L96" i="3"/>
  <c r="K96" i="3"/>
  <c r="M96" i="3" s="1"/>
  <c r="C96" i="3"/>
  <c r="D96" i="3" s="1"/>
  <c r="B96" i="3"/>
  <c r="P95" i="3"/>
  <c r="K95" i="3"/>
  <c r="M95" i="3" s="1"/>
  <c r="C95" i="3"/>
  <c r="B95" i="3"/>
  <c r="D95" i="3" s="1"/>
  <c r="P94" i="3"/>
  <c r="N94" i="3"/>
  <c r="N100" i="3" s="1"/>
  <c r="L94" i="3"/>
  <c r="L100" i="3" s="1"/>
  <c r="K94" i="3"/>
  <c r="K100" i="3" s="1"/>
  <c r="D94" i="3"/>
  <c r="C94" i="3"/>
  <c r="B94" i="3"/>
  <c r="B100" i="3" s="1"/>
  <c r="M91" i="3"/>
  <c r="C90" i="3"/>
  <c r="C91" i="3" s="1"/>
  <c r="B90" i="3"/>
  <c r="O83" i="3"/>
  <c r="N83" i="3"/>
  <c r="L83" i="3"/>
  <c r="M83" i="3" s="1"/>
  <c r="K83" i="3"/>
  <c r="I83" i="3"/>
  <c r="H83" i="3"/>
  <c r="J83" i="3" s="1"/>
  <c r="G83" i="3"/>
  <c r="F83" i="3"/>
  <c r="E83" i="3"/>
  <c r="C83" i="3"/>
  <c r="B83" i="3"/>
  <c r="D83" i="3" s="1"/>
  <c r="S82" i="3"/>
  <c r="P82" i="3"/>
  <c r="M82" i="3"/>
  <c r="J82" i="3"/>
  <c r="G82" i="3"/>
  <c r="D82" i="3"/>
  <c r="S81" i="3"/>
  <c r="P81" i="3"/>
  <c r="M81" i="3"/>
  <c r="J81" i="3"/>
  <c r="G81" i="3"/>
  <c r="D81" i="3"/>
  <c r="S80" i="3"/>
  <c r="P80" i="3"/>
  <c r="M80" i="3"/>
  <c r="J80" i="3"/>
  <c r="G80" i="3"/>
  <c r="D80" i="3"/>
  <c r="S79" i="3"/>
  <c r="P79" i="3"/>
  <c r="M79" i="3"/>
  <c r="J79" i="3"/>
  <c r="G79" i="3"/>
  <c r="D79" i="3"/>
  <c r="S78" i="3"/>
  <c r="P78" i="3"/>
  <c r="M78" i="3"/>
  <c r="J78" i="3"/>
  <c r="G78" i="3"/>
  <c r="D78" i="3"/>
  <c r="S77" i="3"/>
  <c r="P77" i="3"/>
  <c r="M77" i="3"/>
  <c r="J77" i="3"/>
  <c r="G77" i="3"/>
  <c r="G91" i="3" s="1"/>
  <c r="D77" i="3"/>
  <c r="S76" i="3"/>
  <c r="P76" i="3"/>
  <c r="M76" i="3"/>
  <c r="J76" i="3"/>
  <c r="G76" i="3"/>
  <c r="D76" i="3"/>
  <c r="S75" i="3"/>
  <c r="P75" i="3"/>
  <c r="M75" i="3"/>
  <c r="J75" i="3"/>
  <c r="G75" i="3"/>
  <c r="D75" i="3"/>
  <c r="S74" i="3"/>
  <c r="P74" i="3"/>
  <c r="M74" i="3"/>
  <c r="J74" i="3"/>
  <c r="G74" i="3"/>
  <c r="D74" i="3"/>
  <c r="S73" i="3"/>
  <c r="P73" i="3"/>
  <c r="M73" i="3"/>
  <c r="J73" i="3"/>
  <c r="G73" i="3"/>
  <c r="D73" i="3"/>
  <c r="S72" i="3"/>
  <c r="P72" i="3"/>
  <c r="M72" i="3"/>
  <c r="J72" i="3"/>
  <c r="G72" i="3"/>
  <c r="D72" i="3"/>
  <c r="S71" i="3"/>
  <c r="P71" i="3"/>
  <c r="M71" i="3"/>
  <c r="J71" i="3"/>
  <c r="G71" i="3"/>
  <c r="D71" i="3"/>
  <c r="S70" i="3"/>
  <c r="P70" i="3"/>
  <c r="M70" i="3"/>
  <c r="J70" i="3"/>
  <c r="G70" i="3"/>
  <c r="D70" i="3"/>
  <c r="S69" i="3"/>
  <c r="P69" i="3"/>
  <c r="M69" i="3"/>
  <c r="J69" i="3"/>
  <c r="G69" i="3"/>
  <c r="D69" i="3"/>
  <c r="S68" i="3"/>
  <c r="P68" i="3"/>
  <c r="M68" i="3"/>
  <c r="J68" i="3"/>
  <c r="G68" i="3"/>
  <c r="D68" i="3"/>
  <c r="S67" i="3"/>
  <c r="P67" i="3"/>
  <c r="M67" i="3"/>
  <c r="J67" i="3"/>
  <c r="G67" i="3"/>
  <c r="D67" i="3"/>
  <c r="S66" i="3"/>
  <c r="P66" i="3"/>
  <c r="M66" i="3"/>
  <c r="J66" i="3"/>
  <c r="G66" i="3"/>
  <c r="D66" i="3"/>
  <c r="S65" i="3"/>
  <c r="P65" i="3"/>
  <c r="M65" i="3"/>
  <c r="J65" i="3"/>
  <c r="G65" i="3"/>
  <c r="D65" i="3"/>
  <c r="S64" i="3"/>
  <c r="P64" i="3"/>
  <c r="M64" i="3"/>
  <c r="J64" i="3"/>
  <c r="G64" i="3"/>
  <c r="D64" i="3"/>
  <c r="S63" i="3"/>
  <c r="P63" i="3"/>
  <c r="M63" i="3"/>
  <c r="J63" i="3"/>
  <c r="G63" i="3"/>
  <c r="D63" i="3"/>
  <c r="S62" i="3"/>
  <c r="P62" i="3"/>
  <c r="M62" i="3"/>
  <c r="J62" i="3"/>
  <c r="G62" i="3"/>
  <c r="D62" i="3"/>
  <c r="S61" i="3"/>
  <c r="P61" i="3"/>
  <c r="M61" i="3"/>
  <c r="J61" i="3"/>
  <c r="G61" i="3"/>
  <c r="D61" i="3"/>
  <c r="S60" i="3"/>
  <c r="P60" i="3"/>
  <c r="M60" i="3"/>
  <c r="J60" i="3"/>
  <c r="G60" i="3"/>
  <c r="D60" i="3"/>
  <c r="S59" i="3"/>
  <c r="P59" i="3"/>
  <c r="M59" i="3"/>
  <c r="J59" i="3"/>
  <c r="G59" i="3"/>
  <c r="D59" i="3"/>
  <c r="S58" i="3"/>
  <c r="P58" i="3"/>
  <c r="M58" i="3"/>
  <c r="J58" i="3"/>
  <c r="G58" i="3"/>
  <c r="D58" i="3"/>
  <c r="S57" i="3"/>
  <c r="P57" i="3"/>
  <c r="M57" i="3"/>
  <c r="J57" i="3"/>
  <c r="G57" i="3"/>
  <c r="D57" i="3"/>
  <c r="S56" i="3"/>
  <c r="P56" i="3"/>
  <c r="M56" i="3"/>
  <c r="J56" i="3"/>
  <c r="G56" i="3"/>
  <c r="D56" i="3"/>
  <c r="S55" i="3"/>
  <c r="P55" i="3"/>
  <c r="M55" i="3"/>
  <c r="J55" i="3"/>
  <c r="G55" i="3"/>
  <c r="D55" i="3"/>
  <c r="S54" i="3"/>
  <c r="P54" i="3"/>
  <c r="M54" i="3"/>
  <c r="J54" i="3"/>
  <c r="G54" i="3"/>
  <c r="D54" i="3"/>
  <c r="S53" i="3"/>
  <c r="P53" i="3"/>
  <c r="M53" i="3"/>
  <c r="J53" i="3"/>
  <c r="G53" i="3"/>
  <c r="D53" i="3"/>
  <c r="S52" i="3"/>
  <c r="P52" i="3"/>
  <c r="M52" i="3"/>
  <c r="J52" i="3"/>
  <c r="G52" i="3"/>
  <c r="D52" i="3"/>
  <c r="S51" i="3"/>
  <c r="P51" i="3"/>
  <c r="M51" i="3"/>
  <c r="J51" i="3"/>
  <c r="G51" i="3"/>
  <c r="D51" i="3"/>
  <c r="S50" i="3"/>
  <c r="P50" i="3"/>
  <c r="M50" i="3"/>
  <c r="J50" i="3"/>
  <c r="G50" i="3"/>
  <c r="D50" i="3"/>
  <c r="S49" i="3"/>
  <c r="P49" i="3"/>
  <c r="M49" i="3"/>
  <c r="J49" i="3"/>
  <c r="G49" i="3"/>
  <c r="D49" i="3"/>
  <c r="S48" i="3"/>
  <c r="P48" i="3"/>
  <c r="M48" i="3"/>
  <c r="J48" i="3"/>
  <c r="G48" i="3"/>
  <c r="D48" i="3"/>
  <c r="S47" i="3"/>
  <c r="P47" i="3"/>
  <c r="M47" i="3"/>
  <c r="J47" i="3"/>
  <c r="G47" i="3"/>
  <c r="G99" i="3" s="1"/>
  <c r="D47" i="3"/>
  <c r="S46" i="3"/>
  <c r="P46" i="3"/>
  <c r="M46" i="3"/>
  <c r="J46" i="3"/>
  <c r="G46" i="3"/>
  <c r="D46" i="3"/>
  <c r="S45" i="3"/>
  <c r="P45" i="3"/>
  <c r="M45" i="3"/>
  <c r="J45" i="3"/>
  <c r="G45" i="3"/>
  <c r="D45" i="3"/>
  <c r="S44" i="3"/>
  <c r="P44" i="3"/>
  <c r="M44" i="3"/>
  <c r="J44" i="3"/>
  <c r="G44" i="3"/>
  <c r="D44" i="3"/>
  <c r="S43" i="3"/>
  <c r="U37" i="3" s="1"/>
  <c r="P43" i="3"/>
  <c r="M43" i="3"/>
  <c r="J43" i="3"/>
  <c r="G43" i="3"/>
  <c r="D43" i="3"/>
  <c r="S42" i="3"/>
  <c r="P42" i="3"/>
  <c r="M42" i="3"/>
  <c r="J42" i="3"/>
  <c r="G42" i="3"/>
  <c r="D42" i="3"/>
  <c r="S41" i="3"/>
  <c r="P41" i="3"/>
  <c r="M41" i="3"/>
  <c r="J41" i="3"/>
  <c r="G41" i="3"/>
  <c r="D41" i="3"/>
  <c r="S40" i="3"/>
  <c r="P40" i="3"/>
  <c r="M40" i="3"/>
  <c r="J40" i="3"/>
  <c r="G40" i="3"/>
  <c r="D40" i="3"/>
  <c r="S39" i="3"/>
  <c r="P39" i="3"/>
  <c r="M39" i="3"/>
  <c r="J39" i="3"/>
  <c r="G39" i="3"/>
  <c r="D39" i="3"/>
  <c r="S38" i="3"/>
  <c r="P38" i="3"/>
  <c r="U27" i="3" s="1"/>
  <c r="U28" i="3" s="1"/>
  <c r="U30" i="3" s="1"/>
  <c r="M38" i="3"/>
  <c r="J38" i="3"/>
  <c r="G38" i="3"/>
  <c r="D38" i="3"/>
  <c r="S37" i="3"/>
  <c r="P37" i="3"/>
  <c r="M37" i="3"/>
  <c r="J37" i="3"/>
  <c r="G37" i="3"/>
  <c r="D37" i="3"/>
  <c r="S36" i="3"/>
  <c r="P36" i="3"/>
  <c r="M36" i="3"/>
  <c r="J36" i="3"/>
  <c r="G36" i="3"/>
  <c r="D36" i="3"/>
  <c r="S35" i="3"/>
  <c r="P35" i="3"/>
  <c r="M35" i="3"/>
  <c r="J35" i="3"/>
  <c r="G35" i="3"/>
  <c r="D35" i="3"/>
  <c r="U34" i="3"/>
  <c r="S34" i="3"/>
  <c r="P34" i="3"/>
  <c r="M34" i="3"/>
  <c r="J34" i="3"/>
  <c r="G34" i="3"/>
  <c r="D34" i="3"/>
  <c r="S33" i="3"/>
  <c r="P33" i="3"/>
  <c r="M33" i="3"/>
  <c r="J33" i="3"/>
  <c r="G33" i="3"/>
  <c r="D33" i="3"/>
  <c r="S32" i="3"/>
  <c r="P32" i="3"/>
  <c r="M32" i="3"/>
  <c r="J32" i="3"/>
  <c r="G32" i="3"/>
  <c r="D32" i="3"/>
  <c r="S31" i="3"/>
  <c r="P31" i="3"/>
  <c r="M31" i="3"/>
  <c r="J31" i="3"/>
  <c r="G31" i="3"/>
  <c r="D31" i="3"/>
  <c r="S30" i="3"/>
  <c r="P30" i="3"/>
  <c r="M30" i="3"/>
  <c r="J30" i="3"/>
  <c r="G30" i="3"/>
  <c r="D30" i="3"/>
  <c r="S29" i="3"/>
  <c r="P29" i="3"/>
  <c r="M29" i="3"/>
  <c r="J29" i="3"/>
  <c r="G29" i="3"/>
  <c r="U20" i="3" s="1"/>
  <c r="D29" i="3"/>
  <c r="S28" i="3"/>
  <c r="P28" i="3"/>
  <c r="M28" i="3"/>
  <c r="J28" i="3"/>
  <c r="G28" i="3"/>
  <c r="D28" i="3"/>
  <c r="S27" i="3"/>
  <c r="P27" i="3"/>
  <c r="M27" i="3"/>
  <c r="J27" i="3"/>
  <c r="G27" i="3"/>
  <c r="D27" i="3"/>
  <c r="S26" i="3"/>
  <c r="P26" i="3"/>
  <c r="M26" i="3"/>
  <c r="J26" i="3"/>
  <c r="G26" i="3"/>
  <c r="D26" i="3"/>
  <c r="S25" i="3"/>
  <c r="P25" i="3"/>
  <c r="M25" i="3"/>
  <c r="J25" i="3"/>
  <c r="G25" i="3"/>
  <c r="D25" i="3"/>
  <c r="S24" i="3"/>
  <c r="P24" i="3"/>
  <c r="M24" i="3"/>
  <c r="J24" i="3"/>
  <c r="G24" i="3"/>
  <c r="D24" i="3"/>
  <c r="S23" i="3"/>
  <c r="P23" i="3"/>
  <c r="M23" i="3"/>
  <c r="J23" i="3"/>
  <c r="G23" i="3"/>
  <c r="D23" i="3"/>
  <c r="S22" i="3"/>
  <c r="P22" i="3"/>
  <c r="M22" i="3"/>
  <c r="J22" i="3"/>
  <c r="G22" i="3"/>
  <c r="D22" i="3"/>
  <c r="S21" i="3"/>
  <c r="P21" i="3"/>
  <c r="M21" i="3"/>
  <c r="J21" i="3"/>
  <c r="G21" i="3"/>
  <c r="D21" i="3"/>
  <c r="S20" i="3"/>
  <c r="P20" i="3"/>
  <c r="M20" i="3"/>
  <c r="J20" i="3"/>
  <c r="G20" i="3"/>
  <c r="D20" i="3"/>
  <c r="S19" i="3"/>
  <c r="P19" i="3"/>
  <c r="M19" i="3"/>
  <c r="J19" i="3"/>
  <c r="G19" i="3"/>
  <c r="D19" i="3"/>
  <c r="S18" i="3"/>
  <c r="P18" i="3"/>
  <c r="M18" i="3"/>
  <c r="J18" i="3"/>
  <c r="G18" i="3"/>
  <c r="D18" i="3"/>
  <c r="S17" i="3"/>
  <c r="P17" i="3"/>
  <c r="M17" i="3"/>
  <c r="J17" i="3"/>
  <c r="G17" i="3"/>
  <c r="D17" i="3"/>
  <c r="S16" i="3"/>
  <c r="P16" i="3"/>
  <c r="M16" i="3"/>
  <c r="J16" i="3"/>
  <c r="G16" i="3"/>
  <c r="D16" i="3"/>
  <c r="S15" i="3"/>
  <c r="P15" i="3"/>
  <c r="M15" i="3"/>
  <c r="J15" i="3"/>
  <c r="G15" i="3"/>
  <c r="D15" i="3"/>
  <c r="S14" i="3"/>
  <c r="P14" i="3"/>
  <c r="M14" i="3"/>
  <c r="J14" i="3"/>
  <c r="G14" i="3"/>
  <c r="D14" i="3"/>
  <c r="S13" i="3"/>
  <c r="P13" i="3"/>
  <c r="M13" i="3"/>
  <c r="J13" i="3"/>
  <c r="G13" i="3"/>
  <c r="D13" i="3"/>
  <c r="S12" i="3"/>
  <c r="P12" i="3"/>
  <c r="M12" i="3"/>
  <c r="J12" i="3"/>
  <c r="G12" i="3"/>
  <c r="D12" i="3"/>
  <c r="S11" i="3"/>
  <c r="P11" i="3"/>
  <c r="M11" i="3"/>
  <c r="J11" i="3"/>
  <c r="G11" i="3"/>
  <c r="D11" i="3"/>
  <c r="S10" i="3"/>
  <c r="P10" i="3"/>
  <c r="M10" i="3"/>
  <c r="J10" i="3"/>
  <c r="G10" i="3"/>
  <c r="D10" i="3"/>
  <c r="S9" i="3"/>
  <c r="P9" i="3"/>
  <c r="M9" i="3"/>
  <c r="J9" i="3"/>
  <c r="G9" i="3"/>
  <c r="D9" i="3"/>
  <c r="S8" i="3"/>
  <c r="P8" i="3"/>
  <c r="M8" i="3"/>
  <c r="J8" i="3"/>
  <c r="G8" i="3"/>
  <c r="D8" i="3"/>
  <c r="S7" i="3"/>
  <c r="P7" i="3"/>
  <c r="M7" i="3"/>
  <c r="J7" i="3"/>
  <c r="G7" i="3"/>
  <c r="D7" i="3"/>
  <c r="S6" i="3"/>
  <c r="P6" i="3"/>
  <c r="M6" i="3"/>
  <c r="J6" i="3"/>
  <c r="G6" i="3"/>
  <c r="D6" i="3"/>
  <c r="S5" i="3"/>
  <c r="S83" i="3" s="1"/>
  <c r="Q85" i="3" s="1"/>
  <c r="Q86" i="3" s="1"/>
  <c r="P5" i="3"/>
  <c r="P83" i="3" s="1"/>
  <c r="M5" i="3"/>
  <c r="J5" i="3"/>
  <c r="G5" i="3"/>
  <c r="D5" i="3"/>
  <c r="P101" i="3" l="1"/>
  <c r="P102" i="3"/>
  <c r="P79" i="9"/>
  <c r="P80" i="9"/>
  <c r="K85" i="3"/>
  <c r="K86" i="3" s="1"/>
  <c r="K84" i="3"/>
  <c r="H84" i="3"/>
  <c r="H85" i="3" s="1"/>
  <c r="H86" i="3" s="1"/>
  <c r="A84" i="3"/>
  <c r="D85" i="3"/>
  <c r="D86" i="3" s="1"/>
  <c r="H17" i="27"/>
  <c r="F18" i="27" s="1"/>
  <c r="G100" i="3"/>
  <c r="E99" i="3"/>
  <c r="E100" i="3" s="1"/>
  <c r="J101" i="3"/>
  <c r="J102" i="3"/>
  <c r="D100" i="3"/>
  <c r="N84" i="3"/>
  <c r="N85" i="3" s="1"/>
  <c r="N86" i="3" s="1"/>
  <c r="P7" i="4"/>
  <c r="E84" i="3"/>
  <c r="E85" i="3" s="1"/>
  <c r="E86" i="3" s="1"/>
  <c r="M94" i="3"/>
  <c r="M100" i="3" s="1"/>
  <c r="O5" i="4"/>
  <c r="O9" i="4"/>
  <c r="P9" i="4" s="1"/>
  <c r="M101" i="3" l="1"/>
  <c r="M102" i="3"/>
  <c r="D101" i="3"/>
  <c r="D102" i="3" s="1"/>
  <c r="G102" i="3"/>
  <c r="G10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5" authorId="0" shapeId="0" xr:uid="{00000000-0006-0000-0200-00000F000000}">
      <text>
        <r>
          <rPr>
            <sz val="11"/>
            <color theme="1"/>
            <rFont val="Calibri"/>
            <scheme val="minor"/>
          </rPr>
          <t>======
ID#AAAB1olJEsw
Author    (2026-03-11 18:06:11)
DISPERSAL 30pcs.</t>
        </r>
      </text>
    </comment>
    <comment ref="E7" authorId="0" shapeId="0" xr:uid="{00000000-0006-0000-0200-000009000000}">
      <text>
        <r>
          <rPr>
            <sz val="11"/>
            <color theme="1"/>
            <rFont val="Calibri"/>
            <scheme val="minor"/>
          </rPr>
          <t>======
ID#AAAB1olJEtM
Author    (2026-03-11 18:06:11)
20pcs dispersal</t>
        </r>
      </text>
    </comment>
    <comment ref="A24" authorId="0" shapeId="0" xr:uid="{00000000-0006-0000-0200-000012000000}">
      <text>
        <r>
          <rPr>
            <sz val="11"/>
            <color theme="1"/>
            <rFont val="Calibri"/>
            <scheme val="minor"/>
          </rPr>
          <t>======
ID#AAAB1oYwjXw
Author    (2026-03-11 18:06:11)
End of Report March 15</t>
        </r>
      </text>
    </comment>
    <comment ref="E25" authorId="0" shapeId="0" xr:uid="{00000000-0006-0000-0200-00000E000000}">
      <text>
        <r>
          <rPr>
            <sz val="11"/>
            <color theme="1"/>
            <rFont val="Calibri"/>
            <scheme val="minor"/>
          </rPr>
          <t>======
ID#AAAB1oYwjX8
Author    (2026-03-11 18:06:11)
DISPERSAL</t>
        </r>
      </text>
    </comment>
    <comment ref="E29" authorId="0" shapeId="0" xr:uid="{00000000-0006-0000-0200-000004000000}">
      <text>
        <r>
          <rPr>
            <sz val="11"/>
            <color theme="1"/>
            <rFont val="Calibri"/>
            <scheme val="minor"/>
          </rPr>
          <t>======
ID#AAAB1oz7KHE
Author    (2026-03-11 18:06:11)
180 pcs DISPERSAL</t>
        </r>
      </text>
    </comment>
    <comment ref="E32" authorId="0" shapeId="0" xr:uid="{00000000-0006-0000-0200-00000D000000}">
      <text>
        <r>
          <rPr>
            <sz val="11"/>
            <color theme="1"/>
            <rFont val="Calibri"/>
            <scheme val="minor"/>
          </rPr>
          <t>======
ID#AAAB1olJEso
Author    (2026-03-11 18:06:11)
10 pcs dispersal</t>
        </r>
      </text>
    </comment>
    <comment ref="A44" authorId="0" shapeId="0" xr:uid="{00000000-0006-0000-0200-000013000000}">
      <text>
        <r>
          <rPr>
            <sz val="11"/>
            <color theme="1"/>
            <rFont val="Calibri"/>
            <scheme val="minor"/>
          </rPr>
          <t>======
ID#AAAB1oYwjXs
Author    (2026-03-11 18:06:11)
END OF JANUARY-JUNE RATING
COMMON CARP = 83,670pcs. (Total Prodiced)
                              = 69,725pcs. (Total Distributed)
ORNAMENTAL = 6,148pcs. (Total Produced)
                           = 5,123pcs. (Total Distributed)
Acknowledgement = 1,146 as of May 31 Physical</t>
        </r>
      </text>
    </comment>
    <comment ref="E51" authorId="0" shapeId="0" xr:uid="{00000000-0006-0000-0200-000008000000}">
      <text>
        <r>
          <rPr>
            <sz val="11"/>
            <color theme="1"/>
            <rFont val="Calibri"/>
            <scheme val="minor"/>
          </rPr>
          <t>======
ID#AAAB1olJEtQ
Author    (2026-03-11 18:06:11)
DISPERSAL</t>
        </r>
      </text>
    </comment>
    <comment ref="A57" authorId="0" shapeId="0" xr:uid="{00000000-0006-0000-0200-000007000000}">
      <text>
        <r>
          <rPr>
            <sz val="11"/>
            <color theme="1"/>
            <rFont val="Calibri"/>
            <scheme val="minor"/>
          </rPr>
          <t>======
ID#AAAB1olJEtI
Author    (2026-03-11 18:06:11)
end of Aug 1-15 Highlights</t>
        </r>
      </text>
    </comment>
    <comment ref="E63" authorId="0" shapeId="0" xr:uid="{00000000-0006-0000-0200-00000B000000}">
      <text>
        <r>
          <rPr>
            <sz val="11"/>
            <color theme="1"/>
            <rFont val="Calibri"/>
            <scheme val="minor"/>
          </rPr>
          <t>======
ID#AAAB1olJEs8
Author    (2026-03-11 18:06:11)
dispersal</t>
        </r>
      </text>
    </comment>
    <comment ref="E64" authorId="0" shapeId="0" xr:uid="{00000000-0006-0000-0200-00000C000000}">
      <text>
        <r>
          <rPr>
            <sz val="11"/>
            <color theme="1"/>
            <rFont val="Calibri"/>
            <scheme val="minor"/>
          </rPr>
          <t>======
ID#AAAB1olJEs4
Author    (2026-03-11 18:06:11)
DISPERSAL</t>
        </r>
      </text>
    </comment>
    <comment ref="E65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ID#AAAB1oz7KHQ
Author    (2026-03-11 18:06:11)
DISPERSAL</t>
        </r>
      </text>
    </comment>
    <comment ref="E66" authorId="0" shapeId="0" xr:uid="{00000000-0006-0000-0200-00000A000000}">
      <text>
        <r>
          <rPr>
            <sz val="11"/>
            <color theme="1"/>
            <rFont val="Calibri"/>
            <scheme val="minor"/>
          </rPr>
          <t>======
ID#AAAB1olJEtY
Author    (2026-03-11 18:06:11)
Dispersal</t>
        </r>
      </text>
    </comment>
    <comment ref="E68" authorId="0" shapeId="0" xr:uid="{00000000-0006-0000-0200-000010000000}">
      <text>
        <r>
          <rPr>
            <sz val="11"/>
            <color theme="1"/>
            <rFont val="Calibri"/>
            <scheme val="minor"/>
          </rPr>
          <t>======
ID#AAAB1olJEss
Author    (2026-03-11 18:06:11)
Dispersal</t>
        </r>
      </text>
    </comment>
    <comment ref="E69" authorId="0" shapeId="0" xr:uid="{00000000-0006-0000-0200-000006000000}">
      <text>
        <r>
          <rPr>
            <sz val="11"/>
            <color theme="1"/>
            <rFont val="Calibri"/>
            <scheme val="minor"/>
          </rPr>
          <t>======
ID#AAAB1olJEtA
Author    (2026-03-11 18:06:11)
dispersal</t>
        </r>
      </text>
    </comment>
    <comment ref="F69" authorId="0" shapeId="0" xr:uid="{00000000-0006-0000-0200-000005000000}">
      <text>
        <r>
          <rPr>
            <sz val="11"/>
            <color theme="1"/>
            <rFont val="Calibri"/>
            <scheme val="minor"/>
          </rPr>
          <t>======
ID#AAAB1olJEtw
Author    (2026-03-11 18:06:11)
dispersal</t>
        </r>
      </text>
    </comment>
    <comment ref="E71" authorId="0" shapeId="0" xr:uid="{00000000-0006-0000-0200-000011000000}">
      <text>
        <r>
          <rPr>
            <sz val="11"/>
            <color theme="1"/>
            <rFont val="Calibri"/>
            <scheme val="minor"/>
          </rPr>
          <t>======
ID#AAAB1oYwjX4
Author    (2026-03-11 18:06:11)
dispersal 100pcs.</t>
        </r>
      </text>
    </comment>
    <comment ref="E78" authorId="0" shapeId="0" xr:uid="{00000000-0006-0000-0200-000002000000}">
      <text>
        <r>
          <rPr>
            <sz val="11"/>
            <color theme="1"/>
            <rFont val="Calibri"/>
            <scheme val="minor"/>
          </rPr>
          <t>======
ID#AAAB1olJEt0
Author    (2026-03-11 18:06:11)
20pcs dispersal</t>
        </r>
      </text>
    </comment>
    <comment ref="D85" authorId="0" shapeId="0" xr:uid="{00000000-0006-0000-0200-000003000000}">
      <text>
        <r>
          <rPr>
            <sz val="11"/>
            <color theme="1"/>
            <rFont val="Calibri"/>
            <scheme val="minor"/>
          </rPr>
          <t>======
ID#AAAB1olJEts
Author    (2026-03-11 18:06:11)
+20%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Jj1R3m9n2bLyuS4sQrNZ7J/5uk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4" authorId="0" shapeId="0" xr:uid="{00000000-0006-0000-0B00-000001000000}">
      <text>
        <r>
          <rPr>
            <sz val="11"/>
            <color theme="1"/>
            <rFont val="Calibri"/>
            <scheme val="minor"/>
          </rPr>
          <t>======
ID#AAAB1olJEtE
Author    (2026-03-11 18:06:11)
Female = 315
Male = 105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7emOyAke8hA1IDVMIrWonUWFNrA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323" authorId="0" shapeId="0" xr:uid="{00000000-0006-0000-0C00-000001000000}">
      <text>
        <r>
          <rPr>
            <sz val="11"/>
            <color theme="1"/>
            <rFont val="Calibri"/>
            <scheme val="minor"/>
          </rPr>
          <t>======
ID#AAAB1olJEtg
Author    (2026-03-11 18:06:11)
Female=60
Male=20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SWxE1bM7JdNiYkHFzxuoRcKW50w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60" authorId="0" shapeId="0" xr:uid="{00000000-0006-0000-0E00-000001000000}">
      <text>
        <r>
          <rPr>
            <sz val="11"/>
            <color theme="1"/>
            <rFont val="Calibri"/>
            <scheme val="minor"/>
          </rPr>
          <t>======
ID#AAAB1oYwjX0
Author    (2026-03-11 18:06:11)
FEMALE = 120pcs
MALE = 40pcs.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PewnVs+GSiQRGCR6jvsn/Ot+aCw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S25" authorId="0" shapeId="0" xr:uid="{00000000-0006-0000-1000-000001000000}">
      <text>
        <r>
          <rPr>
            <sz val="11"/>
            <color theme="1"/>
            <rFont val="Calibri"/>
            <scheme val="minor"/>
          </rPr>
          <t>======
ID#AAAB1oz7KG8
Author    (2026-03-11 18:06:11)
20,000 GROUP
387,550 INDIVIDUAL
407,550 TOTAL</t>
        </r>
      </text>
    </comment>
    <comment ref="S26" authorId="0" shapeId="0" xr:uid="{00000000-0006-0000-1000-000002000000}">
      <text>
        <r>
          <rPr>
            <sz val="11"/>
            <color theme="1"/>
            <rFont val="Calibri"/>
            <scheme val="minor"/>
          </rPr>
          <t>======
ID#AAAB1olJEs0
Author    (2026-03-11 18:06:11)
65,500 group
500 individual
66,000 TOTAL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wopTiADIWmyo27Kal+OG1cT0CmQ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53" authorId="0" shapeId="0" xr:uid="{00000000-0006-0000-1400-000002000000}">
      <text>
        <r>
          <rPr>
            <sz val="11"/>
            <color theme="1"/>
            <rFont val="Calibri"/>
            <scheme val="minor"/>
          </rPr>
          <t>======
ID#AAAB1olJEtk
Author    (2026-03-11 18:06:11)
TARGET</t>
        </r>
      </text>
    </comment>
    <comment ref="A143" authorId="0" shapeId="0" xr:uid="{00000000-0006-0000-1400-000001000000}">
      <text>
        <r>
          <rPr>
            <sz val="11"/>
            <color theme="1"/>
            <rFont val="Calibri"/>
            <scheme val="minor"/>
          </rPr>
          <t>======
ID#AAAB1oz7KHA
Author    (2026-03-11 18:06:11)
End for Physical March 15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08/RL4y9slIJNaGj3sVNHg/HuGw=="/>
    </ext>
  </extL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4" authorId="0" shapeId="0" xr:uid="{00000000-0006-0000-1500-000001000000}">
      <text>
        <r>
          <rPr>
            <sz val="11"/>
            <color theme="1"/>
            <rFont val="Calibri"/>
            <scheme val="minor"/>
          </rPr>
          <t>======
ID#AAAB1oz7KHU
Author    (2026-03-11 18:06:11)
TARGET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WaDvhMFoSd0hzQKhoUgbIvzFLvg=="/>
    </ext>
  </extL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07" authorId="0" shapeId="0" xr:uid="{00000000-0006-0000-1600-000002000000}">
      <text>
        <r>
          <rPr>
            <sz val="11"/>
            <color theme="1"/>
            <rFont val="Calibri"/>
            <scheme val="minor"/>
          </rPr>
          <t>======
ID#AAAB1oz7KHM
Author    (2026-03-11 18:06:11)
TARGET</t>
        </r>
      </text>
    </comment>
    <comment ref="H108" authorId="0" shapeId="0" xr:uid="{00000000-0006-0000-1600-000001000000}">
      <text>
        <r>
          <rPr>
            <sz val="11"/>
            <color theme="1"/>
            <rFont val="Calibri"/>
            <scheme val="minor"/>
          </rPr>
          <t>======
ID#AAAB1oz7KHI
Author    (2026-03-11 18:06:11)
TARGET</t>
        </r>
      </text>
    </comment>
    <comment ref="H110" authorId="0" shapeId="0" xr:uid="{00000000-0006-0000-1600-000003000000}">
      <text>
        <r>
          <rPr>
            <sz val="11"/>
            <color theme="1"/>
            <rFont val="Calibri"/>
            <scheme val="minor"/>
          </rPr>
          <t>======
ID#AAAB1olJEtc
Author    (2026-03-11 18:06:11)
TARGET</t>
        </r>
      </text>
    </comment>
    <comment ref="H111" authorId="0" shapeId="0" xr:uid="{00000000-0006-0000-1600-000004000000}">
      <text>
        <r>
          <rPr>
            <sz val="11"/>
            <color theme="1"/>
            <rFont val="Calibri"/>
            <scheme val="minor"/>
          </rPr>
          <t>======
ID#AAAB1oYwjYA
Author    (2026-03-11 18:06:11)
TARGET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7Qivxeae2aZt2xFXrHrXLu/11gA=="/>
    </ext>
  </extL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2" authorId="0" shapeId="0" xr:uid="{00000000-0006-0000-1700-000002000000}">
      <text>
        <r>
          <rPr>
            <sz val="11"/>
            <color theme="1"/>
            <rFont val="Calibri"/>
            <scheme val="minor"/>
          </rPr>
          <t>======
ID#AAAB1olJEsk
Author    (2026-03-11 18:06:11)
TARGET</t>
        </r>
      </text>
    </comment>
    <comment ref="I13" authorId="0" shapeId="0" xr:uid="{00000000-0006-0000-1700-000001000000}">
      <text>
        <r>
          <rPr>
            <sz val="11"/>
            <color theme="1"/>
            <rFont val="Calibri"/>
            <scheme val="minor"/>
          </rPr>
          <t>======
ID#AAAB1olJEtU
Author    (2026-03-11 18:06:11)
TARGET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+ml2vEGaxpQPAAUlqEulMd8RccA=="/>
    </ext>
  </extL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7" authorId="0" shapeId="0" xr:uid="{00000000-0006-0000-1A00-000001000000}">
      <text>
        <r>
          <rPr>
            <sz val="11"/>
            <color theme="1"/>
            <rFont val="Calibri"/>
            <scheme val="minor"/>
          </rPr>
          <t>======
ID#AAAB1olJEto
Author    (2026-03-11 18:06:11)
20%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ecUU+PnsTnNmP9+2MW7ggXRLE3w=="/>
    </ext>
  </extLst>
</comments>
</file>

<file path=xl/sharedStrings.xml><?xml version="1.0" encoding="utf-8"?>
<sst xmlns="http://schemas.openxmlformats.org/spreadsheetml/2006/main" count="22612" uniqueCount="4655">
  <si>
    <t xml:space="preserve">                      FORMAT LIST OF ACTUAL BENEFICIARIES</t>
  </si>
  <si>
    <t>December 2021</t>
  </si>
  <si>
    <r>
      <rPr>
        <sz val="10"/>
        <color theme="1"/>
        <rFont val="Arial"/>
      </rPr>
      <t xml:space="preserve">Total No. Of Beneficiaries: </t>
    </r>
    <r>
      <rPr>
        <b/>
        <u/>
        <sz val="10"/>
        <color theme="1"/>
        <rFont val="Arial"/>
      </rPr>
      <t>86</t>
    </r>
  </si>
  <si>
    <t xml:space="preserve">Male: </t>
  </si>
  <si>
    <t>Female:</t>
  </si>
  <si>
    <t>a. Individuals</t>
  </si>
  <si>
    <r>
      <rPr>
        <sz val="10"/>
        <color theme="1"/>
        <rFont val="Arial"/>
      </rPr>
      <t xml:space="preserve">Others:(S.C./PWD): </t>
    </r>
    <r>
      <rPr>
        <b/>
        <u/>
        <sz val="10"/>
        <color theme="1"/>
        <rFont val="Arial"/>
      </rPr>
      <t>7</t>
    </r>
  </si>
  <si>
    <t xml:space="preserve">                                Types of Goods/Services Received</t>
  </si>
  <si>
    <t>DATE OF IMPLEMENTATION</t>
  </si>
  <si>
    <t>NAME OF BENEFICIARIES</t>
  </si>
  <si>
    <t>GENDER</t>
  </si>
  <si>
    <t>BARANGAY</t>
  </si>
  <si>
    <t>MUNICIPALITY</t>
  </si>
  <si>
    <t xml:space="preserve">Contact No./Email </t>
  </si>
  <si>
    <t xml:space="preserve">QUANTITY </t>
  </si>
  <si>
    <t>COST('000)</t>
  </si>
  <si>
    <t>Address(if any)</t>
  </si>
  <si>
    <t>Type/Species</t>
  </si>
  <si>
    <t>RECEIVED</t>
  </si>
  <si>
    <t>TYPE</t>
  </si>
  <si>
    <t>SATISFIED/</t>
  </si>
  <si>
    <t>(Unit/kg/pcs.)</t>
  </si>
  <si>
    <t>NOT SATISFIED</t>
  </si>
  <si>
    <t>DATE</t>
  </si>
  <si>
    <t>Armando Cosicol</t>
  </si>
  <si>
    <t>Male</t>
  </si>
  <si>
    <t>Villa Aurora</t>
  </si>
  <si>
    <t>Dagohoy</t>
  </si>
  <si>
    <t>09489016230</t>
  </si>
  <si>
    <t>Excel</t>
  </si>
  <si>
    <t>pond</t>
  </si>
  <si>
    <t>satisfied</t>
  </si>
  <si>
    <t>Mario Cabullao</t>
  </si>
  <si>
    <t>San Agustin</t>
  </si>
  <si>
    <t>Talibon</t>
  </si>
  <si>
    <t>09353228429</t>
  </si>
  <si>
    <t>Julius Guipanes</t>
  </si>
  <si>
    <t>Sagbayan Sur</t>
  </si>
  <si>
    <t>Sagbayan</t>
  </si>
  <si>
    <t>09493988187</t>
  </si>
  <si>
    <t>Sergio Inferido</t>
  </si>
  <si>
    <t>Tuntonan</t>
  </si>
  <si>
    <t>Clarin</t>
  </si>
  <si>
    <t>09107764099</t>
  </si>
  <si>
    <t>Sanny Ebua</t>
  </si>
  <si>
    <t>Cambitoon</t>
  </si>
  <si>
    <t>Inabanga</t>
  </si>
  <si>
    <t>09753565780</t>
  </si>
  <si>
    <t>Ernesto Batulanon</t>
  </si>
  <si>
    <t>Hagbuaya</t>
  </si>
  <si>
    <t>Catigbian</t>
  </si>
  <si>
    <t>09508212224</t>
  </si>
  <si>
    <t>Arjon Alberio</t>
  </si>
  <si>
    <t>09064131785</t>
  </si>
  <si>
    <t>Pascual Ranullo</t>
  </si>
  <si>
    <t>Katipunan</t>
  </si>
  <si>
    <t>Alicia</t>
  </si>
  <si>
    <t>09093585980</t>
  </si>
  <si>
    <t>Lilet Bentillo</t>
  </si>
  <si>
    <t>Female</t>
  </si>
  <si>
    <t>Danao</t>
  </si>
  <si>
    <t>09262644045</t>
  </si>
  <si>
    <t>Antonio Betalmos</t>
  </si>
  <si>
    <t>Poblacion</t>
  </si>
  <si>
    <t>09979849968</t>
  </si>
  <si>
    <t>Nelson Suralta</t>
  </si>
  <si>
    <t>09508838672</t>
  </si>
  <si>
    <t>Danilo Atillo</t>
  </si>
  <si>
    <t>Libertad</t>
  </si>
  <si>
    <t>09304258553</t>
  </si>
  <si>
    <t>Numeriano Carias Jr.</t>
  </si>
  <si>
    <t>09363884933</t>
  </si>
  <si>
    <t>Hito</t>
  </si>
  <si>
    <t>Ramel Tinahora</t>
  </si>
  <si>
    <t>San Antonio</t>
  </si>
  <si>
    <t>09563666629</t>
  </si>
  <si>
    <t>Anecita Rabacal</t>
  </si>
  <si>
    <t>Buenos Aires</t>
  </si>
  <si>
    <t>Tubigon</t>
  </si>
  <si>
    <t/>
  </si>
  <si>
    <t>Henry Maghuyop</t>
  </si>
  <si>
    <t>Causwagan</t>
  </si>
  <si>
    <t>Leodegario Niñeza</t>
  </si>
  <si>
    <t>Bahaan</t>
  </si>
  <si>
    <t>09551247126</t>
  </si>
  <si>
    <t>Jerson Juson</t>
  </si>
  <si>
    <t>Caluwasan</t>
  </si>
  <si>
    <t>09098951379</t>
  </si>
  <si>
    <t>Nelson Elipian</t>
  </si>
  <si>
    <t>Ubujan</t>
  </si>
  <si>
    <t>09357478129</t>
  </si>
  <si>
    <t>John Brett Pangandoyon</t>
  </si>
  <si>
    <t>San Jose</t>
  </si>
  <si>
    <t>09128119193</t>
  </si>
  <si>
    <t>John Ralph Melo</t>
  </si>
  <si>
    <t>Nueva Vida</t>
  </si>
  <si>
    <t>Carmen</t>
  </si>
  <si>
    <t>09633840337</t>
  </si>
  <si>
    <t>Anecita Dico</t>
  </si>
  <si>
    <t>Bacani</t>
  </si>
  <si>
    <t>09978232552</t>
  </si>
  <si>
    <t>dispersal</t>
  </si>
  <si>
    <t>Marcelo Mahulay</t>
  </si>
  <si>
    <t>San Isidro</t>
  </si>
  <si>
    <t>Johnbert Gentapan</t>
  </si>
  <si>
    <t>09532644080</t>
  </si>
  <si>
    <t>Jocelyn Bagolor</t>
  </si>
  <si>
    <t>Ilijan Norte</t>
  </si>
  <si>
    <t>09508222706</t>
  </si>
  <si>
    <t>Glenn Francis Visto</t>
  </si>
  <si>
    <t>Campagao</t>
  </si>
  <si>
    <t>Bilar</t>
  </si>
  <si>
    <t>09674196150</t>
  </si>
  <si>
    <t>Romulo Buhayang</t>
  </si>
  <si>
    <t>Ilijan Sur</t>
  </si>
  <si>
    <t>09656082435</t>
  </si>
  <si>
    <t>Ulang</t>
  </si>
  <si>
    <t>Mary Jane Calimutan</t>
  </si>
  <si>
    <t>Canapnapan</t>
  </si>
  <si>
    <t>Corella</t>
  </si>
  <si>
    <t>09108590139</t>
  </si>
  <si>
    <t>Christopher Culzon</t>
  </si>
  <si>
    <t>Michael Sarona</t>
  </si>
  <si>
    <t>La Salvacion</t>
  </si>
  <si>
    <t>09483723297</t>
  </si>
  <si>
    <t>Noel Idulan</t>
  </si>
  <si>
    <t>Lapaz</t>
  </si>
  <si>
    <t>09103700449</t>
  </si>
  <si>
    <t>Rocky Cutamora</t>
  </si>
  <si>
    <t>San Pascual</t>
  </si>
  <si>
    <t>Ubay</t>
  </si>
  <si>
    <t>09707764675</t>
  </si>
  <si>
    <t>Cristine Claire Alcoy</t>
  </si>
  <si>
    <t>Mabuhay</t>
  </si>
  <si>
    <t>09759172269</t>
  </si>
  <si>
    <t>Dodong Lacoña</t>
  </si>
  <si>
    <t>09361682296</t>
  </si>
  <si>
    <t>Dharyl Bocar</t>
  </si>
  <si>
    <t>09127078413</t>
  </si>
  <si>
    <t>Marcian Almedilla</t>
  </si>
  <si>
    <t>Tumoc</t>
  </si>
  <si>
    <t>San Miguel</t>
  </si>
  <si>
    <t>KoiCarp</t>
  </si>
  <si>
    <t>Joel Rulida</t>
  </si>
  <si>
    <t>Candumayao</t>
  </si>
  <si>
    <t>09074282973</t>
  </si>
  <si>
    <t>Emmanuel Amores</t>
  </si>
  <si>
    <t>Libertad Norte</t>
  </si>
  <si>
    <t>Mark Leiven Lapiz</t>
  </si>
  <si>
    <t>Bentig</t>
  </si>
  <si>
    <t>Calape</t>
  </si>
  <si>
    <t>09507490302</t>
  </si>
  <si>
    <t>Timoteo Baluca</t>
  </si>
  <si>
    <t>09352168750</t>
  </si>
  <si>
    <t>Jinalyn May Espiel</t>
  </si>
  <si>
    <t>Mataub</t>
  </si>
  <si>
    <t>09508127961</t>
  </si>
  <si>
    <t>Rubelyn  Nuez</t>
  </si>
  <si>
    <t>Bayongan</t>
  </si>
  <si>
    <t>09517744203</t>
  </si>
  <si>
    <t>Claudio Man-on</t>
  </si>
  <si>
    <t>TARGET</t>
  </si>
  <si>
    <t>Aljhun Omusora</t>
  </si>
  <si>
    <t>Tinibgan</t>
  </si>
  <si>
    <t>09511296970</t>
  </si>
  <si>
    <t>Efren Apalisok</t>
  </si>
  <si>
    <t>Albur</t>
  </si>
  <si>
    <t>09293554539</t>
  </si>
  <si>
    <t>Eleverser Oronan</t>
  </si>
  <si>
    <t>Bunacan</t>
  </si>
  <si>
    <t>Sulgang Prose Jr.</t>
  </si>
  <si>
    <t>Magtangtang</t>
  </si>
  <si>
    <t>09308032005</t>
  </si>
  <si>
    <t>Neonel Salces</t>
  </si>
  <si>
    <t>09954566799</t>
  </si>
  <si>
    <t>Petronilo Sasan</t>
  </si>
  <si>
    <t>San Vicente</t>
  </si>
  <si>
    <t>09481454754</t>
  </si>
  <si>
    <t>Sabino Candole</t>
  </si>
  <si>
    <t>09550413092</t>
  </si>
  <si>
    <t>Domingo Candole</t>
  </si>
  <si>
    <t>09304739689</t>
  </si>
  <si>
    <t>Pablo Lozano</t>
  </si>
  <si>
    <t>09091230049</t>
  </si>
  <si>
    <t>Bebiano Basio</t>
  </si>
  <si>
    <t>Danahaw</t>
  </si>
  <si>
    <t>Welmor Samson</t>
  </si>
  <si>
    <t>Pinayagan</t>
  </si>
  <si>
    <t>09995070410</t>
  </si>
  <si>
    <t>Ma. Fe Ampoan</t>
  </si>
  <si>
    <t>09294295957</t>
  </si>
  <si>
    <t>Justine Puloa</t>
  </si>
  <si>
    <t>Banlasan</t>
  </si>
  <si>
    <t>09261421548</t>
  </si>
  <si>
    <t>Arnold Sarte</t>
  </si>
  <si>
    <t>Villarcayo</t>
  </si>
  <si>
    <t>09703812919</t>
  </si>
  <si>
    <t>Abner Echavez</t>
  </si>
  <si>
    <t>09302789356</t>
  </si>
  <si>
    <t>Anna Marie Degamo</t>
  </si>
  <si>
    <t>Nahud</t>
  </si>
  <si>
    <t>09484808098</t>
  </si>
  <si>
    <t>Carlo Bitao</t>
  </si>
  <si>
    <t>Ruel Saniel</t>
  </si>
  <si>
    <t>Liboron</t>
  </si>
  <si>
    <t>Paulino Cambarejan</t>
  </si>
  <si>
    <t>Bicao</t>
  </si>
  <si>
    <t>09630079500</t>
  </si>
  <si>
    <t>Pedro Valentos</t>
  </si>
  <si>
    <t>Villafuerte</t>
  </si>
  <si>
    <t>09187143811</t>
  </si>
  <si>
    <t>Lino Suaybagiuo</t>
  </si>
  <si>
    <t>Cabulihan</t>
  </si>
  <si>
    <t>09472495998</t>
  </si>
  <si>
    <t>Ruperto Jeverola</t>
  </si>
  <si>
    <t>Booy</t>
  </si>
  <si>
    <t>Tagbilaran</t>
  </si>
  <si>
    <t>09288595789</t>
  </si>
  <si>
    <t>Jessa Senario</t>
  </si>
  <si>
    <t>Duero</t>
  </si>
  <si>
    <t>09099446136</t>
  </si>
  <si>
    <t>Tilapia Breeders</t>
  </si>
  <si>
    <t>Simestocles Vistal</t>
  </si>
  <si>
    <t>09465596049</t>
  </si>
  <si>
    <t>Apolinar Rollon</t>
  </si>
  <si>
    <t>09064134216</t>
  </si>
  <si>
    <t>Chansel Geo Togane</t>
  </si>
  <si>
    <t>Tungod</t>
  </si>
  <si>
    <t>Narciso Asoy</t>
  </si>
  <si>
    <t>Sampoangon</t>
  </si>
  <si>
    <t>09559652190</t>
  </si>
  <si>
    <t>Marisa Socubos</t>
  </si>
  <si>
    <t>Banahao</t>
  </si>
  <si>
    <t>09354737338</t>
  </si>
  <si>
    <t>Jeremiah Cabalan</t>
  </si>
  <si>
    <t>Macaas</t>
  </si>
  <si>
    <t>09356739242</t>
  </si>
  <si>
    <t>Ryan Ingito</t>
  </si>
  <si>
    <t>Pondol</t>
  </si>
  <si>
    <t>09994498154</t>
  </si>
  <si>
    <t>Jonathan Maamo</t>
  </si>
  <si>
    <t xml:space="preserve">Lingkod </t>
  </si>
  <si>
    <t>Maribojoc</t>
  </si>
  <si>
    <t>09632713367</t>
  </si>
  <si>
    <t>Nova Lopez</t>
  </si>
  <si>
    <t>Abucayan Norte</t>
  </si>
  <si>
    <t>09656956604</t>
  </si>
  <si>
    <t>Rodrigo Losano</t>
  </si>
  <si>
    <t>Pamacsalan</t>
  </si>
  <si>
    <t>Pilar</t>
  </si>
  <si>
    <t>09099036503</t>
  </si>
  <si>
    <t>Arnold Ego-ogan</t>
  </si>
  <si>
    <t>09091206322</t>
  </si>
  <si>
    <t>Simeon Saldom</t>
  </si>
  <si>
    <t>Bugang Sur</t>
  </si>
  <si>
    <t>09977118721</t>
  </si>
  <si>
    <t>Jofil Manatad</t>
  </si>
  <si>
    <t>Overland</t>
  </si>
  <si>
    <t>Buenavista</t>
  </si>
  <si>
    <t>09658593339</t>
  </si>
  <si>
    <t>Leo Damar</t>
  </si>
  <si>
    <t>09951171079</t>
  </si>
  <si>
    <t>Arman Degamo</t>
  </si>
  <si>
    <t>Nahawan</t>
  </si>
  <si>
    <t>09355632672</t>
  </si>
  <si>
    <t>Cerila Dagame</t>
  </si>
  <si>
    <t>09676434503</t>
  </si>
  <si>
    <t>Samuel Mejares</t>
  </si>
  <si>
    <t>Genonocan</t>
  </si>
  <si>
    <t>09333344137</t>
  </si>
  <si>
    <t>Marialyn Genovia</t>
  </si>
  <si>
    <t>Taloto</t>
  </si>
  <si>
    <t>09303049156</t>
  </si>
  <si>
    <t>Hector Yu</t>
  </si>
  <si>
    <t>Calangaman</t>
  </si>
  <si>
    <t>09177179742</t>
  </si>
  <si>
    <t>Simeon Pisay</t>
  </si>
  <si>
    <t>09753883554</t>
  </si>
  <si>
    <t>Leonilo Estillore</t>
  </si>
  <si>
    <t>09701340297</t>
  </si>
  <si>
    <t>Francis Eric Mejias</t>
  </si>
  <si>
    <t>09702880508</t>
  </si>
  <si>
    <t>Joseph Baton</t>
  </si>
  <si>
    <t xml:space="preserve">Dauis </t>
  </si>
  <si>
    <t>Dauis</t>
  </si>
  <si>
    <t>09328853212</t>
  </si>
  <si>
    <t>Arnie Cabeltes</t>
  </si>
  <si>
    <t>Cahayag</t>
  </si>
  <si>
    <t>09085083030</t>
  </si>
  <si>
    <t>Niño Galo</t>
  </si>
  <si>
    <t>09486665038</t>
  </si>
  <si>
    <t>Benito Cagande</t>
  </si>
  <si>
    <t>Danilo Palionay</t>
  </si>
  <si>
    <t>Cansage Norte</t>
  </si>
  <si>
    <t>09353578943</t>
  </si>
  <si>
    <t>Rachel Genita</t>
  </si>
  <si>
    <t>Dennis Serohijos</t>
  </si>
  <si>
    <t>09489416717</t>
  </si>
  <si>
    <t>Jeffrey Aledon</t>
  </si>
  <si>
    <t>09501296861</t>
  </si>
  <si>
    <t>Chona Pecolados</t>
  </si>
  <si>
    <t>09093079772</t>
  </si>
  <si>
    <t>Silvino Añosa</t>
  </si>
  <si>
    <t>Nueva Fuerza</t>
  </si>
  <si>
    <t>09102659332</t>
  </si>
  <si>
    <t>Noel Nocolan</t>
  </si>
  <si>
    <t>Montehermoso</t>
  </si>
  <si>
    <t>09102524057</t>
  </si>
  <si>
    <t>Greserio Ngujo</t>
  </si>
  <si>
    <t>Roland Batac</t>
  </si>
  <si>
    <t>Del Carmen</t>
  </si>
  <si>
    <t>Balilihan</t>
  </si>
  <si>
    <t>09612474241</t>
  </si>
  <si>
    <t>Porferio  Logaos</t>
  </si>
  <si>
    <t>09464268605</t>
  </si>
  <si>
    <t>Atanacio Agbon</t>
  </si>
  <si>
    <t>09508844395</t>
  </si>
  <si>
    <t>Reino Ranque</t>
  </si>
  <si>
    <t>Trinidad</t>
  </si>
  <si>
    <t>Guindulman</t>
  </si>
  <si>
    <t>09122331388</t>
  </si>
  <si>
    <t>Swordtail</t>
  </si>
  <si>
    <t>Meshielo Vedra</t>
  </si>
  <si>
    <t>Lajog</t>
  </si>
  <si>
    <t>09475288344</t>
  </si>
  <si>
    <t>Marlon Pogoy</t>
  </si>
  <si>
    <t>09096556781</t>
  </si>
  <si>
    <t>Anecito Cristal</t>
  </si>
  <si>
    <t>Sto. Niño</t>
  </si>
  <si>
    <t>Cristina Carasco</t>
  </si>
  <si>
    <t>09304911983</t>
  </si>
  <si>
    <t>Jessica Madaje</t>
  </si>
  <si>
    <t>Sto. Rosario</t>
  </si>
  <si>
    <t>Antequera</t>
  </si>
  <si>
    <t>09129786857</t>
  </si>
  <si>
    <t>SUMMARY:</t>
  </si>
  <si>
    <t>Prepared and Submitted by:</t>
  </si>
  <si>
    <t>Noted by:</t>
  </si>
  <si>
    <t xml:space="preserve">Direct Client: </t>
  </si>
  <si>
    <t>178,400 pcs.</t>
  </si>
  <si>
    <t xml:space="preserve">Coordinating Office: </t>
  </si>
  <si>
    <t>9,150 pcs.</t>
  </si>
  <si>
    <t xml:space="preserve">C. Carp: </t>
  </si>
  <si>
    <t>GAYMELO Y. LOPEZ</t>
  </si>
  <si>
    <t>MARIO N. RUINATA, Ph. D.</t>
  </si>
  <si>
    <t xml:space="preserve">Ornamental Fish: </t>
  </si>
  <si>
    <t>174 pcs.</t>
  </si>
  <si>
    <t>Aqua II/Center Chief</t>
  </si>
  <si>
    <t>Research, Development &amp; Extension Coordinating Office</t>
  </si>
  <si>
    <t>Catfish</t>
  </si>
  <si>
    <t>7,300 pcs.</t>
  </si>
  <si>
    <t xml:space="preserve">Freshwater Prawn: </t>
  </si>
  <si>
    <t>1,100 pcs.</t>
  </si>
  <si>
    <t>Total area (sq.m)</t>
  </si>
  <si>
    <t>Freshwater:</t>
  </si>
  <si>
    <t>39,229 sq.m.</t>
  </si>
  <si>
    <t xml:space="preserve">Brackishwater: </t>
  </si>
  <si>
    <r>
      <rPr>
        <sz val="10"/>
        <color theme="1"/>
        <rFont val="Arial"/>
      </rPr>
      <t xml:space="preserve">Total No. Of Beneficiaries: </t>
    </r>
    <r>
      <rPr>
        <b/>
        <sz val="10"/>
        <color theme="1"/>
        <rFont val="Arial"/>
      </rPr>
      <t>9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</si>
  <si>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</si>
  <si>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Female:</t>
    </r>
    <r>
      <rPr>
        <u/>
        <sz val="10"/>
        <color theme="1"/>
        <rFont val="Arial"/>
      </rPr>
      <t xml:space="preserve">  </t>
    </r>
  </si>
  <si>
    <t>a. Groups</t>
  </si>
  <si>
    <r>
      <rPr>
        <sz val="10"/>
        <color theme="1"/>
        <rFont val="Arial"/>
      </rPr>
      <t>Others:(S.C./PWD)</t>
    </r>
    <r>
      <rPr>
        <u/>
        <sz val="10"/>
        <color theme="1"/>
        <rFont val="Arial"/>
      </rPr>
      <t xml:space="preserve"> </t>
    </r>
  </si>
  <si>
    <t>NUMBER</t>
  </si>
  <si>
    <t>Contact</t>
  </si>
  <si>
    <t>Name of</t>
  </si>
  <si>
    <t>Types of Goods/Services Received</t>
  </si>
  <si>
    <t>NAME OF LGU/ASSOCIATION</t>
  </si>
  <si>
    <t>OF</t>
  </si>
  <si>
    <t>No./Email</t>
  </si>
  <si>
    <t>Representatives</t>
  </si>
  <si>
    <t>MEMBERS</t>
  </si>
  <si>
    <t>Address (if</t>
  </si>
  <si>
    <t>who received</t>
  </si>
  <si>
    <t>any)</t>
  </si>
  <si>
    <t>(Unit/kg/pcs.</t>
  </si>
  <si>
    <t>LGU - Trinidad</t>
  </si>
  <si>
    <t>09303498524</t>
  </si>
  <si>
    <t>Cirilo Perez</t>
  </si>
  <si>
    <t>PFO - Bohol</t>
  </si>
  <si>
    <t>Victor Doblas</t>
  </si>
  <si>
    <t>Excel Breedeers</t>
  </si>
  <si>
    <t>LGU - Calape</t>
  </si>
  <si>
    <t>09129164546</t>
  </si>
  <si>
    <t>Isagani Cua</t>
  </si>
  <si>
    <t>BFAR 7-FPSSD</t>
  </si>
  <si>
    <t>Cebu City</t>
  </si>
  <si>
    <t>Mark Joseph Piloton</t>
  </si>
  <si>
    <t>Candido Samijon</t>
  </si>
  <si>
    <t>LGU - Loon</t>
  </si>
  <si>
    <t>Loon</t>
  </si>
  <si>
    <t>09104182879</t>
  </si>
  <si>
    <t>Regie Cororetiao</t>
  </si>
  <si>
    <t>LGU - Mabini</t>
  </si>
  <si>
    <t>Poblacion II</t>
  </si>
  <si>
    <t>Mabini</t>
  </si>
  <si>
    <t>Josine Galolo</t>
  </si>
  <si>
    <t>BFAR 7 - FPSSD</t>
  </si>
  <si>
    <t>Joel Clapano</t>
  </si>
  <si>
    <t>LGU - Guindulman</t>
  </si>
  <si>
    <t>09482547754</t>
  </si>
  <si>
    <t>Gary Galos</t>
  </si>
  <si>
    <t>84,600 pcs.</t>
  </si>
  <si>
    <t>123 pcs.</t>
  </si>
  <si>
    <t>Excel breeders</t>
  </si>
  <si>
    <r>
      <rPr>
        <sz val="9"/>
        <color theme="1"/>
        <rFont val="Arial"/>
      </rPr>
      <t>Ornamental Fish:</t>
    </r>
    <r>
      <rPr>
        <u/>
        <sz val="9"/>
        <color theme="1"/>
        <rFont val="Arial"/>
      </rPr>
      <t xml:space="preserve"> </t>
    </r>
  </si>
  <si>
    <t>11,500 pcs.</t>
  </si>
  <si>
    <t>Freshwater Prawn:</t>
  </si>
  <si>
    <t xml:space="preserve">  Freshwater:</t>
  </si>
  <si>
    <r>
      <rPr>
        <sz val="9"/>
        <color theme="1"/>
        <rFont val="Arial"/>
      </rPr>
      <t xml:space="preserve">  Brackishwater:</t>
    </r>
    <r>
      <rPr>
        <u/>
        <sz val="9"/>
        <color theme="1"/>
        <rFont val="Arial"/>
      </rPr>
      <t xml:space="preserve"> </t>
    </r>
  </si>
  <si>
    <t>2021 CFFF PRODUCTION</t>
  </si>
  <si>
    <t>Date</t>
  </si>
  <si>
    <t>TILAPIA</t>
  </si>
  <si>
    <t>ORNAMENTAL</t>
  </si>
  <si>
    <t>ULANG</t>
  </si>
  <si>
    <t>HITO</t>
  </si>
  <si>
    <t>COMMON CARP</t>
  </si>
  <si>
    <t>TILAPIA BREEDERS</t>
  </si>
  <si>
    <t>Sold</t>
  </si>
  <si>
    <t>Dispersed</t>
  </si>
  <si>
    <t>Total</t>
  </si>
  <si>
    <t>Koi</t>
  </si>
  <si>
    <t>Sword</t>
  </si>
  <si>
    <t>JAN 4-5</t>
  </si>
  <si>
    <t>JAN 5-6</t>
  </si>
  <si>
    <t>JAN 6-13</t>
  </si>
  <si>
    <t>JAN 14-21</t>
  </si>
  <si>
    <t>JAN 21-26</t>
  </si>
  <si>
    <t>JAN 27-28</t>
  </si>
  <si>
    <t>FEB 1-3</t>
  </si>
  <si>
    <t>FEB 4-5</t>
  </si>
  <si>
    <t>FEB. 8</t>
  </si>
  <si>
    <t>FEB. 9</t>
  </si>
  <si>
    <t>FEB. 11</t>
  </si>
  <si>
    <t>FEB. 15</t>
  </si>
  <si>
    <t>FEB 16-17</t>
  </si>
  <si>
    <t>FEB 17-18</t>
  </si>
  <si>
    <t>FEB. 18</t>
  </si>
  <si>
    <t>FEB. 19</t>
  </si>
  <si>
    <t>FEB 22-23</t>
  </si>
  <si>
    <t>MAR 1-3</t>
  </si>
  <si>
    <t>MAR. 4</t>
  </si>
  <si>
    <t>MAR 5-11</t>
  </si>
  <si>
    <t>MAR. 15</t>
  </si>
  <si>
    <t>MAR. 16</t>
  </si>
  <si>
    <t>MAR 17-19</t>
  </si>
  <si>
    <t>MAR 22-24</t>
  </si>
  <si>
    <t>MAR 25-26</t>
  </si>
  <si>
    <t>APR 5-7</t>
  </si>
  <si>
    <t>APR 8-12</t>
  </si>
  <si>
    <t>APR 14-16</t>
  </si>
  <si>
    <t>APR 17-19</t>
  </si>
  <si>
    <t>APR 20-23</t>
  </si>
  <si>
    <t>APR 26-27</t>
  </si>
  <si>
    <t>MAY 3-14</t>
  </si>
  <si>
    <t>MAY 17-21</t>
  </si>
  <si>
    <t>MAY 18-21</t>
  </si>
  <si>
    <t>MAY. 24</t>
  </si>
  <si>
    <t>MAY. 25</t>
  </si>
  <si>
    <t>MAY 27-28</t>
  </si>
  <si>
    <t>JUNE 1-2</t>
  </si>
  <si>
    <t>JUNE 3-7</t>
  </si>
  <si>
    <t>JUNE 8-9</t>
  </si>
  <si>
    <t>JUNE. 14</t>
  </si>
  <si>
    <t>JUNE 15-23</t>
  </si>
  <si>
    <t>JULY 1-5</t>
  </si>
  <si>
    <t>JULLY 6-9</t>
  </si>
  <si>
    <t>JULY 10-12</t>
  </si>
  <si>
    <t>JULY 13-16</t>
  </si>
  <si>
    <t>JULY 19-22</t>
  </si>
  <si>
    <t>JULY 23-27</t>
  </si>
  <si>
    <t>JULY 27-28</t>
  </si>
  <si>
    <t>AUG. 2</t>
  </si>
  <si>
    <t>AUG. 3</t>
  </si>
  <si>
    <t>AUG. 4-6</t>
  </si>
  <si>
    <t>AUG. 9</t>
  </si>
  <si>
    <t>AUG 10-13</t>
  </si>
  <si>
    <t>AUG 19-20</t>
  </si>
  <si>
    <t>AUG. 23-26</t>
  </si>
  <si>
    <t>SEP 1-9</t>
  </si>
  <si>
    <t>SEP. 13</t>
  </si>
  <si>
    <t>SEP 14-23</t>
  </si>
  <si>
    <t>SEP. 24, 27-28</t>
  </si>
  <si>
    <t>OCT 1-7</t>
  </si>
  <si>
    <t>OCT 14-18</t>
  </si>
  <si>
    <t>OCT. 19</t>
  </si>
  <si>
    <t>OCT 20-21</t>
  </si>
  <si>
    <t>OCT 21-26</t>
  </si>
  <si>
    <t>NOV 1-4</t>
  </si>
  <si>
    <t>NOV 4-9</t>
  </si>
  <si>
    <t>NOV 11-15</t>
  </si>
  <si>
    <t>NOV. 16-24</t>
  </si>
  <si>
    <t>NOV. 25</t>
  </si>
  <si>
    <t xml:space="preserve"> NOV. 26</t>
  </si>
  <si>
    <t>NOV. 27</t>
  </si>
  <si>
    <t>DEC 1-2</t>
  </si>
  <si>
    <t>DEC 3-6</t>
  </si>
  <si>
    <t>DEC 7-10</t>
  </si>
  <si>
    <t>DEC 13-27</t>
  </si>
  <si>
    <t>TOTAL</t>
  </si>
  <si>
    <t>TOTAL Produced</t>
  </si>
  <si>
    <t>% Accomp</t>
  </si>
  <si>
    <t>BREEDERS</t>
  </si>
  <si>
    <t>SOLD</t>
  </si>
  <si>
    <t>DISPERSED</t>
  </si>
  <si>
    <t>JULY</t>
  </si>
  <si>
    <t>AUG</t>
  </si>
  <si>
    <t>SEP</t>
  </si>
  <si>
    <t>OCT</t>
  </si>
  <si>
    <t>NOV</t>
  </si>
  <si>
    <t>DEC</t>
  </si>
  <si>
    <t>COMMODITY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</si>
  <si>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</si>
  <si>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</si>
  <si>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</si>
  <si>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</si>
  <si>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</si>
  <si>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</si>
  <si>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</si>
  <si>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</si>
  <si>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</si>
  <si>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</si>
  <si>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</si>
  <si>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TOTAL DISTRIBUTED</t>
  </si>
  <si>
    <t>TOTAL PRODUCTION</t>
  </si>
  <si>
    <t>KOI</t>
  </si>
  <si>
    <t>SWORD TAIL</t>
  </si>
  <si>
    <t>FRESHWATER PRAWN</t>
  </si>
  <si>
    <t>CATFISH</t>
  </si>
  <si>
    <t>November 2021</t>
  </si>
  <si>
    <r>
      <rPr>
        <sz val="10"/>
        <color theme="1"/>
        <rFont val="Arial"/>
      </rPr>
      <t xml:space="preserve">Total No. Of Beneficiaries: </t>
    </r>
    <r>
      <rPr>
        <b/>
        <u/>
        <sz val="10"/>
        <color rgb="FFFF0000"/>
        <rFont val="Arial"/>
      </rPr>
      <t>225</t>
    </r>
  </si>
  <si>
    <r>
      <rPr>
        <sz val="10"/>
        <color theme="1"/>
        <rFont val="Arial"/>
      </rPr>
      <t xml:space="preserve">Others:(S.C./PWD): </t>
    </r>
    <r>
      <rPr>
        <b/>
        <u/>
        <sz val="10"/>
        <color rgb="FFFF0000"/>
        <rFont val="Arial"/>
      </rPr>
      <t>22</t>
    </r>
  </si>
  <si>
    <t>Roan Adlaon</t>
  </si>
  <si>
    <t>Sta. Cruz</t>
  </si>
  <si>
    <t>Batuan</t>
  </si>
  <si>
    <t>09127868009</t>
  </si>
  <si>
    <t>Melvin payosan</t>
  </si>
  <si>
    <t>Guiwanon</t>
  </si>
  <si>
    <t>09354592318</t>
  </si>
  <si>
    <t>Cecilia Malubay</t>
  </si>
  <si>
    <t>Canlangit</t>
  </si>
  <si>
    <t>Sierra Bullones</t>
  </si>
  <si>
    <t>09502813969</t>
  </si>
  <si>
    <t>Koi carp</t>
  </si>
  <si>
    <t>SwordTail</t>
  </si>
  <si>
    <t>Arnais Elcanto</t>
  </si>
  <si>
    <t>Cambansag</t>
  </si>
  <si>
    <t>09360850993</t>
  </si>
  <si>
    <t>BG Navia</t>
  </si>
  <si>
    <t>Bogtongbod</t>
  </si>
  <si>
    <t>Jessa Suaybaguio</t>
  </si>
  <si>
    <t>09489235203</t>
  </si>
  <si>
    <t>Roberto Generalao</t>
  </si>
  <si>
    <t>Ilihan</t>
  </si>
  <si>
    <t>Royse Dijos</t>
  </si>
  <si>
    <t>09075129535</t>
  </si>
  <si>
    <t>Richard Beldad</t>
  </si>
  <si>
    <t>09367383863</t>
  </si>
  <si>
    <t>Alfie Pahamutang</t>
  </si>
  <si>
    <t>09568774285</t>
  </si>
  <si>
    <t>Sixto Samon</t>
  </si>
  <si>
    <t>Calinginan Norte</t>
  </si>
  <si>
    <t>Sevilla</t>
  </si>
  <si>
    <t>09666625867</t>
  </si>
  <si>
    <t>Angelo La Paz</t>
  </si>
  <si>
    <t>09361431647</t>
  </si>
  <si>
    <t>Felixberto Templa</t>
  </si>
  <si>
    <t>La Victoria</t>
  </si>
  <si>
    <t>09771443798</t>
  </si>
  <si>
    <t>Lito Dumangas</t>
  </si>
  <si>
    <t>Gloria Auxterio</t>
  </si>
  <si>
    <t>Remedios</t>
  </si>
  <si>
    <t>09554074157</t>
  </si>
  <si>
    <t>James Valentos</t>
  </si>
  <si>
    <t>09382439499</t>
  </si>
  <si>
    <t>Jason Abaño</t>
  </si>
  <si>
    <t>09304265143</t>
  </si>
  <si>
    <t>Elmer Manlangit</t>
  </si>
  <si>
    <t>09267812505</t>
  </si>
  <si>
    <t>Jan-jan Bongato</t>
  </si>
  <si>
    <t>09468404363</t>
  </si>
  <si>
    <t>Marcelo Aparicio</t>
  </si>
  <si>
    <t>Nabuad</t>
  </si>
  <si>
    <t>09273465366</t>
  </si>
  <si>
    <t>Reynaldo Ladaga</t>
  </si>
  <si>
    <t>Leo Ingking</t>
  </si>
  <si>
    <t>Buenasuerte</t>
  </si>
  <si>
    <t>09265856101</t>
  </si>
  <si>
    <t>Lito Manatad</t>
  </si>
  <si>
    <t>Bayog</t>
  </si>
  <si>
    <t>Dexter Gudarido</t>
  </si>
  <si>
    <t>09307666977</t>
  </si>
  <si>
    <t>Stanley Niones</t>
  </si>
  <si>
    <t>Hermogena Ybañez</t>
  </si>
  <si>
    <t>Alegria</t>
  </si>
  <si>
    <t>09393042587</t>
  </si>
  <si>
    <t>Roseller Ocsin</t>
  </si>
  <si>
    <t>09679260960</t>
  </si>
  <si>
    <t>Marcelo Celis</t>
  </si>
  <si>
    <t>Can-oling</t>
  </si>
  <si>
    <t>Nelisa Deguiñon</t>
  </si>
  <si>
    <t>Tabok</t>
  </si>
  <si>
    <t>09352172262</t>
  </si>
  <si>
    <t>Noel Tanaid</t>
  </si>
  <si>
    <t>09091051666</t>
  </si>
  <si>
    <t>Fe Lamberang</t>
  </si>
  <si>
    <t>09489824027</t>
  </si>
  <si>
    <t>Cristoper Intina</t>
  </si>
  <si>
    <t>Tomoc</t>
  </si>
  <si>
    <t>09565048617</t>
  </si>
  <si>
    <t>Primitivo Bongato</t>
  </si>
  <si>
    <t>09395236244</t>
  </si>
  <si>
    <t>Romeo Degamo</t>
  </si>
  <si>
    <t>Cawayanan</t>
  </si>
  <si>
    <t>09300371235</t>
  </si>
  <si>
    <t>Restituto Torreon</t>
  </si>
  <si>
    <t>Carbon</t>
  </si>
  <si>
    <t>09308167552</t>
  </si>
  <si>
    <t>Joel Ganade</t>
  </si>
  <si>
    <t>Cambailan</t>
  </si>
  <si>
    <t>09361155906</t>
  </si>
  <si>
    <t>Erwin Quita</t>
  </si>
  <si>
    <t>Bugsoc</t>
  </si>
  <si>
    <t>09208595520</t>
  </si>
  <si>
    <t>Venon Artiaga</t>
  </si>
  <si>
    <t>San Francisco</t>
  </si>
  <si>
    <t>09486475346</t>
  </si>
  <si>
    <t>Cornelia Amparo</t>
  </si>
  <si>
    <t>San Juan</t>
  </si>
  <si>
    <t>09104819946</t>
  </si>
  <si>
    <t>Jiego Amparo</t>
  </si>
  <si>
    <t>Maximo Lanosa</t>
  </si>
  <si>
    <t>Cantubod</t>
  </si>
  <si>
    <t>09630017978</t>
  </si>
  <si>
    <t>Merian Agon</t>
  </si>
  <si>
    <t>09304280888</t>
  </si>
  <si>
    <t>Tilapia</t>
  </si>
  <si>
    <t>Dionesio Viodor</t>
  </si>
  <si>
    <t>Datag</t>
  </si>
  <si>
    <t>N/A</t>
  </si>
  <si>
    <t>sold</t>
  </si>
  <si>
    <t>Ronie Losloso</t>
  </si>
  <si>
    <t>Tultogan</t>
  </si>
  <si>
    <t>dispersed</t>
  </si>
  <si>
    <t>Misa Sendrijas</t>
  </si>
  <si>
    <t>09078881866</t>
  </si>
  <si>
    <t>Ornamental</t>
  </si>
  <si>
    <t>Florencio Camposo</t>
  </si>
  <si>
    <t>Villahermoso</t>
  </si>
  <si>
    <t>Genaro Tandog</t>
  </si>
  <si>
    <t>Ferrie Ayag</t>
  </si>
  <si>
    <t>Marvin Ian Ballares</t>
  </si>
  <si>
    <t>Retchie Jay Potane</t>
  </si>
  <si>
    <t>Cansague Norte</t>
  </si>
  <si>
    <t>09487300276</t>
  </si>
  <si>
    <t>Marnelito Estillore</t>
  </si>
  <si>
    <t>Cantuyoc</t>
  </si>
  <si>
    <t>Joey Bongato</t>
  </si>
  <si>
    <t>Langtad</t>
  </si>
  <si>
    <t>Leonel Bucia</t>
  </si>
  <si>
    <t>09636929018</t>
  </si>
  <si>
    <t>Ernesto Batolanon</t>
  </si>
  <si>
    <t>Roy Melencion</t>
  </si>
  <si>
    <t>09199468657</t>
  </si>
  <si>
    <t>Renan Estillore</t>
  </si>
  <si>
    <t>Lutao</t>
  </si>
  <si>
    <t>09275801351</t>
  </si>
  <si>
    <t>Eric Cellan</t>
  </si>
  <si>
    <t>09207914156</t>
  </si>
  <si>
    <t>Ruel Camargo</t>
  </si>
  <si>
    <t>Mahayag</t>
  </si>
  <si>
    <t>09309943286</t>
  </si>
  <si>
    <t>Alberto Valentos</t>
  </si>
  <si>
    <t xml:space="preserve">Caluwasan </t>
  </si>
  <si>
    <r>
      <rPr>
        <sz val="11"/>
        <color theme="1"/>
        <rFont val="Calibri"/>
      </rPr>
      <t>Evelyn A</t>
    </r>
    <r>
      <rPr>
        <sz val="11"/>
        <color theme="1"/>
        <rFont val="Calibri"/>
      </rPr>
      <t>ñ</t>
    </r>
    <r>
      <rPr>
        <sz val="13"/>
        <color theme="1"/>
        <rFont val="Calibri"/>
      </rPr>
      <t>asco</t>
    </r>
  </si>
  <si>
    <t>Richard Custadio</t>
  </si>
  <si>
    <t>09971386825</t>
  </si>
  <si>
    <t>Flordiles Ocoy</t>
  </si>
  <si>
    <t>Cansague Sur</t>
  </si>
  <si>
    <t>09161291481</t>
  </si>
  <si>
    <t>Felipe Timbal</t>
  </si>
  <si>
    <t>09078467896</t>
  </si>
  <si>
    <t>Roberto Patac</t>
  </si>
  <si>
    <t>Seigfred Villabito</t>
  </si>
  <si>
    <t>Nueva Vida Sur</t>
  </si>
  <si>
    <t>Elmar Batuan</t>
  </si>
  <si>
    <t>Hibale</t>
  </si>
  <si>
    <t>09120054871</t>
  </si>
  <si>
    <t>Joel Celmar</t>
  </si>
  <si>
    <t>Cagawasan</t>
  </si>
  <si>
    <t>09651457326</t>
  </si>
  <si>
    <t>Victor Giango</t>
  </si>
  <si>
    <t>Cogon East</t>
  </si>
  <si>
    <t>Fe Inguito</t>
  </si>
  <si>
    <t>California</t>
  </si>
  <si>
    <t>09178940522</t>
  </si>
  <si>
    <t>Martin Lamorin</t>
  </si>
  <si>
    <t>David Sumalinog</t>
  </si>
  <si>
    <t>Mtaub</t>
  </si>
  <si>
    <t>Jericho Tesorio</t>
  </si>
  <si>
    <t>Romeo Tirol</t>
  </si>
  <si>
    <t>Ma. Rosario</t>
  </si>
  <si>
    <t>Juvie Ramiso</t>
  </si>
  <si>
    <t>Candaigan</t>
  </si>
  <si>
    <t>Manuel Gutas</t>
  </si>
  <si>
    <t>Ronnie Mejias</t>
  </si>
  <si>
    <t>Lemarjorie Bonghanoy</t>
  </si>
  <si>
    <t>Kagawasan</t>
  </si>
  <si>
    <t>Jeff Libut</t>
  </si>
  <si>
    <t xml:space="preserve">Cogon </t>
  </si>
  <si>
    <t>Carlo Bucia</t>
  </si>
  <si>
    <t>Cogon</t>
  </si>
  <si>
    <t>Darios Valle</t>
  </si>
  <si>
    <t>Manuel Boyose</t>
  </si>
  <si>
    <t>Dante Pogoy</t>
  </si>
  <si>
    <t>Jam Alphie Lagrimas</t>
  </si>
  <si>
    <t xml:space="preserve">Male </t>
  </si>
  <si>
    <t>09354230226</t>
  </si>
  <si>
    <t>Nario Camposo</t>
  </si>
  <si>
    <t>Vallehermoso</t>
  </si>
  <si>
    <t>Sally Ido</t>
  </si>
  <si>
    <t>09759714031</t>
  </si>
  <si>
    <t>Junelyn Navarro</t>
  </si>
  <si>
    <t>09973868860</t>
  </si>
  <si>
    <t>Nirong Manila</t>
  </si>
  <si>
    <t>La Union</t>
  </si>
  <si>
    <t>S. Bullones</t>
  </si>
  <si>
    <t>Erwin Galleto</t>
  </si>
  <si>
    <t>09457560724</t>
  </si>
  <si>
    <t>Ronelo Andrade</t>
  </si>
  <si>
    <t>M. Roxas</t>
  </si>
  <si>
    <t>09481501388</t>
  </si>
  <si>
    <t>Hezel Ngujo</t>
  </si>
  <si>
    <t>Canmano</t>
  </si>
  <si>
    <t>09103791255</t>
  </si>
  <si>
    <t>Dalfon Sentillas</t>
  </si>
  <si>
    <t>Kauswagan</t>
  </si>
  <si>
    <t>09303028829</t>
  </si>
  <si>
    <t>Juanito dela Torre</t>
  </si>
  <si>
    <t>09101730550</t>
  </si>
  <si>
    <t>Eugenio Balili</t>
  </si>
  <si>
    <t xml:space="preserve">Eldrin Balbiran </t>
  </si>
  <si>
    <t>Christian Tolon</t>
  </si>
  <si>
    <t>Sagasa</t>
  </si>
  <si>
    <t>09636438803</t>
  </si>
  <si>
    <t>Julio Dinoy</t>
  </si>
  <si>
    <t>Mata-ub</t>
  </si>
  <si>
    <t>09999336785</t>
  </si>
  <si>
    <t>Welmar Miano</t>
  </si>
  <si>
    <t>Ranulfo Tionco</t>
  </si>
  <si>
    <t>09774893574</t>
  </si>
  <si>
    <t>Aurelio Catayas</t>
  </si>
  <si>
    <t>Bontud</t>
  </si>
  <si>
    <t>09752460760</t>
  </si>
  <si>
    <t>Pedro Bucia</t>
  </si>
  <si>
    <t>Buyog Sur</t>
  </si>
  <si>
    <t>09097648711</t>
  </si>
  <si>
    <t>Kevin Villanueva</t>
  </si>
  <si>
    <t>Rebecca Jagunos</t>
  </si>
  <si>
    <t>09303025817</t>
  </si>
  <si>
    <t>Jinalyn Espiel</t>
  </si>
  <si>
    <t>Jun Gaudicos</t>
  </si>
  <si>
    <t>09267731142</t>
  </si>
  <si>
    <t>Jescel Niones</t>
  </si>
  <si>
    <t>09129582055</t>
  </si>
  <si>
    <t>Marichu Nuyda</t>
  </si>
  <si>
    <t>09091620196</t>
  </si>
  <si>
    <t>Renato Arot</t>
  </si>
  <si>
    <t>Tayong</t>
  </si>
  <si>
    <t>Loay</t>
  </si>
  <si>
    <t>09953442450</t>
  </si>
  <si>
    <t>Ramil Melencion</t>
  </si>
  <si>
    <t>Bonotbonot</t>
  </si>
  <si>
    <t>Pedro Socohos</t>
  </si>
  <si>
    <t>Raquel Dico</t>
  </si>
  <si>
    <t>09093692541</t>
  </si>
  <si>
    <t>Hermie Ponte</t>
  </si>
  <si>
    <t>09466097738</t>
  </si>
  <si>
    <t>Cerilo Ceneza</t>
  </si>
  <si>
    <t>Diosdado Oronan</t>
  </si>
  <si>
    <t>Tubod</t>
  </si>
  <si>
    <t>09481664690</t>
  </si>
  <si>
    <t>Christoper Narisma</t>
  </si>
  <si>
    <t>Cabayugan</t>
  </si>
  <si>
    <t>09271958039</t>
  </si>
  <si>
    <t>Apolinario Betalmos</t>
  </si>
  <si>
    <t>09265827933</t>
  </si>
  <si>
    <t>Dexter Quiao</t>
  </si>
  <si>
    <t>09633693074</t>
  </si>
  <si>
    <t>Ramil Petalcorin</t>
  </si>
  <si>
    <t>Tagdaan</t>
  </si>
  <si>
    <t>09501340756</t>
  </si>
  <si>
    <t>Marvie Quimson</t>
  </si>
  <si>
    <t>San Carlos</t>
  </si>
  <si>
    <t>09751009008</t>
  </si>
  <si>
    <t>Margarita Bilawan</t>
  </si>
  <si>
    <t>09069501510</t>
  </si>
  <si>
    <t>Marjorie Viador</t>
  </si>
  <si>
    <t>Motesuerte</t>
  </si>
  <si>
    <t>09977257262</t>
  </si>
  <si>
    <t>Felixis Solijon</t>
  </si>
  <si>
    <t>Anonang</t>
  </si>
  <si>
    <t>Valencia</t>
  </si>
  <si>
    <t>09355276127</t>
  </si>
  <si>
    <t>Julito Rasonado</t>
  </si>
  <si>
    <t>09462294922</t>
  </si>
  <si>
    <t>Argie Lastomen</t>
  </si>
  <si>
    <t>09651464238</t>
  </si>
  <si>
    <t>Ernesto Labor</t>
  </si>
  <si>
    <t>Mag-aso</t>
  </si>
  <si>
    <t>09073351911</t>
  </si>
  <si>
    <t>Ryan Gallo</t>
  </si>
  <si>
    <t>Ilijan</t>
  </si>
  <si>
    <t>Ronaldo Aladad</t>
  </si>
  <si>
    <t>09356722384</t>
  </si>
  <si>
    <t>Pablito Adem</t>
  </si>
  <si>
    <t>Nueva Vista</t>
  </si>
  <si>
    <t>Heljon Pacaldo</t>
  </si>
  <si>
    <t>Cawag</t>
  </si>
  <si>
    <t>Hito SOLD</t>
  </si>
  <si>
    <t>Leslie Ann Salazar</t>
  </si>
  <si>
    <t>Lapacan Sur</t>
  </si>
  <si>
    <t>09467281074</t>
  </si>
  <si>
    <t>Dispersal</t>
  </si>
  <si>
    <t>Lucela Gumapac</t>
  </si>
  <si>
    <t>09382423784</t>
  </si>
  <si>
    <t>Ma. Fe Taba</t>
  </si>
  <si>
    <t>Montesuerte</t>
  </si>
  <si>
    <t>09359055490</t>
  </si>
  <si>
    <t>Jonah Somalinog</t>
  </si>
  <si>
    <t>09388082829</t>
  </si>
  <si>
    <t>Lino Tuasoc</t>
  </si>
  <si>
    <t>Baang</t>
  </si>
  <si>
    <t>09950144202</t>
  </si>
  <si>
    <t>Ranero Miano</t>
  </si>
  <si>
    <t>09517134387</t>
  </si>
  <si>
    <t>Francisco Valentos</t>
  </si>
  <si>
    <t>Buacao</t>
  </si>
  <si>
    <t>09203841202</t>
  </si>
  <si>
    <t>Jeffrey Torrejano</t>
  </si>
  <si>
    <t>09468506228</t>
  </si>
  <si>
    <t>Margarito Macabudbud</t>
  </si>
  <si>
    <t>Aloja</t>
  </si>
  <si>
    <t>Ismael Bucal</t>
  </si>
  <si>
    <t>Rizal</t>
  </si>
  <si>
    <t>Genesis Tanaid</t>
  </si>
  <si>
    <t>Behind the Clouds</t>
  </si>
  <si>
    <t>Leonarda Jamil</t>
  </si>
  <si>
    <t>09485042461</t>
  </si>
  <si>
    <t>Wendel Sadora</t>
  </si>
  <si>
    <t>Canmaya</t>
  </si>
  <si>
    <t>Jimmy Andales</t>
  </si>
  <si>
    <t>Elena Banga</t>
  </si>
  <si>
    <t>Magsaysay</t>
  </si>
  <si>
    <t>ELCAC</t>
  </si>
  <si>
    <t>Michael Amora</t>
  </si>
  <si>
    <t>La Hacienda</t>
  </si>
  <si>
    <t>Lito Gabas</t>
  </si>
  <si>
    <t>Del Monte</t>
  </si>
  <si>
    <t>09367583887</t>
  </si>
  <si>
    <t>Roberto Tuyor</t>
  </si>
  <si>
    <t>Cayacay</t>
  </si>
  <si>
    <t>09289923254</t>
  </si>
  <si>
    <t>Hercules Reyes</t>
  </si>
  <si>
    <t>Cabatang</t>
  </si>
  <si>
    <t>09954761885</t>
  </si>
  <si>
    <t>Raymund Tagaan</t>
  </si>
  <si>
    <t>Caluasan</t>
  </si>
  <si>
    <t>09504656044</t>
  </si>
  <si>
    <t>Ricky Ranara</t>
  </si>
  <si>
    <t>Cabungaan</t>
  </si>
  <si>
    <t>Jagna</t>
  </si>
  <si>
    <t>09050734612</t>
  </si>
  <si>
    <t>Editha Lagitao</t>
  </si>
  <si>
    <t>09380579244</t>
  </si>
  <si>
    <t>Elenterio Gementiza</t>
  </si>
  <si>
    <t>09955621784</t>
  </si>
  <si>
    <t>Romy Bajog</t>
  </si>
  <si>
    <t>Rodrigo Samon</t>
  </si>
  <si>
    <t>Eusebio Dico</t>
  </si>
  <si>
    <t>09122585102</t>
  </si>
  <si>
    <t>Lito Tinaheros</t>
  </si>
  <si>
    <t>09075260029</t>
  </si>
  <si>
    <t>Reynaldo Rubin</t>
  </si>
  <si>
    <t>09639019201</t>
  </si>
  <si>
    <t>Cristoper Abcede</t>
  </si>
  <si>
    <t>09380784308</t>
  </si>
  <si>
    <t>Fredie Macalam</t>
  </si>
  <si>
    <t>Leo Bantugan</t>
  </si>
  <si>
    <t>09484494351</t>
  </si>
  <si>
    <t>Analiza Relacion</t>
  </si>
  <si>
    <t>09057034541</t>
  </si>
  <si>
    <t>Rio Suarez</t>
  </si>
  <si>
    <t>09106871736</t>
  </si>
  <si>
    <t>Jay-R Anib</t>
  </si>
  <si>
    <t>Maslog</t>
  </si>
  <si>
    <t>09483929405</t>
  </si>
  <si>
    <t>Emma Merano</t>
  </si>
  <si>
    <t>09300723122</t>
  </si>
  <si>
    <t>Joby Cayacay</t>
  </si>
  <si>
    <t>Inaghuban</t>
  </si>
  <si>
    <t>09174484714</t>
  </si>
  <si>
    <t>Crisanto Gono</t>
  </si>
  <si>
    <t>Jerry Quintano</t>
  </si>
  <si>
    <t>09516355010</t>
  </si>
  <si>
    <t>Selverio Adlaon</t>
  </si>
  <si>
    <t>09097763951</t>
  </si>
  <si>
    <t>Ian Cabalang</t>
  </si>
  <si>
    <t>Los Angeles</t>
  </si>
  <si>
    <t>09104198786</t>
  </si>
  <si>
    <t>Marciano Torregosa</t>
  </si>
  <si>
    <t>Sta. Fe</t>
  </si>
  <si>
    <t>09973918409</t>
  </si>
  <si>
    <t>Lydia Tanaid</t>
  </si>
  <si>
    <t>Jacinto Tanaid</t>
  </si>
  <si>
    <t>Neri Canda</t>
  </si>
  <si>
    <t>Jovencio Doroy</t>
  </si>
  <si>
    <t>Regie Casquejo</t>
  </si>
  <si>
    <t>09167386993</t>
  </si>
  <si>
    <t>Gregorio Llogonas</t>
  </si>
  <si>
    <t>09771607276</t>
  </si>
  <si>
    <t>Jake Vinson Inferido</t>
  </si>
  <si>
    <t>Pob. Centro</t>
  </si>
  <si>
    <t>09071731328</t>
  </si>
  <si>
    <t>Arnaiz Elcanto</t>
  </si>
  <si>
    <t>Canbansag</t>
  </si>
  <si>
    <t>09360850493</t>
  </si>
  <si>
    <r>
      <rPr>
        <sz val="11"/>
        <color theme="1"/>
        <rFont val="Calibri"/>
      </rPr>
      <t>Anito Yba</t>
    </r>
    <r>
      <rPr>
        <sz val="11"/>
        <color theme="1"/>
        <rFont val="Calibri"/>
      </rPr>
      <t>ñ</t>
    </r>
    <r>
      <rPr>
        <sz val="12"/>
        <color theme="1"/>
        <rFont val="Calibri"/>
      </rPr>
      <t>ez</t>
    </r>
  </si>
  <si>
    <t>09956237644</t>
  </si>
  <si>
    <t>Gaudioso Buan Jr.</t>
  </si>
  <si>
    <t>09192265690</t>
  </si>
  <si>
    <t>Victoriano Sambayon Jr.</t>
  </si>
  <si>
    <t>09308793038</t>
  </si>
  <si>
    <t>Casimero Asencion</t>
  </si>
  <si>
    <t>09287822468</t>
  </si>
  <si>
    <t>Fely Manla</t>
  </si>
  <si>
    <t>Joel Manla</t>
  </si>
  <si>
    <t>09283504644</t>
  </si>
  <si>
    <t>Christopher Alebango</t>
  </si>
  <si>
    <t>09203787172</t>
  </si>
  <si>
    <t>Bonifacio Batulanon</t>
  </si>
  <si>
    <t>09106832293</t>
  </si>
  <si>
    <t>Margarito Payot</t>
  </si>
  <si>
    <t>Calanggaman</t>
  </si>
  <si>
    <t>09777569079</t>
  </si>
  <si>
    <t>Panfilo Pabonita</t>
  </si>
  <si>
    <t>09279170454</t>
  </si>
  <si>
    <t>Joel Andires</t>
  </si>
  <si>
    <t>Villaflor</t>
  </si>
  <si>
    <t>09634503350</t>
  </si>
  <si>
    <t>Dioscoro Espinal</t>
  </si>
  <si>
    <t>La Libertad</t>
  </si>
  <si>
    <t>09187377045</t>
  </si>
  <si>
    <t>Rico Matunhay</t>
  </si>
  <si>
    <t>09639029406</t>
  </si>
  <si>
    <t>Miguel Matunhay</t>
  </si>
  <si>
    <t>09462723817</t>
  </si>
  <si>
    <t>Giene Aumentado</t>
  </si>
  <si>
    <t>Henry Diagbil</t>
  </si>
  <si>
    <t>09358288824</t>
  </si>
  <si>
    <t>Ramon Torreon</t>
  </si>
  <si>
    <t>Cantigib</t>
  </si>
  <si>
    <t>09123094332</t>
  </si>
  <si>
    <t>Renato Carnice</t>
  </si>
  <si>
    <t>09686165280</t>
  </si>
  <si>
    <t>Ryan Genita</t>
  </si>
  <si>
    <t>09462844687</t>
  </si>
  <si>
    <t>Vicente Sobrepodo</t>
  </si>
  <si>
    <t>Jesus Dosdos</t>
  </si>
  <si>
    <t>Ma. Clara</t>
  </si>
  <si>
    <t>Tagbilaran City</t>
  </si>
  <si>
    <t>09496705945</t>
  </si>
  <si>
    <t>Joan Abugho</t>
  </si>
  <si>
    <t>09099495361</t>
  </si>
  <si>
    <t>Manuel Balaba</t>
  </si>
  <si>
    <t>Lonoy</t>
  </si>
  <si>
    <t>09307842386</t>
  </si>
  <si>
    <t>Moises Bangquil</t>
  </si>
  <si>
    <t>09495097700</t>
  </si>
  <si>
    <t>John Dapar</t>
  </si>
  <si>
    <t>09285812183</t>
  </si>
  <si>
    <t>Reynaldo Ramos</t>
  </si>
  <si>
    <t>09357272478</t>
  </si>
  <si>
    <t>Cristina Malatag</t>
  </si>
  <si>
    <t>09109356118</t>
  </si>
  <si>
    <t>Romulo Bohayang</t>
  </si>
  <si>
    <t>09361636788</t>
  </si>
  <si>
    <t>Fe Calunia</t>
  </si>
  <si>
    <t>09369251024</t>
  </si>
  <si>
    <t>Sulpicio Auxillo</t>
  </si>
  <si>
    <r>
      <rPr>
        <sz val="11"/>
        <color theme="1"/>
        <rFont val="Calibri"/>
      </rPr>
      <t>Jason Aba</t>
    </r>
    <r>
      <rPr>
        <sz val="11"/>
        <color theme="1"/>
        <rFont val="Calibri"/>
      </rPr>
      <t>ñ</t>
    </r>
    <r>
      <rPr>
        <sz val="12"/>
        <color theme="1"/>
        <rFont val="Calibri"/>
      </rPr>
      <t>o</t>
    </r>
  </si>
  <si>
    <t>Nilo Salazar</t>
  </si>
  <si>
    <t>09062251588</t>
  </si>
  <si>
    <t>Lieno Jay Arao-Arao</t>
  </si>
  <si>
    <t>Taguihan</t>
  </si>
  <si>
    <t>Baclayon</t>
  </si>
  <si>
    <t>09385981239</t>
  </si>
  <si>
    <t>Joylix Balduman</t>
  </si>
  <si>
    <t>Pob. Este</t>
  </si>
  <si>
    <r>
      <rPr>
        <sz val="11"/>
        <color theme="1"/>
        <rFont val="Calibri"/>
      </rPr>
      <t>Novo Va</t>
    </r>
    <r>
      <rPr>
        <sz val="11"/>
        <color theme="1"/>
        <rFont val="Calibri"/>
      </rPr>
      <t>ñ</t>
    </r>
    <r>
      <rPr>
        <sz val="12"/>
        <color theme="1"/>
        <rFont val="Calibri"/>
      </rPr>
      <t>o</t>
    </r>
  </si>
  <si>
    <t>Ricarte Anuta</t>
  </si>
  <si>
    <t>09658916855</t>
  </si>
  <si>
    <t>Virginia Viter</t>
  </si>
  <si>
    <t>Lubang</t>
  </si>
  <si>
    <t>09705178278</t>
  </si>
  <si>
    <t>Anacito Ajoc</t>
  </si>
  <si>
    <t>09295413274</t>
  </si>
  <si>
    <t>Emelito Duallo</t>
  </si>
  <si>
    <t>Panghagban</t>
  </si>
  <si>
    <t>09050417061</t>
  </si>
  <si>
    <t>Henry Reambonanza</t>
  </si>
  <si>
    <t>Banlasam</t>
  </si>
  <si>
    <t>09635347165</t>
  </si>
  <si>
    <t>Edwin Macas</t>
  </si>
  <si>
    <t>Pagahat</t>
  </si>
  <si>
    <t>09317862801</t>
  </si>
  <si>
    <t>James Mujeres</t>
  </si>
  <si>
    <t>Taboan</t>
  </si>
  <si>
    <t>09510786124</t>
  </si>
  <si>
    <t>Jehasiel Betalmos</t>
  </si>
  <si>
    <t>09658435770</t>
  </si>
  <si>
    <t>360,740 pcs.</t>
  </si>
  <si>
    <t>34,300 pcs.</t>
  </si>
  <si>
    <t>14,530 pcs.</t>
  </si>
  <si>
    <t>1,000 pcs.</t>
  </si>
  <si>
    <t>83,632 sq.m.</t>
  </si>
  <si>
    <r>
      <rPr>
        <sz val="10"/>
        <color theme="1"/>
        <rFont val="Arial"/>
      </rPr>
      <t xml:space="preserve">Total No. Of Beneficiaries: </t>
    </r>
    <r>
      <rPr>
        <b/>
        <sz val="10"/>
        <color rgb="FFFF0000"/>
        <rFont val="Arial"/>
      </rPr>
      <t>9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</si>
  <si>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</si>
  <si>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Female: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</si>
  <si>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Others:(S.C./PWD)</t>
    </r>
    <r>
      <rPr>
        <u/>
        <sz val="10"/>
        <color theme="1"/>
        <rFont val="Arial"/>
      </rPr>
      <t xml:space="preserve"> </t>
    </r>
  </si>
  <si>
    <t>Eddie Mellejor</t>
  </si>
  <si>
    <t>Breeders</t>
  </si>
  <si>
    <t>PFO-Cebu</t>
  </si>
  <si>
    <t>Arellano Blvd.</t>
  </si>
  <si>
    <t>Edgardo Delfin</t>
  </si>
  <si>
    <t>A. Catfish</t>
  </si>
  <si>
    <t>FPSSD</t>
  </si>
  <si>
    <t>09276781182</t>
  </si>
  <si>
    <t>Cirila Libay</t>
  </si>
  <si>
    <t>LGU - Batuan</t>
  </si>
  <si>
    <t>09667566563</t>
  </si>
  <si>
    <t>Antonio Pancho</t>
  </si>
  <si>
    <t>LGU - Alicia</t>
  </si>
  <si>
    <t>09097751832</t>
  </si>
  <si>
    <t>Ritchel Cadao</t>
  </si>
  <si>
    <t>LGU - Sierra Bullones</t>
  </si>
  <si>
    <t>09534252612</t>
  </si>
  <si>
    <t>Maretsam Miculob</t>
  </si>
  <si>
    <t>SAAD</t>
  </si>
  <si>
    <t>LGU - Sikatuna</t>
  </si>
  <si>
    <t>Sikatuna</t>
  </si>
  <si>
    <t>09268380535</t>
  </si>
  <si>
    <t>Ireneo Cabato</t>
  </si>
  <si>
    <t>special request</t>
  </si>
  <si>
    <t>LGU-Antequera</t>
  </si>
  <si>
    <t>09212446090</t>
  </si>
  <si>
    <t>Pat Renegado</t>
  </si>
  <si>
    <t>59,200 pcs.</t>
  </si>
  <si>
    <t>63 pcs.</t>
  </si>
  <si>
    <r>
      <rPr>
        <sz val="9"/>
        <color theme="1"/>
        <rFont val="Arial"/>
      </rPr>
      <t>Ornamental Fish:</t>
    </r>
    <r>
      <rPr>
        <u/>
        <sz val="9"/>
        <color theme="1"/>
        <rFont val="Arial"/>
      </rPr>
      <t xml:space="preserve"> </t>
    </r>
  </si>
  <si>
    <t>28,500 pcs.</t>
  </si>
  <si>
    <r>
      <rPr>
        <sz val="9"/>
        <color theme="1"/>
        <rFont val="Arial"/>
      </rPr>
      <t xml:space="preserve">  Brackishwater:</t>
    </r>
    <r>
      <rPr>
        <u/>
        <sz val="9"/>
        <color theme="1"/>
        <rFont val="Arial"/>
      </rPr>
      <t xml:space="preserve"> </t>
    </r>
  </si>
  <si>
    <t>October 2021</t>
  </si>
  <si>
    <r>
      <rPr>
        <sz val="10"/>
        <color theme="1"/>
        <rFont val="Arial"/>
      </rPr>
      <t xml:space="preserve">Total No. Of Beneficiaries: </t>
    </r>
    <r>
      <rPr>
        <b/>
        <u/>
        <sz val="10"/>
        <color rgb="FFFF0000"/>
        <rFont val="Arial"/>
      </rPr>
      <t>238</t>
    </r>
  </si>
  <si>
    <r>
      <rPr>
        <sz val="10"/>
        <color theme="1"/>
        <rFont val="Arial"/>
      </rPr>
      <t xml:space="preserve">Others:(S.C./PWD): </t>
    </r>
    <r>
      <rPr>
        <b/>
        <u/>
        <sz val="10"/>
        <color rgb="FFFF0000"/>
        <rFont val="Arial"/>
      </rPr>
      <t>43</t>
    </r>
  </si>
  <si>
    <t>Ramel Sumagaysay</t>
  </si>
  <si>
    <t>09101241942</t>
  </si>
  <si>
    <t>Jose Rebusora</t>
  </si>
  <si>
    <t>09055500679</t>
  </si>
  <si>
    <t>Paul Gudmalin</t>
  </si>
  <si>
    <t>Nueva Vida Este</t>
  </si>
  <si>
    <t>09317035712</t>
  </si>
  <si>
    <t>Francisco Lusan</t>
  </si>
  <si>
    <t>09754204245</t>
  </si>
  <si>
    <t>Alfredo Tanudtanud</t>
  </si>
  <si>
    <t>Apolonio Millanes</t>
  </si>
  <si>
    <t>Ilaya</t>
  </si>
  <si>
    <t>Corsino Pacatang</t>
  </si>
  <si>
    <t>Calinginan Sur</t>
  </si>
  <si>
    <t>09391778002</t>
  </si>
  <si>
    <t>Arthur Menjano</t>
  </si>
  <si>
    <t>09167720596</t>
  </si>
  <si>
    <t>Marvin Revilla</t>
  </si>
  <si>
    <t>Guadalupe</t>
  </si>
  <si>
    <t>09984613468</t>
  </si>
  <si>
    <t>Reynaldo Amigo</t>
  </si>
  <si>
    <t>Burgos</t>
  </si>
  <si>
    <t>09262151525</t>
  </si>
  <si>
    <t>Raymund Bentillo</t>
  </si>
  <si>
    <t>Hillside</t>
  </si>
  <si>
    <t>09658913142</t>
  </si>
  <si>
    <t>Jay-r Amsudi</t>
  </si>
  <si>
    <t>Genoveva</t>
  </si>
  <si>
    <t>09550223850</t>
  </si>
  <si>
    <t>Michael Estorgio</t>
  </si>
  <si>
    <t>09219352311</t>
  </si>
  <si>
    <t>Roldan Meneses</t>
  </si>
  <si>
    <t xml:space="preserve">Mahagbo </t>
  </si>
  <si>
    <t>09184171826</t>
  </si>
  <si>
    <t>Eduardo Betaizar</t>
  </si>
  <si>
    <t>09385972670</t>
  </si>
  <si>
    <t>Arnold Macalandag</t>
  </si>
  <si>
    <t>John Jay Ragas</t>
  </si>
  <si>
    <t>Badiang</t>
  </si>
  <si>
    <t>09105132205</t>
  </si>
  <si>
    <t>Renato Colarte</t>
  </si>
  <si>
    <t xml:space="preserve">Malitbog </t>
  </si>
  <si>
    <t>09305454554</t>
  </si>
  <si>
    <t>Mylyn Dsouza</t>
  </si>
  <si>
    <t>09462336055</t>
  </si>
  <si>
    <t>Ana Rose Aguanza</t>
  </si>
  <si>
    <t>BISU-Calape Campus</t>
  </si>
  <si>
    <t>09518993251</t>
  </si>
  <si>
    <t>C. Carp</t>
  </si>
  <si>
    <t xml:space="preserve">  </t>
  </si>
  <si>
    <t>Koi Carp</t>
  </si>
  <si>
    <t>Erica Javate</t>
  </si>
  <si>
    <t>09089380433</t>
  </si>
  <si>
    <t>Joan Camocamo</t>
  </si>
  <si>
    <t>09158663847</t>
  </si>
  <si>
    <t>Domingo Curit</t>
  </si>
  <si>
    <t>Progreso</t>
  </si>
  <si>
    <t>09216328626</t>
  </si>
  <si>
    <t>Nilo Lauro</t>
  </si>
  <si>
    <t>09319215215</t>
  </si>
  <si>
    <t>Ronald Ceballos</t>
  </si>
  <si>
    <t>09466003890</t>
  </si>
  <si>
    <t>Quilo Betaizar</t>
  </si>
  <si>
    <t>09100628427</t>
  </si>
  <si>
    <t>Lindon Calope</t>
  </si>
  <si>
    <t>Del Carmen Norte</t>
  </si>
  <si>
    <t>09480513691</t>
  </si>
  <si>
    <t>Liza Revilla</t>
  </si>
  <si>
    <t>09487824380</t>
  </si>
  <si>
    <t>Napoleon Tinabora</t>
  </si>
  <si>
    <t>Marcelo Orioque</t>
  </si>
  <si>
    <t>09086946444</t>
  </si>
  <si>
    <t>Jaco Gambe</t>
  </si>
  <si>
    <t>Canmaya Centro</t>
  </si>
  <si>
    <t>09082916433</t>
  </si>
  <si>
    <t>Eusebio Cagampang</t>
  </si>
  <si>
    <t>Danicop</t>
  </si>
  <si>
    <t>09273725591</t>
  </si>
  <si>
    <t>Meliza Melencion</t>
  </si>
  <si>
    <t>Magkaya</t>
  </si>
  <si>
    <t>09357943363</t>
  </si>
  <si>
    <t>Erlinda Alabado</t>
  </si>
  <si>
    <t>Bayog Sur</t>
  </si>
  <si>
    <t>09168515457</t>
  </si>
  <si>
    <t>Filton Jumawid</t>
  </si>
  <si>
    <t>09101703292</t>
  </si>
  <si>
    <t>Romeo Fuentes</t>
  </si>
  <si>
    <t>09219599942</t>
  </si>
  <si>
    <t>Erlinda Aguire</t>
  </si>
  <si>
    <t>09358293465</t>
  </si>
  <si>
    <t>Wilfredo Salera</t>
  </si>
  <si>
    <t>09466881409</t>
  </si>
  <si>
    <t>Ednel Cantay</t>
  </si>
  <si>
    <t xml:space="preserve">Guadalupe </t>
  </si>
  <si>
    <t>09306776852</t>
  </si>
  <si>
    <t>Joey Valmoria</t>
  </si>
  <si>
    <t xml:space="preserve">San Jose </t>
  </si>
  <si>
    <t>09077994677</t>
  </si>
  <si>
    <t>Mark Soliano</t>
  </si>
  <si>
    <t>09358506857</t>
  </si>
  <si>
    <t>Agapito Texon</t>
  </si>
  <si>
    <t>Montevideo</t>
  </si>
  <si>
    <t>09318482779</t>
  </si>
  <si>
    <t>Perly Betalmos</t>
  </si>
  <si>
    <t>09360862787</t>
  </si>
  <si>
    <t>Nady Anzano</t>
  </si>
  <si>
    <t>Sua</t>
  </si>
  <si>
    <t>09750610821</t>
  </si>
  <si>
    <t>Victoriano Agad</t>
  </si>
  <si>
    <t>Bayawahan</t>
  </si>
  <si>
    <t>09361673556</t>
  </si>
  <si>
    <t>Ernesto Ampoloquio</t>
  </si>
  <si>
    <t>09461898241</t>
  </si>
  <si>
    <t>Landymar Gamalo</t>
  </si>
  <si>
    <t>09563568705</t>
  </si>
  <si>
    <t>Mary Jane Dumaguit</t>
  </si>
  <si>
    <t>09656956592</t>
  </si>
  <si>
    <t>Agustin Gonzaga</t>
  </si>
  <si>
    <t>Can-iras</t>
  </si>
  <si>
    <t>09109701694</t>
  </si>
  <si>
    <t>Hanan Tampon</t>
  </si>
  <si>
    <t>09385978005</t>
  </si>
  <si>
    <t>satidfied</t>
  </si>
  <si>
    <t>Romeo Puerin</t>
  </si>
  <si>
    <t>09101977570</t>
  </si>
  <si>
    <t>Ronald Niones</t>
  </si>
  <si>
    <t>Caboy</t>
  </si>
  <si>
    <t>Pacifico Goopio</t>
  </si>
  <si>
    <t>09079111564</t>
  </si>
  <si>
    <t>Mario Madela</t>
  </si>
  <si>
    <t>09055756858</t>
  </si>
  <si>
    <t>Raulito Ocay</t>
  </si>
  <si>
    <t>Patrocenio</t>
  </si>
  <si>
    <t>Cortes</t>
  </si>
  <si>
    <t>09284988815</t>
  </si>
  <si>
    <t>Bonifacio Orillosa</t>
  </si>
  <si>
    <t>Banahaw</t>
  </si>
  <si>
    <t>09261150332</t>
  </si>
  <si>
    <t>Kim Arlee Goloso</t>
  </si>
  <si>
    <t>09097255259</t>
  </si>
  <si>
    <t>Novo Vaño</t>
  </si>
  <si>
    <t>09395408290</t>
  </si>
  <si>
    <t>Wendel Tumanda</t>
  </si>
  <si>
    <t>Cambuac Sur</t>
  </si>
  <si>
    <t>09301687608</t>
  </si>
  <si>
    <t>Marcelo Torrepalma</t>
  </si>
  <si>
    <t>09126555973</t>
  </si>
  <si>
    <t>Jeffrey Anuta</t>
  </si>
  <si>
    <t>09532620427</t>
  </si>
  <si>
    <t>Martin Mosqueda</t>
  </si>
  <si>
    <t>09307027143</t>
  </si>
  <si>
    <t>Nemecio Mamulang</t>
  </si>
  <si>
    <t>Noel Gomez</t>
  </si>
  <si>
    <t>09639005555</t>
  </si>
  <si>
    <t>Lord Divinagracia</t>
  </si>
  <si>
    <t>09272083522</t>
  </si>
  <si>
    <t>Anecito Tanod-Tanod</t>
  </si>
  <si>
    <t>09461886656</t>
  </si>
  <si>
    <t>Nonie Mejares</t>
  </si>
  <si>
    <t>09166826657</t>
  </si>
  <si>
    <t>Carledon Calderon</t>
  </si>
  <si>
    <t>09505053735</t>
  </si>
  <si>
    <t>Ronilo Doblas</t>
  </si>
  <si>
    <t>09981991331</t>
  </si>
  <si>
    <t>Saldy Ejara</t>
  </si>
  <si>
    <t>Canmaya Diot</t>
  </si>
  <si>
    <t>09658296930</t>
  </si>
  <si>
    <t>Nilo Angcog</t>
  </si>
  <si>
    <t>09261404865</t>
  </si>
  <si>
    <t>Severino Salera Jr.</t>
  </si>
  <si>
    <t>Comaang</t>
  </si>
  <si>
    <t>09317849135</t>
  </si>
  <si>
    <t>Cesar Manatad</t>
  </si>
  <si>
    <t>09554563198</t>
  </si>
  <si>
    <t>Rico Grate</t>
  </si>
  <si>
    <t>Pooc Occidental</t>
  </si>
  <si>
    <t>09396070373</t>
  </si>
  <si>
    <t>Leonardo Alboroto</t>
  </si>
  <si>
    <t>09359275427</t>
  </si>
  <si>
    <t>Mark Anthony Madelo</t>
  </si>
  <si>
    <t>09355275427</t>
  </si>
  <si>
    <t>Rocel Petalcorin</t>
  </si>
  <si>
    <t>09488662434</t>
  </si>
  <si>
    <t>Honorio Penonia</t>
  </si>
  <si>
    <t>Mayana</t>
  </si>
  <si>
    <t>09636474499</t>
  </si>
  <si>
    <t>Margarito Macabudbod</t>
  </si>
  <si>
    <t>09466212229</t>
  </si>
  <si>
    <t>Adulfo Ayento</t>
  </si>
  <si>
    <t>Jose Gatan</t>
  </si>
  <si>
    <t>09101715454</t>
  </si>
  <si>
    <t>Shiela Lucip</t>
  </si>
  <si>
    <t>San Pedro</t>
  </si>
  <si>
    <t>09091930255</t>
  </si>
  <si>
    <t>Lamberto Polistico</t>
  </si>
  <si>
    <t>Teodoro Estillore</t>
  </si>
  <si>
    <t>09639024662</t>
  </si>
  <si>
    <t>Aniano Lagrosa</t>
  </si>
  <si>
    <t>Taming</t>
  </si>
  <si>
    <t>09120966624</t>
  </si>
  <si>
    <t>Erwin Malunas</t>
  </si>
  <si>
    <t>09296955720</t>
  </si>
  <si>
    <t>Nemesio Oronan</t>
  </si>
  <si>
    <t>Isidro Lague</t>
  </si>
  <si>
    <t>09226738485</t>
  </si>
  <si>
    <t>Gerry Boy Millan</t>
  </si>
  <si>
    <t>09129276594</t>
  </si>
  <si>
    <t>Vicente Sorbretodo Jr.</t>
  </si>
  <si>
    <t>09295321798</t>
  </si>
  <si>
    <t>Domingo Macabudbud</t>
  </si>
  <si>
    <t>09555730416</t>
  </si>
  <si>
    <t>Ijhon dela Torre</t>
  </si>
  <si>
    <t>09560131597</t>
  </si>
  <si>
    <t>Michael Ombajin</t>
  </si>
  <si>
    <t>Candajec</t>
  </si>
  <si>
    <t>09486665598</t>
  </si>
  <si>
    <t>Aures Henry Amores</t>
  </si>
  <si>
    <t>Alexer Geraga</t>
  </si>
  <si>
    <t>Calangahan</t>
  </si>
  <si>
    <t>09094037047</t>
  </si>
  <si>
    <t>Danilo Saliot</t>
  </si>
  <si>
    <t>09957616727</t>
  </si>
  <si>
    <t>Bienvenido Dinoy</t>
  </si>
  <si>
    <t>Tontunan</t>
  </si>
  <si>
    <t>09268828312</t>
  </si>
  <si>
    <t>Anabelle Degamo</t>
  </si>
  <si>
    <t>Tagubaas</t>
  </si>
  <si>
    <t>09272592958</t>
  </si>
  <si>
    <t>Samuel Betalmos</t>
  </si>
  <si>
    <t>Joli Nalogon</t>
  </si>
  <si>
    <t>Alijawan</t>
  </si>
  <si>
    <t>Rudy Opiala</t>
  </si>
  <si>
    <t>Ramon Pogoy</t>
  </si>
  <si>
    <t>Lomboy</t>
  </si>
  <si>
    <t>Armando Napallacan</t>
  </si>
  <si>
    <t>09287002778</t>
  </si>
  <si>
    <t>Jessa Anunciado</t>
  </si>
  <si>
    <t>Omjon</t>
  </si>
  <si>
    <t>09677480462</t>
  </si>
  <si>
    <t>Felipe Astronomo</t>
  </si>
  <si>
    <t>Camanaga</t>
  </si>
  <si>
    <t>09398821244</t>
  </si>
  <si>
    <t>Aaron Keefer</t>
  </si>
  <si>
    <t>Looc</t>
  </si>
  <si>
    <t>Panglao</t>
  </si>
  <si>
    <t>09617315732</t>
  </si>
  <si>
    <t>Eliseo Bacohod</t>
  </si>
  <si>
    <t>09462179236</t>
  </si>
  <si>
    <t>Shaina Melencion</t>
  </si>
  <si>
    <t>Bonot-bonot</t>
  </si>
  <si>
    <t>09517133354</t>
  </si>
  <si>
    <t>Jacklyn Barbarona</t>
  </si>
  <si>
    <t>09977803838</t>
  </si>
  <si>
    <t>Joseph Rosales</t>
  </si>
  <si>
    <t>09952914551</t>
  </si>
  <si>
    <t>Felomino Cuaco</t>
  </si>
  <si>
    <t>09638737080</t>
  </si>
  <si>
    <t>Erlon Vien Quino</t>
  </si>
  <si>
    <t>09484732455</t>
  </si>
  <si>
    <t>Felix Torrenueva Jr.</t>
  </si>
  <si>
    <t>09156053888</t>
  </si>
  <si>
    <t>Emmanuel Ampoan</t>
  </si>
  <si>
    <t>09127578008</t>
  </si>
  <si>
    <t>Sulpicio Soliano</t>
  </si>
  <si>
    <t>09074301964</t>
  </si>
  <si>
    <t>Restituto Rasonado</t>
  </si>
  <si>
    <t>canmano</t>
  </si>
  <si>
    <t>Nestor Lingatong</t>
  </si>
  <si>
    <t>09484647435</t>
  </si>
  <si>
    <t>Leo Entienza</t>
  </si>
  <si>
    <t>09511322386</t>
  </si>
  <si>
    <t>Martin Dagatan</t>
  </si>
  <si>
    <t>San Ramon</t>
  </si>
  <si>
    <t>Jolo Abuloc</t>
  </si>
  <si>
    <t>09091632720</t>
  </si>
  <si>
    <t>Melvin Libot</t>
  </si>
  <si>
    <t>09664004619</t>
  </si>
  <si>
    <t>Eduardo Alboro</t>
  </si>
  <si>
    <t>09437747447</t>
  </si>
  <si>
    <t>Daria Agad</t>
  </si>
  <si>
    <t>Gabriel Espejo</t>
  </si>
  <si>
    <t>09126939747</t>
  </si>
  <si>
    <t>Guilermo Matunhay</t>
  </si>
  <si>
    <t>09462340344</t>
  </si>
  <si>
    <t>Wilfredo Gargoles</t>
  </si>
  <si>
    <t>Estaca</t>
  </si>
  <si>
    <t>09155192297</t>
  </si>
  <si>
    <t>Erani Bautista</t>
  </si>
  <si>
    <t>Erwin Estillore</t>
  </si>
  <si>
    <t>09516137047</t>
  </si>
  <si>
    <t>James Dann Torreon</t>
  </si>
  <si>
    <t>09126549868</t>
  </si>
  <si>
    <t>Marlon Bulawan</t>
  </si>
  <si>
    <t>Moises Fat</t>
  </si>
  <si>
    <t>09079111504</t>
  </si>
  <si>
    <t>Joey Dumale</t>
  </si>
  <si>
    <t>Labuon</t>
  </si>
  <si>
    <t>09638756129</t>
  </si>
  <si>
    <t>Carlito Melecio</t>
  </si>
  <si>
    <t>09073827931</t>
  </si>
  <si>
    <t>Adulfo Yecyec</t>
  </si>
  <si>
    <t>Tambuan</t>
  </si>
  <si>
    <t>09998016834</t>
  </si>
  <si>
    <t>Rosel Requirme</t>
  </si>
  <si>
    <t>09391612391</t>
  </si>
  <si>
    <t>Francisco Balayan</t>
  </si>
  <si>
    <t>Zara Jene Celis</t>
  </si>
  <si>
    <t>Calatrava</t>
  </si>
  <si>
    <t>09124776613</t>
  </si>
  <si>
    <t>Ronie Pamaos</t>
  </si>
  <si>
    <t>Danggay</t>
  </si>
  <si>
    <t>09096096645</t>
  </si>
  <si>
    <t>Leoncio Ybañez</t>
  </si>
  <si>
    <t>Mantacida</t>
  </si>
  <si>
    <t>09519119779</t>
  </si>
  <si>
    <t>Alexander Lacia</t>
  </si>
  <si>
    <t>Danilo Jimenez</t>
  </si>
  <si>
    <t>09105044209</t>
  </si>
  <si>
    <t>Joventino Aspe</t>
  </si>
  <si>
    <t>09501264003</t>
  </si>
  <si>
    <t>Adela Dellosa</t>
  </si>
  <si>
    <t>09099039900</t>
  </si>
  <si>
    <t>Glenda Enoc</t>
  </si>
  <si>
    <t>09489569121</t>
  </si>
  <si>
    <t>Eutemio Lastimado</t>
  </si>
  <si>
    <t>Gorgonio Lupian</t>
  </si>
  <si>
    <t>Triple Union</t>
  </si>
  <si>
    <t>Edwin Mahuyop</t>
  </si>
  <si>
    <t>Datag Sur</t>
  </si>
  <si>
    <t>09472052077</t>
  </si>
  <si>
    <t>Baning Lagunay</t>
  </si>
  <si>
    <t>09189354427</t>
  </si>
  <si>
    <t>Celia Gandulcos</t>
  </si>
  <si>
    <t>09516142058</t>
  </si>
  <si>
    <t>Jayvee Amodia</t>
  </si>
  <si>
    <t>09461643351</t>
  </si>
  <si>
    <t>John Ley Tupas</t>
  </si>
  <si>
    <t>09532890773</t>
  </si>
  <si>
    <t>Emmanuel Lupian</t>
  </si>
  <si>
    <t>Lawis</t>
  </si>
  <si>
    <t>09126568492</t>
  </si>
  <si>
    <t>Jason Dapar</t>
  </si>
  <si>
    <t>09638748537</t>
  </si>
  <si>
    <t>Victor Emmanuel Pojos</t>
  </si>
  <si>
    <t>09261409197</t>
  </si>
  <si>
    <t>Roberto Butal</t>
  </si>
  <si>
    <t>09300001620</t>
  </si>
  <si>
    <t>Julius dela Cruz</t>
  </si>
  <si>
    <t>09569559790</t>
  </si>
  <si>
    <t>Oscar Quieta</t>
  </si>
  <si>
    <t>09212532889</t>
  </si>
  <si>
    <t>Reynaldo Dag-um</t>
  </si>
  <si>
    <t>09484494373</t>
  </si>
  <si>
    <t>Eboy Albior</t>
  </si>
  <si>
    <t>Tinago</t>
  </si>
  <si>
    <t>09338690771</t>
  </si>
  <si>
    <t>Norman Cortejos</t>
  </si>
  <si>
    <t>09380776396</t>
  </si>
  <si>
    <t>Aljun Lucero</t>
  </si>
  <si>
    <t>09308242114</t>
  </si>
  <si>
    <t>Raul Suarez</t>
  </si>
  <si>
    <t>09204624016</t>
  </si>
  <si>
    <t>Christian Aparri</t>
  </si>
  <si>
    <t>Ingud</t>
  </si>
  <si>
    <t>09303126494</t>
  </si>
  <si>
    <t>Jeymar Betinol</t>
  </si>
  <si>
    <t>09518710619</t>
  </si>
  <si>
    <t>Corazon Atuel</t>
  </si>
  <si>
    <t>Fatima</t>
  </si>
  <si>
    <t>09173016161</t>
  </si>
  <si>
    <t>Narciso Molos</t>
  </si>
  <si>
    <t>09504766181</t>
  </si>
  <si>
    <t>Doroy Ngujo</t>
  </si>
  <si>
    <t>Samuel Estillore</t>
  </si>
  <si>
    <t>Florencio Bitang</t>
  </si>
  <si>
    <t>09109608117</t>
  </si>
  <si>
    <t>Rolando Manatad</t>
  </si>
  <si>
    <t>09639005150</t>
  </si>
  <si>
    <t>Pete Pangandoyon</t>
  </si>
  <si>
    <t>09106834321</t>
  </si>
  <si>
    <t>Luciano Rolos</t>
  </si>
  <si>
    <t>09707582721</t>
  </si>
  <si>
    <t>Angelito Pinoliad</t>
  </si>
  <si>
    <t>Katuogan</t>
  </si>
  <si>
    <t>09756871534</t>
  </si>
  <si>
    <t>Angelito Bowaquin</t>
  </si>
  <si>
    <t>09098520338</t>
  </si>
  <si>
    <t>Rean Jaum</t>
  </si>
  <si>
    <t>09075197508</t>
  </si>
  <si>
    <t>Mely Llano</t>
  </si>
  <si>
    <t>09107926323</t>
  </si>
  <si>
    <t>Tranquilino Gasco</t>
  </si>
  <si>
    <t>Nueva Granada</t>
  </si>
  <si>
    <t>Rufino Galleto</t>
  </si>
  <si>
    <t>09485245363</t>
  </si>
  <si>
    <t>Noel Garcia</t>
  </si>
  <si>
    <t>Saguise</t>
  </si>
  <si>
    <t>Getafe</t>
  </si>
  <si>
    <t>09358183693</t>
  </si>
  <si>
    <t>Marcelino Rulida Jr.</t>
  </si>
  <si>
    <t>09207729372</t>
  </si>
  <si>
    <t>Cimaco Tampos</t>
  </si>
  <si>
    <t>Montania</t>
  </si>
  <si>
    <t>Rotellio Bellisa</t>
  </si>
  <si>
    <t>Conrado Lamoste</t>
  </si>
  <si>
    <t>09759170953</t>
  </si>
  <si>
    <t>Richard Amarille</t>
  </si>
  <si>
    <t>Mantaub</t>
  </si>
  <si>
    <t>Zosimo Lambuhon</t>
  </si>
  <si>
    <t>Canggawa</t>
  </si>
  <si>
    <t>Vincent Responso</t>
  </si>
  <si>
    <t>Cindy De Vera</t>
  </si>
  <si>
    <t>Black Molly</t>
  </si>
  <si>
    <t>Catalino Mar</t>
  </si>
  <si>
    <t>Canbailan</t>
  </si>
  <si>
    <t>Nicrita Riotiman</t>
  </si>
  <si>
    <t>Lotao</t>
  </si>
  <si>
    <t>09195308247</t>
  </si>
  <si>
    <t>Florichel Brillantes</t>
  </si>
  <si>
    <t>09397420679</t>
  </si>
  <si>
    <t>Leandro Malig-on</t>
  </si>
  <si>
    <t>Ronald Salise</t>
  </si>
  <si>
    <t>09303595892</t>
  </si>
  <si>
    <t>Teogenes Dumanayos</t>
  </si>
  <si>
    <t>09352502796</t>
  </si>
  <si>
    <t>Elvin John Dalangin</t>
  </si>
  <si>
    <t>Kabasakan</t>
  </si>
  <si>
    <t>Dimiao</t>
  </si>
  <si>
    <t>John Paul Gallego</t>
  </si>
  <si>
    <t>Rey Corsiga</t>
  </si>
  <si>
    <t>Pinayagan Norte</t>
  </si>
  <si>
    <t>09056978246</t>
  </si>
  <si>
    <t>Inocencio Divino</t>
  </si>
  <si>
    <t>09508391003</t>
  </si>
  <si>
    <t>Francisco Hustol</t>
  </si>
  <si>
    <t>Eda Javate</t>
  </si>
  <si>
    <t>Culled Tilapia</t>
  </si>
  <si>
    <t>245 kgs.</t>
  </si>
  <si>
    <t>40 kgs.</t>
  </si>
  <si>
    <t>25 kgs.</t>
  </si>
  <si>
    <t>Demetrio Mulato</t>
  </si>
  <si>
    <t>Buangan</t>
  </si>
  <si>
    <t>Cris Camposo</t>
  </si>
  <si>
    <t>Balikwig</t>
  </si>
  <si>
    <t>09488752555</t>
  </si>
  <si>
    <t>Restituto Auza</t>
  </si>
  <si>
    <t>09304290692</t>
  </si>
  <si>
    <t>Zamora</t>
  </si>
  <si>
    <t>09096565110</t>
  </si>
  <si>
    <t>Manuel Galleto</t>
  </si>
  <si>
    <t>09129188059</t>
  </si>
  <si>
    <t>Julito Mejorada</t>
  </si>
  <si>
    <t>09106683501</t>
  </si>
  <si>
    <t>552,900 pcs.</t>
  </si>
  <si>
    <t>12,000 pcs.</t>
  </si>
  <si>
    <t>310 kgs.</t>
  </si>
  <si>
    <t>Culled tilapia (Foundation stocks)</t>
  </si>
  <si>
    <t>645 pcs.</t>
  </si>
  <si>
    <t>590 pcs.</t>
  </si>
  <si>
    <t>14,375 pcs.</t>
  </si>
  <si>
    <t>114,392 sq.m.</t>
  </si>
  <si>
    <r>
      <rPr>
        <sz val="10"/>
        <color theme="1"/>
        <rFont val="Arial"/>
      </rPr>
      <t>Total No. Of Beneficiaries:</t>
    </r>
    <r>
      <rPr>
        <sz val="10"/>
        <color rgb="FFFF0000"/>
        <rFont val="Arial"/>
      </rPr>
      <t xml:space="preserve"> 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</si>
  <si>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</si>
  <si>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Female: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</si>
  <si>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Others:(S.C./PWD)</t>
    </r>
    <r>
      <rPr>
        <u/>
        <sz val="10"/>
        <color theme="1"/>
        <rFont val="Arial"/>
      </rPr>
      <t xml:space="preserve"> </t>
    </r>
  </si>
  <si>
    <t>Moto Sur</t>
  </si>
  <si>
    <t>Office of the Provicial Agriculture (OPA)</t>
  </si>
  <si>
    <t>09302245399</t>
  </si>
  <si>
    <t>Eleno Evangelista</t>
  </si>
  <si>
    <t>Excel 2016 b'stock</t>
  </si>
  <si>
    <t>LGU - Cortes</t>
  </si>
  <si>
    <t>09084716546</t>
  </si>
  <si>
    <t>Ma. Luz Alcala</t>
  </si>
  <si>
    <t>LGU - Alburquerque</t>
  </si>
  <si>
    <t>Basac Daku</t>
  </si>
  <si>
    <t>09993714382</t>
  </si>
  <si>
    <t>Wendel Malaran</t>
  </si>
  <si>
    <t>25,000 pcs.</t>
  </si>
  <si>
    <t>4,000 pcs.</t>
  </si>
  <si>
    <r>
      <rPr>
        <sz val="9"/>
        <color theme="1"/>
        <rFont val="Arial"/>
      </rPr>
      <t>Ornamental Fish:</t>
    </r>
    <r>
      <rPr>
        <u/>
        <sz val="9"/>
        <color theme="1"/>
        <rFont val="Arial"/>
      </rPr>
      <t xml:space="preserve"> </t>
    </r>
  </si>
  <si>
    <t>200 pcs.</t>
  </si>
  <si>
    <r>
      <rPr>
        <sz val="9"/>
        <color theme="1"/>
        <rFont val="Arial"/>
      </rPr>
      <t xml:space="preserve">  Brackishwater:</t>
    </r>
    <r>
      <rPr>
        <u/>
        <sz val="9"/>
        <color theme="1"/>
        <rFont val="Arial"/>
      </rPr>
      <t xml:space="preserve"> </t>
    </r>
  </si>
  <si>
    <t>September 2021</t>
  </si>
  <si>
    <r>
      <rPr>
        <sz val="10"/>
        <color theme="1"/>
        <rFont val="Arial"/>
      </rPr>
      <t xml:space="preserve">Total No. Of Beneficiaries: </t>
    </r>
    <r>
      <rPr>
        <b/>
        <u/>
        <sz val="10"/>
        <color rgb="FFFF0000"/>
        <rFont val="Arial"/>
      </rPr>
      <t>238</t>
    </r>
  </si>
  <si>
    <r>
      <rPr>
        <sz val="10"/>
        <color theme="1"/>
        <rFont val="Arial"/>
      </rPr>
      <t xml:space="preserve">Others:(S.C./PWD): </t>
    </r>
    <r>
      <rPr>
        <b/>
        <u/>
        <sz val="10"/>
        <color rgb="FFFF0000"/>
        <rFont val="Arial"/>
      </rPr>
      <t>43</t>
    </r>
  </si>
  <si>
    <t>Wilson Orapa</t>
  </si>
  <si>
    <t>09127889953</t>
  </si>
  <si>
    <t>Marciano Muñez</t>
  </si>
  <si>
    <t>09461833434</t>
  </si>
  <si>
    <t>Rudy Niepes</t>
  </si>
  <si>
    <t>Albert Betaganzo</t>
  </si>
  <si>
    <t>Lusong</t>
  </si>
  <si>
    <t>09158628370</t>
  </si>
  <si>
    <t>Tanny Gerebese</t>
  </si>
  <si>
    <t>09753943732</t>
  </si>
  <si>
    <t>Zenaida Dalagan</t>
  </si>
  <si>
    <t>09512356451</t>
  </si>
  <si>
    <t>Nena Maglahus</t>
  </si>
  <si>
    <t>09995133616</t>
  </si>
  <si>
    <t>Ednil Vistal</t>
  </si>
  <si>
    <t>Kawayan</t>
  </si>
  <si>
    <t>Jesus Omac</t>
  </si>
  <si>
    <t>09178211349</t>
  </si>
  <si>
    <t>Eric Estorgio</t>
  </si>
  <si>
    <t>09551957756</t>
  </si>
  <si>
    <t>Alexander Amihan</t>
  </si>
  <si>
    <t>09391699772</t>
  </si>
  <si>
    <t>09104067565</t>
  </si>
  <si>
    <t>Cecilio Trago</t>
  </si>
  <si>
    <t>09098825460</t>
  </si>
  <si>
    <t>Armando Campeon</t>
  </si>
  <si>
    <t>09073396539</t>
  </si>
  <si>
    <t>Zosimo Bautista</t>
  </si>
  <si>
    <t>09261162538</t>
  </si>
  <si>
    <t>Nestor Escabas</t>
  </si>
  <si>
    <t>09122238827</t>
  </si>
  <si>
    <t>Maximo Lanusa</t>
  </si>
  <si>
    <t>Arthuro Carlon</t>
  </si>
  <si>
    <t>09207018752</t>
  </si>
  <si>
    <t>Henry Cabeje</t>
  </si>
  <si>
    <t>09506316041</t>
  </si>
  <si>
    <t>Noel Tamayo</t>
  </si>
  <si>
    <t>09197648872</t>
  </si>
  <si>
    <t>Jessie Maputol</t>
  </si>
  <si>
    <t>09498495611</t>
  </si>
  <si>
    <t>Nimrod Gitgano</t>
  </si>
  <si>
    <t>09102032451</t>
  </si>
  <si>
    <t>Apolonio Escaberte</t>
  </si>
  <si>
    <t>09109536538</t>
  </si>
  <si>
    <t>Paterno Trago</t>
  </si>
  <si>
    <t>09094878349</t>
  </si>
  <si>
    <t>Teotimo Sendrihas</t>
  </si>
  <si>
    <t>Pasanan</t>
  </si>
  <si>
    <t>09484515666</t>
  </si>
  <si>
    <t>Godwin tac-an</t>
  </si>
  <si>
    <t>09207914378</t>
  </si>
  <si>
    <t>Marino Magbanua</t>
  </si>
  <si>
    <t>09511299113</t>
  </si>
  <si>
    <t>Magdalino Alampayan</t>
  </si>
  <si>
    <t>09533987139</t>
  </si>
  <si>
    <t>Gerardo Vistal</t>
  </si>
  <si>
    <t>09100041892</t>
  </si>
  <si>
    <t>Asterio Mañados</t>
  </si>
  <si>
    <t>09169865806</t>
  </si>
  <si>
    <t>Sundae Rivero</t>
  </si>
  <si>
    <t>09108329900</t>
  </si>
  <si>
    <t>Romirico Rulona</t>
  </si>
  <si>
    <t>09565603794</t>
  </si>
  <si>
    <t>Ceferino Garan Jr.</t>
  </si>
  <si>
    <t>09994749713</t>
  </si>
  <si>
    <t>Romeo Miano</t>
  </si>
  <si>
    <t>Mila Brisulda</t>
  </si>
  <si>
    <t>09304263970</t>
  </si>
  <si>
    <t>Napoleon Tinahora</t>
  </si>
  <si>
    <t>Joselito Redolfin</t>
  </si>
  <si>
    <t>Ilihan Sur</t>
  </si>
  <si>
    <t>09074623117</t>
  </si>
  <si>
    <t>Bonifacia Quintilitisa</t>
  </si>
  <si>
    <t>09060383185</t>
  </si>
  <si>
    <t>Marlon Ansano</t>
  </si>
  <si>
    <t>09352491241</t>
  </si>
  <si>
    <t>John Anthony Celmar</t>
  </si>
  <si>
    <t xml:space="preserve">Baogo </t>
  </si>
  <si>
    <t>09095151556</t>
  </si>
  <si>
    <t>Jason Paquibot</t>
  </si>
  <si>
    <t>09662306075</t>
  </si>
  <si>
    <t>Leonor Concha</t>
  </si>
  <si>
    <t>Dampas</t>
  </si>
  <si>
    <t>09278172419</t>
  </si>
  <si>
    <t>Agustin Gasol</t>
  </si>
  <si>
    <t>Calvasan</t>
  </si>
  <si>
    <t>Cresencio Campuso</t>
  </si>
  <si>
    <t>Eddie Quisto</t>
  </si>
  <si>
    <t>Bugang</t>
  </si>
  <si>
    <t>09465215707</t>
  </si>
  <si>
    <t>Cayetano Orapa</t>
  </si>
  <si>
    <t>Steven Abueva</t>
  </si>
  <si>
    <t>09050428349</t>
  </si>
  <si>
    <t>Jimboy Rocaberti</t>
  </si>
  <si>
    <t>Romeo Gonzaga</t>
  </si>
  <si>
    <t>09090220538</t>
  </si>
  <si>
    <t>Mancielito Pancho</t>
  </si>
  <si>
    <t>09552435665</t>
  </si>
  <si>
    <t>Marfie Maglajos</t>
  </si>
  <si>
    <t>09128777095</t>
  </si>
  <si>
    <t>Catalino Villiano</t>
  </si>
  <si>
    <t>09105033658</t>
  </si>
  <si>
    <t>Paulinito Malaran</t>
  </si>
  <si>
    <t>09391325579</t>
  </si>
  <si>
    <t>09636930074</t>
  </si>
  <si>
    <t>Buenaventora Camposo</t>
  </si>
  <si>
    <t xml:space="preserve">La Union </t>
  </si>
  <si>
    <t>Alexer Heraga</t>
  </si>
  <si>
    <t>Samuel Fulguirines</t>
  </si>
  <si>
    <t>09507042415</t>
  </si>
  <si>
    <t>Donald Salces</t>
  </si>
  <si>
    <t>09078320830</t>
  </si>
  <si>
    <t>Alberto Bayron</t>
  </si>
  <si>
    <t>09504963998</t>
  </si>
  <si>
    <t>Ruel Lucero</t>
  </si>
  <si>
    <t>09753138044</t>
  </si>
  <si>
    <t>Role Pagas</t>
  </si>
  <si>
    <t>Masonoy</t>
  </si>
  <si>
    <t>09753980407</t>
  </si>
  <si>
    <t>Earl lacierda</t>
  </si>
  <si>
    <t>Anthony Palma</t>
  </si>
  <si>
    <t>09481592533</t>
  </si>
  <si>
    <t>Paulo Cajote</t>
  </si>
  <si>
    <t>09101245392</t>
  </si>
  <si>
    <t>Erwin Ore</t>
  </si>
  <si>
    <t>Christian Paul Boton</t>
  </si>
  <si>
    <t>Cabog</t>
  </si>
  <si>
    <t>09055591347</t>
  </si>
  <si>
    <t>Ruel Palado</t>
  </si>
  <si>
    <t>La Paz</t>
  </si>
  <si>
    <t>09636458439</t>
  </si>
  <si>
    <t>Marvin Bitang</t>
  </si>
  <si>
    <t>Mario Dumayac</t>
  </si>
  <si>
    <t>Melvin Abuloc</t>
  </si>
  <si>
    <t>Dante Baldemor</t>
  </si>
  <si>
    <t>Rachel Alcayde</t>
  </si>
  <si>
    <t>09381829183</t>
  </si>
  <si>
    <t>Ken Petalco</t>
  </si>
  <si>
    <t>09274648408</t>
  </si>
  <si>
    <t>Eduardo Abanto</t>
  </si>
  <si>
    <t>09105862664</t>
  </si>
  <si>
    <r>
      <rPr>
        <sz val="11"/>
        <color theme="1"/>
        <rFont val="Calibri"/>
      </rPr>
      <t>Ni</t>
    </r>
    <r>
      <rPr>
        <sz val="11"/>
        <color theme="1"/>
        <rFont val="Calibri"/>
      </rPr>
      <t>ñ</t>
    </r>
    <r>
      <rPr>
        <sz val="12"/>
        <color theme="1"/>
        <rFont val="Calibri"/>
      </rPr>
      <t>o Cristal</t>
    </r>
  </si>
  <si>
    <r>
      <rPr>
        <sz val="11"/>
        <color theme="1"/>
        <rFont val="Calibri"/>
      </rPr>
      <t>Sto. Ni</t>
    </r>
    <r>
      <rPr>
        <sz val="11"/>
        <color theme="1"/>
        <rFont val="Calibri"/>
      </rPr>
      <t>ñ</t>
    </r>
    <r>
      <rPr>
        <sz val="12"/>
        <color theme="1"/>
        <rFont val="Calibri"/>
      </rPr>
      <t>o</t>
    </r>
  </si>
  <si>
    <t>09128924322</t>
  </si>
  <si>
    <t>Bestmart Vistal</t>
  </si>
  <si>
    <t>09950685578</t>
  </si>
  <si>
    <t>Celio Hugo</t>
  </si>
  <si>
    <t>09124754227</t>
  </si>
  <si>
    <t>Joseph Tinio</t>
  </si>
  <si>
    <t>09634504336</t>
  </si>
  <si>
    <t>Dave Paredes</t>
  </si>
  <si>
    <t>09550651647</t>
  </si>
  <si>
    <t>Virgilio Tirol</t>
  </si>
  <si>
    <t>09973873730</t>
  </si>
  <si>
    <t>Boy Vistal</t>
  </si>
  <si>
    <t>Dagnawan</t>
  </si>
  <si>
    <t>Abelardo Sumaylo</t>
  </si>
  <si>
    <t>09474612594</t>
  </si>
  <si>
    <t>Zenaida Motoc</t>
  </si>
  <si>
    <t>Mary Ann Degamo</t>
  </si>
  <si>
    <t>09533877760</t>
  </si>
  <si>
    <t>Dante Cantaruna</t>
  </si>
  <si>
    <t>09207038727</t>
  </si>
  <si>
    <t>Danilo Bentillio</t>
  </si>
  <si>
    <t>09536644783</t>
  </si>
  <si>
    <t>Allan Sanico</t>
  </si>
  <si>
    <t>09569560317</t>
  </si>
  <si>
    <t>Joel Trago</t>
  </si>
  <si>
    <t>Lyndon Calape</t>
  </si>
  <si>
    <t>Discoro Alimpolos</t>
  </si>
  <si>
    <t>09462410034</t>
  </si>
  <si>
    <t>Miguel Billaces</t>
  </si>
  <si>
    <t>09268683218</t>
  </si>
  <si>
    <t>Cesar Borja</t>
  </si>
  <si>
    <t>09176294231</t>
  </si>
  <si>
    <t>Jonas Niones</t>
  </si>
  <si>
    <t>09654876609</t>
  </si>
  <si>
    <t>Rene Lapoja</t>
  </si>
  <si>
    <t>09554557950</t>
  </si>
  <si>
    <t>Iken Esoy</t>
  </si>
  <si>
    <t>09516696496</t>
  </si>
  <si>
    <t>Alicia Betinol</t>
  </si>
  <si>
    <t>09058607442</t>
  </si>
  <si>
    <t>Carlito Aparece</t>
  </si>
  <si>
    <t>Cagay-an</t>
  </si>
  <si>
    <t>09485447665</t>
  </si>
  <si>
    <t>Olimpia Aclan</t>
  </si>
  <si>
    <t>09317485815</t>
  </si>
  <si>
    <t>Manilyn Vargas</t>
  </si>
  <si>
    <t>09507477702</t>
  </si>
  <si>
    <t>Marisa Caño</t>
  </si>
  <si>
    <t>Jess Villaces</t>
  </si>
  <si>
    <t>09305119215</t>
  </si>
  <si>
    <t>Richard Coyno</t>
  </si>
  <si>
    <t>Candijay</t>
  </si>
  <si>
    <t>09265179454</t>
  </si>
  <si>
    <t>Christuto Alcover</t>
  </si>
  <si>
    <t>09308363924</t>
  </si>
  <si>
    <t>Estela Abellanosa</t>
  </si>
  <si>
    <t>09159393393</t>
  </si>
  <si>
    <t>Calixto Lamoste</t>
  </si>
  <si>
    <t>09283272243</t>
  </si>
  <si>
    <t>Alma Tirol</t>
  </si>
  <si>
    <t>Reynaldo Tecson</t>
  </si>
  <si>
    <t>Modesto Lamoste</t>
  </si>
  <si>
    <t>Wilfred Labrador</t>
  </si>
  <si>
    <t>Concepcion</t>
  </si>
  <si>
    <t>09105809055</t>
  </si>
  <si>
    <t>Jonathan Tero</t>
  </si>
  <si>
    <t>09483300418</t>
  </si>
  <si>
    <t>Antonino Pancho</t>
  </si>
  <si>
    <t>09667564563</t>
  </si>
  <si>
    <t>Cario Israel</t>
  </si>
  <si>
    <t>09635300945</t>
  </si>
  <si>
    <t>Marilyn Butal</t>
  </si>
  <si>
    <t>09355271172</t>
  </si>
  <si>
    <t>Felix Butal</t>
  </si>
  <si>
    <t>09318528277</t>
  </si>
  <si>
    <t>Alfredo Butal</t>
  </si>
  <si>
    <t>Mario Narciso</t>
  </si>
  <si>
    <t>Loel Estillore</t>
  </si>
  <si>
    <t>Joselito Lambojon</t>
  </si>
  <si>
    <t>09959501298</t>
  </si>
  <si>
    <t>Eduardo Quiamco</t>
  </si>
  <si>
    <t>09219201475</t>
  </si>
  <si>
    <t>Rowel Rim</t>
  </si>
  <si>
    <t>Martin Gambe</t>
  </si>
  <si>
    <t>Elton Andamon</t>
  </si>
  <si>
    <t>09705671556</t>
  </si>
  <si>
    <t>Rosendo Janojan</t>
  </si>
  <si>
    <t>09503446406</t>
  </si>
  <si>
    <t>Jayson Millan</t>
  </si>
  <si>
    <t>0909333385</t>
  </si>
  <si>
    <t>Mervin Melencion</t>
  </si>
  <si>
    <t>09076055528</t>
  </si>
  <si>
    <t>Jorge Pamugas</t>
  </si>
  <si>
    <t>Dangay</t>
  </si>
  <si>
    <t>Romilyn Generalao</t>
  </si>
  <si>
    <t>09204561266</t>
  </si>
  <si>
    <t>Robert Gamba</t>
  </si>
  <si>
    <t>09385984775</t>
  </si>
  <si>
    <t>John Mark Alipoyo</t>
  </si>
  <si>
    <t>09480928662</t>
  </si>
  <si>
    <t>Julius Ryan Anagon</t>
  </si>
  <si>
    <t>09306800701</t>
  </si>
  <si>
    <t>Pedro Torrentira</t>
  </si>
  <si>
    <t>09319351226</t>
  </si>
  <si>
    <t>Cristuto Alcover</t>
  </si>
  <si>
    <t>Efren dela Torre</t>
  </si>
  <si>
    <t>09554284992</t>
  </si>
  <si>
    <t>Crisanto Barasona</t>
  </si>
  <si>
    <t>09557523022</t>
  </si>
  <si>
    <t>Rico Remeticado</t>
  </si>
  <si>
    <t>09707582892</t>
  </si>
  <si>
    <t>Julito Miral</t>
  </si>
  <si>
    <t>Cantaongon</t>
  </si>
  <si>
    <t>09303143740</t>
  </si>
  <si>
    <t>Cirilo Genita</t>
  </si>
  <si>
    <t>09302589772</t>
  </si>
  <si>
    <t>Lilia Torrejos</t>
  </si>
  <si>
    <t>Salug</t>
  </si>
  <si>
    <t>09303019960</t>
  </si>
  <si>
    <t>Nicolas Buaya</t>
  </si>
  <si>
    <t>09122100968</t>
  </si>
  <si>
    <t>Rolito Laugan</t>
  </si>
  <si>
    <t>09397508226</t>
  </si>
  <si>
    <t>Manuel Café</t>
  </si>
  <si>
    <t>El Progreso</t>
  </si>
  <si>
    <t>09667390955</t>
  </si>
  <si>
    <t>Paolo Taburnal</t>
  </si>
  <si>
    <t>Dusita</t>
  </si>
  <si>
    <t>09484762685</t>
  </si>
  <si>
    <t>Jaime Justol</t>
  </si>
  <si>
    <t>09651460523</t>
  </si>
  <si>
    <t>Magdalino Pandac</t>
  </si>
  <si>
    <t>Clyde Suter</t>
  </si>
  <si>
    <t>09302586142</t>
  </si>
  <si>
    <t>Benjamin Racho</t>
  </si>
  <si>
    <t>09301483172</t>
  </si>
  <si>
    <t>James Bautista</t>
  </si>
  <si>
    <t>09064137671</t>
  </si>
  <si>
    <t>Manuel beroy</t>
  </si>
  <si>
    <t>Hanopol</t>
  </si>
  <si>
    <t>09550662805</t>
  </si>
  <si>
    <t>Jaime Racho</t>
  </si>
  <si>
    <t>09303138967</t>
  </si>
  <si>
    <t>Creslo Ramos</t>
  </si>
  <si>
    <t>09636919230</t>
  </si>
  <si>
    <t>Alliord Lauronal</t>
  </si>
  <si>
    <t>Joseph Balo</t>
  </si>
  <si>
    <t>Sta. Catalina</t>
  </si>
  <si>
    <t>09099332974</t>
  </si>
  <si>
    <t>Emerson Esto</t>
  </si>
  <si>
    <t>09098892282</t>
  </si>
  <si>
    <t>Joselito Udtohan</t>
  </si>
  <si>
    <t>Ricardo Capentero</t>
  </si>
  <si>
    <t>09997389024</t>
  </si>
  <si>
    <t>Guillermo Lanoy</t>
  </si>
  <si>
    <t>09356064136</t>
  </si>
  <si>
    <t>Joel Sabijon</t>
  </si>
  <si>
    <t>09183239546</t>
  </si>
  <si>
    <t>Alejandro Tirol</t>
  </si>
  <si>
    <t>Doming Yagong</t>
  </si>
  <si>
    <t>Ronelo Doblas</t>
  </si>
  <si>
    <t>Mario Daguldulan</t>
  </si>
  <si>
    <t>Del Pilar</t>
  </si>
  <si>
    <t>09552507712</t>
  </si>
  <si>
    <t>Teody maliza</t>
  </si>
  <si>
    <t>09358530298</t>
  </si>
  <si>
    <t>Arnel Cabuga</t>
  </si>
  <si>
    <t>09511320912</t>
  </si>
  <si>
    <t>Loreta Galviso</t>
  </si>
  <si>
    <t>Cardo Carpentero</t>
  </si>
  <si>
    <t>09973890924</t>
  </si>
  <si>
    <t>Nilo Lanoy</t>
  </si>
  <si>
    <t>09178591828</t>
  </si>
  <si>
    <t>Marix Sumalinog</t>
  </si>
  <si>
    <t>De La Paz</t>
  </si>
  <si>
    <t>09397408864</t>
  </si>
  <si>
    <t>Dante Bautista</t>
  </si>
  <si>
    <t>09262461195</t>
  </si>
  <si>
    <t>Antonio Sumagang</t>
  </si>
  <si>
    <t>Jestoni Raymundo</t>
  </si>
  <si>
    <t>koi</t>
  </si>
  <si>
    <t>Jayson Virador</t>
  </si>
  <si>
    <t>09511328574</t>
  </si>
  <si>
    <t>hito</t>
  </si>
  <si>
    <t>Nelia Catayas</t>
  </si>
  <si>
    <t>09983247622</t>
  </si>
  <si>
    <t>Jesus Melecio</t>
  </si>
  <si>
    <t>09102768349</t>
  </si>
  <si>
    <t>Emelio Jamil</t>
  </si>
  <si>
    <t>Geraldine Dano</t>
  </si>
  <si>
    <t>Allan Badilla</t>
  </si>
  <si>
    <t>09385991365</t>
  </si>
  <si>
    <t>Cecilio Auxtero</t>
  </si>
  <si>
    <t>09123289996</t>
  </si>
  <si>
    <t>Silverio Auxtero</t>
  </si>
  <si>
    <t>09502296072</t>
  </si>
  <si>
    <t>Roman Auxtero</t>
  </si>
  <si>
    <t>Emelda Calabio</t>
  </si>
  <si>
    <t>09107733022</t>
  </si>
  <si>
    <t>Keith Anthony Yu</t>
  </si>
  <si>
    <t>09279409203</t>
  </si>
  <si>
    <t>Sanny Boy Añasco</t>
  </si>
  <si>
    <t>Dait Sur</t>
  </si>
  <si>
    <t>09458178974</t>
  </si>
  <si>
    <t>Marklen Alba</t>
  </si>
  <si>
    <t>09560139265</t>
  </si>
  <si>
    <t>Nestor Cagais</t>
  </si>
  <si>
    <t>Tagum Norte</t>
  </si>
  <si>
    <t>09302730811</t>
  </si>
  <si>
    <t>Iniego Tolod</t>
  </si>
  <si>
    <t>Hagilanan</t>
  </si>
  <si>
    <t>09979406591</t>
  </si>
  <si>
    <t>Edgar Delima</t>
  </si>
  <si>
    <t>Boy Cachila</t>
  </si>
  <si>
    <t>Cangawa</t>
  </si>
  <si>
    <t>09308591948</t>
  </si>
  <si>
    <t>Johnny Garbo</t>
  </si>
  <si>
    <t>09958400582</t>
  </si>
  <si>
    <t>Pat Bag-ao</t>
  </si>
  <si>
    <t>Cantigdas</t>
  </si>
  <si>
    <t>09494272578</t>
  </si>
  <si>
    <t>Fernando Cortes Sr.</t>
  </si>
  <si>
    <t>09519312978</t>
  </si>
  <si>
    <t>Juanito Rosas</t>
  </si>
  <si>
    <t>Salvador</t>
  </si>
  <si>
    <t>09486449371</t>
  </si>
  <si>
    <t>Rez James Bongato</t>
  </si>
  <si>
    <t>Efren Logroño</t>
  </si>
  <si>
    <t>Bogaong</t>
  </si>
  <si>
    <t>09753140795</t>
  </si>
  <si>
    <t>Ferdinand Oroyan</t>
  </si>
  <si>
    <t>Artemio Palma</t>
  </si>
  <si>
    <t>09167714485</t>
  </si>
  <si>
    <t>Walberto Ibañez</t>
  </si>
  <si>
    <t>Candabong</t>
  </si>
  <si>
    <t>Loboc</t>
  </si>
  <si>
    <t>09311496295</t>
  </si>
  <si>
    <t>Edgar Alampayan</t>
  </si>
  <si>
    <t>Gil Baslon</t>
  </si>
  <si>
    <t>09087734331</t>
  </si>
  <si>
    <t>Vincent Unajan</t>
  </si>
  <si>
    <t>Ponong</t>
  </si>
  <si>
    <t>Alburquerque</t>
  </si>
  <si>
    <t>09085957943</t>
  </si>
  <si>
    <t>Hermeno Bitao Jr.</t>
  </si>
  <si>
    <t>Hermenio Repuya</t>
  </si>
  <si>
    <t>Juanito Viodor</t>
  </si>
  <si>
    <t>09357153546</t>
  </si>
  <si>
    <t>Warlito Dumangas</t>
  </si>
  <si>
    <t>09294871549</t>
  </si>
  <si>
    <t>Aiza Ellorimo</t>
  </si>
  <si>
    <t>09050629883</t>
  </si>
  <si>
    <t>Jovanne Lapa</t>
  </si>
  <si>
    <t>Renerio Carias</t>
  </si>
  <si>
    <t>09103779432</t>
  </si>
  <si>
    <t>buenvista</t>
  </si>
  <si>
    <t>Edwin Albores</t>
  </si>
  <si>
    <t>09553764610</t>
  </si>
  <si>
    <t>Efren Adlaon</t>
  </si>
  <si>
    <t>09988848418</t>
  </si>
  <si>
    <t>Art Meniano</t>
  </si>
  <si>
    <t>09331656708</t>
  </si>
  <si>
    <t>Flora Mae Naraga</t>
  </si>
  <si>
    <t>Canbamsag</t>
  </si>
  <si>
    <t>09658109093</t>
  </si>
  <si>
    <t>Eduardo Rovilla</t>
  </si>
  <si>
    <t>Dodong Salibres</t>
  </si>
  <si>
    <t>09508156374</t>
  </si>
  <si>
    <t>Rosellier Guisihan</t>
  </si>
  <si>
    <t>San Roque</t>
  </si>
  <si>
    <t>09497855626</t>
  </si>
  <si>
    <t>Geraldine Espinal</t>
  </si>
  <si>
    <t>Tamboan</t>
  </si>
  <si>
    <t>Efren Aparece</t>
  </si>
  <si>
    <t>09356739438</t>
  </si>
  <si>
    <t>Pablo Leo Mayol</t>
  </si>
  <si>
    <t>09108808201</t>
  </si>
  <si>
    <t>362500 pcs.</t>
  </si>
  <si>
    <t>16700 pcs.</t>
  </si>
  <si>
    <t>2,000 pcs.</t>
  </si>
  <si>
    <t>Excel Breeders</t>
  </si>
  <si>
    <t>20 pcs</t>
  </si>
  <si>
    <t>16,820 pcs.</t>
  </si>
  <si>
    <t>79,678 sq.m.</t>
  </si>
  <si>
    <r>
      <rPr>
        <sz val="10"/>
        <color theme="1"/>
        <rFont val="Arial"/>
      </rPr>
      <t>Total No. Of Beneficiaries:</t>
    </r>
    <r>
      <rPr>
        <sz val="10"/>
        <color rgb="FFFF0000"/>
        <rFont val="Arial"/>
      </rPr>
      <t xml:space="preserve"> 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</si>
  <si>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</si>
  <si>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Female: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</si>
  <si>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Others:(S.C./PWD)</t>
    </r>
    <r>
      <rPr>
        <u/>
        <sz val="10"/>
        <color theme="1"/>
        <rFont val="Arial"/>
      </rPr>
      <t xml:space="preserve"> </t>
    </r>
  </si>
  <si>
    <t>LGU - Clarin</t>
  </si>
  <si>
    <t xml:space="preserve">Danahaw </t>
  </si>
  <si>
    <t>Cerilo Perez</t>
  </si>
  <si>
    <t>LGU - Tubigon</t>
  </si>
  <si>
    <t>Victor Boligao</t>
  </si>
  <si>
    <t>09213533602</t>
  </si>
  <si>
    <t>Margarito Café Jr.</t>
  </si>
  <si>
    <t>09213533603</t>
  </si>
  <si>
    <r>
      <rPr>
        <sz val="9"/>
        <color theme="1"/>
        <rFont val="Arial"/>
      </rPr>
      <t>Ornamental Fish:</t>
    </r>
    <r>
      <rPr>
        <u/>
        <sz val="9"/>
        <color theme="1"/>
        <rFont val="Arial"/>
      </rPr>
      <t xml:space="preserve"> </t>
    </r>
  </si>
  <si>
    <r>
      <rPr>
        <sz val="9"/>
        <color theme="1"/>
        <rFont val="Arial"/>
      </rPr>
      <t xml:space="preserve">  Brackishwater:</t>
    </r>
    <r>
      <rPr>
        <u/>
        <sz val="9"/>
        <color theme="1"/>
        <rFont val="Arial"/>
      </rPr>
      <t xml:space="preserve"> </t>
    </r>
  </si>
  <si>
    <t>August 2021</t>
  </si>
  <si>
    <r>
      <rPr>
        <sz val="10"/>
        <color theme="1"/>
        <rFont val="Arial"/>
      </rPr>
      <t xml:space="preserve">Total No. Of Beneficiaries: </t>
    </r>
    <r>
      <rPr>
        <b/>
        <u/>
        <sz val="10"/>
        <color theme="1"/>
        <rFont val="Arial"/>
      </rPr>
      <t>195</t>
    </r>
  </si>
  <si>
    <r>
      <rPr>
        <sz val="10"/>
        <color theme="1"/>
        <rFont val="Arial"/>
      </rPr>
      <t xml:space="preserve">Others:(S.C./PWD): </t>
    </r>
    <r>
      <rPr>
        <b/>
        <u/>
        <sz val="10"/>
        <color theme="1"/>
        <rFont val="Arial"/>
      </rPr>
      <t>15</t>
    </r>
  </si>
  <si>
    <t>Aldren Barnajas</t>
  </si>
  <si>
    <t>Ranilo Mabida</t>
  </si>
  <si>
    <t>Roque Pañares</t>
  </si>
  <si>
    <t>09635326618</t>
  </si>
  <si>
    <t>Colomo Sentillas</t>
  </si>
  <si>
    <t>09102043079</t>
  </si>
  <si>
    <t>Fidel Cajes</t>
  </si>
  <si>
    <t>Guinobatan</t>
  </si>
  <si>
    <t>09636457203</t>
  </si>
  <si>
    <t>Michelle Maraguinot</t>
  </si>
  <si>
    <t>09308484468</t>
  </si>
  <si>
    <t>Jehan Torrejos</t>
  </si>
  <si>
    <t>09552533366</t>
  </si>
  <si>
    <t>Nilda Cahintong</t>
  </si>
  <si>
    <t>09355266679</t>
  </si>
  <si>
    <t>Anthony Dalapo</t>
  </si>
  <si>
    <t>09508610140</t>
  </si>
  <si>
    <t>Rowena Galorport</t>
  </si>
  <si>
    <t>09269722030</t>
  </si>
  <si>
    <t>Ma. Victoria Venalon</t>
  </si>
  <si>
    <t>09070773843</t>
  </si>
  <si>
    <t>Nilo Linogao</t>
  </si>
  <si>
    <t>09512400129</t>
  </si>
  <si>
    <t>Julius Balaba</t>
  </si>
  <si>
    <t>09278171769</t>
  </si>
  <si>
    <t>Melan Baal</t>
  </si>
  <si>
    <t>09503328516</t>
  </si>
  <si>
    <t>Merlinda Concha</t>
  </si>
  <si>
    <t>Bagacay</t>
  </si>
  <si>
    <t>09109693567</t>
  </si>
  <si>
    <t>Nelson Impas</t>
  </si>
  <si>
    <t>09507468636</t>
  </si>
  <si>
    <t>Nelito Gallego</t>
  </si>
  <si>
    <t>09102928202</t>
  </si>
  <si>
    <t>Renna Petalcorin</t>
  </si>
  <si>
    <t xml:space="preserve">Cangawa </t>
  </si>
  <si>
    <t>09995811118</t>
  </si>
  <si>
    <t>Avelino Sumalinog</t>
  </si>
  <si>
    <t>09109099422</t>
  </si>
  <si>
    <t>10x10 cage</t>
  </si>
  <si>
    <t>Elvira gumanoy</t>
  </si>
  <si>
    <t xml:space="preserve">Concepcion </t>
  </si>
  <si>
    <t>09608933441</t>
  </si>
  <si>
    <t>Antonio Aleria</t>
  </si>
  <si>
    <t>Cansibuan</t>
  </si>
  <si>
    <t>09634876592</t>
  </si>
  <si>
    <t>Lito Libres</t>
  </si>
  <si>
    <t>09074290099</t>
  </si>
  <si>
    <t>Geoffrey Cepedoza</t>
  </si>
  <si>
    <t>09395867110</t>
  </si>
  <si>
    <t>Juan Cleopas</t>
  </si>
  <si>
    <t>Balintawak</t>
  </si>
  <si>
    <t>09367666147</t>
  </si>
  <si>
    <t>Nelson Petalco</t>
  </si>
  <si>
    <t>09298735055</t>
  </si>
  <si>
    <t>Venancio Hoile</t>
  </si>
  <si>
    <t>09094073047</t>
  </si>
  <si>
    <t>broodstock</t>
  </si>
  <si>
    <t>Harold Tagum</t>
  </si>
  <si>
    <t>Virgen</t>
  </si>
  <si>
    <t>Anda</t>
  </si>
  <si>
    <t>09255112911</t>
  </si>
  <si>
    <t>Jacinto Hemilo</t>
  </si>
  <si>
    <t>09383737759</t>
  </si>
  <si>
    <t>Jireh Magne dela Cruz</t>
  </si>
  <si>
    <t>09389995543</t>
  </si>
  <si>
    <r>
      <rPr>
        <sz val="11"/>
        <color theme="1"/>
        <rFont val="Calibri"/>
      </rPr>
      <t>Eugemio Ca</t>
    </r>
    <r>
      <rPr>
        <sz val="11"/>
        <color theme="1"/>
        <rFont val="Calibri"/>
      </rPr>
      <t>ñ</t>
    </r>
    <r>
      <rPr>
        <sz val="12"/>
        <color theme="1"/>
        <rFont val="Calibri"/>
      </rPr>
      <t>o</t>
    </r>
  </si>
  <si>
    <t>09507249269</t>
  </si>
  <si>
    <t>Marlo Brina</t>
  </si>
  <si>
    <t>09638487650</t>
  </si>
  <si>
    <t>Apple Gay Daguplo</t>
  </si>
  <si>
    <t>09496460827</t>
  </si>
  <si>
    <t>Dex Beltran</t>
  </si>
  <si>
    <t>09098650859</t>
  </si>
  <si>
    <t>Jay Cabatuan</t>
  </si>
  <si>
    <t>09388805750</t>
  </si>
  <si>
    <t>Longino Baydal Jr.</t>
  </si>
  <si>
    <t>Pob. Vieja</t>
  </si>
  <si>
    <t>09123986226</t>
  </si>
  <si>
    <t>0512356451</t>
  </si>
  <si>
    <t>Marvin Peter Revilla</t>
  </si>
  <si>
    <t>Antonio Ang</t>
  </si>
  <si>
    <t>Candumayaw</t>
  </si>
  <si>
    <t>Susana Doria</t>
  </si>
  <si>
    <t>Pob. Norte</t>
  </si>
  <si>
    <t>09563213336</t>
  </si>
  <si>
    <t>Artemio Busalanan</t>
  </si>
  <si>
    <t>09197977147</t>
  </si>
  <si>
    <t>Exequiel Paquibot</t>
  </si>
  <si>
    <t>09505358233</t>
  </si>
  <si>
    <t>Leo Chavez</t>
  </si>
  <si>
    <t>09559836463</t>
  </si>
  <si>
    <t>Roger Garcia</t>
  </si>
  <si>
    <t>09519542140</t>
  </si>
  <si>
    <t>Danielito Rublica</t>
  </si>
  <si>
    <t>09472492985</t>
  </si>
  <si>
    <t>Gregory Potot</t>
  </si>
  <si>
    <t>Matin-ao</t>
  </si>
  <si>
    <t>09129253711</t>
  </si>
  <si>
    <t>David Garcia</t>
  </si>
  <si>
    <t>09065239061</t>
  </si>
  <si>
    <r>
      <rPr>
        <sz val="11"/>
        <color theme="1"/>
        <rFont val="Calibri"/>
      </rPr>
      <t>Rogelio Ca</t>
    </r>
    <r>
      <rPr>
        <sz val="11"/>
        <color theme="1"/>
        <rFont val="Calibri"/>
      </rPr>
      <t>ñ</t>
    </r>
    <r>
      <rPr>
        <sz val="12"/>
        <color theme="1"/>
        <rFont val="Calibri"/>
      </rPr>
      <t>o</t>
    </r>
  </si>
  <si>
    <t>09977930376</t>
  </si>
  <si>
    <t>Boy Laure</t>
  </si>
  <si>
    <t>Imelda Maraginot</t>
  </si>
  <si>
    <t>Kawayanan</t>
  </si>
  <si>
    <t>09304844468</t>
  </si>
  <si>
    <t>Tauran</t>
  </si>
  <si>
    <t>Nestor Anino</t>
  </si>
  <si>
    <t>09078049189</t>
  </si>
  <si>
    <t>Leopoldo Beltran</t>
  </si>
  <si>
    <t>Rene Bongato</t>
  </si>
  <si>
    <t>Jupiter Timbal</t>
  </si>
  <si>
    <t>09518715232</t>
  </si>
  <si>
    <t>Ryan Reserva</t>
  </si>
  <si>
    <t>09953277916</t>
  </si>
  <si>
    <t>Rey Cadenas</t>
  </si>
  <si>
    <t>09753942197</t>
  </si>
  <si>
    <t>Romanolito Casaberde</t>
  </si>
  <si>
    <t>John Rey Lumosbog</t>
  </si>
  <si>
    <t>09094444615</t>
  </si>
  <si>
    <t>Dave Quitoriano</t>
  </si>
  <si>
    <t>09102994344</t>
  </si>
  <si>
    <t>Ronaldo Ansano</t>
  </si>
  <si>
    <t>09639015548</t>
  </si>
  <si>
    <t>Jolimar Columnas</t>
  </si>
  <si>
    <t>Ronaldo Polinar</t>
  </si>
  <si>
    <t>09996718888</t>
  </si>
  <si>
    <t>Mario Generalao</t>
  </si>
  <si>
    <t>Raul Dignos</t>
  </si>
  <si>
    <t>John Jay Niepes</t>
  </si>
  <si>
    <t>John Andrew Navasca</t>
  </si>
  <si>
    <t>09610846196</t>
  </si>
  <si>
    <t>Ruel Degamo</t>
  </si>
  <si>
    <t>09098502880</t>
  </si>
  <si>
    <t>Venancio Laguinta</t>
  </si>
  <si>
    <t>Caimbang</t>
  </si>
  <si>
    <t>09090143735</t>
  </si>
  <si>
    <t>Genaro Miano</t>
  </si>
  <si>
    <t>Gellermo Paclipan</t>
  </si>
  <si>
    <t>Romel Alipoyo</t>
  </si>
  <si>
    <t>09203787308</t>
  </si>
  <si>
    <t>Nelson Buaya</t>
  </si>
  <si>
    <t>John Lumantas</t>
  </si>
  <si>
    <t>09636927220</t>
  </si>
  <si>
    <t>Generoso Evardo</t>
  </si>
  <si>
    <t>09651878258</t>
  </si>
  <si>
    <t>Julieto Ceniza</t>
  </si>
  <si>
    <t>Quirino</t>
  </si>
  <si>
    <t>09638731635</t>
  </si>
  <si>
    <t>Ramon Corbita</t>
  </si>
  <si>
    <t>Eva Muñez</t>
  </si>
  <si>
    <t>09319214420</t>
  </si>
  <si>
    <t>Lezter Baclay</t>
  </si>
  <si>
    <t>09533814649</t>
  </si>
  <si>
    <t>Avelino Terec</t>
  </si>
  <si>
    <t>09519056009</t>
  </si>
  <si>
    <t>Anamay Mangmang</t>
  </si>
  <si>
    <t>09531446568</t>
  </si>
  <si>
    <t>Sergio Bonajos Jr.</t>
  </si>
  <si>
    <t>Eutiquio Motoc</t>
  </si>
  <si>
    <t>09464337380</t>
  </si>
  <si>
    <t>John allen hagutin</t>
  </si>
  <si>
    <t>09351808356</t>
  </si>
  <si>
    <t>Arquilao Antiola</t>
  </si>
  <si>
    <t>09302500754</t>
  </si>
  <si>
    <t>Wawie Juson</t>
  </si>
  <si>
    <t>Koicarp</t>
  </si>
  <si>
    <t>Hevel Yisrael Allonar</t>
  </si>
  <si>
    <t>09555461726</t>
  </si>
  <si>
    <t>Mateth Carpentero</t>
  </si>
  <si>
    <t>09977112396</t>
  </si>
  <si>
    <t>Rudy Ando</t>
  </si>
  <si>
    <t>09655837888</t>
  </si>
  <si>
    <t>Romulo Jala</t>
  </si>
  <si>
    <t>09302984287</t>
  </si>
  <si>
    <t>Eddie dela Cerna</t>
  </si>
  <si>
    <t>09271617321</t>
  </si>
  <si>
    <t>Marjohn Escabusa</t>
  </si>
  <si>
    <t>09382446940</t>
  </si>
  <si>
    <t>Rogelio Pahamutang</t>
  </si>
  <si>
    <t>09086943294</t>
  </si>
  <si>
    <t>Agrifino Losica Jr.</t>
  </si>
  <si>
    <t>094695644301</t>
  </si>
  <si>
    <t>Julian Socoren</t>
  </si>
  <si>
    <t>Segundo Gudarido</t>
  </si>
  <si>
    <t>Christine Almero</t>
  </si>
  <si>
    <t>09212896634</t>
  </si>
  <si>
    <t>Maly dela Cruz</t>
  </si>
  <si>
    <t>09423960626</t>
  </si>
  <si>
    <t>Lauro Degamo</t>
  </si>
  <si>
    <t>09950683004</t>
  </si>
  <si>
    <t>Carmelito Ponte</t>
  </si>
  <si>
    <t>09499488329</t>
  </si>
  <si>
    <t>Nemecio Oronan</t>
  </si>
  <si>
    <t>Jonathan Turtoga</t>
  </si>
  <si>
    <t>09993359164</t>
  </si>
  <si>
    <t>Rosalina Milagrosa</t>
  </si>
  <si>
    <t>09128927357</t>
  </si>
  <si>
    <t>Jerome Arro</t>
  </si>
  <si>
    <t>09556056158</t>
  </si>
  <si>
    <t>Gabriel Carungay</t>
  </si>
  <si>
    <t>09663843620</t>
  </si>
  <si>
    <t>Christopher Suaybaguio</t>
  </si>
  <si>
    <t>09082916664</t>
  </si>
  <si>
    <t>Nestor Canda</t>
  </si>
  <si>
    <t>09163874793</t>
  </si>
  <si>
    <t>Gloria Orapa</t>
  </si>
  <si>
    <t>09274909897</t>
  </si>
  <si>
    <t>Juliana Oyao</t>
  </si>
  <si>
    <t>Bonifacio Lamoste</t>
  </si>
  <si>
    <t>09679263666</t>
  </si>
  <si>
    <t>Rey Amigo</t>
  </si>
  <si>
    <t>Ranel Madaugdog</t>
  </si>
  <si>
    <t>09352741732</t>
  </si>
  <si>
    <t>Regino Remorosa</t>
  </si>
  <si>
    <t>Albert Maligro</t>
  </si>
  <si>
    <t>Quinobcoban</t>
  </si>
  <si>
    <t>09161345583</t>
  </si>
  <si>
    <t>Jerameel Mulos</t>
  </si>
  <si>
    <t>Tangaran</t>
  </si>
  <si>
    <t>09487091459</t>
  </si>
  <si>
    <t>Samuel Cabangbang</t>
  </si>
  <si>
    <t>James Al Lascoña</t>
  </si>
  <si>
    <t>09658915619</t>
  </si>
  <si>
    <t>Rosila Parado</t>
  </si>
  <si>
    <t>09305407554</t>
  </si>
  <si>
    <t>Eliezar Pangan</t>
  </si>
  <si>
    <t>09387268542</t>
  </si>
  <si>
    <t>Cenen Tarungay</t>
  </si>
  <si>
    <t>Bonbon</t>
  </si>
  <si>
    <t>09106716682</t>
  </si>
  <si>
    <t>Lucia Trago</t>
  </si>
  <si>
    <t>09050737338</t>
  </si>
  <si>
    <t>Narciso Japos</t>
  </si>
  <si>
    <t>Bayungan</t>
  </si>
  <si>
    <t>09519543140</t>
  </si>
  <si>
    <t>Carolina Noynay</t>
  </si>
  <si>
    <t>09532893555</t>
  </si>
  <si>
    <t>Arlene Reducto</t>
  </si>
  <si>
    <t xml:space="preserve">Alegria </t>
  </si>
  <si>
    <t>09387457323</t>
  </si>
  <si>
    <t>Erwin Ronquillo</t>
  </si>
  <si>
    <t>09103657434</t>
  </si>
  <si>
    <t>Felix Munil Jr.</t>
  </si>
  <si>
    <t>09508847061</t>
  </si>
  <si>
    <t>Charles Torregosa</t>
  </si>
  <si>
    <t>Angilan</t>
  </si>
  <si>
    <t>09983848036</t>
  </si>
  <si>
    <t>Ricardo Medel</t>
  </si>
  <si>
    <t>09364541952</t>
  </si>
  <si>
    <t>Omar Bogais</t>
  </si>
  <si>
    <t>09554562332</t>
  </si>
  <si>
    <t>Catoogan</t>
  </si>
  <si>
    <t>Danilo Balonga</t>
  </si>
  <si>
    <t>Sto. Tomas</t>
  </si>
  <si>
    <t>09487557114</t>
  </si>
  <si>
    <t>Henry Olavides</t>
  </si>
  <si>
    <t>Panas</t>
  </si>
  <si>
    <t>09085545581</t>
  </si>
  <si>
    <t>Gerlit Bajao</t>
  </si>
  <si>
    <t>Canjulao</t>
  </si>
  <si>
    <t>09466055030</t>
  </si>
  <si>
    <t>Riza Revilla</t>
  </si>
  <si>
    <t>09126485200</t>
  </si>
  <si>
    <t>Lydio Suarez</t>
  </si>
  <si>
    <t>Tambooc</t>
  </si>
  <si>
    <t>09050736414</t>
  </si>
  <si>
    <t>Princess Queenie Buma-at</t>
  </si>
  <si>
    <t>09077971721</t>
  </si>
  <si>
    <t>Ma. Gina Lumapas</t>
  </si>
  <si>
    <t>09977258918</t>
  </si>
  <si>
    <t>339,050 pcs.</t>
  </si>
  <si>
    <t>9,100 pcs.</t>
  </si>
  <si>
    <t>160 pcs.</t>
  </si>
  <si>
    <t>5,850 pcs.</t>
  </si>
  <si>
    <t>322 pcs.</t>
  </si>
  <si>
    <t>31,917 sq.m.</t>
  </si>
  <si>
    <r>
      <rPr>
        <sz val="10"/>
        <color theme="1"/>
        <rFont val="Arial"/>
      </rPr>
      <t>Total No. Of Beneficiaries:</t>
    </r>
    <r>
      <rPr>
        <sz val="10"/>
        <color rgb="FFFF0000"/>
        <rFont val="Arial"/>
      </rPr>
      <t xml:space="preserve"> 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</si>
  <si>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</si>
  <si>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Female: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</si>
  <si>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Others:(S.C./PWD)</t>
    </r>
    <r>
      <rPr>
        <u/>
        <sz val="10"/>
        <color theme="1"/>
        <rFont val="Arial"/>
      </rPr>
      <t xml:space="preserve"> </t>
    </r>
  </si>
  <si>
    <t>LGU - San Isidro</t>
  </si>
  <si>
    <t>Bonie Mantabute</t>
  </si>
  <si>
    <t>Songculan</t>
  </si>
  <si>
    <t>Dawis</t>
  </si>
  <si>
    <t>09177685176</t>
  </si>
  <si>
    <t>Rey Hongayo</t>
  </si>
  <si>
    <t>LGU - Jagna</t>
  </si>
  <si>
    <t>09128787359</t>
  </si>
  <si>
    <t>Jaime Babanto</t>
  </si>
  <si>
    <t>52,500 pcs.</t>
  </si>
  <si>
    <r>
      <rPr>
        <sz val="9"/>
        <color theme="1"/>
        <rFont val="Arial"/>
      </rPr>
      <t>Ornamental Fish:</t>
    </r>
    <r>
      <rPr>
        <u/>
        <sz val="9"/>
        <color theme="1"/>
        <rFont val="Arial"/>
      </rPr>
      <t xml:space="preserve"> </t>
    </r>
  </si>
  <si>
    <r>
      <rPr>
        <sz val="9"/>
        <color theme="1"/>
        <rFont val="Arial"/>
      </rPr>
      <t xml:space="preserve">  Brackishwater:</t>
    </r>
    <r>
      <rPr>
        <u/>
        <sz val="9"/>
        <color theme="1"/>
        <rFont val="Arial"/>
      </rPr>
      <t xml:space="preserve"> </t>
    </r>
  </si>
  <si>
    <t xml:space="preserve">                   July 2021</t>
  </si>
  <si>
    <t>Total No. Of Beneficiaries: 315</t>
  </si>
  <si>
    <r>
      <rPr>
        <sz val="10"/>
        <color theme="1"/>
        <rFont val="Arial"/>
      </rPr>
      <t xml:space="preserve">Others:(S.C./PWD): </t>
    </r>
    <r>
      <rPr>
        <b/>
        <u/>
        <sz val="10"/>
        <color rgb="FFFF0000"/>
        <rFont val="Arial"/>
      </rPr>
      <t>38</t>
    </r>
  </si>
  <si>
    <t>Carlos Pajardo</t>
  </si>
  <si>
    <t>09952540936</t>
  </si>
  <si>
    <t>Joseph Bongato</t>
  </si>
  <si>
    <t>Marcelo Melecio</t>
  </si>
  <si>
    <t>Bryan Nico Buan</t>
  </si>
  <si>
    <t>Poblacion Norte</t>
  </si>
  <si>
    <t>09075255642</t>
  </si>
  <si>
    <t>Hiro Morales</t>
  </si>
  <si>
    <t>Quinogitan</t>
  </si>
  <si>
    <t>09977924560</t>
  </si>
  <si>
    <t>Lemuel Maldora</t>
  </si>
  <si>
    <t>09078886113</t>
  </si>
  <si>
    <t>Jonas Redoble</t>
  </si>
  <si>
    <t>09951960278</t>
  </si>
  <si>
    <t>Boy Gudes</t>
  </si>
  <si>
    <t>09957545200</t>
  </si>
  <si>
    <t>Michael Asoy</t>
  </si>
  <si>
    <t>09105082724</t>
  </si>
  <si>
    <t>Ma. Mae Camposo</t>
  </si>
  <si>
    <t>09956910029</t>
  </si>
  <si>
    <t>Alvin Cellan</t>
  </si>
  <si>
    <t>09488700678</t>
  </si>
  <si>
    <t>Amount</t>
  </si>
  <si>
    <t>C. carp</t>
  </si>
  <si>
    <t>Richard Torreon</t>
  </si>
  <si>
    <t>09655773655</t>
  </si>
  <si>
    <t>Simplicio Maputol</t>
  </si>
  <si>
    <t>09296603585</t>
  </si>
  <si>
    <t>John Rey Lomosbog</t>
  </si>
  <si>
    <t>Dagnahaw</t>
  </si>
  <si>
    <t>Victoria Tutor</t>
  </si>
  <si>
    <t>Rogelio Ampong</t>
  </si>
  <si>
    <t>09104254704</t>
  </si>
  <si>
    <t>Ronald Valentos</t>
  </si>
  <si>
    <t>Matth Deguiñon</t>
  </si>
  <si>
    <t>09753132298</t>
  </si>
  <si>
    <t>Dennis Patagamao</t>
  </si>
  <si>
    <t>Jenniel Ocay</t>
  </si>
  <si>
    <t>09770869487</t>
  </si>
  <si>
    <t>Ryan Garcia</t>
  </si>
  <si>
    <t>09365295487</t>
  </si>
  <si>
    <t>Reynaldo Lanutan</t>
  </si>
  <si>
    <t>09207909249</t>
  </si>
  <si>
    <t>Felomino Biba</t>
  </si>
  <si>
    <t>Marilyn Simbajon</t>
  </si>
  <si>
    <t>09385134095</t>
  </si>
  <si>
    <t>Lucresio Bitang</t>
  </si>
  <si>
    <t>0999495569</t>
  </si>
  <si>
    <t>Junefred Lumayag</t>
  </si>
  <si>
    <t>09064224936</t>
  </si>
  <si>
    <t>Elena Mondedo</t>
  </si>
  <si>
    <t>09634487837</t>
  </si>
  <si>
    <t>Angelie Delerio</t>
  </si>
  <si>
    <t>09207600242</t>
  </si>
  <si>
    <t>Roger Enobio</t>
  </si>
  <si>
    <t>Guimbothan</t>
  </si>
  <si>
    <t>Joel Gamale</t>
  </si>
  <si>
    <t>Joeny Mabunag</t>
  </si>
  <si>
    <t>Gener Acodili</t>
  </si>
  <si>
    <t>Andy Bongasiso</t>
  </si>
  <si>
    <t>09098806193</t>
  </si>
  <si>
    <t>Rey Bongasiso</t>
  </si>
  <si>
    <t>Cesario Ciroy</t>
  </si>
  <si>
    <t>09169247715</t>
  </si>
  <si>
    <t>Stephen Logronio</t>
  </si>
  <si>
    <t>Rob Simpson</t>
  </si>
  <si>
    <t>Tangnan</t>
  </si>
  <si>
    <t>09291668019</t>
  </si>
  <si>
    <t>Ramel regidor</t>
  </si>
  <si>
    <t>09099491266</t>
  </si>
  <si>
    <t>David Tirol</t>
  </si>
  <si>
    <t>Ruben Milagrosa</t>
  </si>
  <si>
    <t>09308913183</t>
  </si>
  <si>
    <t>Carmelito Lamoste</t>
  </si>
  <si>
    <t>09304869982</t>
  </si>
  <si>
    <t>Ruel Renopal</t>
  </si>
  <si>
    <t>Nolasco Ligaspo</t>
  </si>
  <si>
    <t>09099337746</t>
  </si>
  <si>
    <t>jacinto Crujido</t>
  </si>
  <si>
    <t>09168946137</t>
  </si>
  <si>
    <t>Oscar Baldesco</t>
  </si>
  <si>
    <t>Libertad Sur</t>
  </si>
  <si>
    <t>09207816800</t>
  </si>
  <si>
    <t>Alwin Remorosa</t>
  </si>
  <si>
    <t>09484774112</t>
  </si>
  <si>
    <t>John Tirol</t>
  </si>
  <si>
    <t>09554563752</t>
  </si>
  <si>
    <t>Benjamin Ajoc</t>
  </si>
  <si>
    <t>09610464996</t>
  </si>
  <si>
    <t>Raymonda Torreon</t>
  </si>
  <si>
    <t>Cabiguhan</t>
  </si>
  <si>
    <t>09511279179</t>
  </si>
  <si>
    <t>Nobolio Macalandog</t>
  </si>
  <si>
    <t>09153554182</t>
  </si>
  <si>
    <t>Ricardo Nivel</t>
  </si>
  <si>
    <t>Domingo Gonzalos</t>
  </si>
  <si>
    <t>09486700013</t>
  </si>
  <si>
    <t>Remegio Orig</t>
  </si>
  <si>
    <t>Bahay</t>
  </si>
  <si>
    <t>09317862967</t>
  </si>
  <si>
    <t>Rodrigo Niepes</t>
  </si>
  <si>
    <t>Russel Genita</t>
  </si>
  <si>
    <t>09095757610</t>
  </si>
  <si>
    <t>Franklin Bongato</t>
  </si>
  <si>
    <t>09504745235</t>
  </si>
  <si>
    <t>Saldy Canoy</t>
  </si>
  <si>
    <t>09365629939</t>
  </si>
  <si>
    <t>Elena Gomapac</t>
  </si>
  <si>
    <t>09753942649</t>
  </si>
  <si>
    <t>Alexander Lumagod</t>
  </si>
  <si>
    <t>09355520123</t>
  </si>
  <si>
    <t>Aster Aparece</t>
  </si>
  <si>
    <t>09061050568</t>
  </si>
  <si>
    <t>Yolanda Socoren</t>
  </si>
  <si>
    <t>09638745843</t>
  </si>
  <si>
    <t>Pablo Nogalada</t>
  </si>
  <si>
    <t>09105019663</t>
  </si>
  <si>
    <t>Ramel Lansang</t>
  </si>
  <si>
    <t>09286808202</t>
  </si>
  <si>
    <t>Lilia Racho</t>
  </si>
  <si>
    <t>09486371044</t>
  </si>
  <si>
    <t>Justin Canada</t>
  </si>
  <si>
    <t>09301811551</t>
  </si>
  <si>
    <t>Ernie Bolinao</t>
  </si>
  <si>
    <t>09686353267</t>
  </si>
  <si>
    <t>Jong Lungay</t>
  </si>
  <si>
    <t>09383737761</t>
  </si>
  <si>
    <t>Felix Polinar</t>
  </si>
  <si>
    <t>09753211656</t>
  </si>
  <si>
    <t>Clemente Torreon</t>
  </si>
  <si>
    <t>09318762517</t>
  </si>
  <si>
    <t>John Elbert Gutierez</t>
  </si>
  <si>
    <t>09104354211</t>
  </si>
  <si>
    <t>Merlinda Baba</t>
  </si>
  <si>
    <t>09265579596</t>
  </si>
  <si>
    <t>Jondel Orapa</t>
  </si>
  <si>
    <t>09308396498</t>
  </si>
  <si>
    <t>Michael Mok</t>
  </si>
  <si>
    <t>Christopher Torreon</t>
  </si>
  <si>
    <t>09081725445</t>
  </si>
  <si>
    <t>Ignacio Villaces</t>
  </si>
  <si>
    <t>09469960383</t>
  </si>
  <si>
    <t>Edie Alvar</t>
  </si>
  <si>
    <t>09634887478</t>
  </si>
  <si>
    <t>Jay Degamo</t>
  </si>
  <si>
    <t>Antonio Cimene</t>
  </si>
  <si>
    <t>Cang-iras</t>
  </si>
  <si>
    <t>Nelson Amodia</t>
  </si>
  <si>
    <t>09508839444</t>
  </si>
  <si>
    <t>Isagani Flores</t>
  </si>
  <si>
    <t>09094869724</t>
  </si>
  <si>
    <t>Rogelio Gementiza</t>
  </si>
  <si>
    <t>09309895457</t>
  </si>
  <si>
    <t>Ramil Escarten</t>
  </si>
  <si>
    <t>Diviano Basio</t>
  </si>
  <si>
    <t>09294211100</t>
  </si>
  <si>
    <t>Leneth Octobre</t>
  </si>
  <si>
    <t>09318363137</t>
  </si>
  <si>
    <t>Macaria Tacmoy</t>
  </si>
  <si>
    <t>09380776918</t>
  </si>
  <si>
    <t>Pamie Espinal</t>
  </si>
  <si>
    <t>Poblacion Sur</t>
  </si>
  <si>
    <t>09382832913</t>
  </si>
  <si>
    <t>Anecita Quiao</t>
  </si>
  <si>
    <t>El Salvador</t>
  </si>
  <si>
    <t>09466881371</t>
  </si>
  <si>
    <t>Alberto Belamia</t>
  </si>
  <si>
    <t>09263412195</t>
  </si>
  <si>
    <t>Serviliano Torreon</t>
  </si>
  <si>
    <t>Cagayan</t>
  </si>
  <si>
    <t>09307826238</t>
  </si>
  <si>
    <t>Edgar Aladad</t>
  </si>
  <si>
    <t>09079042472</t>
  </si>
  <si>
    <t>Albert Lianto</t>
  </si>
  <si>
    <t>09095711288</t>
  </si>
  <si>
    <t>Jimmy Leonar</t>
  </si>
  <si>
    <t>Christopher Melencion</t>
  </si>
  <si>
    <t>09554291845</t>
  </si>
  <si>
    <t>Floriano Boncales</t>
  </si>
  <si>
    <t>09489851831</t>
  </si>
  <si>
    <t>Gerry Sarabosing</t>
  </si>
  <si>
    <t>Juagdan</t>
  </si>
  <si>
    <t>09351279131</t>
  </si>
  <si>
    <t>Gilbert Oloden</t>
  </si>
  <si>
    <t>09507934679</t>
  </si>
  <si>
    <t>Arlen Gamos</t>
  </si>
  <si>
    <t>Cambuyo</t>
  </si>
  <si>
    <t>G. Hernandez</t>
  </si>
  <si>
    <t>09488837345</t>
  </si>
  <si>
    <t>Marigo Amihan</t>
  </si>
  <si>
    <t>09091624646</t>
  </si>
  <si>
    <t>Susan Olaivar</t>
  </si>
  <si>
    <t>Babag</t>
  </si>
  <si>
    <t>09497361462</t>
  </si>
  <si>
    <t>Luciano Batuon</t>
  </si>
  <si>
    <t>09364539628</t>
  </si>
  <si>
    <t>Simplicio Balonga Jr.</t>
  </si>
  <si>
    <t>09558501973</t>
  </si>
  <si>
    <t>Ramil Sumipo</t>
  </si>
  <si>
    <t>09668876134</t>
  </si>
  <si>
    <t>Canor Bitasolo</t>
  </si>
  <si>
    <t>09487129925</t>
  </si>
  <si>
    <t>Ben Gubat</t>
  </si>
  <si>
    <t>09275787588</t>
  </si>
  <si>
    <t>Jocielo Anota</t>
  </si>
  <si>
    <t>09677481776</t>
  </si>
  <si>
    <t>Samuel Torrenueva</t>
  </si>
  <si>
    <t>Baluarte</t>
  </si>
  <si>
    <t>09055360907</t>
  </si>
  <si>
    <t>Pedro Guisihan</t>
  </si>
  <si>
    <t>09052591827</t>
  </si>
  <si>
    <t>Rufino Galieto</t>
  </si>
  <si>
    <t>Siera Bullones</t>
  </si>
  <si>
    <t>09485245263</t>
  </si>
  <si>
    <t>Benjamin Buslon</t>
  </si>
  <si>
    <t>09507028946</t>
  </si>
  <si>
    <t>Manuelito Pando</t>
  </si>
  <si>
    <t>09462335763</t>
  </si>
  <si>
    <t>Willam Bequerfo</t>
  </si>
  <si>
    <t>09507039218</t>
  </si>
  <si>
    <t>Nilo Miras</t>
  </si>
  <si>
    <t>09177086560</t>
  </si>
  <si>
    <t>09477831819</t>
  </si>
  <si>
    <t>Corazon Atuil</t>
  </si>
  <si>
    <t>Jao Bahinting</t>
  </si>
  <si>
    <t>09682397765</t>
  </si>
  <si>
    <t>Dulce Tagsip</t>
  </si>
  <si>
    <t>09974098362</t>
  </si>
  <si>
    <t>Dindo dela Cerna</t>
  </si>
  <si>
    <t>09122531695</t>
  </si>
  <si>
    <t>Loyn Ombojin</t>
  </si>
  <si>
    <t>09516138965</t>
  </si>
  <si>
    <t>Vicenteco Espiñol</t>
  </si>
  <si>
    <t>09556316380</t>
  </si>
  <si>
    <t>Benjamin Nuez</t>
  </si>
  <si>
    <t>09300149429</t>
  </si>
  <si>
    <t>Roland Meñez</t>
  </si>
  <si>
    <t>09388292353</t>
  </si>
  <si>
    <t>Anecito Olarita</t>
  </si>
  <si>
    <t>La Esperanza</t>
  </si>
  <si>
    <t>09501239227</t>
  </si>
  <si>
    <t>Marlo Maligro</t>
  </si>
  <si>
    <t>Causwagan Norte</t>
  </si>
  <si>
    <t>09273075568</t>
  </si>
  <si>
    <t>Mariam Jovisano</t>
  </si>
  <si>
    <t>09075799641</t>
  </si>
  <si>
    <t>Arjay Budiongan</t>
  </si>
  <si>
    <t>09638755980</t>
  </si>
  <si>
    <t>Abundio Caloyloy</t>
  </si>
  <si>
    <t>Elmar Igcalinos</t>
  </si>
  <si>
    <t>09483300241</t>
  </si>
  <si>
    <t>Ariel Blanco</t>
  </si>
  <si>
    <t>09096641920</t>
  </si>
  <si>
    <t>Benedicto Tagadiad</t>
  </si>
  <si>
    <t>09102327215</t>
  </si>
  <si>
    <t>Rogen Ompoy</t>
  </si>
  <si>
    <t>09154289747</t>
  </si>
  <si>
    <t>Julius Cabug-os</t>
  </si>
  <si>
    <t>09616180891</t>
  </si>
  <si>
    <t>Susana Bucat</t>
  </si>
  <si>
    <t>09285814987</t>
  </si>
  <si>
    <t>Leonila Alimpolos</t>
  </si>
  <si>
    <t>09128438290</t>
  </si>
  <si>
    <t>Elionida Santiago</t>
  </si>
  <si>
    <t>09056028149</t>
  </si>
  <si>
    <t>Jerry Caminade</t>
  </si>
  <si>
    <t>09094558145</t>
  </si>
  <si>
    <t>Gercon Amarille</t>
  </si>
  <si>
    <t>09266111718</t>
  </si>
  <si>
    <t>Leoncio Quitoriano</t>
  </si>
  <si>
    <t>09261876771</t>
  </si>
  <si>
    <t>Mariano Aninipot</t>
  </si>
  <si>
    <t>09466113544</t>
  </si>
  <si>
    <t>Mabel Espirito</t>
  </si>
  <si>
    <t>Montesunting</t>
  </si>
  <si>
    <t>09129737847</t>
  </si>
  <si>
    <t>John Estorio</t>
  </si>
  <si>
    <t>09674311882</t>
  </si>
  <si>
    <t>Mario Mandin</t>
  </si>
  <si>
    <t>09098985638</t>
  </si>
  <si>
    <t>Rex Augis</t>
  </si>
  <si>
    <t>09674191404</t>
  </si>
  <si>
    <t>Vilmalyn Melencion</t>
  </si>
  <si>
    <t>09162971312</t>
  </si>
  <si>
    <t>Maribie Mintalar</t>
  </si>
  <si>
    <t>09384759857</t>
  </si>
  <si>
    <t>Michael Orapa</t>
  </si>
  <si>
    <t>09077654947</t>
  </si>
  <si>
    <t>Regie Sendrijas</t>
  </si>
  <si>
    <t>09463681542</t>
  </si>
  <si>
    <t>Aljay Amodia</t>
  </si>
  <si>
    <t>09283112925</t>
  </si>
  <si>
    <t>Joralyn Sagaray</t>
  </si>
  <si>
    <t>09385995392</t>
  </si>
  <si>
    <t>Bonne Alipoyo</t>
  </si>
  <si>
    <t>09063295521</t>
  </si>
  <si>
    <t>Geral Feth Periz</t>
  </si>
  <si>
    <t>09271510164</t>
  </si>
  <si>
    <t>Poblacion East</t>
  </si>
  <si>
    <t>09104733445</t>
  </si>
  <si>
    <t>Mirabel Margate</t>
  </si>
  <si>
    <t>09679264141</t>
  </si>
  <si>
    <t>Alfredo Bagolor</t>
  </si>
  <si>
    <t>Roger Ompoy Jr.</t>
  </si>
  <si>
    <t>09261423827</t>
  </si>
  <si>
    <t>Lenny Caldoza</t>
  </si>
  <si>
    <t>09399282972</t>
  </si>
  <si>
    <t>Luis Boncales</t>
  </si>
  <si>
    <t>bayong</t>
  </si>
  <si>
    <t>09056336768</t>
  </si>
  <si>
    <t>Raymond Vistal</t>
  </si>
  <si>
    <t>09099167921</t>
  </si>
  <si>
    <t>Jean Irene Lofranco</t>
  </si>
  <si>
    <t>09306810869</t>
  </si>
  <si>
    <t>Apolonio Avelino</t>
  </si>
  <si>
    <t>Emmanuel melencion</t>
  </si>
  <si>
    <t>09273492137</t>
  </si>
  <si>
    <t>Mark Joseph Danghul</t>
  </si>
  <si>
    <t>Warren Aparece</t>
  </si>
  <si>
    <t>09638730846</t>
  </si>
  <si>
    <t>Anastacio Niñolas</t>
  </si>
  <si>
    <t>09104601274</t>
  </si>
  <si>
    <t>Donald Namanam</t>
  </si>
  <si>
    <t>09368449122</t>
  </si>
  <si>
    <t>Freelan Calipayan</t>
  </si>
  <si>
    <t>09098514396</t>
  </si>
  <si>
    <t>Antonio Nuñez</t>
  </si>
  <si>
    <t>09120787936</t>
  </si>
  <si>
    <t>Sandy Gulay</t>
  </si>
  <si>
    <t>Sawang</t>
  </si>
  <si>
    <t>09273867800</t>
  </si>
  <si>
    <t>Stella Ariglado</t>
  </si>
  <si>
    <t>09107562710</t>
  </si>
  <si>
    <t>Jose Ombayan</t>
  </si>
  <si>
    <t>Cangmundo</t>
  </si>
  <si>
    <t>09468952161</t>
  </si>
  <si>
    <t>Jorge Lumiguid</t>
  </si>
  <si>
    <t>Cabanugan</t>
  </si>
  <si>
    <t>09265576490</t>
  </si>
  <si>
    <t>Victor Aninipot</t>
  </si>
  <si>
    <t>Reynaldo Pelicot</t>
  </si>
  <si>
    <t>09384696974</t>
  </si>
  <si>
    <t>Joel Lumiguid</t>
  </si>
  <si>
    <t>Miguel Jumawid</t>
  </si>
  <si>
    <t>09385150338</t>
  </si>
  <si>
    <t>Danilo camporidondo</t>
  </si>
  <si>
    <t>09554075591</t>
  </si>
  <si>
    <t>Joy Pelamin</t>
  </si>
  <si>
    <t>09477663621</t>
  </si>
  <si>
    <t>09302614551</t>
  </si>
  <si>
    <t>Richard dela Peña</t>
  </si>
  <si>
    <t>09104605526</t>
  </si>
  <si>
    <t>Benjamin Limocon</t>
  </si>
  <si>
    <t>09219784728</t>
  </si>
  <si>
    <t>Roselier Estorion</t>
  </si>
  <si>
    <t>09658296642</t>
  </si>
  <si>
    <t>Calinginan</t>
  </si>
  <si>
    <t>09391728002</t>
  </si>
  <si>
    <t>Lito Balili</t>
  </si>
  <si>
    <t>09307843040</t>
  </si>
  <si>
    <t>Riel Adams Melloria</t>
  </si>
  <si>
    <t>Ilaud</t>
  </si>
  <si>
    <t>09516142108</t>
  </si>
  <si>
    <t>Erlinda Ombajin</t>
  </si>
  <si>
    <t>09102646862</t>
  </si>
  <si>
    <t>Gerbe Lauron</t>
  </si>
  <si>
    <t>Ma. Rocile Angela P. Josol</t>
  </si>
  <si>
    <t>09684348537</t>
  </si>
  <si>
    <t>Roque Ombay</t>
  </si>
  <si>
    <t>Haguilanan</t>
  </si>
  <si>
    <t>09460850694</t>
  </si>
  <si>
    <t>Dioscoro Mahumot</t>
  </si>
  <si>
    <t>09481928327</t>
  </si>
  <si>
    <t>Lucio Vito</t>
  </si>
  <si>
    <t>Caugmundo</t>
  </si>
  <si>
    <t>Jason Millan</t>
  </si>
  <si>
    <t>09096933385</t>
  </si>
  <si>
    <t>Romeo Jumamoy</t>
  </si>
  <si>
    <t>09650527796</t>
  </si>
  <si>
    <t>Janith Auirre</t>
  </si>
  <si>
    <t>09179507654</t>
  </si>
  <si>
    <t>Roderick Orpesano</t>
  </si>
  <si>
    <t>Bagtik</t>
  </si>
  <si>
    <t>09486184485</t>
  </si>
  <si>
    <t>Reagan Degamo</t>
  </si>
  <si>
    <t>09307659344</t>
  </si>
  <si>
    <t>Catalino Degamo</t>
  </si>
  <si>
    <t>Dante Golez</t>
  </si>
  <si>
    <t>09357654604</t>
  </si>
  <si>
    <t>Temoteo Man-on</t>
  </si>
  <si>
    <t>09103886911</t>
  </si>
  <si>
    <t>09364538432</t>
  </si>
  <si>
    <t>Dolores Tanodra</t>
  </si>
  <si>
    <t>09307565382</t>
  </si>
  <si>
    <t>09504168895</t>
  </si>
  <si>
    <t>Arnel Lomod</t>
  </si>
  <si>
    <t>09126568462</t>
  </si>
  <si>
    <t>Edgar Pacaldo</t>
  </si>
  <si>
    <t>09616508790</t>
  </si>
  <si>
    <t>Lemuel Ceroy</t>
  </si>
  <si>
    <t>09092424776</t>
  </si>
  <si>
    <t>Lucino Quiao</t>
  </si>
  <si>
    <t>09485948517</t>
  </si>
  <si>
    <t>09267812525</t>
  </si>
  <si>
    <t>Jerrylito Mira</t>
  </si>
  <si>
    <t>Tigbao</t>
  </si>
  <si>
    <t>09127878289</t>
  </si>
  <si>
    <t>Aldrian Añana</t>
  </si>
  <si>
    <t>09095090625</t>
  </si>
  <si>
    <t>Sosia Mondano</t>
  </si>
  <si>
    <t>09485948676</t>
  </si>
  <si>
    <t>John Antigo</t>
  </si>
  <si>
    <t>09506070460</t>
  </si>
  <si>
    <t>Philip Sullano</t>
  </si>
  <si>
    <t>Lundag</t>
  </si>
  <si>
    <t>09509333587</t>
  </si>
  <si>
    <t>Helina Dumajil</t>
  </si>
  <si>
    <t>09264046885</t>
  </si>
  <si>
    <t>Armando Motoc</t>
  </si>
  <si>
    <t>09676839598</t>
  </si>
  <si>
    <t>Dionesia Lorenia</t>
  </si>
  <si>
    <t>09655140638</t>
  </si>
  <si>
    <t>Lougene Gensianos</t>
  </si>
  <si>
    <t>Mantalongon</t>
  </si>
  <si>
    <t>09358288500</t>
  </si>
  <si>
    <t>Mervin Palva</t>
  </si>
  <si>
    <t>09105582839</t>
  </si>
  <si>
    <t>Diosdado Salces</t>
  </si>
  <si>
    <t>09237084231</t>
  </si>
  <si>
    <t>Rene Cano</t>
  </si>
  <si>
    <t>09611283196</t>
  </si>
  <si>
    <t>Aaron Pogoy</t>
  </si>
  <si>
    <t>09519978641</t>
  </si>
  <si>
    <t>Zosima Bautista</t>
  </si>
  <si>
    <t>09753944438</t>
  </si>
  <si>
    <t>Lita Macarayan</t>
  </si>
  <si>
    <t>09776229969</t>
  </si>
  <si>
    <t>Benjamin Niñolas</t>
  </si>
  <si>
    <t>09058611503</t>
  </si>
  <si>
    <t>Peter Paul Lucresio</t>
  </si>
  <si>
    <t>09364101473</t>
  </si>
  <si>
    <t>Gino Buyan</t>
  </si>
  <si>
    <t>09562233487</t>
  </si>
  <si>
    <t>Cris Roslinda</t>
  </si>
  <si>
    <t>09507021844</t>
  </si>
  <si>
    <t>Samuel Lucero</t>
  </si>
  <si>
    <t>09534236859</t>
  </si>
  <si>
    <t>Rolando Rodel</t>
  </si>
  <si>
    <t>09464601100</t>
  </si>
  <si>
    <t>Jaymar Tagopa</t>
  </si>
  <si>
    <t>09066056809</t>
  </si>
  <si>
    <t>Ireneo Barnido</t>
  </si>
  <si>
    <t>09169414231</t>
  </si>
  <si>
    <t>Romeo Jibahib</t>
  </si>
  <si>
    <t>Tan-awan</t>
  </si>
  <si>
    <t>09632285376</t>
  </si>
  <si>
    <t>Agustin Roperos</t>
  </si>
  <si>
    <t>09099454771</t>
  </si>
  <si>
    <t>Ramil Regedor</t>
  </si>
  <si>
    <t>Edwin Balasamos</t>
  </si>
  <si>
    <t>09269960593</t>
  </si>
  <si>
    <t>Emma Lumaran</t>
  </si>
  <si>
    <t>09639006759</t>
  </si>
  <si>
    <t>09976756888</t>
  </si>
  <si>
    <t>Honeylyn Garcera</t>
  </si>
  <si>
    <t>Loyd Bernante</t>
  </si>
  <si>
    <t>09668046855</t>
  </si>
  <si>
    <t>Aljun MacabudbuD</t>
  </si>
  <si>
    <t>09512083756</t>
  </si>
  <si>
    <t>Charissa Chloe Jumawid</t>
  </si>
  <si>
    <t>09166819959</t>
  </si>
  <si>
    <t>Rolando Perodo</t>
  </si>
  <si>
    <t>09352568912</t>
  </si>
  <si>
    <t>Adelo Dalagan</t>
  </si>
  <si>
    <t>Rumolo Cosmo Jr.</t>
  </si>
  <si>
    <t>09639013225</t>
  </si>
  <si>
    <t>Erwin Suy</t>
  </si>
  <si>
    <t>Ambuan</t>
  </si>
  <si>
    <t>09361184352</t>
  </si>
  <si>
    <t>Biolita Parahinog</t>
  </si>
  <si>
    <t>09489935575</t>
  </si>
  <si>
    <t>Gilbert Ogario</t>
  </si>
  <si>
    <t>Bayong</t>
  </si>
  <si>
    <t>09101920695</t>
  </si>
  <si>
    <t>Lixcel Cahulogan</t>
  </si>
  <si>
    <t>09106828318</t>
  </si>
  <si>
    <t>Irma Villa nueva</t>
  </si>
  <si>
    <t>09209155972</t>
  </si>
  <si>
    <t>Serelle Reyes</t>
  </si>
  <si>
    <t>09269368121</t>
  </si>
  <si>
    <t>Ester Suganob</t>
  </si>
  <si>
    <t>09109356109</t>
  </si>
  <si>
    <t>Demetria Helbero</t>
  </si>
  <si>
    <t>09303016484</t>
  </si>
  <si>
    <t>Gerlie Suello</t>
  </si>
  <si>
    <t>09303082093</t>
  </si>
  <si>
    <t>Michael Policios</t>
  </si>
  <si>
    <t>09487532867</t>
  </si>
  <si>
    <t>Marlk Arapoc</t>
  </si>
  <si>
    <t>Tiptip</t>
  </si>
  <si>
    <t>09178126649</t>
  </si>
  <si>
    <t>Teodolo Leornas</t>
  </si>
  <si>
    <t>Villanueva</t>
  </si>
  <si>
    <t>09563215797</t>
  </si>
  <si>
    <t>Edito Melicor</t>
  </si>
  <si>
    <t>Jonard Buntod</t>
  </si>
  <si>
    <t>Alfred Igcalinos</t>
  </si>
  <si>
    <t>09511298756</t>
  </si>
  <si>
    <t>Dodong Miano</t>
  </si>
  <si>
    <t>Brian Rejas</t>
  </si>
  <si>
    <t>09185452660</t>
  </si>
  <si>
    <t>Victorino Bojo</t>
  </si>
  <si>
    <t>Catigdas</t>
  </si>
  <si>
    <t>09298021963</t>
  </si>
  <si>
    <t>Rolando Mutoc</t>
  </si>
  <si>
    <t>09519931531</t>
  </si>
  <si>
    <t>Ares Mangmang</t>
  </si>
  <si>
    <t>09654875238</t>
  </si>
  <si>
    <t>Eutquio Mutoc</t>
  </si>
  <si>
    <t>Loreto Narisma</t>
  </si>
  <si>
    <t>09104446532</t>
  </si>
  <si>
    <t>Pelegrino Gaudulfos</t>
  </si>
  <si>
    <t>09099990467</t>
  </si>
  <si>
    <t>Arvin Justol</t>
  </si>
  <si>
    <t>09354230366</t>
  </si>
  <si>
    <t>Jake Wilton Aaron</t>
  </si>
  <si>
    <t>09104012347</t>
  </si>
  <si>
    <t>Anabelle Larido</t>
  </si>
  <si>
    <t>09484650107</t>
  </si>
  <si>
    <t>Elsa Batingal</t>
  </si>
  <si>
    <t>Patrocino</t>
  </si>
  <si>
    <t>09464659080</t>
  </si>
  <si>
    <t>Marvin Villarimo</t>
  </si>
  <si>
    <t>Tabalong</t>
  </si>
  <si>
    <t>09275681406</t>
  </si>
  <si>
    <t>Ritche Olmillo</t>
  </si>
  <si>
    <t>Abilihan</t>
  </si>
  <si>
    <t>09301359778</t>
  </si>
  <si>
    <t>Alocrecia Manlangit</t>
  </si>
  <si>
    <t>Sabino Tambis</t>
  </si>
  <si>
    <t>09512353896</t>
  </si>
  <si>
    <t>Crisologo Reyes</t>
  </si>
  <si>
    <t>09389253083</t>
  </si>
  <si>
    <t>Charles Mark Montañez</t>
  </si>
  <si>
    <t>09484432590</t>
  </si>
  <si>
    <t>Gerry Bernaldez</t>
  </si>
  <si>
    <t>Francis Lili</t>
  </si>
  <si>
    <t>09452226851</t>
  </si>
  <si>
    <t>Remedil Dabo</t>
  </si>
  <si>
    <t>Cogon Norte</t>
  </si>
  <si>
    <t>09287107999</t>
  </si>
  <si>
    <t>Vicente Gudito</t>
  </si>
  <si>
    <t>09104006613</t>
  </si>
  <si>
    <t>Gomesindo Colarte</t>
  </si>
  <si>
    <t>Malitbog</t>
  </si>
  <si>
    <t>Joseph Gimalan</t>
  </si>
  <si>
    <t>Doljo</t>
  </si>
  <si>
    <t>09085411838</t>
  </si>
  <si>
    <t>Marvin Jaum</t>
  </si>
  <si>
    <t>09123987638</t>
  </si>
  <si>
    <t>09161283095</t>
  </si>
  <si>
    <t>Cris Doria</t>
  </si>
  <si>
    <t>09198597655</t>
  </si>
  <si>
    <t>Mario Allen Oñes</t>
  </si>
  <si>
    <t>09062151974</t>
  </si>
  <si>
    <t>Novo S. Vaño</t>
  </si>
  <si>
    <t>Paulino Tangara</t>
  </si>
  <si>
    <t>09093707408</t>
  </si>
  <si>
    <t>Celso Amihan</t>
  </si>
  <si>
    <t>Dodong Carisosa</t>
  </si>
  <si>
    <t>09301862062</t>
  </si>
  <si>
    <t>Anecito Dapar</t>
  </si>
  <si>
    <t>09519975878</t>
  </si>
  <si>
    <t>Juliet Generalao</t>
  </si>
  <si>
    <t>09664584698</t>
  </si>
  <si>
    <t>Aiquem dela Torre</t>
  </si>
  <si>
    <t>09457629487</t>
  </si>
  <si>
    <t>Elvira Revira</t>
  </si>
  <si>
    <t>09104828767</t>
  </si>
  <si>
    <t>702,850 pcs.</t>
  </si>
  <si>
    <t>22,150 pcs.</t>
  </si>
  <si>
    <t>80 pcs</t>
  </si>
  <si>
    <t>2,850 pcs.</t>
  </si>
  <si>
    <t>327 pcs.</t>
  </si>
  <si>
    <t>5,150 pcs.</t>
  </si>
  <si>
    <t>100,671 sq.m.</t>
  </si>
  <si>
    <t xml:space="preserve">                  July 2021</t>
  </si>
  <si>
    <r>
      <rPr>
        <sz val="10"/>
        <color theme="1"/>
        <rFont val="Arial"/>
      </rPr>
      <t>Total No. Of Beneficiaries:</t>
    </r>
    <r>
      <rPr>
        <sz val="10"/>
        <color rgb="FFFF0000"/>
        <rFont val="Arial"/>
      </rPr>
      <t xml:space="preserve"> 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</si>
  <si>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</si>
  <si>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Female: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</si>
  <si>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Others:(S.C./PWD)</t>
    </r>
    <r>
      <rPr>
        <u/>
        <sz val="10"/>
        <color theme="1"/>
        <rFont val="Arial"/>
      </rPr>
      <t xml:space="preserve"> </t>
    </r>
  </si>
  <si>
    <t>Pangapasan</t>
  </si>
  <si>
    <t>09481071721</t>
  </si>
  <si>
    <t>09094418498</t>
  </si>
  <si>
    <t>Eddie Melejor</t>
  </si>
  <si>
    <t>MADAGPIA - (Mag-Uuma sa Dagohoy Pilar Assn.)</t>
  </si>
  <si>
    <t>092614509197</t>
  </si>
  <si>
    <t>Victor Emmanuel Pojas</t>
  </si>
  <si>
    <t>PFO - Cebu</t>
  </si>
  <si>
    <t>Cebu</t>
  </si>
  <si>
    <t>Edgar Delfin</t>
  </si>
  <si>
    <t>LGU - San Miguel</t>
  </si>
  <si>
    <t>09213998532</t>
  </si>
  <si>
    <t>Restituto Polo</t>
  </si>
  <si>
    <t>32,000 pcs.</t>
  </si>
  <si>
    <t>95,000 pcs</t>
  </si>
  <si>
    <r>
      <rPr>
        <sz val="9"/>
        <color theme="1"/>
        <rFont val="Arial"/>
      </rPr>
      <t>Ornamental Fish:</t>
    </r>
    <r>
      <rPr>
        <u/>
        <sz val="9"/>
        <color theme="1"/>
        <rFont val="Arial"/>
      </rPr>
      <t xml:space="preserve"> </t>
    </r>
  </si>
  <si>
    <t>30 pcs</t>
  </si>
  <si>
    <t>4,000 pcs</t>
  </si>
  <si>
    <r>
      <rPr>
        <sz val="9"/>
        <color theme="1"/>
        <rFont val="Arial"/>
      </rPr>
      <t xml:space="preserve">  Brackishwater:</t>
    </r>
    <r>
      <rPr>
        <u/>
        <sz val="9"/>
        <color theme="1"/>
        <rFont val="Arial"/>
      </rPr>
      <t xml:space="preserve"> </t>
    </r>
  </si>
  <si>
    <t xml:space="preserve">                   June 2021</t>
  </si>
  <si>
    <r>
      <rPr>
        <sz val="10"/>
        <color theme="1"/>
        <rFont val="Arial"/>
      </rPr>
      <t xml:space="preserve">Total No. Of Beneficiaries: </t>
    </r>
    <r>
      <rPr>
        <b/>
        <u/>
        <sz val="10"/>
        <color theme="1"/>
        <rFont val="Arial"/>
      </rPr>
      <t>195</t>
    </r>
  </si>
  <si>
    <r>
      <rPr>
        <sz val="10"/>
        <color theme="1"/>
        <rFont val="Arial"/>
      </rPr>
      <t xml:space="preserve">Others:(S.C./PWD): </t>
    </r>
    <r>
      <rPr>
        <b/>
        <u/>
        <sz val="10"/>
        <color theme="1"/>
        <rFont val="Arial"/>
      </rPr>
      <t>15</t>
    </r>
  </si>
  <si>
    <t>Loloy Espinal</t>
  </si>
  <si>
    <t>excel sold</t>
  </si>
  <si>
    <t>Reberta Pitago</t>
  </si>
  <si>
    <t>09278256620</t>
  </si>
  <si>
    <t>Chandy Laguros</t>
  </si>
  <si>
    <t>09074273911</t>
  </si>
  <si>
    <t>C.carp</t>
  </si>
  <si>
    <t>09773164676</t>
  </si>
  <si>
    <t>Fernando Tagopa</t>
  </si>
  <si>
    <t>09519282057</t>
  </si>
  <si>
    <t>Sotero Niones</t>
  </si>
  <si>
    <t>09752464846</t>
  </si>
  <si>
    <t>09518990488</t>
  </si>
  <si>
    <t>Edcel Villatima</t>
  </si>
  <si>
    <t>Norberto Torrenueva</t>
  </si>
  <si>
    <t>Salog</t>
  </si>
  <si>
    <t>09208871751</t>
  </si>
  <si>
    <t>salog</t>
  </si>
  <si>
    <t>Salome Uy</t>
  </si>
  <si>
    <t>09097764025</t>
  </si>
  <si>
    <t>Elmer Pangan</t>
  </si>
  <si>
    <t>09512355614</t>
  </si>
  <si>
    <t>Joseph Walawala</t>
  </si>
  <si>
    <t>Liberata Buaya</t>
  </si>
  <si>
    <t>09380062804</t>
  </si>
  <si>
    <t>Nestor Caga-is</t>
  </si>
  <si>
    <t>Joel Lumungsod</t>
  </si>
  <si>
    <t>09510776370</t>
  </si>
  <si>
    <t>Elizabeth Mandin</t>
  </si>
  <si>
    <t>Mahayag Norte</t>
  </si>
  <si>
    <t>09988504704</t>
  </si>
  <si>
    <t>Oliver Dimol</t>
  </si>
  <si>
    <t>09502608824</t>
  </si>
  <si>
    <t>Romualda Torreon</t>
  </si>
  <si>
    <t>09301359771</t>
  </si>
  <si>
    <t>Junior Cavilion</t>
  </si>
  <si>
    <t>09489876670</t>
  </si>
  <si>
    <r>
      <rPr>
        <sz val="11"/>
        <color theme="1"/>
        <rFont val="Calibri"/>
      </rPr>
      <t>Ni</t>
    </r>
    <r>
      <rPr>
        <sz val="11"/>
        <color theme="1"/>
        <rFont val="Calibri"/>
      </rPr>
      <t>ñ</t>
    </r>
    <r>
      <rPr>
        <sz val="12"/>
        <color theme="1"/>
        <rFont val="Calibri"/>
      </rPr>
      <t>o Batolanon</t>
    </r>
  </si>
  <si>
    <t>09302736383</t>
  </si>
  <si>
    <t>Francisco Balayaw</t>
  </si>
  <si>
    <t>Omar Hovero</t>
  </si>
  <si>
    <t>09652802641</t>
  </si>
  <si>
    <t>John Bongato</t>
  </si>
  <si>
    <t>Mark Bryan Tumanda</t>
  </si>
  <si>
    <t>09129265213</t>
  </si>
  <si>
    <t>Elmer Pongase</t>
  </si>
  <si>
    <t>09352176570</t>
  </si>
  <si>
    <t>Boy Ancog</t>
  </si>
  <si>
    <t>09668133868</t>
  </si>
  <si>
    <t>Omar Cuvero</t>
  </si>
  <si>
    <t>Marivic Patac</t>
  </si>
  <si>
    <t>09078467898</t>
  </si>
  <si>
    <t>Marcelino Edusma</t>
  </si>
  <si>
    <t>Ginoviva</t>
  </si>
  <si>
    <t>09368064996</t>
  </si>
  <si>
    <t>Linda Rosa</t>
  </si>
  <si>
    <t>09075437568</t>
  </si>
  <si>
    <t>Herbert Anto</t>
  </si>
  <si>
    <t>09516271996</t>
  </si>
  <si>
    <t>Momoy Wagas</t>
  </si>
  <si>
    <t>09106038827</t>
  </si>
  <si>
    <t>breeders</t>
  </si>
  <si>
    <t>Jethrone Colaste</t>
  </si>
  <si>
    <t>Anito Ybañez</t>
  </si>
  <si>
    <t>Julito Dumangas</t>
  </si>
  <si>
    <t>Cresenciano Torreon</t>
  </si>
  <si>
    <t>09207450588</t>
  </si>
  <si>
    <t>Jennefer Quilit</t>
  </si>
  <si>
    <t>Carlo Tamundoc</t>
  </si>
  <si>
    <t>Roldan Helo de Ala</t>
  </si>
  <si>
    <t>Paterno Bag-ao</t>
  </si>
  <si>
    <t>Breeders Excel</t>
  </si>
  <si>
    <t>Paciano Baro</t>
  </si>
  <si>
    <t>09103784911</t>
  </si>
  <si>
    <t>Salome Pasco</t>
  </si>
  <si>
    <t>Sinakayanan</t>
  </si>
  <si>
    <t>09616135787</t>
  </si>
  <si>
    <t>Noel Mindoro</t>
  </si>
  <si>
    <t>Patrocinio</t>
  </si>
  <si>
    <t>09099449170</t>
  </si>
  <si>
    <t>Jaime Cabrera</t>
  </si>
  <si>
    <t>Cambuhat</t>
  </si>
  <si>
    <t>09359775505</t>
  </si>
  <si>
    <t>Gregory Potoy</t>
  </si>
  <si>
    <t>Carlito Rogido</t>
  </si>
  <si>
    <t>09634876664</t>
  </si>
  <si>
    <t>0929421400</t>
  </si>
  <si>
    <t>Clinton Estillore</t>
  </si>
  <si>
    <t>Jay Caberio</t>
  </si>
  <si>
    <t>09632711250</t>
  </si>
  <si>
    <t>Bonita Cutillas</t>
  </si>
  <si>
    <t>Nestor Lomod</t>
  </si>
  <si>
    <t>09267810010</t>
  </si>
  <si>
    <t>Donaciano Logroño</t>
  </si>
  <si>
    <t>09509249201</t>
  </si>
  <si>
    <t>Joy Lumosbog</t>
  </si>
  <si>
    <t>09317864027</t>
  </si>
  <si>
    <t>09098931067</t>
  </si>
  <si>
    <t>Jaconias Bautista</t>
  </si>
  <si>
    <t>09510776398</t>
  </si>
  <si>
    <t>Gerry Pabe</t>
  </si>
  <si>
    <t>09079169843</t>
  </si>
  <si>
    <t>Jocelyn Bautista</t>
  </si>
  <si>
    <t>09301675365</t>
  </si>
  <si>
    <t>Jeorge Calago</t>
  </si>
  <si>
    <t>09121243090</t>
  </si>
  <si>
    <t>Ramil Tinahora</t>
  </si>
  <si>
    <t>09563366629</t>
  </si>
  <si>
    <t>Tarsilo Orapa</t>
  </si>
  <si>
    <t>Juliet Pasco</t>
  </si>
  <si>
    <t>09109125898</t>
  </si>
  <si>
    <t>Jimboy Cagadas</t>
  </si>
  <si>
    <t>09094298571</t>
  </si>
  <si>
    <t>Rex Tagaan</t>
  </si>
  <si>
    <t>09103934047</t>
  </si>
  <si>
    <t>Rene Josoc</t>
  </si>
  <si>
    <t>09309332216</t>
  </si>
  <si>
    <t>Ruel Niño</t>
  </si>
  <si>
    <t>Napo</t>
  </si>
  <si>
    <t>09512351750</t>
  </si>
  <si>
    <t>Ronald Iyana</t>
  </si>
  <si>
    <t>Juphil Loberternos</t>
  </si>
  <si>
    <t>09488848133</t>
  </si>
  <si>
    <t>Brian Ceña</t>
  </si>
  <si>
    <t>09384711060</t>
  </si>
  <si>
    <t>Jerome Patron</t>
  </si>
  <si>
    <t>09753954431</t>
  </si>
  <si>
    <t>Daryl Dumayac</t>
  </si>
  <si>
    <t>09272308214</t>
  </si>
  <si>
    <t>Juliano Gunetacio</t>
  </si>
  <si>
    <t>Capayas</t>
  </si>
  <si>
    <t>09380770575</t>
  </si>
  <si>
    <t>Melinda Baba</t>
  </si>
  <si>
    <t>09260828189</t>
  </si>
  <si>
    <t>John Loyd Bongato</t>
  </si>
  <si>
    <t>Rovelon Narciso</t>
  </si>
  <si>
    <t>Bantolinao</t>
  </si>
  <si>
    <t>09469725273</t>
  </si>
  <si>
    <t>Leonor Estrelloso</t>
  </si>
  <si>
    <t>09655664318</t>
  </si>
  <si>
    <t>Jenelyn Abasano</t>
  </si>
  <si>
    <t>09062536795</t>
  </si>
  <si>
    <t>Regan Socorin</t>
  </si>
  <si>
    <t>Corazon</t>
  </si>
  <si>
    <t>09463881637</t>
  </si>
  <si>
    <t>Sedrick Culaste</t>
  </si>
  <si>
    <t>09463697830</t>
  </si>
  <si>
    <t>Alfredo Vistal</t>
  </si>
  <si>
    <t>09466053827</t>
  </si>
  <si>
    <t>Victor Infiesto</t>
  </si>
  <si>
    <t>Luciana Busalanan</t>
  </si>
  <si>
    <t>Cang-oling</t>
  </si>
  <si>
    <t>Richard Timario</t>
  </si>
  <si>
    <t>Gabi</t>
  </si>
  <si>
    <t>09208741209</t>
  </si>
  <si>
    <t>Rogel Torrefiel</t>
  </si>
  <si>
    <t>Marvin Batolanon</t>
  </si>
  <si>
    <t>09508838988</t>
  </si>
  <si>
    <t>John Joseph Estillore</t>
  </si>
  <si>
    <t>09958295886</t>
  </si>
  <si>
    <t>Carlito Vedra</t>
  </si>
  <si>
    <t>09959502245</t>
  </si>
  <si>
    <r>
      <rPr>
        <sz val="10"/>
        <color theme="1"/>
        <rFont val="Arial"/>
      </rPr>
      <t>Romegio Yba</t>
    </r>
    <r>
      <rPr>
        <sz val="10"/>
        <color theme="1"/>
        <rFont val="Calibri"/>
      </rPr>
      <t>ñ</t>
    </r>
    <r>
      <rPr>
        <sz val="11"/>
        <color theme="1"/>
        <rFont val="Arial"/>
      </rPr>
      <t>ez</t>
    </r>
  </si>
  <si>
    <t>09468740491</t>
  </si>
  <si>
    <t>09971809561</t>
  </si>
  <si>
    <t>Reynaldo Responde</t>
  </si>
  <si>
    <t>09096600305</t>
  </si>
  <si>
    <t>Leo Balaba</t>
  </si>
  <si>
    <t>09638707824</t>
  </si>
  <si>
    <t>Joseph Simemes</t>
  </si>
  <si>
    <t>09274294510</t>
  </si>
  <si>
    <t>Jayson Oclida</t>
  </si>
  <si>
    <t>09101245929</t>
  </si>
  <si>
    <t>Chritopher Suaybaguio</t>
  </si>
  <si>
    <t>Cawayan</t>
  </si>
  <si>
    <t>Romerico Roluma</t>
  </si>
  <si>
    <t>09508938124</t>
  </si>
  <si>
    <t>Dexter Cempron</t>
  </si>
  <si>
    <t>09197720048</t>
  </si>
  <si>
    <r>
      <rPr>
        <sz val="10"/>
        <color theme="1"/>
        <rFont val="Arial"/>
      </rPr>
      <t>Lito Oma</t>
    </r>
    <r>
      <rPr>
        <sz val="10"/>
        <color theme="1"/>
        <rFont val="Calibri"/>
      </rPr>
      <t>ñ</t>
    </r>
    <r>
      <rPr>
        <sz val="11"/>
        <color theme="1"/>
        <rFont val="Arial"/>
      </rPr>
      <t>a</t>
    </r>
  </si>
  <si>
    <t>09215881701</t>
  </si>
  <si>
    <t>Gomersindo Colarte</t>
  </si>
  <si>
    <t>09464784618</t>
  </si>
  <si>
    <t>Elena Aclan</t>
  </si>
  <si>
    <t>09382718401</t>
  </si>
  <si>
    <t>Elipol Cagampang</t>
  </si>
  <si>
    <t>09091889760</t>
  </si>
  <si>
    <t>Ralph Mellomida</t>
  </si>
  <si>
    <t>09355976007</t>
  </si>
  <si>
    <t>Marlou Onbajin</t>
  </si>
  <si>
    <t>09501252455</t>
  </si>
  <si>
    <t>Japet Daro</t>
  </si>
  <si>
    <t>09266380571</t>
  </si>
  <si>
    <t>Abundio Cadoydoy</t>
  </si>
  <si>
    <t>Teodoro Cempron</t>
  </si>
  <si>
    <t>09083075473</t>
  </si>
  <si>
    <t>Cristina Logatoc</t>
  </si>
  <si>
    <t>09079093504</t>
  </si>
  <si>
    <t>Raph Jay Bongato</t>
  </si>
  <si>
    <t>09512072910</t>
  </si>
  <si>
    <t>Neka Naigue</t>
  </si>
  <si>
    <t>09352143791</t>
  </si>
  <si>
    <t>Joseph Ian Samputon</t>
  </si>
  <si>
    <t>09753890684</t>
  </si>
  <si>
    <t>Niño Cristal</t>
  </si>
  <si>
    <t>Melchor Balios</t>
  </si>
  <si>
    <t>09996789851</t>
  </si>
  <si>
    <t>Boboy Campuso</t>
  </si>
  <si>
    <t>Rotillo Melliza</t>
  </si>
  <si>
    <t>Resty Auza</t>
  </si>
  <si>
    <t>Richard Custodio</t>
  </si>
  <si>
    <t>09452611742</t>
  </si>
  <si>
    <t>Warren Macabubud</t>
  </si>
  <si>
    <t>09260885560</t>
  </si>
  <si>
    <t>Alfredo Henaez</t>
  </si>
  <si>
    <t>09501251142</t>
  </si>
  <si>
    <t>Claudio Lofranco</t>
  </si>
  <si>
    <t>09301675161</t>
  </si>
  <si>
    <t>Omar Cobero</t>
  </si>
  <si>
    <t>Aniceta Ucang</t>
  </si>
  <si>
    <t>09171520518</t>
  </si>
  <si>
    <t>Herbert Montana</t>
  </si>
  <si>
    <t>09105036771</t>
  </si>
  <si>
    <t>Harold Concha</t>
  </si>
  <si>
    <t>Bosongon</t>
  </si>
  <si>
    <t>09126536385</t>
  </si>
  <si>
    <t>Melchor Pasco</t>
  </si>
  <si>
    <t>Cabanogan</t>
  </si>
  <si>
    <t>Menyo Cambalon</t>
  </si>
  <si>
    <t>09207575769</t>
  </si>
  <si>
    <t>Ramel Jumamoy</t>
  </si>
  <si>
    <t>09276416212</t>
  </si>
  <si>
    <t>Loyd Dagohoy</t>
  </si>
  <si>
    <t>09094449955</t>
  </si>
  <si>
    <t>Jason dela Concepcion</t>
  </si>
  <si>
    <t>09488218196</t>
  </si>
  <si>
    <t>Maryjoy Margatinez</t>
  </si>
  <si>
    <t>09503864216</t>
  </si>
  <si>
    <t>Laura Macahilas</t>
  </si>
  <si>
    <t>09067200248</t>
  </si>
  <si>
    <t>Regie Bacaling</t>
  </si>
  <si>
    <t>09512388157</t>
  </si>
  <si>
    <t>Ereneo Montejo</t>
  </si>
  <si>
    <t>09759181961</t>
  </si>
  <si>
    <t>James Oñes</t>
  </si>
  <si>
    <t>09514294230</t>
  </si>
  <si>
    <t>Wlfredo Lanoy</t>
  </si>
  <si>
    <t>0910235487</t>
  </si>
  <si>
    <t>Lendel Nietes</t>
  </si>
  <si>
    <t>Reynelle Andoy</t>
  </si>
  <si>
    <t>Marino Montojo</t>
  </si>
  <si>
    <t>Roger Lofranco</t>
  </si>
  <si>
    <t>09551961128</t>
  </si>
  <si>
    <t xml:space="preserve">Panghagban </t>
  </si>
  <si>
    <t>09550655245</t>
  </si>
  <si>
    <t>Ricardo Nogalada</t>
  </si>
  <si>
    <t>09389017311</t>
  </si>
  <si>
    <t>Rufino Paragoso</t>
  </si>
  <si>
    <t>09497931330</t>
  </si>
  <si>
    <t>Exequila Palma</t>
  </si>
  <si>
    <t>09183204269</t>
  </si>
  <si>
    <t>Michelle Bonior</t>
  </si>
  <si>
    <t>09468847590</t>
  </si>
  <si>
    <t>Jaime Lumagod</t>
  </si>
  <si>
    <t>Virgilio Busalanan</t>
  </si>
  <si>
    <t>09512351651</t>
  </si>
  <si>
    <t>Rocky Fel Membreve</t>
  </si>
  <si>
    <t>Bato</t>
  </si>
  <si>
    <t>09260318867</t>
  </si>
  <si>
    <t>Rey Cordova</t>
  </si>
  <si>
    <t>09304860842</t>
  </si>
  <si>
    <t>Antonio Noynay</t>
  </si>
  <si>
    <t>Felmar Galero</t>
  </si>
  <si>
    <t>09531446688</t>
  </si>
  <si>
    <t>Felix Juit</t>
  </si>
  <si>
    <t>09462414966</t>
  </si>
  <si>
    <t>John Jinnes Tadle</t>
  </si>
  <si>
    <t>Tirso Gonzalos</t>
  </si>
  <si>
    <t>09107971426</t>
  </si>
  <si>
    <t>Alber Aspacio</t>
  </si>
  <si>
    <t>09950365430</t>
  </si>
  <si>
    <t>Editha Añasco</t>
  </si>
  <si>
    <t>09102354877</t>
  </si>
  <si>
    <t>Jumar Duran</t>
  </si>
  <si>
    <t>09488675120</t>
  </si>
  <si>
    <t>Linmar Linezo</t>
  </si>
  <si>
    <t>Baguhan</t>
  </si>
  <si>
    <t>09360872601</t>
  </si>
  <si>
    <t>Biomark Maisa</t>
  </si>
  <si>
    <t>09552742783</t>
  </si>
  <si>
    <t>Noe Rebucas</t>
  </si>
  <si>
    <t>Baunos</t>
  </si>
  <si>
    <t>Ronel Porlares</t>
  </si>
  <si>
    <t>09094165673</t>
  </si>
  <si>
    <t>Leonardo Oripaypay</t>
  </si>
  <si>
    <t>Candelaria</t>
  </si>
  <si>
    <t>09104356725</t>
  </si>
  <si>
    <t>Aldren Iyana</t>
  </si>
  <si>
    <t>09482255259</t>
  </si>
  <si>
    <t>Eustaquio Labonite</t>
  </si>
  <si>
    <t xml:space="preserve">Tomoc </t>
  </si>
  <si>
    <t>09773568752</t>
  </si>
  <si>
    <t>Artemia Lamorin</t>
  </si>
  <si>
    <t>09550657040</t>
  </si>
  <si>
    <t>Rexel augis</t>
  </si>
  <si>
    <t>09669500361</t>
  </si>
  <si>
    <t>Joemar Ayensa</t>
  </si>
  <si>
    <t>09184611290</t>
  </si>
  <si>
    <t>Rustom Cabangbang</t>
  </si>
  <si>
    <t>09393905552</t>
  </si>
  <si>
    <t>Virginia Arana</t>
  </si>
  <si>
    <t>Aliguay</t>
  </si>
  <si>
    <t>09472498172</t>
  </si>
  <si>
    <t>Cabunga-an</t>
  </si>
  <si>
    <t>09064617824</t>
  </si>
  <si>
    <t>Alan Curtillas</t>
  </si>
  <si>
    <t>Bayongon</t>
  </si>
  <si>
    <t>09460847793</t>
  </si>
  <si>
    <t>Yaweh Lopez</t>
  </si>
  <si>
    <t>09050454556</t>
  </si>
  <si>
    <t>Christopher Hilot</t>
  </si>
  <si>
    <t>09668817434</t>
  </si>
  <si>
    <t xml:space="preserve">                  June 2021</t>
  </si>
  <si>
    <r>
      <rPr>
        <sz val="10"/>
        <color theme="1"/>
        <rFont val="Arial"/>
      </rPr>
      <t>Total No. Of Beneficiaries:</t>
    </r>
    <r>
      <rPr>
        <sz val="10"/>
        <color rgb="FFFF0000"/>
        <rFont val="Arial"/>
      </rPr>
      <t xml:space="preserve"> 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</si>
  <si>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</si>
  <si>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Female: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</si>
  <si>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Others:(S.C./PWD)</t>
    </r>
    <r>
      <rPr>
        <u/>
        <sz val="10"/>
        <color theme="1"/>
        <rFont val="Arial"/>
      </rPr>
      <t xml:space="preserve"> </t>
    </r>
  </si>
  <si>
    <t>09099395219</t>
  </si>
  <si>
    <t>Emmanuel Gulayan</t>
  </si>
  <si>
    <t>LGU - Danao</t>
  </si>
  <si>
    <t>09639012434</t>
  </si>
  <si>
    <t>Genieveb Butal</t>
  </si>
  <si>
    <r>
      <rPr>
        <sz val="9"/>
        <color theme="1"/>
        <rFont val="Arial"/>
      </rPr>
      <t>Ornamental Fish:</t>
    </r>
    <r>
      <rPr>
        <u/>
        <sz val="9"/>
        <color theme="1"/>
        <rFont val="Arial"/>
      </rPr>
      <t xml:space="preserve"> </t>
    </r>
  </si>
  <si>
    <r>
      <rPr>
        <sz val="9"/>
        <color theme="1"/>
        <rFont val="Arial"/>
      </rPr>
      <t xml:space="preserve">  Brackishwater:</t>
    </r>
    <r>
      <rPr>
        <u/>
        <sz val="9"/>
        <color theme="1"/>
        <rFont val="Arial"/>
      </rPr>
      <t xml:space="preserve"> </t>
    </r>
  </si>
  <si>
    <t xml:space="preserve">                   May 2021</t>
  </si>
  <si>
    <r>
      <rPr>
        <sz val="10"/>
        <color theme="1"/>
        <rFont val="Arial"/>
      </rPr>
      <t xml:space="preserve">Total No. Of Beneficiaries: </t>
    </r>
    <r>
      <rPr>
        <b/>
        <u/>
        <sz val="10"/>
        <color theme="1"/>
        <rFont val="Arial"/>
      </rPr>
      <t>204</t>
    </r>
  </si>
  <si>
    <r>
      <rPr>
        <sz val="10"/>
        <color theme="1"/>
        <rFont val="Arial"/>
      </rPr>
      <t xml:space="preserve">Others:(S.C./PWD): </t>
    </r>
    <r>
      <rPr>
        <b/>
        <u/>
        <sz val="10"/>
        <color theme="1"/>
        <rFont val="Arial"/>
      </rPr>
      <t>15</t>
    </r>
  </si>
  <si>
    <t>Gideon Cabanes</t>
  </si>
  <si>
    <t>Jonathan Gemertiza</t>
  </si>
  <si>
    <t>Can-ipol</t>
  </si>
  <si>
    <t>May 3-21</t>
  </si>
  <si>
    <t>Eutemia Rulida</t>
  </si>
  <si>
    <t>Arnel Dag-um</t>
  </si>
  <si>
    <t>Norman Injenti</t>
  </si>
  <si>
    <t>Jonalyn Cangma-ong</t>
  </si>
  <si>
    <t>carp</t>
  </si>
  <si>
    <t>Aurelia Dag-um</t>
  </si>
  <si>
    <t>Elvie Oronan</t>
  </si>
  <si>
    <t>Moises Escabusa</t>
  </si>
  <si>
    <t>Emmanuel Betgue</t>
  </si>
  <si>
    <t>Josefina Rabuya</t>
  </si>
  <si>
    <t>Dario Bayud</t>
  </si>
  <si>
    <t>Jal-ing</t>
  </si>
  <si>
    <t>May 3-14</t>
  </si>
  <si>
    <t>May 17-21</t>
  </si>
  <si>
    <t>Abraham Salvalion</t>
  </si>
  <si>
    <t>Bulilis</t>
  </si>
  <si>
    <t>Teody Maliza</t>
  </si>
  <si>
    <r>
      <rPr>
        <sz val="11"/>
        <color theme="1"/>
        <rFont val="Calibri"/>
      </rPr>
      <t>Eulo A</t>
    </r>
    <r>
      <rPr>
        <sz val="11"/>
        <color theme="1"/>
        <rFont val="Calibri"/>
      </rPr>
      <t>ñ</t>
    </r>
    <r>
      <rPr>
        <sz val="12"/>
        <color theme="1"/>
        <rFont val="Calibri"/>
      </rPr>
      <t>ana</t>
    </r>
  </si>
  <si>
    <t>Soom</t>
  </si>
  <si>
    <t>Angelito Boaquin</t>
  </si>
  <si>
    <t>Ambrosio Dasoc</t>
  </si>
  <si>
    <t>Bood</t>
  </si>
  <si>
    <t>Glecerio Ngujo</t>
  </si>
  <si>
    <t>Danilo Pataca</t>
  </si>
  <si>
    <t>Jerry Sarabosing</t>
  </si>
  <si>
    <t>Abraham Linogao</t>
  </si>
  <si>
    <t>Jacinto Golosino</t>
  </si>
  <si>
    <t>Bay-ang</t>
  </si>
  <si>
    <t>Valeria Celades</t>
  </si>
  <si>
    <t>Abucay Sur</t>
  </si>
  <si>
    <t>Jason Redillas</t>
  </si>
  <si>
    <t>Roldan Ebua</t>
  </si>
  <si>
    <t>Cripolo Suares</t>
  </si>
  <si>
    <t>San Augustin</t>
  </si>
  <si>
    <t>Nelson Cordilla</t>
  </si>
  <si>
    <t>Ricardo Tinahora</t>
  </si>
  <si>
    <t>Fidel Atillo</t>
  </si>
  <si>
    <t>Alvin Barde</t>
  </si>
  <si>
    <t>Marvin Suares</t>
  </si>
  <si>
    <t>Jevelyn Torrentira</t>
  </si>
  <si>
    <t>Alan Dungog</t>
  </si>
  <si>
    <t>Robert Torres</t>
  </si>
  <si>
    <t>Sto. Nino</t>
  </si>
  <si>
    <t>Epifanio Ponte</t>
  </si>
  <si>
    <t>Shirley Rulida</t>
  </si>
  <si>
    <t>Mardie Bacatan</t>
  </si>
  <si>
    <t>Edmund Salubre</t>
  </si>
  <si>
    <t>Elino Miral Jr.</t>
  </si>
  <si>
    <r>
      <rPr>
        <sz val="11"/>
        <color theme="1"/>
        <rFont val="Calibri"/>
      </rPr>
      <t>Catalina Madri</t>
    </r>
    <r>
      <rPr>
        <sz val="11"/>
        <color theme="1"/>
        <rFont val="Calibri"/>
      </rPr>
      <t>ñ</t>
    </r>
    <r>
      <rPr>
        <sz val="12"/>
        <color theme="1"/>
        <rFont val="Calibri"/>
      </rPr>
      <t>an</t>
    </r>
  </si>
  <si>
    <t>Aiza Cainghog</t>
  </si>
  <si>
    <t>Wilfredo Salmasan</t>
  </si>
  <si>
    <t>Manuel Organiza</t>
  </si>
  <si>
    <t>Rosariohan</t>
  </si>
  <si>
    <t>Joan Epa</t>
  </si>
  <si>
    <t>Frenz Camacho</t>
  </si>
  <si>
    <t>Poblacion Centro</t>
  </si>
  <si>
    <t>Pore Moreno</t>
  </si>
  <si>
    <t>Arlenda Dungog</t>
  </si>
  <si>
    <t>Rio Yecyec</t>
  </si>
  <si>
    <t>Cabagakian</t>
  </si>
  <si>
    <t>Gaudencia Cainghog</t>
  </si>
  <si>
    <t>Jelgin Corapao</t>
  </si>
  <si>
    <t>Delma Dumapias</t>
  </si>
  <si>
    <t>Francisco Bernaldez</t>
  </si>
  <si>
    <t>Sudlon</t>
  </si>
  <si>
    <t>Christian Lamado</t>
  </si>
  <si>
    <t>Lino Lacea</t>
  </si>
  <si>
    <t>Eduardo Niepes</t>
  </si>
  <si>
    <t>Guillermo Tajale</t>
  </si>
  <si>
    <t>Muntesunting</t>
  </si>
  <si>
    <t>Jemar Tampipi</t>
  </si>
  <si>
    <r>
      <rPr>
        <sz val="11"/>
        <color theme="1"/>
        <rFont val="Calibri"/>
      </rPr>
      <t>Eduardo Logro</t>
    </r>
    <r>
      <rPr>
        <sz val="11"/>
        <color theme="1"/>
        <rFont val="Calibri"/>
      </rPr>
      <t>ñ</t>
    </r>
    <r>
      <rPr>
        <sz val="12"/>
        <color theme="1"/>
        <rFont val="Calibri"/>
      </rPr>
      <t>o</t>
    </r>
  </si>
  <si>
    <t>Jaime Jandugan</t>
  </si>
  <si>
    <t>Arnel Jun Miso</t>
  </si>
  <si>
    <t>Leo Cano</t>
  </si>
  <si>
    <t>Ariel Cabeltes</t>
  </si>
  <si>
    <t>Jerry Tungal</t>
  </si>
  <si>
    <t>Lord Ian Daraman</t>
  </si>
  <si>
    <t>Anislag</t>
  </si>
  <si>
    <t>Mario Duran</t>
  </si>
  <si>
    <t>Pedro Anib</t>
  </si>
  <si>
    <t>Juliet Celeste</t>
  </si>
  <si>
    <t>Earl Lacerda</t>
  </si>
  <si>
    <r>
      <rPr>
        <sz val="11"/>
        <color theme="1"/>
        <rFont val="Calibri"/>
      </rPr>
      <t>Albert Nati</t>
    </r>
    <r>
      <rPr>
        <sz val="11"/>
        <color theme="1"/>
        <rFont val="Calibri"/>
      </rPr>
      <t>ñ</t>
    </r>
    <r>
      <rPr>
        <sz val="12"/>
        <color theme="1"/>
        <rFont val="Calibri"/>
      </rPr>
      <t>as</t>
    </r>
  </si>
  <si>
    <t>Rogelio Lastimado</t>
  </si>
  <si>
    <t>Delfin Gingone</t>
  </si>
  <si>
    <t>Mercedito Abuyo</t>
  </si>
  <si>
    <t>Rube Tangkila</t>
  </si>
  <si>
    <t>Edna Yu</t>
  </si>
  <si>
    <t>Nelson Tonido</t>
  </si>
  <si>
    <t>Romel Aparece</t>
  </si>
  <si>
    <t>Esteban Cutanda</t>
  </si>
  <si>
    <t>Jorel Cubar</t>
  </si>
  <si>
    <t>Cecile Vistal</t>
  </si>
  <si>
    <t>Teodoro Lomod</t>
  </si>
  <si>
    <t>Dionisio Balatero</t>
  </si>
  <si>
    <t>Balamban</t>
  </si>
  <si>
    <t>Wenceslao Suello</t>
  </si>
  <si>
    <t>Cristino Dico</t>
  </si>
  <si>
    <t>Cirilo Orendain</t>
  </si>
  <si>
    <t>Pres. Garcia</t>
  </si>
  <si>
    <t>Rosendo Abesia</t>
  </si>
  <si>
    <t>Juanito Obquia</t>
  </si>
  <si>
    <t>Manuel Amor</t>
  </si>
  <si>
    <t>Lumbay</t>
  </si>
  <si>
    <t>Augusto "Tito" Causin</t>
  </si>
  <si>
    <t>Barili, Cebu</t>
  </si>
  <si>
    <t>09178480976</t>
  </si>
  <si>
    <t>Ronald Tedio</t>
  </si>
  <si>
    <t>Bongbong</t>
  </si>
  <si>
    <t>Joseph Gawala</t>
  </si>
  <si>
    <t>Canangkaan</t>
  </si>
  <si>
    <t>Primo Batistis</t>
  </si>
  <si>
    <t>Rhea Ombajin</t>
  </si>
  <si>
    <t>Silvano Orapa</t>
  </si>
  <si>
    <t>Maricel Helig</t>
  </si>
  <si>
    <t>Roldan Amihan</t>
  </si>
  <si>
    <t>Miljames Sabijon</t>
  </si>
  <si>
    <t>Romulo Orcullo</t>
  </si>
  <si>
    <t>Pob. Sur</t>
  </si>
  <si>
    <t>09461425825</t>
  </si>
  <si>
    <t>Enerio Maglaway</t>
  </si>
  <si>
    <t>09105256777</t>
  </si>
  <si>
    <t>Nelson Baldapan</t>
  </si>
  <si>
    <t>Epefanio Baba</t>
  </si>
  <si>
    <t>09275675824</t>
  </si>
  <si>
    <t>Christian Noel Ombajin</t>
  </si>
  <si>
    <t>09507027322</t>
  </si>
  <si>
    <t>Anthony Bugas</t>
  </si>
  <si>
    <t>Porol</t>
  </si>
  <si>
    <t>09481074089</t>
  </si>
  <si>
    <t>Niceforo Butron</t>
  </si>
  <si>
    <t>09053466626</t>
  </si>
  <si>
    <t>Glenda Inoc</t>
  </si>
  <si>
    <t xml:space="preserve">Pob. Norte </t>
  </si>
  <si>
    <t>Jeremias Carpentero</t>
  </si>
  <si>
    <t>09397422202</t>
  </si>
  <si>
    <t>Romeo Puebla</t>
  </si>
  <si>
    <t>Francisco Compasion</t>
  </si>
  <si>
    <t>09977418102</t>
  </si>
  <si>
    <t>Joselito Porio</t>
  </si>
  <si>
    <t>Pandan</t>
  </si>
  <si>
    <t>09319351269</t>
  </si>
  <si>
    <t>Paul Omapas</t>
  </si>
  <si>
    <t>09092258888</t>
  </si>
  <si>
    <t>Pedro Lamoste</t>
  </si>
  <si>
    <t>09108793913</t>
  </si>
  <si>
    <t>Merlyn Panimdim</t>
  </si>
  <si>
    <t>09099039866</t>
  </si>
  <si>
    <t>John Carlo Evangelista</t>
  </si>
  <si>
    <t>09483522189</t>
  </si>
  <si>
    <t>James Dan Torreon</t>
  </si>
  <si>
    <t>John Berba</t>
  </si>
  <si>
    <t>Sal-ing</t>
  </si>
  <si>
    <t>09487345254</t>
  </si>
  <si>
    <t>Junil Tronoyba</t>
  </si>
  <si>
    <t>09759183565</t>
  </si>
  <si>
    <t>Agustin Garcia</t>
  </si>
  <si>
    <t>09071834755</t>
  </si>
  <si>
    <t>Delfin Mansuito</t>
  </si>
  <si>
    <t>09129283280</t>
  </si>
  <si>
    <t>Joseph Batausa</t>
  </si>
  <si>
    <t>09107758988</t>
  </si>
  <si>
    <t>Lucede Rejas</t>
  </si>
  <si>
    <t>09105273731</t>
  </si>
  <si>
    <t>Patricia Cajes</t>
  </si>
  <si>
    <t>09385142437</t>
  </si>
  <si>
    <t>Avito Gonzalos</t>
  </si>
  <si>
    <t>09202409408</t>
  </si>
  <si>
    <t>Danielo Batolanon</t>
  </si>
  <si>
    <t>Cambaylan</t>
  </si>
  <si>
    <t>Augustin Bautista</t>
  </si>
  <si>
    <t>09634477248</t>
  </si>
  <si>
    <t>Aldren Diaz</t>
  </si>
  <si>
    <t>09633822623</t>
  </si>
  <si>
    <t>09460883774</t>
  </si>
  <si>
    <t>Cherry Mae Olajay</t>
  </si>
  <si>
    <t>09082046425</t>
  </si>
  <si>
    <t>Kenrich Arcales</t>
  </si>
  <si>
    <t>Jerome Limbaga</t>
  </si>
  <si>
    <t>09776977803</t>
  </si>
  <si>
    <t xml:space="preserve">Joel Sombilon </t>
  </si>
  <si>
    <t>09207037730</t>
  </si>
  <si>
    <t>Edgar Lacay</t>
  </si>
  <si>
    <t>Bongtongbod</t>
  </si>
  <si>
    <t>Pablito Lipasana</t>
  </si>
  <si>
    <t>09531447859</t>
  </si>
  <si>
    <t>Jireh Magne Zafra</t>
  </si>
  <si>
    <t>Jeyan Amor</t>
  </si>
  <si>
    <t>09125168377</t>
  </si>
  <si>
    <t>Albert Asombrado</t>
  </si>
  <si>
    <t>Rolando Quitoriano</t>
  </si>
  <si>
    <t>09102671363</t>
  </si>
  <si>
    <t>Emelie Polbos</t>
  </si>
  <si>
    <t>Cansagi Norte</t>
  </si>
  <si>
    <t>09108222084</t>
  </si>
  <si>
    <t>Roy Lacierda</t>
  </si>
  <si>
    <t>Maitum</t>
  </si>
  <si>
    <t>09308929341</t>
  </si>
  <si>
    <t>Nerio Inguito</t>
  </si>
  <si>
    <t>09178990522</t>
  </si>
  <si>
    <t>Prince Joseph Cagampang</t>
  </si>
  <si>
    <t>Mawi</t>
  </si>
  <si>
    <t>09297908929</t>
  </si>
  <si>
    <r>
      <rPr>
        <sz val="10"/>
        <color theme="1"/>
        <rFont val="Arial"/>
      </rPr>
      <t>Jeeg Tu</t>
    </r>
    <r>
      <rPr>
        <sz val="10"/>
        <color theme="1"/>
        <rFont val="Calibri"/>
      </rPr>
      <t>ñ</t>
    </r>
    <r>
      <rPr>
        <sz val="11"/>
        <color theme="1"/>
        <rFont val="Arial"/>
      </rPr>
      <t>acao</t>
    </r>
  </si>
  <si>
    <t>09568632816</t>
  </si>
  <si>
    <t>Alfredo Lomosbog</t>
  </si>
  <si>
    <t>Joselito Dumangas</t>
  </si>
  <si>
    <t>09668013128</t>
  </si>
  <si>
    <t>Marestela Daniel</t>
  </si>
  <si>
    <t>Emelda</t>
  </si>
  <si>
    <t>09274790946</t>
  </si>
  <si>
    <t>Florbe Ingente</t>
  </si>
  <si>
    <t>09218715639</t>
  </si>
  <si>
    <t>Boy Lopez</t>
  </si>
  <si>
    <t>09105859850</t>
  </si>
  <si>
    <t>Lito Lara</t>
  </si>
  <si>
    <t>09952756882</t>
  </si>
  <si>
    <t>Renero Bautista</t>
  </si>
  <si>
    <t>Dao</t>
  </si>
  <si>
    <t>09615771227</t>
  </si>
  <si>
    <t>Glen Sulijon</t>
  </si>
  <si>
    <t>09462345475</t>
  </si>
  <si>
    <t>Dennis Lomosbog</t>
  </si>
  <si>
    <t>09511299197</t>
  </si>
  <si>
    <t>Haguilanan Grande</t>
  </si>
  <si>
    <t>John Dexter Batolanon</t>
  </si>
  <si>
    <t>09384994922</t>
  </si>
  <si>
    <t>William Baquerfo</t>
  </si>
  <si>
    <t xml:space="preserve">San Agustin </t>
  </si>
  <si>
    <t>Pablo Mesiona</t>
  </si>
  <si>
    <t>09194110890</t>
  </si>
  <si>
    <t>Felipe Calamba Jr.</t>
  </si>
  <si>
    <t>Cansumbol</t>
  </si>
  <si>
    <t>09090030744</t>
  </si>
  <si>
    <t>Jovil Baldesco</t>
  </si>
  <si>
    <t>09102720340</t>
  </si>
  <si>
    <t>Mary Ann Nacua</t>
  </si>
  <si>
    <t>Potohan</t>
  </si>
  <si>
    <t>09061319939</t>
  </si>
  <si>
    <t>Emedio Baylon</t>
  </si>
  <si>
    <t>09108800904</t>
  </si>
  <si>
    <t>Noli Casulocan</t>
  </si>
  <si>
    <t>09095090125</t>
  </si>
  <si>
    <t>Jay Agad</t>
  </si>
  <si>
    <t>09351808605</t>
  </si>
  <si>
    <t>Cheala Joy Lucero</t>
  </si>
  <si>
    <t>Maricel Bacalso</t>
  </si>
  <si>
    <t>09124299105</t>
  </si>
  <si>
    <t>Dispesed</t>
  </si>
  <si>
    <t>Ernesto Batulanan</t>
  </si>
  <si>
    <t>Mechell Jaum</t>
  </si>
  <si>
    <t>09308633674</t>
  </si>
  <si>
    <t>Raynold Ronquillo</t>
  </si>
  <si>
    <t>09302622055</t>
  </si>
  <si>
    <t>Nina Ruba</t>
  </si>
  <si>
    <t>09638740835</t>
  </si>
  <si>
    <t>Gerry Pacog</t>
  </si>
  <si>
    <t>09489861788</t>
  </si>
  <si>
    <t>William Solis</t>
  </si>
  <si>
    <t>Bebiano Basio Jr.</t>
  </si>
  <si>
    <t>09301353865</t>
  </si>
  <si>
    <t>Lorito Lingatong</t>
  </si>
  <si>
    <t>09101248163</t>
  </si>
  <si>
    <t>Arnel Quirol</t>
  </si>
  <si>
    <t>Panadtaran</t>
  </si>
  <si>
    <t>09750379091</t>
  </si>
  <si>
    <t>Virgilio Cañete</t>
  </si>
  <si>
    <t>09301444205</t>
  </si>
  <si>
    <t>Monico Gonzaga</t>
  </si>
  <si>
    <t>090774162828</t>
  </si>
  <si>
    <t>Joey Ledesma</t>
  </si>
  <si>
    <t>Pangangan Isl.</t>
  </si>
  <si>
    <t>09778203958</t>
  </si>
  <si>
    <t>Restituto Salise</t>
  </si>
  <si>
    <t>0938676489</t>
  </si>
  <si>
    <t>Elmer Bacatan</t>
  </si>
  <si>
    <t>532,800 pcs.</t>
  </si>
  <si>
    <t>15.600 pcs.</t>
  </si>
  <si>
    <t>1,021 pcs.</t>
  </si>
  <si>
    <t>86,554 sq.m.</t>
  </si>
  <si>
    <t xml:space="preserve">                  May 2021</t>
  </si>
  <si>
    <r>
      <rPr>
        <sz val="10"/>
        <color theme="1"/>
        <rFont val="Arial"/>
      </rPr>
      <t>Total No. Of Beneficiaries:</t>
    </r>
    <r>
      <rPr>
        <sz val="10"/>
        <color rgb="FFFF0000"/>
        <rFont val="Arial"/>
      </rPr>
      <t xml:space="preserve"> 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</si>
  <si>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</si>
  <si>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Female: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</si>
  <si>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Others:(S.C./PWD)</t>
    </r>
    <r>
      <rPr>
        <u/>
        <sz val="10"/>
        <color theme="1"/>
        <rFont val="Arial"/>
      </rPr>
      <t xml:space="preserve"> </t>
    </r>
  </si>
  <si>
    <t>Basacan Irrigator's Association Inc.</t>
  </si>
  <si>
    <r>
      <rPr>
        <sz val="11"/>
        <color theme="1"/>
        <rFont val="Arial"/>
      </rPr>
      <t>Damanica C. Dia</t>
    </r>
    <r>
      <rPr>
        <sz val="11"/>
        <color theme="1"/>
        <rFont val="Calibri"/>
      </rPr>
      <t>ñ</t>
    </r>
    <r>
      <rPr>
        <sz val="11"/>
        <color theme="1"/>
        <rFont val="Arial"/>
      </rPr>
      <t>a</t>
    </r>
  </si>
  <si>
    <t>LGU- Anda</t>
  </si>
  <si>
    <r>
      <rPr>
        <sz val="11"/>
        <color theme="1"/>
        <rFont val="Arial"/>
      </rPr>
      <t>Ma. Sonia Calalu</t>
    </r>
    <r>
      <rPr>
        <sz val="11"/>
        <color theme="1"/>
        <rFont val="Calibri"/>
      </rPr>
      <t>ñ</t>
    </r>
    <r>
      <rPr>
        <sz val="11"/>
        <color theme="1"/>
        <rFont val="Arial"/>
      </rPr>
      <t>a</t>
    </r>
  </si>
  <si>
    <t>LGU- San Miguel</t>
  </si>
  <si>
    <t>Bongbong Tree Planters Association</t>
  </si>
  <si>
    <t>Andres Apa-ap</t>
  </si>
  <si>
    <t>BFAR7-CBFF, Carmen</t>
  </si>
  <si>
    <t>Cogon, East</t>
  </si>
  <si>
    <t>Carmen, Cebu</t>
  </si>
  <si>
    <t>Joel B. Clapano</t>
  </si>
  <si>
    <t>Ireneo Gabato</t>
  </si>
  <si>
    <t>09974967816</t>
  </si>
  <si>
    <t>Victor Dublas</t>
  </si>
  <si>
    <t>FPSSD-Regional Office 7</t>
  </si>
  <si>
    <t>Galicana Toston</t>
  </si>
  <si>
    <t>20,000 pcs.</t>
  </si>
  <si>
    <t>91,000 pcs.</t>
  </si>
  <si>
    <t>118,000 pcs.</t>
  </si>
  <si>
    <r>
      <rPr>
        <sz val="9"/>
        <color theme="1"/>
        <rFont val="Arial"/>
      </rPr>
      <t>Ornamental Fish:</t>
    </r>
    <r>
      <rPr>
        <u/>
        <sz val="9"/>
        <color theme="1"/>
        <rFont val="Arial"/>
      </rPr>
      <t xml:space="preserve"> </t>
    </r>
  </si>
  <si>
    <r>
      <rPr>
        <sz val="9"/>
        <color theme="1"/>
        <rFont val="Arial"/>
      </rPr>
      <t xml:space="preserve">  Brackishwater:</t>
    </r>
    <r>
      <rPr>
        <u/>
        <sz val="9"/>
        <color theme="1"/>
        <rFont val="Arial"/>
      </rPr>
      <t xml:space="preserve"> </t>
    </r>
  </si>
  <si>
    <t xml:space="preserve">                   April 2021</t>
  </si>
  <si>
    <r>
      <rPr>
        <sz val="10"/>
        <color theme="1"/>
        <rFont val="Arial"/>
      </rPr>
      <t xml:space="preserve">Total No. Of Beneficiaries: </t>
    </r>
    <r>
      <rPr>
        <b/>
        <u/>
        <sz val="10"/>
        <color rgb="FFFF0000"/>
        <rFont val="Arial"/>
      </rPr>
      <t>218</t>
    </r>
  </si>
  <si>
    <r>
      <rPr>
        <sz val="10"/>
        <color theme="1"/>
        <rFont val="Arial"/>
      </rPr>
      <t xml:space="preserve">Others:(S.C./PWD): </t>
    </r>
    <r>
      <rPr>
        <b/>
        <u/>
        <sz val="10"/>
        <color rgb="FFFF0000"/>
        <rFont val="Arial"/>
      </rPr>
      <t>21</t>
    </r>
  </si>
  <si>
    <t>Eleuterio Augijis</t>
  </si>
  <si>
    <t>Rosalia Buñao</t>
  </si>
  <si>
    <t>Julieto Rasonado</t>
  </si>
  <si>
    <t>Restituto Buñao</t>
  </si>
  <si>
    <t>Alberta Tusoy</t>
  </si>
  <si>
    <t>Aurora</t>
  </si>
  <si>
    <t>Reshel Alimpolos</t>
  </si>
  <si>
    <t>Jonaliza Rosales</t>
  </si>
  <si>
    <t xml:space="preserve">Causwagan </t>
  </si>
  <si>
    <t>Elmar Egcalinos</t>
  </si>
  <si>
    <t>Jaime Barace</t>
  </si>
  <si>
    <t>Felix Tampus</t>
  </si>
  <si>
    <t>Libjo</t>
  </si>
  <si>
    <t>Jim Aton</t>
  </si>
  <si>
    <t>James Lascoña</t>
  </si>
  <si>
    <t>Nomer Ortillano</t>
  </si>
  <si>
    <t>Rolando Santander</t>
  </si>
  <si>
    <t>Dorol</t>
  </si>
  <si>
    <t>Mariel Reed</t>
  </si>
  <si>
    <t>Jerry Gohol</t>
  </si>
  <si>
    <t>Raymond Diolan</t>
  </si>
  <si>
    <t>Renante Arayan</t>
  </si>
  <si>
    <t>Tinangnan</t>
  </si>
  <si>
    <t>Alberto Savior</t>
  </si>
  <si>
    <t>Erwin Pacatang</t>
  </si>
  <si>
    <t>Calingahan</t>
  </si>
  <si>
    <t>Librado Maquilang</t>
  </si>
  <si>
    <t>Catagdaan</t>
  </si>
  <si>
    <t>Noel Opendo</t>
  </si>
  <si>
    <t>U-og</t>
  </si>
  <si>
    <t>Elpedio Requirme</t>
  </si>
  <si>
    <t>Raul Jano</t>
  </si>
  <si>
    <t>Jesus Geolagon</t>
  </si>
  <si>
    <t>Marlon Montalvo</t>
  </si>
  <si>
    <t>Roman Jahaum</t>
  </si>
  <si>
    <t>Christina Campanar</t>
  </si>
  <si>
    <t>Ping Domo</t>
  </si>
  <si>
    <t>Johan Gultiano</t>
  </si>
  <si>
    <t>Danny Amodia</t>
  </si>
  <si>
    <t>Jessie Camanzo</t>
  </si>
  <si>
    <t>Gertrudes Lariosa</t>
  </si>
  <si>
    <t>Pangangan</t>
  </si>
  <si>
    <t>Argie Ramirez</t>
  </si>
  <si>
    <t>Nico Lanoy</t>
  </si>
  <si>
    <t>Michael Noel Mejias</t>
  </si>
  <si>
    <t>Val Malana</t>
  </si>
  <si>
    <t>Mandaug</t>
  </si>
  <si>
    <t>Genda Bucod</t>
  </si>
  <si>
    <t>Nida Rizal</t>
  </si>
  <si>
    <t>Dario Adame</t>
  </si>
  <si>
    <t>Canmanico</t>
  </si>
  <si>
    <t>Paulo Trazo</t>
  </si>
  <si>
    <t>Edwin Estoce</t>
  </si>
  <si>
    <t>Sweetland</t>
  </si>
  <si>
    <t>Samuel Fuentes</t>
  </si>
  <si>
    <t>Vidal Lastimado</t>
  </si>
  <si>
    <t>Apolonio Lumayag Jr.</t>
  </si>
  <si>
    <t>Ronald Salces</t>
  </si>
  <si>
    <t>Wilson Gamorot</t>
  </si>
  <si>
    <t>Tiguis</t>
  </si>
  <si>
    <t>Lila</t>
  </si>
  <si>
    <t>Jun Camino</t>
  </si>
  <si>
    <t>Feliciano Otordos</t>
  </si>
  <si>
    <t>Noel Ordonia</t>
  </si>
  <si>
    <t>Nelyn Cagampang</t>
  </si>
  <si>
    <t>Marlon Cempron</t>
  </si>
  <si>
    <t>Jepoy Giogio</t>
  </si>
  <si>
    <t>Colin Saguirel</t>
  </si>
  <si>
    <t>John Ryan Arcayos</t>
  </si>
  <si>
    <t>Boyet Fabiolas</t>
  </si>
  <si>
    <t>Reno Dañas</t>
  </si>
  <si>
    <t>Janice Ranolo</t>
  </si>
  <si>
    <t>Jerwin Boyles</t>
  </si>
  <si>
    <t>Marilou Magdura</t>
  </si>
  <si>
    <t>Sammy Otar</t>
  </si>
  <si>
    <t>Mark Louis Jagunos</t>
  </si>
  <si>
    <t>Alberto Sumaylo</t>
  </si>
  <si>
    <t>cage</t>
  </si>
  <si>
    <t>Roy Pescones</t>
  </si>
  <si>
    <t>Marissa  Melencion</t>
  </si>
  <si>
    <t>Tito Causin</t>
  </si>
  <si>
    <t>Campangga</t>
  </si>
  <si>
    <t>Luciano Generalao</t>
  </si>
  <si>
    <t>Alberto Manuales</t>
  </si>
  <si>
    <t>Victor Diagbel</t>
  </si>
  <si>
    <t>Nelson Miano</t>
  </si>
  <si>
    <t>Aloha</t>
  </si>
  <si>
    <t>Aiken Esoy</t>
  </si>
  <si>
    <t>Clifford Vaño</t>
  </si>
  <si>
    <t>Edelberto Planos</t>
  </si>
  <si>
    <t>Daniel Halina</t>
  </si>
  <si>
    <t>Jerry Racho</t>
  </si>
  <si>
    <t>Roberto Racho</t>
  </si>
  <si>
    <t>Jasmin Pecolados</t>
  </si>
  <si>
    <t>Jeshriel Degamo</t>
  </si>
  <si>
    <t>Bonifacio Quintilitisca</t>
  </si>
  <si>
    <t>Albert Manila</t>
  </si>
  <si>
    <t>Marvin Tiedra</t>
  </si>
  <si>
    <t>Maximo Casing</t>
  </si>
  <si>
    <t>Pablo Boncales</t>
  </si>
  <si>
    <t>Lario Murcia</t>
  </si>
  <si>
    <t>Philipi Mendoza</t>
  </si>
  <si>
    <t>Abigael Cario</t>
  </si>
  <si>
    <t>Junrey Pontanar</t>
  </si>
  <si>
    <t>Rodrigo Uy</t>
  </si>
  <si>
    <t>Eutiquiano Soton Jr.</t>
  </si>
  <si>
    <t>Raulito Ucay</t>
  </si>
  <si>
    <t>Jose Dante Dullo</t>
  </si>
  <si>
    <t>Jumar Kem Fernadez</t>
  </si>
  <si>
    <t>Teodoro Auxillo</t>
  </si>
  <si>
    <t>Rosendo Justiniane</t>
  </si>
  <si>
    <t>Perpetua Bajo</t>
  </si>
  <si>
    <t>Taytay</t>
  </si>
  <si>
    <t>Jhonlie Monteron</t>
  </si>
  <si>
    <t>Karen Day</t>
  </si>
  <si>
    <t>Ramon Lamoste</t>
  </si>
  <si>
    <t>Roel Dumandan</t>
  </si>
  <si>
    <t>Richard Paragoso</t>
  </si>
  <si>
    <t>Narciso Esto</t>
  </si>
  <si>
    <t>Ma Rosario</t>
  </si>
  <si>
    <t>David Auxtero</t>
  </si>
  <si>
    <t>Crispin Lumantas</t>
  </si>
  <si>
    <t>Calingaan</t>
  </si>
  <si>
    <t>Cesar Canono</t>
  </si>
  <si>
    <t xml:space="preserve">Sto. Niño </t>
  </si>
  <si>
    <t>Maryjoy Simbajon</t>
  </si>
  <si>
    <t>Roel Lucero</t>
  </si>
  <si>
    <t>Jessie Cag-ong</t>
  </si>
  <si>
    <t>Emigio Pagod</t>
  </si>
  <si>
    <t>Candasig</t>
  </si>
  <si>
    <t>Norberto Mellomida</t>
  </si>
  <si>
    <t>Guillerma Boyonas</t>
  </si>
  <si>
    <t>Joena Parohinog</t>
  </si>
  <si>
    <t>Marino Cosgafa</t>
  </si>
  <si>
    <t xml:space="preserve">Candungaw </t>
  </si>
  <si>
    <t>Renerio Quimson</t>
  </si>
  <si>
    <t>Federico Pacaldo</t>
  </si>
  <si>
    <t>Canasakan</t>
  </si>
  <si>
    <t>Erlon Bin Quiño</t>
  </si>
  <si>
    <t>Christian Jay Arciga</t>
  </si>
  <si>
    <t>Reymark Mara</t>
  </si>
  <si>
    <t>Angelito Parado</t>
  </si>
  <si>
    <t>Grace Lalim</t>
  </si>
  <si>
    <t>Adrian Verana</t>
  </si>
  <si>
    <t>Abucayan Sur</t>
  </si>
  <si>
    <t>Raymond Banga</t>
  </si>
  <si>
    <t>Jose Joy Gallentes</t>
  </si>
  <si>
    <t>Pasong</t>
  </si>
  <si>
    <t>Jose Jombayan</t>
  </si>
  <si>
    <t xml:space="preserve">Cangmundo </t>
  </si>
  <si>
    <t>Patrick Tangob</t>
  </si>
  <si>
    <t>Igmacio Alegrado</t>
  </si>
  <si>
    <t>Chandy Mae Laguros</t>
  </si>
  <si>
    <t>Arnel Cortes</t>
  </si>
  <si>
    <t>John Mark Salingguhay</t>
  </si>
  <si>
    <t>Jose Arven</t>
  </si>
  <si>
    <t>Nida Manlangit</t>
  </si>
  <si>
    <t xml:space="preserve">Hibale </t>
  </si>
  <si>
    <t>Mario Alferez</t>
  </si>
  <si>
    <t>Gonzalo Bambi</t>
  </si>
  <si>
    <t>Salvador Reyaes</t>
  </si>
  <si>
    <t xml:space="preserve">La paz </t>
  </si>
  <si>
    <t>Peregrina Aumentado</t>
  </si>
  <si>
    <t>Shieralie Melloria</t>
  </si>
  <si>
    <t>Norberto Mellonida</t>
  </si>
  <si>
    <t>Nethaniel Abellanosa</t>
  </si>
  <si>
    <t>Jisa Descallar</t>
  </si>
  <si>
    <t>Fracisco Tocmo</t>
  </si>
  <si>
    <t>Zosimo Saliva Jr.</t>
  </si>
  <si>
    <t>Livertad</t>
  </si>
  <si>
    <t>Asterio Aparici</t>
  </si>
  <si>
    <t>Willie Añosa</t>
  </si>
  <si>
    <t>Adelo Legaspi</t>
  </si>
  <si>
    <t>Dennis Doydora</t>
  </si>
  <si>
    <t>Arnold Belohan</t>
  </si>
  <si>
    <t>Arturo Carlon</t>
  </si>
  <si>
    <t>Menjie Alambatang</t>
  </si>
  <si>
    <t>Philip Saludo</t>
  </si>
  <si>
    <t>Gui-ang</t>
  </si>
  <si>
    <t>Harold Quiño</t>
  </si>
  <si>
    <t>Victor Abucay</t>
  </si>
  <si>
    <t>Basilisa Avelino</t>
  </si>
  <si>
    <t>Raymond Soria</t>
  </si>
  <si>
    <t>Elena Boncales</t>
  </si>
  <si>
    <t>Rosa Boquel</t>
  </si>
  <si>
    <t>Mirasol Ayco</t>
  </si>
  <si>
    <t>Buntod</t>
  </si>
  <si>
    <t>Jessie Cabudbud</t>
  </si>
  <si>
    <t>Roland Estole</t>
  </si>
  <si>
    <t>Saldy Marimon</t>
  </si>
  <si>
    <t>Boy Lamoste</t>
  </si>
  <si>
    <t>Alan Lucero</t>
  </si>
  <si>
    <t>Mark Cabulao</t>
  </si>
  <si>
    <t>Teofilo Batausa</t>
  </si>
  <si>
    <t>Elpedio Requiermw</t>
  </si>
  <si>
    <t>Loida Rasonabe</t>
  </si>
  <si>
    <t>Candungao</t>
  </si>
  <si>
    <t>Meneo Auxterio</t>
  </si>
  <si>
    <t>Oliver Flores</t>
  </si>
  <si>
    <t>Ritchie Cadenas</t>
  </si>
  <si>
    <t>Albert Amodia</t>
  </si>
  <si>
    <t>Leonisa Javate</t>
  </si>
  <si>
    <t>John Daryl Biloy</t>
  </si>
  <si>
    <t xml:space="preserve">CPG </t>
  </si>
  <si>
    <t>Marjon Tirol</t>
  </si>
  <si>
    <t>Mantalungon</t>
  </si>
  <si>
    <t>Meriam Avenido</t>
  </si>
  <si>
    <t>Cabuiguhan</t>
  </si>
  <si>
    <t>Freddie Juanite</t>
  </si>
  <si>
    <t>Edgar Tahale</t>
  </si>
  <si>
    <t>Maontesunting</t>
  </si>
  <si>
    <t>Ma. Rocile Josol</t>
  </si>
  <si>
    <t>Julius Cabog-os</t>
  </si>
  <si>
    <t>Jack Adaya</t>
  </si>
  <si>
    <t>Virgie Painagan</t>
  </si>
  <si>
    <t>Eugenia Mayol</t>
  </si>
  <si>
    <t>Maryjane Marabulas</t>
  </si>
  <si>
    <t>Arnel Bona-os</t>
  </si>
  <si>
    <t>416,100 pcs.</t>
  </si>
  <si>
    <t>11,230 pcs.</t>
  </si>
  <si>
    <t>3,803 pcs.</t>
  </si>
  <si>
    <t>64,446 sq.m.</t>
  </si>
  <si>
    <t xml:space="preserve">                  April 2021</t>
  </si>
  <si>
    <r>
      <rPr>
        <sz val="10"/>
        <color theme="1"/>
        <rFont val="Arial"/>
      </rPr>
      <t>Total No. Of Beneficiaries:</t>
    </r>
    <r>
      <rPr>
        <sz val="10"/>
        <color rgb="FFFF0000"/>
        <rFont val="Arial"/>
      </rPr>
      <t xml:space="preserve"> </t>
    </r>
    <r>
      <rPr>
        <b/>
        <u/>
        <sz val="10"/>
        <color rgb="FFFF0000"/>
        <rFont val="Arial"/>
      </rPr>
      <t>3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</si>
  <si>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</si>
  <si>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Female: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</si>
  <si>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Others:(S.C./PWD)</t>
    </r>
    <r>
      <rPr>
        <u/>
        <sz val="10"/>
        <color theme="1"/>
        <rFont val="Arial"/>
      </rPr>
      <t xml:space="preserve"> </t>
    </r>
  </si>
  <si>
    <r>
      <rPr>
        <b/>
        <u/>
        <sz val="9"/>
        <color rgb="FFFF0000"/>
        <rFont val="Arial"/>
      </rPr>
      <t xml:space="preserve">481,600 pcs. </t>
    </r>
    <r>
      <rPr>
        <b/>
        <i/>
        <u/>
        <sz val="9"/>
        <color rgb="FFFF0000"/>
        <rFont val="Arial"/>
      </rPr>
      <t>(Tilapia fry)</t>
    </r>
  </si>
  <si>
    <r>
      <rPr>
        <b/>
        <u/>
        <sz val="9"/>
        <color rgb="FFFF0000"/>
        <rFont val="Arial"/>
      </rPr>
      <t>12,000 pcs. (</t>
    </r>
    <r>
      <rPr>
        <b/>
        <i/>
        <u/>
        <sz val="9"/>
        <color rgb="FFFF0000"/>
        <rFont val="Arial"/>
      </rPr>
      <t>Tilapia broodstock)</t>
    </r>
  </si>
  <si>
    <r>
      <rPr>
        <sz val="9"/>
        <color theme="1"/>
        <rFont val="Arial"/>
      </rPr>
      <t>Ornamental Fish:</t>
    </r>
    <r>
      <rPr>
        <u/>
        <sz val="9"/>
        <color theme="1"/>
        <rFont val="Arial"/>
      </rPr>
      <t xml:space="preserve"> </t>
    </r>
  </si>
  <si>
    <t>180 pcs.</t>
  </si>
  <si>
    <r>
      <rPr>
        <sz val="9"/>
        <color theme="1"/>
        <rFont val="Arial"/>
      </rPr>
      <t xml:space="preserve">  Brackishwater:</t>
    </r>
    <r>
      <rPr>
        <u/>
        <sz val="9"/>
        <color theme="1"/>
        <rFont val="Arial"/>
      </rPr>
      <t xml:space="preserve"> </t>
    </r>
  </si>
  <si>
    <t xml:space="preserve">                   March 2021</t>
  </si>
  <si>
    <r>
      <rPr>
        <sz val="10"/>
        <color theme="1"/>
        <rFont val="Arial"/>
      </rPr>
      <t xml:space="preserve">Total No. Of Beneficiaries: </t>
    </r>
    <r>
      <rPr>
        <b/>
        <u/>
        <sz val="10"/>
        <color rgb="FFFF0000"/>
        <rFont val="Arial"/>
      </rPr>
      <t>287</t>
    </r>
  </si>
  <si>
    <r>
      <rPr>
        <sz val="10"/>
        <color theme="1"/>
        <rFont val="Arial"/>
      </rPr>
      <t xml:space="preserve">Others:(S.C./PWD): </t>
    </r>
    <r>
      <rPr>
        <b/>
        <u/>
        <sz val="10"/>
        <color rgb="FFFF0000"/>
        <rFont val="Arial"/>
      </rPr>
      <t>38</t>
    </r>
  </si>
  <si>
    <t>Rufino Adlaon</t>
  </si>
  <si>
    <t>Jason Cañete</t>
  </si>
  <si>
    <t>Michael Geraga</t>
  </si>
  <si>
    <t>Jumar Regulacion</t>
  </si>
  <si>
    <t>Vicente Sobretodo Jr.</t>
  </si>
  <si>
    <t>Mataob</t>
  </si>
  <si>
    <t>Julius Cruz</t>
  </si>
  <si>
    <t>Panaytayon</t>
  </si>
  <si>
    <t>Jay Bonior</t>
  </si>
  <si>
    <t>Adan Visa</t>
  </si>
  <si>
    <t>Osias Nalo</t>
  </si>
  <si>
    <t>Sergio Maligro</t>
  </si>
  <si>
    <t>Loreta Galuiso</t>
  </si>
  <si>
    <t>Nueva Vida Fuerza</t>
  </si>
  <si>
    <t>Ryan Silagan</t>
  </si>
  <si>
    <t>Bagtic</t>
  </si>
  <si>
    <t>Gina Lumapas</t>
  </si>
  <si>
    <t>Rolando Caenghog</t>
  </si>
  <si>
    <t>Alberto Millanes</t>
  </si>
  <si>
    <t>Ian Lopez</t>
  </si>
  <si>
    <t>Flordelito Socong</t>
  </si>
  <si>
    <t>Jena Llanto</t>
  </si>
  <si>
    <t>Felix Manila</t>
  </si>
  <si>
    <t>Virginia Añabieza</t>
  </si>
  <si>
    <t>Roldan Cosare</t>
  </si>
  <si>
    <t>Francisco Hangad</t>
  </si>
  <si>
    <t>Danilo Cosare</t>
  </si>
  <si>
    <t>Catherine Aligrado</t>
  </si>
  <si>
    <t>Reynaldo Bonghanoy</t>
  </si>
  <si>
    <t>Prospero Cordova</t>
  </si>
  <si>
    <t>Joevel Vistal</t>
  </si>
  <si>
    <t>Michelle Macabinta</t>
  </si>
  <si>
    <t>Prisco Alvar</t>
  </si>
  <si>
    <t>Jesriel Rasonabe</t>
  </si>
  <si>
    <t>Armando Campion</t>
  </si>
  <si>
    <t>Marito Padillo</t>
  </si>
  <si>
    <t>Rey Anthony Magsino</t>
  </si>
  <si>
    <t>Matias Manlangit</t>
  </si>
  <si>
    <t>Victor Jagonos</t>
  </si>
  <si>
    <t>Jeffrey Lamoste</t>
  </si>
  <si>
    <t>Michael Mejias</t>
  </si>
  <si>
    <t>Wilbert Lumanas</t>
  </si>
  <si>
    <t>Leonardo Florenosos</t>
  </si>
  <si>
    <t>Noel Lapiz</t>
  </si>
  <si>
    <t>Hilario Dumadag</t>
  </si>
  <si>
    <t>Enrique Saging</t>
  </si>
  <si>
    <t>Pami Espinar</t>
  </si>
  <si>
    <t>Roberto Alforque</t>
  </si>
  <si>
    <t>Crispin Sale</t>
  </si>
  <si>
    <t>Zenaida Busalanan</t>
  </si>
  <si>
    <t>Bonifacio Butal</t>
  </si>
  <si>
    <t>Fe Luna</t>
  </si>
  <si>
    <t>Agerio Café</t>
  </si>
  <si>
    <t>Cris Amodia</t>
  </si>
  <si>
    <t>Daisylou Ories</t>
  </si>
  <si>
    <t>Leonora Cloma</t>
  </si>
  <si>
    <t>Rolando Galleto</t>
  </si>
  <si>
    <t>Calubihan Sur</t>
  </si>
  <si>
    <t>Ruel Calamba</t>
  </si>
  <si>
    <t>Guinob-an</t>
  </si>
  <si>
    <t>Junior Renoblas</t>
  </si>
  <si>
    <t>Christopher Abcebe</t>
  </si>
  <si>
    <t>Renante Subingsobing</t>
  </si>
  <si>
    <t>Marlito Mendoza</t>
  </si>
  <si>
    <t>Romel Birad</t>
  </si>
  <si>
    <t>Nemesio Oranan</t>
  </si>
  <si>
    <t>Felix Naresma</t>
  </si>
  <si>
    <t>Maricel Lauron</t>
  </si>
  <si>
    <t>Elden Betalmos</t>
  </si>
  <si>
    <t>Riverside</t>
  </si>
  <si>
    <t>Vincent Devinosa</t>
  </si>
  <si>
    <t>Elram Aleria</t>
  </si>
  <si>
    <t>Glenn Largo</t>
  </si>
  <si>
    <t>Felix Cambangay</t>
  </si>
  <si>
    <t>Alfonso Cordova</t>
  </si>
  <si>
    <t>Noel Cano</t>
  </si>
  <si>
    <t>Domingo Cabug-os</t>
  </si>
  <si>
    <t>Nessan Mejias</t>
  </si>
  <si>
    <t>Jaison Golpe</t>
  </si>
  <si>
    <t>Villalimpia</t>
  </si>
  <si>
    <t>Dario Lustre</t>
  </si>
  <si>
    <t>Janice Oracion</t>
  </si>
  <si>
    <t>Alexit Garaga</t>
  </si>
  <si>
    <t>Ramil Pailanan</t>
  </si>
  <si>
    <t>Betaliana Caño</t>
  </si>
  <si>
    <t>Janrey Ragas</t>
  </si>
  <si>
    <t>Myrna Aro</t>
  </si>
  <si>
    <t>Ernesto Torotot</t>
  </si>
  <si>
    <t>Marvin Bahinting</t>
  </si>
  <si>
    <t>Behind d Clouds</t>
  </si>
  <si>
    <t>Edon Boy Ramirez</t>
  </si>
  <si>
    <t>William Ramirez</t>
  </si>
  <si>
    <t>Niño Ombay</t>
  </si>
  <si>
    <t>Cantumimbo</t>
  </si>
  <si>
    <t>Mayde Amegable</t>
  </si>
  <si>
    <t>Samuel Tugonon</t>
  </si>
  <si>
    <t>Bahi-an</t>
  </si>
  <si>
    <t>John Lester Acaso</t>
  </si>
  <si>
    <t>Jonnifer Octobre</t>
  </si>
  <si>
    <t>Edward Abanto</t>
  </si>
  <si>
    <t>Robert Dagaang</t>
  </si>
  <si>
    <t>Eladio Lomad</t>
  </si>
  <si>
    <t>Joseph Esmalin</t>
  </si>
  <si>
    <t>Nagsulay</t>
  </si>
  <si>
    <t>Joenever Cote</t>
  </si>
  <si>
    <t>Melagros Rances</t>
  </si>
  <si>
    <t>Tejero</t>
  </si>
  <si>
    <t>Roxel Tayag</t>
  </si>
  <si>
    <t>Marjohn Escabosa</t>
  </si>
  <si>
    <t>Romel Ranay</t>
  </si>
  <si>
    <t>Cabagakyan</t>
  </si>
  <si>
    <t>Lourdes Suganob</t>
  </si>
  <si>
    <t>Anthony Lagitao</t>
  </si>
  <si>
    <t>Feliza Omos</t>
  </si>
  <si>
    <t>Garcia</t>
  </si>
  <si>
    <t>Calingahan Sur</t>
  </si>
  <si>
    <t>Mario Añosa</t>
  </si>
  <si>
    <t>Albert Boncales</t>
  </si>
  <si>
    <t>Juan Acedilla</t>
  </si>
  <si>
    <t>Dipatlong</t>
  </si>
  <si>
    <t>Analiza Sumalinog</t>
  </si>
  <si>
    <t>Bobby Torrepalma</t>
  </si>
  <si>
    <t>Oliver Ayenza</t>
  </si>
  <si>
    <t>Alexander Lasia</t>
  </si>
  <si>
    <t>Glenn Remulta</t>
  </si>
  <si>
    <t>Johnmark Tupas</t>
  </si>
  <si>
    <t>Jayson Ranises</t>
  </si>
  <si>
    <t>Alegerias Galo</t>
  </si>
  <si>
    <t>Ryo Lucero</t>
  </si>
  <si>
    <t>Mylene Fryling</t>
  </si>
  <si>
    <t>Clark Nam-ay</t>
  </si>
  <si>
    <t>Eddie Concon</t>
  </si>
  <si>
    <t>Susan Inayon</t>
  </si>
  <si>
    <t>Virgilio Meliza</t>
  </si>
  <si>
    <t>Canbitoon</t>
  </si>
  <si>
    <t>Reymark Lee Nuez</t>
  </si>
  <si>
    <t>Lito Emia</t>
  </si>
  <si>
    <t>Ferdinand Hibaya</t>
  </si>
  <si>
    <t>Tagubas</t>
  </si>
  <si>
    <t>Jerson Rafa</t>
  </si>
  <si>
    <t>Desederio Legaspi</t>
  </si>
  <si>
    <t>Salvador Mahumot</t>
  </si>
  <si>
    <t>David Salingay</t>
  </si>
  <si>
    <t>Edwin Hagatin</t>
  </si>
  <si>
    <t>Gilberto Goco</t>
  </si>
  <si>
    <t>Discoro Amor</t>
  </si>
  <si>
    <t>Edwin Oyao</t>
  </si>
  <si>
    <t>Ma. Lucil Refama</t>
  </si>
  <si>
    <t>Victor Gelbolingo</t>
  </si>
  <si>
    <t>Jimmy Reyes</t>
  </si>
  <si>
    <t>Juanito Bolo</t>
  </si>
  <si>
    <t>Glenn Mahilum</t>
  </si>
  <si>
    <t>Jesusa Palma</t>
  </si>
  <si>
    <t>Cris Auza</t>
  </si>
  <si>
    <t>Joselito Carnice</t>
  </si>
  <si>
    <t>Ariel Autivo</t>
  </si>
  <si>
    <t>Antonio Claro</t>
  </si>
  <si>
    <t>Avelardo Sumaylo</t>
  </si>
  <si>
    <t>Ariel Tamsi</t>
  </si>
  <si>
    <t>Norie Tago</t>
  </si>
  <si>
    <t>Joemar Evardo</t>
  </si>
  <si>
    <t>Mark Anthony Tomo</t>
  </si>
  <si>
    <t>Randolf Lade</t>
  </si>
  <si>
    <t>Bool</t>
  </si>
  <si>
    <t>Richard Alleluya</t>
  </si>
  <si>
    <t>Elesio Ledesma</t>
  </si>
  <si>
    <t>Conrado Bonghanoy</t>
  </si>
  <si>
    <t>Roselier Ocsin</t>
  </si>
  <si>
    <t>Emelio Lanoy</t>
  </si>
  <si>
    <t>Nardo Batausa</t>
  </si>
  <si>
    <t>Silverio Oripaypay</t>
  </si>
  <si>
    <t>Renante Domingo</t>
  </si>
  <si>
    <t>Lemuel Brina</t>
  </si>
  <si>
    <t>Lito Gudarido</t>
  </si>
  <si>
    <t>Alden Lanoy</t>
  </si>
  <si>
    <t>Vivo Lurente</t>
  </si>
  <si>
    <t xml:space="preserve">Ilijan </t>
  </si>
  <si>
    <t>Yman Curion</t>
  </si>
  <si>
    <t>Mervin Gonzalgo</t>
  </si>
  <si>
    <t>Irenea Torrejano</t>
  </si>
  <si>
    <t>Junafer Fernandez</t>
  </si>
  <si>
    <t>Mart Sajulla</t>
  </si>
  <si>
    <t>Binliw</t>
  </si>
  <si>
    <t>Loreta Saletrero</t>
  </si>
  <si>
    <t>Jemar Sereguilla</t>
  </si>
  <si>
    <t>Roberto Benijagan</t>
  </si>
  <si>
    <t>Ian Igagamao</t>
  </si>
  <si>
    <t>Joel Florez</t>
  </si>
  <si>
    <t>Anthony Cagol</t>
  </si>
  <si>
    <t>Tabuan</t>
  </si>
  <si>
    <t>Juan Madelo</t>
  </si>
  <si>
    <t>Pedro Itallo</t>
  </si>
  <si>
    <t>Carlo Jaum</t>
  </si>
  <si>
    <t>Nestor Panutsol</t>
  </si>
  <si>
    <t>Abiguil Fulguirinas</t>
  </si>
  <si>
    <t>Ardie Eujaynes</t>
  </si>
  <si>
    <t>Bonifacio Quibol</t>
  </si>
  <si>
    <t>Leonediza Belleca</t>
  </si>
  <si>
    <t>Gil Baguio</t>
  </si>
  <si>
    <t>Lucio Bahinting</t>
  </si>
  <si>
    <t>Roger Noronio</t>
  </si>
  <si>
    <t>Jose Rico Cepe</t>
  </si>
  <si>
    <t>Lourdes</t>
  </si>
  <si>
    <t>Rolando Betalmos</t>
  </si>
  <si>
    <t>Arnel Vistal</t>
  </si>
  <si>
    <t>Fernando Aparece</t>
  </si>
  <si>
    <t>Graciano Gudarido</t>
  </si>
  <si>
    <t>Raul Cabug-os</t>
  </si>
  <si>
    <t>Cirila Betalmos</t>
  </si>
  <si>
    <t>Clark Alyawan</t>
  </si>
  <si>
    <t>Marlon Doblado</t>
  </si>
  <si>
    <t>Alfredo Bahenting</t>
  </si>
  <si>
    <t>Vicente Camposo</t>
  </si>
  <si>
    <t>Juan Palma</t>
  </si>
  <si>
    <t>Basac</t>
  </si>
  <si>
    <t>Marvin Coso</t>
  </si>
  <si>
    <t>Nagtuang</t>
  </si>
  <si>
    <t>Paul Acain</t>
  </si>
  <si>
    <t>Jorem Sangarios</t>
  </si>
  <si>
    <t>Samuel Montealto</t>
  </si>
  <si>
    <t>Campatud</t>
  </si>
  <si>
    <t>Liezel Cosares</t>
  </si>
  <si>
    <t>Julito Aguilar</t>
  </si>
  <si>
    <t>Avelino Saraspe</t>
  </si>
  <si>
    <t>Romel Bagsican</t>
  </si>
  <si>
    <t>Michael Niones</t>
  </si>
  <si>
    <t>Vito Cañete</t>
  </si>
  <si>
    <t>Sur</t>
  </si>
  <si>
    <t>Alberto Revira</t>
  </si>
  <si>
    <t>Tito Angcog</t>
  </si>
  <si>
    <t>Bonifacio</t>
  </si>
  <si>
    <t>Josie Pia</t>
  </si>
  <si>
    <t>Florencio Gambe Jr.</t>
  </si>
  <si>
    <t>Marlon Dahab</t>
  </si>
  <si>
    <t>Jose Marcial Pedoche</t>
  </si>
  <si>
    <t>Campawo</t>
  </si>
  <si>
    <t>Mezky Edo</t>
  </si>
  <si>
    <t>Emilito Duallo</t>
  </si>
  <si>
    <t>Norma Ewican</t>
  </si>
  <si>
    <t>Yurie Manayaga</t>
  </si>
  <si>
    <t>Alifio Babad</t>
  </si>
  <si>
    <t>Razil Ando</t>
  </si>
  <si>
    <t>Roseller Estorion</t>
  </si>
  <si>
    <t>Roel Binlod</t>
  </si>
  <si>
    <t>Ramjhon Arabejo</t>
  </si>
  <si>
    <t>Ojie Lumagod</t>
  </si>
  <si>
    <t>Calixto Lerion</t>
  </si>
  <si>
    <t>German Oro</t>
  </si>
  <si>
    <t>Junel Melencion</t>
  </si>
  <si>
    <t>June Karb Quieta</t>
  </si>
  <si>
    <t>Bugsok</t>
  </si>
  <si>
    <t>Danilo Bulambot</t>
  </si>
  <si>
    <t>Ronald Alipoyo</t>
  </si>
  <si>
    <t>Hayahay</t>
  </si>
  <si>
    <t>Nerio Jalop</t>
  </si>
  <si>
    <t>Anibongan</t>
  </si>
  <si>
    <t>788,150 pcs.</t>
  </si>
  <si>
    <t>42,800 pcs.</t>
  </si>
  <si>
    <t>1,099 pcs.</t>
  </si>
  <si>
    <t>4,460 pcs.</t>
  </si>
  <si>
    <t>84,497 sq.m.</t>
  </si>
  <si>
    <t xml:space="preserve">                  March 2021</t>
  </si>
  <si>
    <r>
      <rPr>
        <sz val="10"/>
        <color theme="1"/>
        <rFont val="Arial"/>
      </rPr>
      <t>Total No. Of Beneficiaries:</t>
    </r>
    <r>
      <rPr>
        <sz val="10"/>
        <color rgb="FFFF0000"/>
        <rFont val="Arial"/>
      </rPr>
      <t xml:space="preserve"> </t>
    </r>
    <r>
      <rPr>
        <b/>
        <u/>
        <sz val="10"/>
        <color rgb="FFFF0000"/>
        <rFont val="Arial"/>
      </rPr>
      <t>3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</si>
  <si>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</si>
  <si>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Female: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</si>
  <si>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Others:(S.C./PWD)</t>
    </r>
    <r>
      <rPr>
        <u/>
        <sz val="10"/>
        <color theme="1"/>
        <rFont val="Arial"/>
      </rPr>
      <t xml:space="preserve"> </t>
    </r>
  </si>
  <si>
    <t>LGU - Ubay</t>
  </si>
  <si>
    <t>Wendel Mejias</t>
  </si>
  <si>
    <t>LGU - Sevilla</t>
  </si>
  <si>
    <t>Junior Lumantas</t>
  </si>
  <si>
    <t>Ralf Lagura</t>
  </si>
  <si>
    <t>LGU - Talibon</t>
  </si>
  <si>
    <t>Ana Mae Evangelista</t>
  </si>
  <si>
    <t>LGU - Valencia</t>
  </si>
  <si>
    <t>Jera Jane Namindang</t>
  </si>
  <si>
    <t>Danao Til. Growers Assn.</t>
  </si>
  <si>
    <t>Jonifer Octobre</t>
  </si>
  <si>
    <t>Cresente Bernaldez</t>
  </si>
  <si>
    <t>Robert Auchuelo</t>
  </si>
  <si>
    <t>Keilana Resource &amp; Development Corp.</t>
  </si>
  <si>
    <t>Manguto</t>
  </si>
  <si>
    <t>Pamplona, Neg. Oriental</t>
  </si>
  <si>
    <t>Diomare Panganiban</t>
  </si>
  <si>
    <t>LGU - Antequera</t>
  </si>
  <si>
    <t>Paterna Renegado</t>
  </si>
  <si>
    <t>Ferrie Ayang</t>
  </si>
  <si>
    <t>LGU - Pilar</t>
  </si>
  <si>
    <t>Cogtong</t>
  </si>
  <si>
    <t>Jesvin Lasin</t>
  </si>
  <si>
    <t>LGU - Carmen</t>
  </si>
  <si>
    <t>Victor Adlawon</t>
  </si>
  <si>
    <r>
      <rPr>
        <b/>
        <u/>
        <sz val="9"/>
        <color rgb="FFFF0000"/>
        <rFont val="Arial"/>
      </rPr>
      <t xml:space="preserve">481,600 pcs. </t>
    </r>
    <r>
      <rPr>
        <b/>
        <i/>
        <u/>
        <sz val="9"/>
        <color rgb="FFFF0000"/>
        <rFont val="Arial"/>
      </rPr>
      <t>(Tilapia fry)</t>
    </r>
  </si>
  <si>
    <r>
      <rPr>
        <b/>
        <u/>
        <sz val="9"/>
        <color rgb="FFFF0000"/>
        <rFont val="Arial"/>
      </rPr>
      <t>12,000 pcs. (</t>
    </r>
    <r>
      <rPr>
        <b/>
        <i/>
        <u/>
        <sz val="9"/>
        <color rgb="FFFF0000"/>
        <rFont val="Arial"/>
      </rPr>
      <t>Tilapia broodstock)</t>
    </r>
  </si>
  <si>
    <r>
      <rPr>
        <sz val="9"/>
        <color theme="1"/>
        <rFont val="Arial"/>
      </rPr>
      <t>Ornamental Fish:</t>
    </r>
    <r>
      <rPr>
        <u/>
        <sz val="9"/>
        <color theme="1"/>
        <rFont val="Arial"/>
      </rPr>
      <t xml:space="preserve"> </t>
    </r>
  </si>
  <si>
    <r>
      <rPr>
        <sz val="9"/>
        <color theme="1"/>
        <rFont val="Arial"/>
      </rPr>
      <t xml:space="preserve">  Brackishwater:</t>
    </r>
    <r>
      <rPr>
        <u/>
        <sz val="9"/>
        <color theme="1"/>
        <rFont val="Arial"/>
      </rPr>
      <t xml:space="preserve"> </t>
    </r>
  </si>
  <si>
    <t xml:space="preserve">                   February 2021</t>
  </si>
  <si>
    <r>
      <rPr>
        <sz val="10"/>
        <color theme="1"/>
        <rFont val="Arial"/>
      </rPr>
      <t xml:space="preserve">Total No. Of Beneficiaries: </t>
    </r>
    <r>
      <rPr>
        <b/>
        <u/>
        <sz val="10"/>
        <color rgb="FFFF0000"/>
        <rFont val="Arial"/>
      </rPr>
      <t>287</t>
    </r>
  </si>
  <si>
    <r>
      <rPr>
        <sz val="10"/>
        <color theme="1"/>
        <rFont val="Arial"/>
      </rPr>
      <t xml:space="preserve">Others:(S.C./PWD): </t>
    </r>
    <r>
      <rPr>
        <b/>
        <u/>
        <sz val="10"/>
        <color rgb="FFFF0000"/>
        <rFont val="Arial"/>
      </rPr>
      <t>38</t>
    </r>
  </si>
  <si>
    <t>Ike Beltran</t>
  </si>
  <si>
    <t>09204389438</t>
  </si>
  <si>
    <t>Prisco Bihag</t>
  </si>
  <si>
    <t>09308403470</t>
  </si>
  <si>
    <t>Jessie Camilao</t>
  </si>
  <si>
    <t>09175088332</t>
  </si>
  <si>
    <t>Archie Baguio</t>
  </si>
  <si>
    <t>Toril</t>
  </si>
  <si>
    <t>09284220044</t>
  </si>
  <si>
    <t>Jaime Palmitos</t>
  </si>
  <si>
    <t>09178250987</t>
  </si>
  <si>
    <t>Melbert Maghuyop</t>
  </si>
  <si>
    <t>09393102292</t>
  </si>
  <si>
    <t>Elpedio Jumao-as</t>
  </si>
  <si>
    <t>Marilou Bagot</t>
  </si>
  <si>
    <t>Gotozon</t>
  </si>
  <si>
    <t>09386763224</t>
  </si>
  <si>
    <t>Basilia Pagas</t>
  </si>
  <si>
    <t>Masunoy</t>
  </si>
  <si>
    <t>Almario Narciso</t>
  </si>
  <si>
    <t>09550662978</t>
  </si>
  <si>
    <t>Jose Pajas</t>
  </si>
  <si>
    <t>09051986900</t>
  </si>
  <si>
    <t>Ranio Jumamoy</t>
  </si>
  <si>
    <t>Alex Amihan</t>
  </si>
  <si>
    <t>Nestor Mejares</t>
  </si>
  <si>
    <t>09071972148</t>
  </si>
  <si>
    <t>Neco Taguines</t>
  </si>
  <si>
    <t>09095802451</t>
  </si>
  <si>
    <t>Meriam Pelipinosas</t>
  </si>
  <si>
    <t>Cansagui Sur</t>
  </si>
  <si>
    <t>09079686531</t>
  </si>
  <si>
    <t>Manuel Gallogo</t>
  </si>
  <si>
    <t>09777977098</t>
  </si>
  <si>
    <t>Silverio Vistal</t>
  </si>
  <si>
    <t>Maximino Delantar</t>
  </si>
  <si>
    <t>09056344360</t>
  </si>
  <si>
    <t>Robert Ingbino</t>
  </si>
  <si>
    <t>Roel Suello</t>
  </si>
  <si>
    <t>09127665067</t>
  </si>
  <si>
    <t>Anelyn Temblor</t>
  </si>
  <si>
    <t>09984169513</t>
  </si>
  <si>
    <t>Estela Racho</t>
  </si>
  <si>
    <t>Pedro Jaso</t>
  </si>
  <si>
    <t>09777991615</t>
  </si>
  <si>
    <t>Apolonio Manatad</t>
  </si>
  <si>
    <t>09508939285</t>
  </si>
  <si>
    <t>Leonica Lugpit</t>
  </si>
  <si>
    <t>09091520702</t>
  </si>
  <si>
    <t>Tito Unajan</t>
  </si>
  <si>
    <t>09173095155</t>
  </si>
  <si>
    <t>Roland Pogoy</t>
  </si>
  <si>
    <t>Kinan-oan</t>
  </si>
  <si>
    <t>09161991175</t>
  </si>
  <si>
    <t>Alvin Berongoy</t>
  </si>
  <si>
    <t>09262995032</t>
  </si>
  <si>
    <t>Ronito Nuera</t>
  </si>
  <si>
    <t>09387415982</t>
  </si>
  <si>
    <t>Ritchie Mante</t>
  </si>
  <si>
    <t>Bagumbayan</t>
  </si>
  <si>
    <t>09358510276</t>
  </si>
  <si>
    <t>Staneslao Senados</t>
  </si>
  <si>
    <t>09664585662</t>
  </si>
  <si>
    <t>Artemio Durante</t>
  </si>
  <si>
    <t>09487129017</t>
  </si>
  <si>
    <t>Rio Lucero</t>
  </si>
  <si>
    <t>Niel Alcover</t>
  </si>
  <si>
    <t>09486691960</t>
  </si>
  <si>
    <t>Mark Ortiz</t>
  </si>
  <si>
    <t>Pobalcion</t>
  </si>
  <si>
    <t>09275003556</t>
  </si>
  <si>
    <t>Judy Fel Caiña</t>
  </si>
  <si>
    <t>09519979786</t>
  </si>
  <si>
    <t>Fredo Miasco</t>
  </si>
  <si>
    <t>09200057676</t>
  </si>
  <si>
    <t>Isaac Asucan</t>
  </si>
  <si>
    <t>09097449430</t>
  </si>
  <si>
    <t>Campao</t>
  </si>
  <si>
    <t>09488687332</t>
  </si>
  <si>
    <t>Ismael Bahinting</t>
  </si>
  <si>
    <t>Japee Celocea</t>
  </si>
  <si>
    <t>09297447462</t>
  </si>
  <si>
    <t>09752484846</t>
  </si>
  <si>
    <t>Jenmar Butron</t>
  </si>
  <si>
    <t>09515400696</t>
  </si>
  <si>
    <t>Dominador Bautista</t>
  </si>
  <si>
    <t xml:space="preserve">Dagnawan </t>
  </si>
  <si>
    <t>09976350131</t>
  </si>
  <si>
    <t>Bonifacio Garcia</t>
  </si>
  <si>
    <t>09127263525</t>
  </si>
  <si>
    <t>Jian dela Torre</t>
  </si>
  <si>
    <t>Danilo Vistal</t>
  </si>
  <si>
    <t>09162553770</t>
  </si>
  <si>
    <t>Antonio Celades</t>
  </si>
  <si>
    <t>09467268688</t>
  </si>
  <si>
    <t>Poncia Sumalinog</t>
  </si>
  <si>
    <t>09483581097</t>
  </si>
  <si>
    <t>Ivan Cañones</t>
  </si>
  <si>
    <t>09467194132</t>
  </si>
  <si>
    <t>Mark Pilongo</t>
  </si>
  <si>
    <t>09120448229</t>
  </si>
  <si>
    <t>Alma Alampayan</t>
  </si>
  <si>
    <t>09534062261</t>
  </si>
  <si>
    <t>Lope Caberte</t>
  </si>
  <si>
    <t>094846466798</t>
  </si>
  <si>
    <t>Felix Celestra</t>
  </si>
  <si>
    <t>09977935179</t>
  </si>
  <si>
    <t>Danilo Bucar</t>
  </si>
  <si>
    <t>Ariel Vitor</t>
  </si>
  <si>
    <t>Ranelo Bulala</t>
  </si>
  <si>
    <t>09105049938</t>
  </si>
  <si>
    <t>Jonathan Gabriel</t>
  </si>
  <si>
    <t>09176776762</t>
  </si>
  <si>
    <t>09504396785</t>
  </si>
  <si>
    <t>Joamar Evardo</t>
  </si>
  <si>
    <t>09534061737</t>
  </si>
  <si>
    <t>Edwin Bitasolo</t>
  </si>
  <si>
    <t>Roel Lagroma</t>
  </si>
  <si>
    <t>09512352400</t>
  </si>
  <si>
    <t>Wilson Sumaya</t>
  </si>
  <si>
    <t>09484656122</t>
  </si>
  <si>
    <t>Alfredo Añana</t>
  </si>
  <si>
    <t>09129496402</t>
  </si>
  <si>
    <t>Edsel Balio</t>
  </si>
  <si>
    <t>09382717190</t>
  </si>
  <si>
    <t>Aquilina Asucan</t>
  </si>
  <si>
    <t>09074070547</t>
  </si>
  <si>
    <t>Ranel Molina</t>
  </si>
  <si>
    <t>09382110312</t>
  </si>
  <si>
    <t>Elizabeth Betalmos</t>
  </si>
  <si>
    <t>Pearly Betalmos</t>
  </si>
  <si>
    <t>Marcelino Rulida</t>
  </si>
  <si>
    <t>Althoro Higpit</t>
  </si>
  <si>
    <t>Quezon</t>
  </si>
  <si>
    <t>Rolando Aparece</t>
  </si>
  <si>
    <t>09758725996</t>
  </si>
  <si>
    <t>Nilo Lopez</t>
  </si>
  <si>
    <t xml:space="preserve">Lajug </t>
  </si>
  <si>
    <t>09398791500</t>
  </si>
  <si>
    <t>Jude Maranga</t>
  </si>
  <si>
    <t>09519283660</t>
  </si>
  <si>
    <t>Emmanuel Bitgue</t>
  </si>
  <si>
    <t>09958106196</t>
  </si>
  <si>
    <t>Ireneo Brina</t>
  </si>
  <si>
    <t>09516267577</t>
  </si>
  <si>
    <t>John Carl Rago</t>
  </si>
  <si>
    <t>Alexander Galicha</t>
  </si>
  <si>
    <t>09551652483</t>
  </si>
  <si>
    <t>Romuel Gomez</t>
  </si>
  <si>
    <t>Catagbacan</t>
  </si>
  <si>
    <t>09091743612</t>
  </si>
  <si>
    <t>Anthony Janiola</t>
  </si>
  <si>
    <t>09178582426</t>
  </si>
  <si>
    <t>Wenceslao Sagliba</t>
  </si>
  <si>
    <t>09128120762</t>
  </si>
  <si>
    <t>Felomina Departo</t>
  </si>
  <si>
    <t>Baucan</t>
  </si>
  <si>
    <t>09467581413</t>
  </si>
  <si>
    <t>Susana Diolola</t>
  </si>
  <si>
    <t>Pangapasan Is.</t>
  </si>
  <si>
    <t>Abraham Casimsiman</t>
  </si>
  <si>
    <t>09084556911</t>
  </si>
  <si>
    <t>Mar Nelson Sufaota</t>
  </si>
  <si>
    <t>09063294062</t>
  </si>
  <si>
    <t>Dan Dennis Uy</t>
  </si>
  <si>
    <t>Alejandro Bual</t>
  </si>
  <si>
    <t>Tawala</t>
  </si>
  <si>
    <t>09095290676</t>
  </si>
  <si>
    <t>Virgilio Oroyan</t>
  </si>
  <si>
    <t>09307667770</t>
  </si>
  <si>
    <t>Lorenzo Jasmin</t>
  </si>
  <si>
    <t>Can-omag</t>
  </si>
  <si>
    <t>09106479489</t>
  </si>
  <si>
    <t>Upper dela Paz</t>
  </si>
  <si>
    <t>Agustino Bautista</t>
  </si>
  <si>
    <t>09380579274</t>
  </si>
  <si>
    <t>Alvin Sobiono</t>
  </si>
  <si>
    <t>09308037500</t>
  </si>
  <si>
    <t>Russel Marabilis</t>
  </si>
  <si>
    <t>Rogelio Bagaslao</t>
  </si>
  <si>
    <t>09991551099</t>
  </si>
  <si>
    <t>Dana Jane Andamon</t>
  </si>
  <si>
    <t xml:space="preserve">Duljo </t>
  </si>
  <si>
    <t>09129233577</t>
  </si>
  <si>
    <t>Raymond Salutan</t>
  </si>
  <si>
    <t>Felix Dacaldacal</t>
  </si>
  <si>
    <t>09385995440</t>
  </si>
  <si>
    <t>Dan Paul Caminade</t>
  </si>
  <si>
    <t>09108836440</t>
  </si>
  <si>
    <t>Kenneth Labastigas</t>
  </si>
  <si>
    <t>09484975506</t>
  </si>
  <si>
    <t>Joel Labanan</t>
  </si>
  <si>
    <t>09102646951</t>
  </si>
  <si>
    <t>Charles Philip Asube</t>
  </si>
  <si>
    <t>09553827248</t>
  </si>
  <si>
    <t>Roy Balaba</t>
  </si>
  <si>
    <t>09308026208</t>
  </si>
  <si>
    <t>Felix Silagan</t>
  </si>
  <si>
    <t>09308344967</t>
  </si>
  <si>
    <t>Boy Bonghanoy</t>
  </si>
  <si>
    <t>09977253404</t>
  </si>
  <si>
    <t>Amelia Lascoña</t>
  </si>
  <si>
    <t>09055386154</t>
  </si>
  <si>
    <t>Rogelio Clavite</t>
  </si>
  <si>
    <t>Jesus Lambot</t>
  </si>
  <si>
    <t>Catmnonan</t>
  </si>
  <si>
    <t>09126311557</t>
  </si>
  <si>
    <t>Rodelio Patayan</t>
  </si>
  <si>
    <t>09098553379</t>
  </si>
  <si>
    <t>Zenas Batohinay</t>
  </si>
  <si>
    <t>09306800062</t>
  </si>
  <si>
    <t>Romel Geolagon</t>
  </si>
  <si>
    <t>09999533337</t>
  </si>
  <si>
    <t>Eric Capunan</t>
  </si>
  <si>
    <t xml:space="preserve">U-og </t>
  </si>
  <si>
    <t>09652807584</t>
  </si>
  <si>
    <t>Rodrigo Suello</t>
  </si>
  <si>
    <t>09308059066</t>
  </si>
  <si>
    <t>John Ente</t>
  </si>
  <si>
    <t>Camaya-ap</t>
  </si>
  <si>
    <t>09176710907</t>
  </si>
  <si>
    <t>Anjo Carl Abayon</t>
  </si>
  <si>
    <t>09363112016</t>
  </si>
  <si>
    <t>Wenjister Betalmos</t>
  </si>
  <si>
    <t>Marilou Menesis</t>
  </si>
  <si>
    <t>09988612925</t>
  </si>
  <si>
    <t>Jhomel Tirol</t>
  </si>
  <si>
    <t>09099885797</t>
  </si>
  <si>
    <t>Efren Coronel</t>
  </si>
  <si>
    <t>09506817800</t>
  </si>
  <si>
    <t>Solieto Verano</t>
  </si>
  <si>
    <t>09197679498</t>
  </si>
  <si>
    <t>Erene Merano</t>
  </si>
  <si>
    <t>09506395995</t>
  </si>
  <si>
    <t>Edgardo Caranod</t>
  </si>
  <si>
    <t>09550655786</t>
  </si>
  <si>
    <t>Jimmy Doblas</t>
  </si>
  <si>
    <t>Rodel Amparado</t>
  </si>
  <si>
    <t>Ma. Helen Singson</t>
  </si>
  <si>
    <t>Guillermo Tadle</t>
  </si>
  <si>
    <t>09488458369</t>
  </si>
  <si>
    <t>Sabino Ramen</t>
  </si>
  <si>
    <t>Bugho</t>
  </si>
  <si>
    <t>09305084368</t>
  </si>
  <si>
    <t>Lucresio Compasion</t>
  </si>
  <si>
    <t>09107982443</t>
  </si>
  <si>
    <t>Joseph Dano</t>
  </si>
  <si>
    <t>09294513752</t>
  </si>
  <si>
    <t>Venice Canilao</t>
  </si>
  <si>
    <t>09228438575</t>
  </si>
  <si>
    <t>Cerapin Tampon</t>
  </si>
  <si>
    <t>09561247562</t>
  </si>
  <si>
    <t>Adriano Genabia</t>
  </si>
  <si>
    <t>09126536315</t>
  </si>
  <si>
    <t>Alexander Matonhay</t>
  </si>
  <si>
    <t>09506401669</t>
  </si>
  <si>
    <t>Janet Pacatang</t>
  </si>
  <si>
    <t>Poblacion Vija</t>
  </si>
  <si>
    <t>09094439640</t>
  </si>
  <si>
    <t>Boyet Pabiolas</t>
  </si>
  <si>
    <t>09283272363</t>
  </si>
  <si>
    <t>Fe Duma</t>
  </si>
  <si>
    <t>09207600676</t>
  </si>
  <si>
    <t>Mary Joy Camamao</t>
  </si>
  <si>
    <t>Armando Mahinay</t>
  </si>
  <si>
    <t>09094678766</t>
  </si>
  <si>
    <t>Nueva Grande</t>
  </si>
  <si>
    <t>Jumarie Estorpe</t>
  </si>
  <si>
    <t>09071781879</t>
  </si>
  <si>
    <t>Gaudencio Galvadones</t>
  </si>
  <si>
    <t>09532893906</t>
  </si>
  <si>
    <t>Virne Gasco</t>
  </si>
  <si>
    <t>09352066065</t>
  </si>
  <si>
    <t>Leoncio Cempron</t>
  </si>
  <si>
    <t>09994085892</t>
  </si>
  <si>
    <t>Justiniano Balorio</t>
  </si>
  <si>
    <t>09109948713</t>
  </si>
  <si>
    <t>Joselito Nismal</t>
  </si>
  <si>
    <t>09105062604</t>
  </si>
  <si>
    <t>Reynante Fuertres</t>
  </si>
  <si>
    <t>09509543318</t>
  </si>
  <si>
    <t>Rodulfo Enoc</t>
  </si>
  <si>
    <t>09300803043</t>
  </si>
  <si>
    <t>Cresencio Camposo</t>
  </si>
  <si>
    <t>0948875255</t>
  </si>
  <si>
    <t>Casimero Camposo</t>
  </si>
  <si>
    <t>Leonito Galola</t>
  </si>
  <si>
    <t>09503837542</t>
  </si>
  <si>
    <t>Jerome Diolan</t>
  </si>
  <si>
    <t>09090143537</t>
  </si>
  <si>
    <t>Zenon Lenteria</t>
  </si>
  <si>
    <t>09127683014</t>
  </si>
  <si>
    <t>Eleno Cereligia</t>
  </si>
  <si>
    <t>09484432929</t>
  </si>
  <si>
    <t>Raymundo Cereligia</t>
  </si>
  <si>
    <t>Caltrava</t>
  </si>
  <si>
    <t>09105804598</t>
  </si>
  <si>
    <t>Noel Maranga</t>
  </si>
  <si>
    <t>09505591673</t>
  </si>
  <si>
    <t>Elmer Torrejas</t>
  </si>
  <si>
    <t>09636436337</t>
  </si>
  <si>
    <t>Galvin Ranada</t>
  </si>
  <si>
    <t>Aime Durante</t>
  </si>
  <si>
    <t>09090591499</t>
  </si>
  <si>
    <t>Tyson Pegad</t>
  </si>
  <si>
    <t>Jason Guevara</t>
  </si>
  <si>
    <t>09056559010</t>
  </si>
  <si>
    <t>Edgardo Podador</t>
  </si>
  <si>
    <t>09105448679</t>
  </si>
  <si>
    <t>Jonafesa Castro</t>
  </si>
  <si>
    <t>09205005903</t>
  </si>
  <si>
    <t>Juanito Balo</t>
  </si>
  <si>
    <t>09482250660</t>
  </si>
  <si>
    <t>Jason Estillore</t>
  </si>
  <si>
    <t>09081903464</t>
  </si>
  <si>
    <t>Leo Aparicio</t>
  </si>
  <si>
    <t>Baogo</t>
  </si>
  <si>
    <t>09519056275</t>
  </si>
  <si>
    <t>Joey Jamora</t>
  </si>
  <si>
    <t>Tubod Monte</t>
  </si>
  <si>
    <t>09197940166</t>
  </si>
  <si>
    <t>Many Gabunes</t>
  </si>
  <si>
    <t>09776935560</t>
  </si>
  <si>
    <t>Tonton Vistal</t>
  </si>
  <si>
    <t>Romeo Temblor</t>
  </si>
  <si>
    <t>09999889007</t>
  </si>
  <si>
    <t>Gideon Cabañes</t>
  </si>
  <si>
    <t>09129477808</t>
  </si>
  <si>
    <t>Ernesto Sansan</t>
  </si>
  <si>
    <t>New Lourdes</t>
  </si>
  <si>
    <t>09482194431</t>
  </si>
  <si>
    <t>Vicente Tahanlangit</t>
  </si>
  <si>
    <t>09309897633</t>
  </si>
  <si>
    <t>Marino Cosgafa Jr.</t>
  </si>
  <si>
    <t>09978471223</t>
  </si>
  <si>
    <t>Rosemarie Urbada</t>
  </si>
  <si>
    <t>09269957594</t>
  </si>
  <si>
    <t>William Casia</t>
  </si>
  <si>
    <t>09307362636</t>
  </si>
  <si>
    <t>09185520397</t>
  </si>
  <si>
    <t>Frazcyler Geligero</t>
  </si>
  <si>
    <t>09096781567</t>
  </si>
  <si>
    <t>Arjohn Planos</t>
  </si>
  <si>
    <t>09633873911</t>
  </si>
  <si>
    <t>Renerio Gumamoy</t>
  </si>
  <si>
    <t>09129059612</t>
  </si>
  <si>
    <t>Robert Samon</t>
  </si>
  <si>
    <t>Rufino Lofranco</t>
  </si>
  <si>
    <t>09463139609</t>
  </si>
  <si>
    <t>Ruel Cempron</t>
  </si>
  <si>
    <t>09999527227</t>
  </si>
  <si>
    <t>Jorge Salo</t>
  </si>
  <si>
    <t>09207766887</t>
  </si>
  <si>
    <t>Jenilyn Buagas</t>
  </si>
  <si>
    <t>Montivedio</t>
  </si>
  <si>
    <t>09508832153</t>
  </si>
  <si>
    <t>Agapito Dayuja</t>
  </si>
  <si>
    <t>09512336242</t>
  </si>
  <si>
    <t>095190556275</t>
  </si>
  <si>
    <t>09222711228</t>
  </si>
  <si>
    <t>John Jay Opella</t>
  </si>
  <si>
    <t>09994776345</t>
  </si>
  <si>
    <t>Randy Torrenueva</t>
  </si>
  <si>
    <t>09092287504</t>
  </si>
  <si>
    <t>Jonel Infesto</t>
  </si>
  <si>
    <t>09461619099</t>
  </si>
  <si>
    <t>Marino Tero</t>
  </si>
  <si>
    <t>Jesusa Agbon</t>
  </si>
  <si>
    <t>09677483541</t>
  </si>
  <si>
    <t xml:space="preserve">                  February 2021</t>
  </si>
  <si>
    <r>
      <rPr>
        <sz val="10"/>
        <color theme="1"/>
        <rFont val="Arial"/>
      </rPr>
      <t>Total No. Of Beneficiaries:</t>
    </r>
    <r>
      <rPr>
        <sz val="10"/>
        <color rgb="FFFF0000"/>
        <rFont val="Arial"/>
      </rPr>
      <t xml:space="preserve"> </t>
    </r>
    <r>
      <rPr>
        <b/>
        <u/>
        <sz val="10"/>
        <color rgb="FFFF0000"/>
        <rFont val="Arial"/>
      </rPr>
      <t>3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</si>
  <si>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</si>
  <si>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Female: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</si>
  <si>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Others:(S.C./PWD)</t>
    </r>
    <r>
      <rPr>
        <u/>
        <sz val="10"/>
        <color theme="1"/>
        <rFont val="Arial"/>
      </rPr>
      <t xml:space="preserve"> </t>
    </r>
  </si>
  <si>
    <t>Ireneo Gabata</t>
  </si>
  <si>
    <r>
      <rPr>
        <sz val="9"/>
        <color theme="1"/>
        <rFont val="Arial"/>
      </rPr>
      <t>Ornamental Fish:</t>
    </r>
    <r>
      <rPr>
        <u/>
        <sz val="9"/>
        <color theme="1"/>
        <rFont val="Arial"/>
      </rPr>
      <t xml:space="preserve"> </t>
    </r>
  </si>
  <si>
    <r>
      <rPr>
        <sz val="9"/>
        <color theme="1"/>
        <rFont val="Arial"/>
      </rPr>
      <t xml:space="preserve">  Brackishwater:</t>
    </r>
    <r>
      <rPr>
        <u/>
        <sz val="9"/>
        <color theme="1"/>
        <rFont val="Arial"/>
      </rPr>
      <t xml:space="preserve"> </t>
    </r>
  </si>
  <si>
    <t xml:space="preserve">                   January 2021</t>
  </si>
  <si>
    <r>
      <rPr>
        <sz val="10"/>
        <color theme="1"/>
        <rFont val="Arial"/>
      </rPr>
      <t xml:space="preserve">Total No. Of Beneficiaries: </t>
    </r>
    <r>
      <rPr>
        <b/>
        <u/>
        <sz val="10"/>
        <color rgb="FFFF0000"/>
        <rFont val="Arial"/>
      </rPr>
      <t>188</t>
    </r>
  </si>
  <si>
    <r>
      <rPr>
        <sz val="10"/>
        <color theme="1"/>
        <rFont val="Arial"/>
      </rPr>
      <t xml:space="preserve">Others:(S.C./PWD): </t>
    </r>
    <r>
      <rPr>
        <b/>
        <u/>
        <sz val="10"/>
        <color rgb="FFFF0000"/>
        <rFont val="Arial"/>
      </rPr>
      <t>19</t>
    </r>
  </si>
  <si>
    <t>Renato Ticong</t>
  </si>
  <si>
    <t>Hinlayagan</t>
  </si>
  <si>
    <t>Emelio Micabini</t>
  </si>
  <si>
    <t>Mark Louiz Jagunos</t>
  </si>
  <si>
    <t>Reniel Baba</t>
  </si>
  <si>
    <t>Aurora Jimenez</t>
  </si>
  <si>
    <t>Joemari Tandog</t>
  </si>
  <si>
    <t>Centro</t>
  </si>
  <si>
    <t>Erwin Gumanid</t>
  </si>
  <si>
    <t>Susie Galang</t>
  </si>
  <si>
    <t>Francisco Palma</t>
  </si>
  <si>
    <t>Dionesio Gonzalos</t>
  </si>
  <si>
    <t>Vicente Gonzalos</t>
  </si>
  <si>
    <t>Jhon Rotillo Nacario</t>
  </si>
  <si>
    <t>Ramil Sumagaysay</t>
  </si>
  <si>
    <t>Eldren Auguis</t>
  </si>
  <si>
    <t>Abachanan</t>
  </si>
  <si>
    <t>Sierra</t>
  </si>
  <si>
    <t>Jessie Jamel</t>
  </si>
  <si>
    <t>Aldrich Añabieza</t>
  </si>
  <si>
    <t>Pablo Consarba</t>
  </si>
  <si>
    <t>Aleja Andulama</t>
  </si>
  <si>
    <t>Rey Indiana</t>
  </si>
  <si>
    <t>Jestone Tusoy</t>
  </si>
  <si>
    <t>Aljun Sobiono</t>
  </si>
  <si>
    <t>Novert John Siento</t>
  </si>
  <si>
    <t>Rhyan Fe Bongato</t>
  </si>
  <si>
    <t>Amelita Cabunilas</t>
  </si>
  <si>
    <t>Rosita Palaca</t>
  </si>
  <si>
    <t>Climaco Linogao</t>
  </si>
  <si>
    <t>Junjie Gabot</t>
  </si>
  <si>
    <t>Bob Linogao</t>
  </si>
  <si>
    <t>Jonathan Suan</t>
  </si>
  <si>
    <t>Tuntunan</t>
  </si>
  <si>
    <t>Excel Baguio</t>
  </si>
  <si>
    <t>Jimmy Baba</t>
  </si>
  <si>
    <t>Jim Raymund Mulat</t>
  </si>
  <si>
    <t>Locelie Sab</t>
  </si>
  <si>
    <t>Liza Pasay</t>
  </si>
  <si>
    <t>Paulino Bonajos Jr</t>
  </si>
  <si>
    <t>Daniel Tolon</t>
  </si>
  <si>
    <t>Cantomimbo</t>
  </si>
  <si>
    <t>Joerey Rollon</t>
  </si>
  <si>
    <t>Joaryn Galagala</t>
  </si>
  <si>
    <t>Bryan Garbo</t>
  </si>
  <si>
    <t>Agapito Panganduyon</t>
  </si>
  <si>
    <t>Jessica Olandria</t>
  </si>
  <si>
    <t>Elias Enoc</t>
  </si>
  <si>
    <t>Mailyn Boncales</t>
  </si>
  <si>
    <t>Daniel Piezas</t>
  </si>
  <si>
    <t>Josefina Coritico</t>
  </si>
  <si>
    <t>Rudy Baja</t>
  </si>
  <si>
    <t>Jejey Sumalpong</t>
  </si>
  <si>
    <t>Justino Hibaya</t>
  </si>
  <si>
    <t>Ian Sagliba</t>
  </si>
  <si>
    <t>Arnel Millanes</t>
  </si>
  <si>
    <t>Marlon Ampoloquio</t>
  </si>
  <si>
    <t>Amboan</t>
  </si>
  <si>
    <t>Aldrich Kyle Polistico</t>
  </si>
  <si>
    <t>Jerson Miano</t>
  </si>
  <si>
    <t>Danilo Mara</t>
  </si>
  <si>
    <t>Macario Laguros</t>
  </si>
  <si>
    <t>Jayson Oronan</t>
  </si>
  <si>
    <t>Fidel Totomayor</t>
  </si>
  <si>
    <t>Montaceda</t>
  </si>
  <si>
    <t>Jun Pangan</t>
  </si>
  <si>
    <t>Suseso Senados</t>
  </si>
  <si>
    <t>Crisela Ricablanca</t>
  </si>
  <si>
    <t>Aram Gacera</t>
  </si>
  <si>
    <t>Olimpio Budiongan</t>
  </si>
  <si>
    <t>Botod Or.</t>
  </si>
  <si>
    <t>Aldrian Alcober</t>
  </si>
  <si>
    <t>Angela Ramos</t>
  </si>
  <si>
    <t>Cresencio Años</t>
  </si>
  <si>
    <t>Re Guillen</t>
  </si>
  <si>
    <t>Wilson Estorgio</t>
  </si>
  <si>
    <t>Mary Joy Suello</t>
  </si>
  <si>
    <t>Gregorio Llegonas</t>
  </si>
  <si>
    <t>Arturo Carton</t>
  </si>
  <si>
    <t>Orlando Gaudicos</t>
  </si>
  <si>
    <t>Norman Nuez</t>
  </si>
  <si>
    <t>Lander Jade dela Torre</t>
  </si>
  <si>
    <t>Rochelle Villapaña</t>
  </si>
  <si>
    <t>Jemark Macabinta</t>
  </si>
  <si>
    <t>Robinson Soñega</t>
  </si>
  <si>
    <t>Kevin Aparici</t>
  </si>
  <si>
    <t>Antonio Nuynay</t>
  </si>
  <si>
    <t>Aaron Yagong</t>
  </si>
  <si>
    <t>John Peter Manatad</t>
  </si>
  <si>
    <t>Ramel Molina</t>
  </si>
  <si>
    <t>Aljun Ombajin</t>
  </si>
  <si>
    <t>Marianne Bonajos</t>
  </si>
  <si>
    <t>Virginia Madanguit</t>
  </si>
  <si>
    <t>Fredereck Rejas Jr.</t>
  </si>
  <si>
    <t>Celso Moring</t>
  </si>
  <si>
    <t>Canawa</t>
  </si>
  <si>
    <t>Roland Valentos</t>
  </si>
  <si>
    <t>Elde Catalan</t>
  </si>
  <si>
    <t>Rodel Empredo</t>
  </si>
  <si>
    <t>Ryan Brignas</t>
  </si>
  <si>
    <t>Gov. Boyles</t>
  </si>
  <si>
    <t>Daniel Gasco</t>
  </si>
  <si>
    <t>Jiejo Dano</t>
  </si>
  <si>
    <t>Arnold Tanghian</t>
  </si>
  <si>
    <t>Eligio Buñao</t>
  </si>
  <si>
    <t>Jesel Uy</t>
  </si>
  <si>
    <t>Berlin Basbas</t>
  </si>
  <si>
    <t>Elmar Lacalinos</t>
  </si>
  <si>
    <t>Fatima Luzano</t>
  </si>
  <si>
    <t>Roldan Doyogan</t>
  </si>
  <si>
    <t>James Lim</t>
  </si>
  <si>
    <t>Roxanne Rabacal</t>
  </si>
  <si>
    <t>Selvino Añosa Sr.</t>
  </si>
  <si>
    <t>Ma. Leonica Dale Doydoy</t>
  </si>
  <si>
    <t>Jason Simbajon</t>
  </si>
  <si>
    <t>SAgbayan</t>
  </si>
  <si>
    <t>Ananias Misa</t>
  </si>
  <si>
    <t>Mecel Belara</t>
  </si>
  <si>
    <t>Pablo Panes</t>
  </si>
  <si>
    <t>Maeilane Oronan</t>
  </si>
  <si>
    <t>Tobod</t>
  </si>
  <si>
    <t>Nolasco Legaspo</t>
  </si>
  <si>
    <t>Avelino Puracan</t>
  </si>
  <si>
    <t>Elbert Bonajos</t>
  </si>
  <si>
    <t>Manuel Mara</t>
  </si>
  <si>
    <t>Antonio Madijanon</t>
  </si>
  <si>
    <t>Abrahan Salvalion</t>
  </si>
  <si>
    <t>Gerry Jaragosa</t>
  </si>
  <si>
    <t>Kabulihan</t>
  </si>
  <si>
    <t>Weni Jala</t>
  </si>
  <si>
    <t>Malqueen Patoy</t>
  </si>
  <si>
    <t>Poblaciom</t>
  </si>
  <si>
    <t>Dandan Loveto</t>
  </si>
  <si>
    <t>Edwin Sanchez</t>
  </si>
  <si>
    <t>Jonas Estorgio</t>
  </si>
  <si>
    <t>Rogelio Nogalada</t>
  </si>
  <si>
    <t>Primitibo Baquilid</t>
  </si>
  <si>
    <t>Alfredo Sanchez</t>
  </si>
  <si>
    <t>Claire Requiermi</t>
  </si>
  <si>
    <t>Irma Villanueva</t>
  </si>
  <si>
    <t>Poblacio, Ibabao</t>
  </si>
  <si>
    <t>Marieta Ayuban</t>
  </si>
  <si>
    <t>Jason Gudarido</t>
  </si>
  <si>
    <t>Romeo Genita</t>
  </si>
  <si>
    <t>Eugenio Dapar</t>
  </si>
  <si>
    <t>Renel Canoy</t>
  </si>
  <si>
    <t>Melecia Poquita</t>
  </si>
  <si>
    <t>Paolo Cajote</t>
  </si>
  <si>
    <t>Ian Cajote</t>
  </si>
  <si>
    <t>Antonio Vistal</t>
  </si>
  <si>
    <t>Renelyn Ombajin</t>
  </si>
  <si>
    <t>Cromwell Sotes</t>
  </si>
  <si>
    <t>Lope Cinconiegue</t>
  </si>
  <si>
    <t>Baocan</t>
  </si>
  <si>
    <t>338,480 pcs.</t>
  </si>
  <si>
    <t>6,650 pcs.</t>
  </si>
  <si>
    <t>3,020 pcs.</t>
  </si>
  <si>
    <t>7,000 pcs.</t>
  </si>
  <si>
    <t>55,737 sq.m.</t>
  </si>
  <si>
    <t xml:space="preserve">                  January 2021</t>
  </si>
  <si>
    <r>
      <rPr>
        <sz val="10"/>
        <color theme="1"/>
        <rFont val="Arial"/>
      </rPr>
      <t>Total No. Of Beneficiaries: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</si>
  <si>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</si>
  <si>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Female: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</si>
  <si>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Others:(S.C./PWD)</t>
    </r>
    <r>
      <rPr>
        <u/>
        <sz val="10"/>
        <color theme="1"/>
        <rFont val="Arial"/>
      </rPr>
      <t xml:space="preserve"> </t>
    </r>
  </si>
  <si>
    <t>Guio-ang</t>
  </si>
  <si>
    <t>Mangga Nat'l. High School</t>
  </si>
  <si>
    <t>Necesario Cabarles</t>
  </si>
  <si>
    <t>BFAR - 7, UBFF</t>
  </si>
  <si>
    <t>Son-oc</t>
  </si>
  <si>
    <t>47,800 pcs.</t>
  </si>
  <si>
    <r>
      <rPr>
        <sz val="11"/>
        <color theme="1"/>
        <rFont val="Calibri"/>
      </rPr>
      <t xml:space="preserve">Breeders: </t>
    </r>
    <r>
      <rPr>
        <b/>
        <u/>
        <sz val="11"/>
        <color rgb="FFFF0000"/>
        <rFont val="Calibri"/>
      </rPr>
      <t>405 pcs.</t>
    </r>
  </si>
  <si>
    <r>
      <rPr>
        <sz val="9"/>
        <color theme="1"/>
        <rFont val="Arial"/>
      </rPr>
      <t>Ornamental Fish:</t>
    </r>
    <r>
      <rPr>
        <u/>
        <sz val="9"/>
        <color theme="1"/>
        <rFont val="Arial"/>
      </rPr>
      <t xml:space="preserve"> </t>
    </r>
  </si>
  <si>
    <r>
      <rPr>
        <sz val="9"/>
        <color theme="1"/>
        <rFont val="Arial"/>
      </rPr>
      <t xml:space="preserve">  Brackishwater:</t>
    </r>
    <r>
      <rPr>
        <u/>
        <sz val="9"/>
        <color theme="1"/>
        <rFont val="Arial"/>
      </rPr>
      <t xml:space="preserve"> </t>
    </r>
  </si>
  <si>
    <t>REGION 7 - 2021 MONTHLY TILAPIA PRODUCTION</t>
  </si>
  <si>
    <t>MONTH</t>
  </si>
  <si>
    <t>CFFF, Clarin</t>
  </si>
  <si>
    <t>LDFF, Camotes</t>
  </si>
  <si>
    <t>UBFF - Ubay</t>
  </si>
  <si>
    <t>DISTRIBUTED</t>
  </si>
  <si>
    <t>PRODUCED</t>
  </si>
  <si>
    <t>Sub.TOTAL</t>
  </si>
  <si>
    <r>
      <rPr>
        <b/>
        <sz val="13"/>
        <color theme="1"/>
        <rFont val="Calibri"/>
      </rPr>
      <t>1</t>
    </r>
    <r>
      <rPr>
        <b/>
        <vertAlign val="superscript"/>
        <sz val="13"/>
        <color theme="1"/>
        <rFont val="Calibri"/>
      </rPr>
      <t>st</t>
    </r>
    <r>
      <rPr>
        <b/>
        <sz val="13"/>
        <color theme="1"/>
        <rFont val="Calibri"/>
      </rPr>
      <t xml:space="preserve"> DISTRICT</t>
    </r>
  </si>
  <si>
    <r>
      <rPr>
        <b/>
        <sz val="13"/>
        <color theme="1"/>
        <rFont val="Calibri"/>
      </rPr>
      <t>2</t>
    </r>
    <r>
      <rPr>
        <b/>
        <vertAlign val="superscript"/>
        <sz val="13"/>
        <color theme="1"/>
        <rFont val="Calibri"/>
      </rPr>
      <t>nd</t>
    </r>
    <r>
      <rPr>
        <b/>
        <sz val="13"/>
        <color theme="1"/>
        <rFont val="Calibri"/>
      </rPr>
      <t xml:space="preserve"> DISTRICT</t>
    </r>
  </si>
  <si>
    <r>
      <rPr>
        <b/>
        <sz val="13"/>
        <color theme="1"/>
        <rFont val="Calibri"/>
      </rPr>
      <t>3</t>
    </r>
    <r>
      <rPr>
        <b/>
        <vertAlign val="superscript"/>
        <sz val="13"/>
        <color theme="1"/>
        <rFont val="Calibri"/>
      </rPr>
      <t>rd</t>
    </r>
    <r>
      <rPr>
        <b/>
        <sz val="13"/>
        <color theme="1"/>
        <rFont val="Calibri"/>
      </rPr>
      <t xml:space="preserve"> DISTRICT</t>
    </r>
  </si>
  <si>
    <t>Bien Unido</t>
  </si>
  <si>
    <t>President Garcia</t>
  </si>
  <si>
    <t>Garcia Hernandez</t>
  </si>
  <si>
    <r>
      <rPr>
        <b/>
        <sz val="13"/>
        <color theme="1"/>
        <rFont val="Calibri"/>
      </rPr>
      <t>1</t>
    </r>
    <r>
      <rPr>
        <b/>
        <vertAlign val="superscript"/>
        <sz val="13"/>
        <color theme="1"/>
        <rFont val="Calibri"/>
      </rPr>
      <t>st</t>
    </r>
    <r>
      <rPr>
        <b/>
        <sz val="13"/>
        <color theme="1"/>
        <rFont val="Calibri"/>
      </rPr>
      <t xml:space="preserve"> DISTRICT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</si>
</sst>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\-yyyy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_);_(@_)"/>
    <numFmt numFmtId="168" formatCode="_(* #,##0_);_(* \(#,##0\);_(* &quot;-&quot;?_);_(@_)"/>
  </numFmts>
  <fonts count="62">
    <font>
      <sz val="11"/>
      <color theme="1"/>
      <name val="Calibri"/>
      <scheme val="minor"/>
    </font>
    <font>
      <b/>
      <sz val="18"/>
      <color theme="1"/>
      <name val="Arial"/>
    </font>
    <font>
      <sz val="11"/>
      <color theme="1"/>
      <name val="Calibri"/>
    </font>
    <font>
      <b/>
      <sz val="14"/>
      <color theme="1"/>
      <name val="Arial"/>
    </font>
    <font>
      <sz val="9"/>
      <color theme="1"/>
      <name val="Arial"/>
    </font>
    <font>
      <sz val="10"/>
      <color theme="1"/>
      <name val="Arial"/>
    </font>
    <font>
      <sz val="11"/>
      <name val="Calibri"/>
    </font>
    <font>
      <b/>
      <u/>
      <sz val="10"/>
      <color theme="1"/>
      <name val="Arial"/>
    </font>
    <font>
      <b/>
      <sz val="10"/>
      <color theme="1"/>
      <name val="Arial"/>
    </font>
    <font>
      <b/>
      <sz val="8"/>
      <color theme="1"/>
      <name val="Arial"/>
    </font>
    <font>
      <b/>
      <sz val="9"/>
      <color theme="1"/>
      <name val="Arial"/>
    </font>
    <font>
      <sz val="8"/>
      <color theme="1"/>
      <name val="Arial"/>
    </font>
    <font>
      <b/>
      <sz val="11"/>
      <color theme="1"/>
      <name val="Calibri"/>
    </font>
    <font>
      <b/>
      <u/>
      <sz val="9"/>
      <color theme="1"/>
      <name val="Arial"/>
    </font>
    <font>
      <b/>
      <u/>
      <sz val="9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b/>
      <u/>
      <sz val="11"/>
      <color theme="1"/>
      <name val="Calibri"/>
    </font>
    <font>
      <sz val="11"/>
      <color theme="1"/>
      <name val="Arial"/>
    </font>
    <font>
      <b/>
      <i/>
      <sz val="11"/>
      <color theme="1"/>
      <name val="Arial"/>
    </font>
    <font>
      <i/>
      <sz val="11"/>
      <color theme="1"/>
      <name val="Arial"/>
    </font>
    <font>
      <b/>
      <i/>
      <sz val="11"/>
      <color theme="1"/>
      <name val="Calibri"/>
    </font>
    <font>
      <b/>
      <sz val="20"/>
      <color rgb="FFFFFF00"/>
      <name val="Cambria"/>
    </font>
    <font>
      <b/>
      <sz val="14"/>
      <color theme="1"/>
      <name val="Calibri"/>
    </font>
    <font>
      <b/>
      <sz val="13"/>
      <color theme="1"/>
      <name val="Calibri"/>
    </font>
    <font>
      <sz val="13"/>
      <color theme="1"/>
      <name val="Calibri"/>
    </font>
    <font>
      <sz val="12"/>
      <color theme="1"/>
      <name val="Calibri"/>
    </font>
    <font>
      <sz val="14"/>
      <color rgb="FF1F497D"/>
      <name val="Calibri"/>
    </font>
    <font>
      <b/>
      <sz val="14"/>
      <color rgb="FF1F497D"/>
      <name val="Calibri"/>
    </font>
    <font>
      <sz val="20"/>
      <color theme="1"/>
      <name val="Calibri"/>
    </font>
    <font>
      <sz val="11"/>
      <color theme="1"/>
      <name val="Calibri"/>
      <scheme val="minor"/>
    </font>
    <font>
      <sz val="11"/>
      <color theme="5"/>
      <name val="Arial"/>
    </font>
    <font>
      <b/>
      <i/>
      <sz val="20"/>
      <color rgb="FF1F497D"/>
      <name val="Cambria"/>
    </font>
    <font>
      <b/>
      <i/>
      <sz val="18"/>
      <color rgb="FFFF0000"/>
      <name val="Calibri"/>
    </font>
    <font>
      <sz val="25"/>
      <color theme="1"/>
      <name val="Calibri"/>
    </font>
    <font>
      <b/>
      <sz val="11"/>
      <color rgb="FFFF0000"/>
      <name val="Calibri"/>
    </font>
    <font>
      <b/>
      <sz val="20"/>
      <color theme="1"/>
      <name val="Calibri"/>
    </font>
    <font>
      <b/>
      <u/>
      <sz val="10"/>
      <color rgb="FFFF0000"/>
      <name val="Arial"/>
    </font>
    <font>
      <sz val="11"/>
      <color rgb="FFFF0000"/>
      <name val="Calibri"/>
    </font>
    <font>
      <b/>
      <u/>
      <sz val="9"/>
      <color rgb="FFFF0000"/>
      <name val="Arial"/>
    </font>
    <font>
      <b/>
      <u/>
      <sz val="9"/>
      <color rgb="FFFF0000"/>
      <name val="Arial"/>
    </font>
    <font>
      <sz val="9"/>
      <color rgb="FFFF0000"/>
      <name val="Arial"/>
    </font>
    <font>
      <b/>
      <u/>
      <sz val="11"/>
      <color rgb="FFFF0000"/>
      <name val="Calibri"/>
    </font>
    <font>
      <sz val="11"/>
      <color rgb="FFFF0000"/>
      <name val="Arial"/>
    </font>
    <font>
      <b/>
      <i/>
      <sz val="11"/>
      <color rgb="FFFF0000"/>
      <name val="Calibri"/>
    </font>
    <font>
      <b/>
      <u/>
      <sz val="9"/>
      <color rgb="FFFF0000"/>
      <name val="Arial"/>
    </font>
    <font>
      <b/>
      <u/>
      <sz val="10"/>
      <color rgb="FFFF0000"/>
      <name val="Arial"/>
    </font>
    <font>
      <b/>
      <sz val="10"/>
      <color rgb="FFFF0000"/>
      <name val="Arial"/>
    </font>
    <font>
      <b/>
      <u/>
      <sz val="9"/>
      <color rgb="FFFF0000"/>
      <name val="Arial"/>
    </font>
    <font>
      <b/>
      <i/>
      <sz val="11"/>
      <color rgb="FFFF0000"/>
      <name val="Arial"/>
    </font>
    <font>
      <b/>
      <sz val="11"/>
      <color rgb="FFFF0000"/>
      <name val="Arial"/>
    </font>
    <font>
      <b/>
      <i/>
      <sz val="10"/>
      <color theme="1"/>
      <name val="Arial"/>
    </font>
    <font>
      <b/>
      <i/>
      <sz val="10"/>
      <color rgb="FFFF0000"/>
      <name val="Arial"/>
    </font>
    <font>
      <b/>
      <sz val="12"/>
      <color theme="1"/>
      <name val="Calibri"/>
    </font>
    <font>
      <b/>
      <i/>
      <sz val="14"/>
      <color rgb="FF00B0F0"/>
      <name val="Calibri"/>
    </font>
    <font>
      <b/>
      <sz val="16"/>
      <color rgb="FF0070C0"/>
      <name val="Calibri"/>
    </font>
    <font>
      <u/>
      <sz val="10"/>
      <color theme="1"/>
      <name val="Arial"/>
    </font>
    <font>
      <u/>
      <sz val="9"/>
      <color theme="1"/>
      <name val="Arial"/>
    </font>
    <font>
      <sz val="10"/>
      <color rgb="FFFF0000"/>
      <name val="Arial"/>
    </font>
    <font>
      <sz val="10"/>
      <color theme="1"/>
      <name val="Calibri"/>
    </font>
    <font>
      <b/>
      <i/>
      <u/>
      <sz val="9"/>
      <color rgb="FFFF0000"/>
      <name val="Arial"/>
    </font>
    <font>
      <b/>
      <vertAlign val="superscript"/>
      <sz val="13"/>
      <color theme="1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31859B"/>
        <bgColor rgb="FF31859B"/>
      </patternFill>
    </fill>
    <fill>
      <patternFill patternType="solid">
        <fgColor rgb="FF92CDDC"/>
        <bgColor rgb="FF92CDDC"/>
      </patternFill>
    </fill>
    <fill>
      <patternFill patternType="solid">
        <fgColor rgb="FFE5B8B7"/>
        <bgColor rgb="FFE5B8B7"/>
      </patternFill>
    </fill>
    <fill>
      <patternFill patternType="solid">
        <fgColor rgb="FFC6D9F0"/>
        <bgColor rgb="FFC6D9F0"/>
      </patternFill>
    </fill>
    <fill>
      <patternFill patternType="solid">
        <fgColor rgb="FFC4BD97"/>
        <bgColor rgb="FFC4BD97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DDD9C3"/>
        <bgColor rgb="FFDDD9C3"/>
      </patternFill>
    </fill>
    <fill>
      <patternFill patternType="solid">
        <fgColor rgb="FFD8D8D8"/>
        <bgColor rgb="FFD8D8D8"/>
      </patternFill>
    </fill>
    <fill>
      <patternFill patternType="solid">
        <fgColor rgb="FFFABF8F"/>
        <bgColor rgb="FFFABF8F"/>
      </patternFill>
    </fill>
    <fill>
      <patternFill patternType="solid">
        <fgColor rgb="FFCCC0D9"/>
        <bgColor rgb="FFCCC0D9"/>
      </patternFill>
    </fill>
    <fill>
      <patternFill patternType="solid">
        <fgColor rgb="FFF2DBDB"/>
        <bgColor rgb="FFF2DBDB"/>
      </patternFill>
    </fill>
    <fill>
      <patternFill patternType="solid">
        <fgColor rgb="FFDAEEF3"/>
        <bgColor rgb="FFDAEEF3"/>
      </patternFill>
    </fill>
    <fill>
      <patternFill patternType="solid">
        <fgColor rgb="FFC2D69B"/>
        <bgColor rgb="FFC2D69B"/>
      </patternFill>
    </fill>
    <fill>
      <patternFill patternType="solid">
        <fgColor rgb="FFDBE5F1"/>
        <bgColor rgb="FFDBE5F1"/>
      </patternFill>
    </fill>
    <fill>
      <patternFill patternType="solid">
        <fgColor rgb="FF8DB3E2"/>
        <bgColor rgb="FF8DB3E2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rgb="FFFFFF00"/>
      </patternFill>
    </fill>
    <fill>
      <patternFill patternType="solid">
        <fgColor rgb="FF938953"/>
        <bgColor rgb="FF938953"/>
      </patternFill>
    </fill>
    <fill>
      <patternFill patternType="solid">
        <fgColor rgb="FFFBD4B4"/>
        <bgColor rgb="FFFBD4B4"/>
      </patternFill>
    </fill>
    <fill>
      <patternFill patternType="solid">
        <fgColor rgb="FFD6E3BC"/>
        <bgColor rgb="FFD6E3BC"/>
      </patternFill>
    </fill>
    <fill>
      <patternFill patternType="solid">
        <fgColor rgb="FF00B0F0"/>
        <bgColor rgb="FF00B0F0"/>
      </patternFill>
    </fill>
    <fill>
      <patternFill patternType="solid">
        <fgColor rgb="FFB8CCE4"/>
        <bgColor rgb="FFB8CCE4"/>
      </patternFill>
    </fill>
    <fill>
      <patternFill patternType="solid">
        <fgColor rgb="FFFF0000"/>
        <bgColor rgb="FFFF0000"/>
      </patternFill>
    </fill>
    <fill>
      <patternFill patternType="solid">
        <fgColor theme="6"/>
        <bgColor theme="6"/>
      </patternFill>
    </fill>
  </fills>
  <borders count="5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2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38" fontId="4" fillId="0" borderId="0" xfId="0" applyNumberFormat="1" applyFont="1"/>
    <xf numFmtId="165" fontId="4" fillId="0" borderId="0" xfId="0" applyNumberFormat="1" applyFont="1"/>
    <xf numFmtId="165" fontId="4" fillId="0" borderId="3" xfId="0" applyNumberFormat="1" applyFont="1" applyBorder="1"/>
    <xf numFmtId="0" fontId="5" fillId="0" borderId="0" xfId="0" applyFont="1"/>
    <xf numFmtId="0" fontId="7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4" fillId="0" borderId="7" xfId="0" applyFont="1" applyBorder="1" applyAlignment="1">
      <alignment horizontal="right"/>
    </xf>
    <xf numFmtId="0" fontId="2" fillId="0" borderId="7" xfId="0" applyFont="1" applyBorder="1" applyAlignment="1">
      <alignment horizontal="left"/>
    </xf>
    <xf numFmtId="165" fontId="4" fillId="0" borderId="7" xfId="0" applyNumberFormat="1" applyFont="1" applyBorder="1"/>
    <xf numFmtId="0" fontId="10" fillId="0" borderId="12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12" xfId="0" applyFont="1" applyBorder="1"/>
    <xf numFmtId="0" fontId="4" fillId="0" borderId="12" xfId="0" applyFont="1" applyBorder="1" applyAlignment="1">
      <alignment horizontal="right"/>
    </xf>
    <xf numFmtId="38" fontId="10" fillId="0" borderId="3" xfId="0" applyNumberFormat="1" applyFont="1" applyBorder="1" applyAlignment="1">
      <alignment horizontal="center"/>
    </xf>
    <xf numFmtId="165" fontId="10" fillId="0" borderId="3" xfId="0" applyNumberFormat="1" applyFont="1" applyBorder="1" applyAlignment="1">
      <alignment horizontal="center"/>
    </xf>
    <xf numFmtId="0" fontId="5" fillId="0" borderId="12" xfId="0" applyFont="1" applyBorder="1"/>
    <xf numFmtId="0" fontId="2" fillId="0" borderId="12" xfId="0" applyFont="1" applyBorder="1"/>
    <xf numFmtId="0" fontId="2" fillId="0" borderId="11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9" fillId="0" borderId="3" xfId="0" applyFont="1" applyBorder="1"/>
    <xf numFmtId="165" fontId="10" fillId="0" borderId="3" xfId="0" applyNumberFormat="1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4" fillId="0" borderId="13" xfId="0" applyFont="1" applyBorder="1" applyAlignment="1">
      <alignment horizontal="right"/>
    </xf>
    <xf numFmtId="0" fontId="2" fillId="0" borderId="13" xfId="0" applyFont="1" applyBorder="1" applyAlignment="1">
      <alignment horizontal="left"/>
    </xf>
    <xf numFmtId="0" fontId="8" fillId="0" borderId="13" xfId="0" applyFont="1" applyBorder="1"/>
    <xf numFmtId="0" fontId="10" fillId="0" borderId="13" xfId="0" applyFont="1" applyBorder="1" applyAlignment="1">
      <alignment horizontal="right"/>
    </xf>
    <xf numFmtId="38" fontId="10" fillId="0" borderId="6" xfId="0" applyNumberFormat="1" applyFont="1" applyBorder="1" applyAlignment="1">
      <alignment horizontal="center"/>
    </xf>
    <xf numFmtId="165" fontId="10" fillId="0" borderId="13" xfId="0" applyNumberFormat="1" applyFont="1" applyBorder="1"/>
    <xf numFmtId="0" fontId="8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2" fillId="0" borderId="14" xfId="0" applyFont="1" applyBorder="1"/>
    <xf numFmtId="165" fontId="2" fillId="0" borderId="14" xfId="0" applyNumberFormat="1" applyFont="1" applyBorder="1"/>
    <xf numFmtId="0" fontId="2" fillId="0" borderId="14" xfId="0" applyFont="1" applyBorder="1" applyAlignment="1">
      <alignment horizontal="center"/>
    </xf>
    <xf numFmtId="0" fontId="2" fillId="0" borderId="14" xfId="0" quotePrefix="1" applyFont="1" applyBorder="1"/>
    <xf numFmtId="3" fontId="2" fillId="0" borderId="14" xfId="0" applyNumberFormat="1" applyFont="1" applyBorder="1"/>
    <xf numFmtId="3" fontId="2" fillId="0" borderId="0" xfId="0" applyNumberFormat="1" applyFont="1"/>
    <xf numFmtId="0" fontId="12" fillId="0" borderId="0" xfId="0" applyFont="1"/>
    <xf numFmtId="0" fontId="2" fillId="0" borderId="15" xfId="0" applyFont="1" applyBorder="1" applyAlignment="1">
      <alignment horizontal="center"/>
    </xf>
    <xf numFmtId="0" fontId="2" fillId="0" borderId="15" xfId="0" applyFont="1" applyBorder="1"/>
    <xf numFmtId="0" fontId="2" fillId="0" borderId="15" xfId="0" quotePrefix="1" applyFont="1" applyBorder="1"/>
    <xf numFmtId="3" fontId="2" fillId="0" borderId="15" xfId="0" applyNumberFormat="1" applyFont="1" applyBorder="1"/>
    <xf numFmtId="165" fontId="2" fillId="0" borderId="15" xfId="0" applyNumberFormat="1" applyFont="1" applyBorder="1"/>
    <xf numFmtId="0" fontId="2" fillId="0" borderId="13" xfId="0" applyFont="1" applyBorder="1" applyAlignment="1">
      <alignment horizontal="center"/>
    </xf>
    <xf numFmtId="0" fontId="2" fillId="0" borderId="13" xfId="0" applyFont="1" applyBorder="1"/>
    <xf numFmtId="3" fontId="2" fillId="0" borderId="13" xfId="0" applyNumberFormat="1" applyFont="1" applyBorder="1"/>
    <xf numFmtId="165" fontId="2" fillId="0" borderId="13" xfId="0" applyNumberFormat="1" applyFont="1" applyBorder="1"/>
    <xf numFmtId="0" fontId="2" fillId="0" borderId="14" xfId="0" quotePrefix="1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5" xfId="0" quotePrefix="1" applyFont="1" applyBorder="1" applyAlignment="1">
      <alignment horizontal="left"/>
    </xf>
    <xf numFmtId="0" fontId="2" fillId="0" borderId="13" xfId="0" quotePrefix="1" applyFont="1" applyBorder="1" applyAlignment="1">
      <alignment horizontal="left"/>
    </xf>
    <xf numFmtId="0" fontId="2" fillId="0" borderId="13" xfId="0" quotePrefix="1" applyFont="1" applyBorder="1"/>
    <xf numFmtId="165" fontId="2" fillId="0" borderId="0" xfId="0" applyNumberFormat="1" applyFont="1"/>
    <xf numFmtId="165" fontId="10" fillId="0" borderId="0" xfId="0" applyNumberFormat="1" applyFont="1"/>
    <xf numFmtId="0" fontId="4" fillId="0" borderId="0" xfId="0" applyFont="1"/>
    <xf numFmtId="3" fontId="13" fillId="0" borderId="0" xfId="0" applyNumberFormat="1" applyFont="1" applyAlignment="1">
      <alignment horizontal="left"/>
    </xf>
    <xf numFmtId="166" fontId="2" fillId="0" borderId="0" xfId="0" applyNumberFormat="1" applyFont="1"/>
    <xf numFmtId="0" fontId="14" fillId="0" borderId="0" xfId="0" applyFont="1" applyAlignment="1">
      <alignment horizontal="left"/>
    </xf>
    <xf numFmtId="0" fontId="15" fillId="0" borderId="0" xfId="0" applyFont="1"/>
    <xf numFmtId="165" fontId="4" fillId="0" borderId="0" xfId="0" applyNumberFormat="1" applyFont="1" applyAlignment="1">
      <alignment horizontal="right"/>
    </xf>
    <xf numFmtId="3" fontId="4" fillId="0" borderId="0" xfId="0" applyNumberFormat="1" applyFont="1"/>
    <xf numFmtId="0" fontId="8" fillId="0" borderId="0" xfId="0" applyFont="1"/>
    <xf numFmtId="0" fontId="2" fillId="0" borderId="0" xfId="0" applyFont="1" applyAlignment="1">
      <alignment horizontal="right"/>
    </xf>
    <xf numFmtId="4" fontId="2" fillId="0" borderId="0" xfId="0" applyNumberFormat="1" applyFont="1"/>
    <xf numFmtId="0" fontId="5" fillId="0" borderId="11" xfId="0" applyFont="1" applyBorder="1"/>
    <xf numFmtId="0" fontId="17" fillId="0" borderId="3" xfId="0" applyFont="1" applyBorder="1" applyAlignment="1">
      <alignment horizontal="left"/>
    </xf>
    <xf numFmtId="0" fontId="8" fillId="0" borderId="0" xfId="0" applyFont="1" applyAlignment="1">
      <alignment horizontal="right"/>
    </xf>
    <xf numFmtId="0" fontId="2" fillId="0" borderId="4" xfId="0" applyFont="1" applyBorder="1"/>
    <xf numFmtId="0" fontId="5" fillId="0" borderId="13" xfId="0" applyFont="1" applyBorder="1"/>
    <xf numFmtId="0" fontId="9" fillId="0" borderId="7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4" fontId="2" fillId="0" borderId="7" xfId="0" applyNumberFormat="1" applyFont="1" applyBorder="1"/>
    <xf numFmtId="0" fontId="10" fillId="0" borderId="3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3" fontId="9" fillId="0" borderId="3" xfId="0" applyNumberFormat="1" applyFont="1" applyBorder="1" applyAlignment="1">
      <alignment horizontal="center"/>
    </xf>
    <xf numFmtId="4" fontId="10" fillId="0" borderId="3" xfId="0" applyNumberFormat="1" applyFont="1" applyBorder="1" applyAlignment="1">
      <alignment horizontal="center"/>
    </xf>
    <xf numFmtId="0" fontId="2" fillId="0" borderId="7" xfId="0" applyFont="1" applyBorder="1"/>
    <xf numFmtId="0" fontId="9" fillId="0" borderId="12" xfId="0" applyFont="1" applyBorder="1" applyAlignment="1">
      <alignment horizontal="right"/>
    </xf>
    <xf numFmtId="4" fontId="8" fillId="0" borderId="3" xfId="0" applyNumberFormat="1" applyFont="1" applyBorder="1"/>
    <xf numFmtId="0" fontId="2" fillId="0" borderId="13" xfId="0" applyFont="1" applyBorder="1" applyAlignment="1">
      <alignment horizontal="right"/>
    </xf>
    <xf numFmtId="0" fontId="9" fillId="0" borderId="0" xfId="0" applyFont="1" applyAlignment="1">
      <alignment horizontal="center"/>
    </xf>
    <xf numFmtId="0" fontId="8" fillId="0" borderId="13" xfId="0" applyFont="1" applyBorder="1" applyAlignment="1">
      <alignment horizontal="right"/>
    </xf>
    <xf numFmtId="3" fontId="9" fillId="0" borderId="6" xfId="0" applyNumberFormat="1" applyFont="1" applyBorder="1" applyAlignment="1">
      <alignment horizontal="center"/>
    </xf>
    <xf numFmtId="4" fontId="8" fillId="0" borderId="13" xfId="0" applyNumberFormat="1" applyFont="1" applyBorder="1"/>
    <xf numFmtId="0" fontId="2" fillId="0" borderId="14" xfId="0" applyFont="1" applyBorder="1" applyAlignment="1">
      <alignment horizontal="right"/>
    </xf>
    <xf numFmtId="4" fontId="2" fillId="0" borderId="14" xfId="0" applyNumberFormat="1" applyFont="1" applyBorder="1"/>
    <xf numFmtId="0" fontId="18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left"/>
    </xf>
    <xf numFmtId="0" fontId="18" fillId="0" borderId="14" xfId="0" applyFont="1" applyBorder="1"/>
    <xf numFmtId="0" fontId="18" fillId="0" borderId="14" xfId="0" applyFont="1" applyBorder="1" applyAlignment="1">
      <alignment horizontal="center"/>
    </xf>
    <xf numFmtId="0" fontId="18" fillId="0" borderId="14" xfId="0" quotePrefix="1" applyFont="1" applyBorder="1"/>
    <xf numFmtId="0" fontId="19" fillId="0" borderId="14" xfId="0" applyFont="1" applyBorder="1"/>
    <xf numFmtId="166" fontId="18" fillId="0" borderId="14" xfId="0" applyNumberFormat="1" applyFont="1" applyBorder="1"/>
    <xf numFmtId="0" fontId="20" fillId="0" borderId="14" xfId="0" applyFont="1" applyBorder="1" applyAlignment="1">
      <alignment horizontal="right" vertical="center"/>
    </xf>
    <xf numFmtId="0" fontId="18" fillId="0" borderId="14" xfId="0" applyFont="1" applyBorder="1" applyAlignment="1">
      <alignment vertical="center"/>
    </xf>
    <xf numFmtId="0" fontId="19" fillId="0" borderId="14" xfId="0" applyFont="1" applyBorder="1" applyAlignment="1">
      <alignment horizontal="left"/>
    </xf>
    <xf numFmtId="0" fontId="20" fillId="0" borderId="14" xfId="0" applyFont="1" applyBorder="1" applyAlignment="1">
      <alignment horizontal="right"/>
    </xf>
    <xf numFmtId="0" fontId="18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left" vertical="center"/>
    </xf>
    <xf numFmtId="0" fontId="18" fillId="0" borderId="13" xfId="0" applyFont="1" applyBorder="1" applyAlignment="1">
      <alignment horizontal="center"/>
    </xf>
    <xf numFmtId="0" fontId="18" fillId="0" borderId="13" xfId="0" quotePrefix="1" applyFont="1" applyBorder="1" applyAlignment="1">
      <alignment horizontal="center"/>
    </xf>
    <xf numFmtId="0" fontId="19" fillId="0" borderId="14" xfId="0" applyFont="1" applyBorder="1" applyAlignment="1">
      <alignment horizontal="right"/>
    </xf>
    <xf numFmtId="0" fontId="10" fillId="0" borderId="0" xfId="0" applyFont="1"/>
    <xf numFmtId="0" fontId="21" fillId="0" borderId="0" xfId="0" applyFont="1"/>
    <xf numFmtId="0" fontId="25" fillId="0" borderId="14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17" fontId="27" fillId="9" borderId="14" xfId="0" applyNumberFormat="1" applyFont="1" applyFill="1" applyBorder="1"/>
    <xf numFmtId="166" fontId="27" fillId="9" borderId="14" xfId="0" applyNumberFormat="1" applyFont="1" applyFill="1" applyBorder="1"/>
    <xf numFmtId="166" fontId="28" fillId="9" borderId="14" xfId="0" applyNumberFormat="1" applyFont="1" applyFill="1" applyBorder="1"/>
    <xf numFmtId="166" fontId="28" fillId="10" borderId="14" xfId="0" applyNumberFormat="1" applyFont="1" applyFill="1" applyBorder="1"/>
    <xf numFmtId="166" fontId="2" fillId="9" borderId="14" xfId="0" applyNumberFormat="1" applyFont="1" applyFill="1" applyBorder="1"/>
    <xf numFmtId="166" fontId="12" fillId="9" borderId="14" xfId="0" applyNumberFormat="1" applyFont="1" applyFill="1" applyBorder="1"/>
    <xf numFmtId="0" fontId="2" fillId="9" borderId="14" xfId="0" applyFont="1" applyFill="1" applyBorder="1"/>
    <xf numFmtId="17" fontId="27" fillId="9" borderId="14" xfId="0" applyNumberFormat="1" applyFont="1" applyFill="1" applyBorder="1" applyAlignment="1">
      <alignment horizontal="left"/>
    </xf>
    <xf numFmtId="17" fontId="27" fillId="5" borderId="14" xfId="0" applyNumberFormat="1" applyFont="1" applyFill="1" applyBorder="1" applyAlignment="1">
      <alignment horizontal="left"/>
    </xf>
    <xf numFmtId="166" fontId="27" fillId="5" borderId="14" xfId="0" applyNumberFormat="1" applyFont="1" applyFill="1" applyBorder="1"/>
    <xf numFmtId="166" fontId="28" fillId="5" borderId="14" xfId="0" applyNumberFormat="1" applyFont="1" applyFill="1" applyBorder="1"/>
    <xf numFmtId="0" fontId="2" fillId="5" borderId="14" xfId="0" applyFont="1" applyFill="1" applyBorder="1"/>
    <xf numFmtId="166" fontId="12" fillId="5" borderId="14" xfId="0" applyNumberFormat="1" applyFont="1" applyFill="1" applyBorder="1"/>
    <xf numFmtId="17" fontId="27" fillId="11" borderId="14" xfId="0" applyNumberFormat="1" applyFont="1" applyFill="1" applyBorder="1" applyAlignment="1">
      <alignment horizontal="left"/>
    </xf>
    <xf numFmtId="166" fontId="27" fillId="11" borderId="14" xfId="0" applyNumberFormat="1" applyFont="1" applyFill="1" applyBorder="1"/>
    <xf numFmtId="166" fontId="28" fillId="11" borderId="14" xfId="0" applyNumberFormat="1" applyFont="1" applyFill="1" applyBorder="1"/>
    <xf numFmtId="0" fontId="2" fillId="11" borderId="14" xfId="0" applyFont="1" applyFill="1" applyBorder="1"/>
    <xf numFmtId="166" fontId="12" fillId="11" borderId="14" xfId="0" applyNumberFormat="1" applyFont="1" applyFill="1" applyBorder="1"/>
    <xf numFmtId="17" fontId="27" fillId="11" borderId="14" xfId="0" applyNumberFormat="1" applyFont="1" applyFill="1" applyBorder="1" applyAlignment="1">
      <alignment horizontal="left" vertical="center"/>
    </xf>
    <xf numFmtId="166" fontId="27" fillId="11" borderId="14" xfId="0" applyNumberFormat="1" applyFont="1" applyFill="1" applyBorder="1" applyAlignment="1">
      <alignment vertical="center"/>
    </xf>
    <xf numFmtId="0" fontId="2" fillId="11" borderId="14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17" fontId="27" fillId="11" borderId="14" xfId="0" applyNumberFormat="1" applyFont="1" applyFill="1" applyBorder="1" applyAlignment="1">
      <alignment vertical="center"/>
    </xf>
    <xf numFmtId="17" fontId="27" fillId="12" borderId="14" xfId="0" applyNumberFormat="1" applyFont="1" applyFill="1" applyBorder="1" applyAlignment="1">
      <alignment horizontal="left" vertical="center"/>
    </xf>
    <xf numFmtId="166" fontId="27" fillId="12" borderId="14" xfId="0" applyNumberFormat="1" applyFont="1" applyFill="1" applyBorder="1" applyAlignment="1">
      <alignment vertical="center"/>
    </xf>
    <xf numFmtId="166" fontId="28" fillId="12" borderId="14" xfId="0" applyNumberFormat="1" applyFont="1" applyFill="1" applyBorder="1"/>
    <xf numFmtId="166" fontId="27" fillId="0" borderId="14" xfId="0" applyNumberFormat="1" applyFont="1" applyBorder="1" applyAlignment="1">
      <alignment vertical="center"/>
    </xf>
    <xf numFmtId="166" fontId="28" fillId="0" borderId="14" xfId="0" applyNumberFormat="1" applyFont="1" applyBorder="1"/>
    <xf numFmtId="166" fontId="12" fillId="0" borderId="14" xfId="0" applyNumberFormat="1" applyFont="1" applyBorder="1"/>
    <xf numFmtId="17" fontId="27" fillId="12" borderId="14" xfId="0" applyNumberFormat="1" applyFont="1" applyFill="1" applyBorder="1" applyAlignment="1">
      <alignment vertical="center"/>
    </xf>
    <xf numFmtId="166" fontId="29" fillId="0" borderId="0" xfId="0" applyNumberFormat="1" applyFont="1"/>
    <xf numFmtId="17" fontId="27" fillId="13" borderId="14" xfId="0" applyNumberFormat="1" applyFont="1" applyFill="1" applyBorder="1" applyAlignment="1">
      <alignment vertical="center"/>
    </xf>
    <xf numFmtId="166" fontId="27" fillId="13" borderId="14" xfId="0" applyNumberFormat="1" applyFont="1" applyFill="1" applyBorder="1" applyAlignment="1">
      <alignment vertical="center"/>
    </xf>
    <xf numFmtId="166" fontId="28" fillId="13" borderId="14" xfId="0" applyNumberFormat="1" applyFont="1" applyFill="1" applyBorder="1"/>
    <xf numFmtId="167" fontId="2" fillId="0" borderId="0" xfId="0" applyNumberFormat="1" applyFont="1"/>
    <xf numFmtId="17" fontId="27" fillId="13" borderId="14" xfId="0" applyNumberFormat="1" applyFont="1" applyFill="1" applyBorder="1" applyAlignment="1">
      <alignment horizontal="left" vertical="center"/>
    </xf>
    <xf numFmtId="17" fontId="27" fillId="14" borderId="14" xfId="0" applyNumberFormat="1" applyFont="1" applyFill="1" applyBorder="1" applyAlignment="1">
      <alignment vertical="center"/>
    </xf>
    <xf numFmtId="166" fontId="27" fillId="14" borderId="14" xfId="0" applyNumberFormat="1" applyFont="1" applyFill="1" applyBorder="1" applyAlignment="1">
      <alignment vertical="center"/>
    </xf>
    <xf numFmtId="166" fontId="28" fillId="14" borderId="14" xfId="0" applyNumberFormat="1" applyFont="1" applyFill="1" applyBorder="1"/>
    <xf numFmtId="0" fontId="2" fillId="14" borderId="14" xfId="0" applyFont="1" applyFill="1" applyBorder="1"/>
    <xf numFmtId="166" fontId="12" fillId="14" borderId="14" xfId="0" applyNumberFormat="1" applyFont="1" applyFill="1" applyBorder="1"/>
    <xf numFmtId="0" fontId="30" fillId="0" borderId="0" xfId="0" applyFont="1"/>
    <xf numFmtId="17" fontId="27" fillId="0" borderId="14" xfId="0" applyNumberFormat="1" applyFont="1" applyBorder="1" applyAlignment="1">
      <alignment vertical="center"/>
    </xf>
    <xf numFmtId="17" fontId="27" fillId="15" borderId="14" xfId="0" applyNumberFormat="1" applyFont="1" applyFill="1" applyBorder="1" applyAlignment="1">
      <alignment vertical="center"/>
    </xf>
    <xf numFmtId="166" fontId="27" fillId="15" borderId="14" xfId="0" applyNumberFormat="1" applyFont="1" applyFill="1" applyBorder="1" applyAlignment="1">
      <alignment vertical="center"/>
    </xf>
    <xf numFmtId="166" fontId="28" fillId="15" borderId="14" xfId="0" applyNumberFormat="1" applyFont="1" applyFill="1" applyBorder="1"/>
    <xf numFmtId="0" fontId="2" fillId="15" borderId="14" xfId="0" applyFont="1" applyFill="1" applyBorder="1"/>
    <xf numFmtId="166" fontId="12" fillId="15" borderId="14" xfId="0" applyNumberFormat="1" applyFont="1" applyFill="1" applyBorder="1"/>
    <xf numFmtId="17" fontId="27" fillId="15" borderId="14" xfId="0" applyNumberFormat="1" applyFont="1" applyFill="1" applyBorder="1" applyAlignment="1">
      <alignment horizontal="left" vertical="center"/>
    </xf>
    <xf numFmtId="0" fontId="29" fillId="0" borderId="0" xfId="0" applyFont="1"/>
    <xf numFmtId="0" fontId="2" fillId="12" borderId="14" xfId="0" applyFont="1" applyFill="1" applyBorder="1"/>
    <xf numFmtId="166" fontId="12" fillId="12" borderId="14" xfId="0" applyNumberFormat="1" applyFont="1" applyFill="1" applyBorder="1"/>
    <xf numFmtId="17" fontId="27" fillId="4" borderId="14" xfId="0" applyNumberFormat="1" applyFont="1" applyFill="1" applyBorder="1" applyAlignment="1">
      <alignment vertical="center"/>
    </xf>
    <xf numFmtId="166" fontId="27" fillId="4" borderId="14" xfId="0" applyNumberFormat="1" applyFont="1" applyFill="1" applyBorder="1" applyAlignment="1">
      <alignment vertical="center"/>
    </xf>
    <xf numFmtId="166" fontId="28" fillId="4" borderId="14" xfId="0" applyNumberFormat="1" applyFont="1" applyFill="1" applyBorder="1"/>
    <xf numFmtId="0" fontId="2" fillId="4" borderId="14" xfId="0" applyFont="1" applyFill="1" applyBorder="1"/>
    <xf numFmtId="166" fontId="12" fillId="4" borderId="14" xfId="0" applyNumberFormat="1" applyFont="1" applyFill="1" applyBorder="1"/>
    <xf numFmtId="166" fontId="12" fillId="0" borderId="0" xfId="0" applyNumberFormat="1" applyFont="1"/>
    <xf numFmtId="17" fontId="27" fillId="0" borderId="15" xfId="0" applyNumberFormat="1" applyFont="1" applyBorder="1" applyAlignment="1">
      <alignment vertical="center"/>
    </xf>
    <xf numFmtId="166" fontId="27" fillId="0" borderId="15" xfId="0" applyNumberFormat="1" applyFont="1" applyBorder="1" applyAlignment="1">
      <alignment vertical="center"/>
    </xf>
    <xf numFmtId="166" fontId="28" fillId="0" borderId="15" xfId="0" applyNumberFormat="1" applyFont="1" applyBorder="1"/>
    <xf numFmtId="166" fontId="28" fillId="10" borderId="15" xfId="0" applyNumberFormat="1" applyFont="1" applyFill="1" applyBorder="1"/>
    <xf numFmtId="166" fontId="12" fillId="0" borderId="15" xfId="0" applyNumberFormat="1" applyFont="1" applyBorder="1"/>
    <xf numFmtId="17" fontId="27" fillId="16" borderId="24" xfId="0" applyNumberFormat="1" applyFont="1" applyFill="1" applyBorder="1" applyAlignment="1">
      <alignment horizontal="left" vertical="center"/>
    </xf>
    <xf numFmtId="166" fontId="27" fillId="16" borderId="24" xfId="0" applyNumberFormat="1" applyFont="1" applyFill="1" applyBorder="1" applyAlignment="1">
      <alignment vertical="center"/>
    </xf>
    <xf numFmtId="166" fontId="28" fillId="16" borderId="24" xfId="0" applyNumberFormat="1" applyFont="1" applyFill="1" applyBorder="1"/>
    <xf numFmtId="0" fontId="2" fillId="16" borderId="24" xfId="0" applyFont="1" applyFill="1" applyBorder="1"/>
    <xf numFmtId="166" fontId="12" fillId="16" borderId="24" xfId="0" applyNumberFormat="1" applyFont="1" applyFill="1" applyBorder="1"/>
    <xf numFmtId="17" fontId="27" fillId="16" borderId="14" xfId="0" applyNumberFormat="1" applyFont="1" applyFill="1" applyBorder="1" applyAlignment="1">
      <alignment vertical="center"/>
    </xf>
    <xf numFmtId="166" fontId="27" fillId="16" borderId="14" xfId="0" applyNumberFormat="1" applyFont="1" applyFill="1" applyBorder="1" applyAlignment="1">
      <alignment vertical="center"/>
    </xf>
    <xf numFmtId="166" fontId="28" fillId="16" borderId="14" xfId="0" applyNumberFormat="1" applyFont="1" applyFill="1" applyBorder="1"/>
    <xf numFmtId="0" fontId="2" fillId="16" borderId="14" xfId="0" applyFont="1" applyFill="1" applyBorder="1"/>
    <xf numFmtId="166" fontId="12" fillId="16" borderId="14" xfId="0" applyNumberFormat="1" applyFont="1" applyFill="1" applyBorder="1"/>
    <xf numFmtId="167" fontId="12" fillId="0" borderId="0" xfId="0" applyNumberFormat="1" applyFont="1"/>
    <xf numFmtId="17" fontId="27" fillId="16" borderId="14" xfId="0" applyNumberFormat="1" applyFont="1" applyFill="1" applyBorder="1" applyAlignment="1">
      <alignment horizontal="left" vertical="center"/>
    </xf>
    <xf numFmtId="17" fontId="27" fillId="16" borderId="15" xfId="0" applyNumberFormat="1" applyFont="1" applyFill="1" applyBorder="1" applyAlignment="1">
      <alignment vertical="center"/>
    </xf>
    <xf numFmtId="166" fontId="27" fillId="16" borderId="15" xfId="0" applyNumberFormat="1" applyFont="1" applyFill="1" applyBorder="1" applyAlignment="1">
      <alignment vertical="center"/>
    </xf>
    <xf numFmtId="166" fontId="28" fillId="16" borderId="15" xfId="0" applyNumberFormat="1" applyFont="1" applyFill="1" applyBorder="1"/>
    <xf numFmtId="0" fontId="2" fillId="16" borderId="15" xfId="0" applyFont="1" applyFill="1" applyBorder="1"/>
    <xf numFmtId="166" fontId="12" fillId="16" borderId="15" xfId="0" applyNumberFormat="1" applyFont="1" applyFill="1" applyBorder="1"/>
    <xf numFmtId="17" fontId="27" fillId="16" borderId="24" xfId="0" applyNumberFormat="1" applyFont="1" applyFill="1" applyBorder="1" applyAlignment="1">
      <alignment vertical="center"/>
    </xf>
    <xf numFmtId="17" fontId="27" fillId="16" borderId="15" xfId="0" applyNumberFormat="1" applyFont="1" applyFill="1" applyBorder="1" applyAlignment="1">
      <alignment horizontal="left" vertical="center"/>
    </xf>
    <xf numFmtId="0" fontId="27" fillId="0" borderId="14" xfId="0" applyFont="1" applyBorder="1"/>
    <xf numFmtId="166" fontId="27" fillId="0" borderId="14" xfId="0" applyNumberFormat="1" applyFont="1" applyBorder="1"/>
    <xf numFmtId="166" fontId="2" fillId="0" borderId="14" xfId="0" applyNumberFormat="1" applyFont="1" applyBorder="1"/>
    <xf numFmtId="0" fontId="24" fillId="0" borderId="14" xfId="0" applyFont="1" applyBorder="1"/>
    <xf numFmtId="166" fontId="24" fillId="0" borderId="14" xfId="0" applyNumberFormat="1" applyFont="1" applyBorder="1"/>
    <xf numFmtId="166" fontId="24" fillId="15" borderId="14" xfId="0" applyNumberFormat="1" applyFont="1" applyFill="1" applyBorder="1"/>
    <xf numFmtId="166" fontId="12" fillId="17" borderId="14" xfId="0" applyNumberFormat="1" applyFont="1" applyFill="1" applyBorder="1"/>
    <xf numFmtId="166" fontId="32" fillId="13" borderId="14" xfId="0" applyNumberFormat="1" applyFont="1" applyFill="1" applyBorder="1" applyAlignment="1">
      <alignment vertical="center"/>
    </xf>
    <xf numFmtId="2" fontId="32" fillId="13" borderId="14" xfId="0" applyNumberFormat="1" applyFont="1" applyFill="1" applyBorder="1" applyAlignment="1">
      <alignment vertical="center"/>
    </xf>
    <xf numFmtId="166" fontId="34" fillId="0" borderId="0" xfId="0" applyNumberFormat="1" applyFont="1"/>
    <xf numFmtId="0" fontId="35" fillId="0" borderId="0" xfId="0" applyFont="1"/>
    <xf numFmtId="166" fontId="35" fillId="0" borderId="0" xfId="0" applyNumberFormat="1" applyFont="1"/>
    <xf numFmtId="0" fontId="36" fillId="0" borderId="14" xfId="0" applyFont="1" applyBorder="1"/>
    <xf numFmtId="166" fontId="36" fillId="0" borderId="14" xfId="0" applyNumberFormat="1" applyFont="1" applyBorder="1" applyAlignment="1">
      <alignment horizontal="center"/>
    </xf>
    <xf numFmtId="167" fontId="36" fillId="0" borderId="14" xfId="0" applyNumberFormat="1" applyFont="1" applyBorder="1" applyAlignment="1">
      <alignment horizontal="center"/>
    </xf>
    <xf numFmtId="166" fontId="29" fillId="0" borderId="14" xfId="0" applyNumberFormat="1" applyFont="1" applyBorder="1"/>
    <xf numFmtId="0" fontId="29" fillId="0" borderId="14" xfId="0" applyFont="1" applyBorder="1"/>
    <xf numFmtId="0" fontId="36" fillId="0" borderId="0" xfId="0" applyFont="1"/>
    <xf numFmtId="167" fontId="29" fillId="0" borderId="14" xfId="0" applyNumberFormat="1" applyFont="1" applyBorder="1"/>
    <xf numFmtId="167" fontId="36" fillId="0" borderId="14" xfId="0" applyNumberFormat="1" applyFont="1" applyBorder="1"/>
    <xf numFmtId="165" fontId="29" fillId="0" borderId="14" xfId="0" applyNumberFormat="1" applyFont="1" applyBorder="1"/>
    <xf numFmtId="20" fontId="29" fillId="0" borderId="14" xfId="0" applyNumberFormat="1" applyFont="1" applyBorder="1"/>
    <xf numFmtId="20" fontId="36" fillId="0" borderId="0" xfId="0" applyNumberFormat="1" applyFont="1"/>
    <xf numFmtId="0" fontId="12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 wrapText="1"/>
    </xf>
    <xf numFmtId="9" fontId="12" fillId="0" borderId="26" xfId="0" applyNumberFormat="1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2" fillId="0" borderId="29" xfId="0" applyFont="1" applyBorder="1"/>
    <xf numFmtId="166" fontId="2" fillId="0" borderId="30" xfId="0" applyNumberFormat="1" applyFont="1" applyBorder="1"/>
    <xf numFmtId="166" fontId="2" fillId="0" borderId="31" xfId="0" applyNumberFormat="1" applyFont="1" applyBorder="1"/>
    <xf numFmtId="166" fontId="2" fillId="0" borderId="29" xfId="0" applyNumberFormat="1" applyFont="1" applyBorder="1"/>
    <xf numFmtId="166" fontId="2" fillId="0" borderId="32" xfId="0" applyNumberFormat="1" applyFont="1" applyBorder="1"/>
    <xf numFmtId="166" fontId="2" fillId="0" borderId="33" xfId="0" applyNumberFormat="1" applyFont="1" applyBorder="1"/>
    <xf numFmtId="0" fontId="2" fillId="0" borderId="34" xfId="0" applyFont="1" applyBorder="1"/>
    <xf numFmtId="0" fontId="2" fillId="0" borderId="35" xfId="0" applyFont="1" applyBorder="1"/>
    <xf numFmtId="0" fontId="2" fillId="0" borderId="19" xfId="0" applyFont="1" applyBorder="1"/>
    <xf numFmtId="166" fontId="2" fillId="0" borderId="35" xfId="0" applyNumberFormat="1" applyFont="1" applyBorder="1"/>
    <xf numFmtId="166" fontId="2" fillId="0" borderId="19" xfId="0" applyNumberFormat="1" applyFont="1" applyBorder="1"/>
    <xf numFmtId="166" fontId="2" fillId="0" borderId="34" xfId="0" applyNumberFormat="1" applyFont="1" applyBorder="1"/>
    <xf numFmtId="166" fontId="2" fillId="0" borderId="36" xfId="0" applyNumberFormat="1" applyFont="1" applyBorder="1"/>
    <xf numFmtId="0" fontId="2" fillId="0" borderId="34" xfId="0" applyFont="1" applyBorder="1" applyAlignment="1">
      <alignment horizontal="center"/>
    </xf>
    <xf numFmtId="0" fontId="2" fillId="0" borderId="37" xfId="0" applyFont="1" applyBorder="1"/>
    <xf numFmtId="0" fontId="2" fillId="0" borderId="38" xfId="0" applyFont="1" applyBorder="1"/>
    <xf numFmtId="0" fontId="2" fillId="0" borderId="39" xfId="0" applyFont="1" applyBorder="1"/>
    <xf numFmtId="166" fontId="2" fillId="0" borderId="37" xfId="0" applyNumberFormat="1" applyFont="1" applyBorder="1"/>
    <xf numFmtId="166" fontId="2" fillId="0" borderId="38" xfId="0" applyNumberFormat="1" applyFont="1" applyBorder="1"/>
    <xf numFmtId="166" fontId="2" fillId="0" borderId="40" xfId="0" applyNumberFormat="1" applyFont="1" applyBorder="1"/>
    <xf numFmtId="0" fontId="37" fillId="0" borderId="3" xfId="0" applyFont="1" applyBorder="1" applyAlignment="1">
      <alignment horizontal="left"/>
    </xf>
    <xf numFmtId="0" fontId="2" fillId="18" borderId="14" xfId="0" applyFont="1" applyFill="1" applyBorder="1"/>
    <xf numFmtId="3" fontId="2" fillId="18" borderId="14" xfId="0" applyNumberFormat="1" applyFont="1" applyFill="1" applyBorder="1"/>
    <xf numFmtId="0" fontId="38" fillId="0" borderId="14" xfId="0" applyFont="1" applyBorder="1"/>
    <xf numFmtId="3" fontId="38" fillId="0" borderId="14" xfId="0" applyNumberFormat="1" applyFont="1" applyBorder="1"/>
    <xf numFmtId="165" fontId="38" fillId="0" borderId="14" xfId="0" applyNumberFormat="1" applyFont="1" applyBorder="1"/>
    <xf numFmtId="3" fontId="2" fillId="11" borderId="14" xfId="0" applyNumberFormat="1" applyFont="1" applyFill="1" applyBorder="1"/>
    <xf numFmtId="165" fontId="2" fillId="11" borderId="14" xfId="0" applyNumberFormat="1" applyFont="1" applyFill="1" applyBorder="1"/>
    <xf numFmtId="0" fontId="2" fillId="19" borderId="15" xfId="0" applyFont="1" applyFill="1" applyBorder="1" applyAlignment="1">
      <alignment horizontal="center"/>
    </xf>
    <xf numFmtId="0" fontId="2" fillId="17" borderId="24" xfId="0" applyFont="1" applyFill="1" applyBorder="1"/>
    <xf numFmtId="3" fontId="2" fillId="17" borderId="24" xfId="0" applyNumberFormat="1" applyFont="1" applyFill="1" applyBorder="1"/>
    <xf numFmtId="165" fontId="2" fillId="17" borderId="24" xfId="0" applyNumberFormat="1" applyFont="1" applyFill="1" applyBorder="1"/>
    <xf numFmtId="3" fontId="2" fillId="4" borderId="14" xfId="0" applyNumberFormat="1" applyFont="1" applyFill="1" applyBorder="1"/>
    <xf numFmtId="165" fontId="2" fillId="4" borderId="14" xfId="0" applyNumberFormat="1" applyFont="1" applyFill="1" applyBorder="1"/>
    <xf numFmtId="0" fontId="2" fillId="11" borderId="14" xfId="0" quotePrefix="1" applyFont="1" applyFill="1" applyBorder="1"/>
    <xf numFmtId="0" fontId="2" fillId="17" borderId="14" xfId="0" applyFont="1" applyFill="1" applyBorder="1"/>
    <xf numFmtId="3" fontId="2" fillId="17" borderId="14" xfId="0" applyNumberFormat="1" applyFont="1" applyFill="1" applyBorder="1"/>
    <xf numFmtId="165" fontId="2" fillId="17" borderId="14" xfId="0" applyNumberFormat="1" applyFont="1" applyFill="1" applyBorder="1"/>
    <xf numFmtId="0" fontId="2" fillId="11" borderId="14" xfId="0" applyFont="1" applyFill="1" applyBorder="1" applyAlignment="1">
      <alignment horizontal="left"/>
    </xf>
    <xf numFmtId="0" fontId="2" fillId="11" borderId="24" xfId="0" applyFont="1" applyFill="1" applyBorder="1"/>
    <xf numFmtId="0" fontId="2" fillId="11" borderId="24" xfId="0" quotePrefix="1" applyFont="1" applyFill="1" applyBorder="1"/>
    <xf numFmtId="3" fontId="2" fillId="11" borderId="24" xfId="0" applyNumberFormat="1" applyFont="1" applyFill="1" applyBorder="1"/>
    <xf numFmtId="165" fontId="2" fillId="11" borderId="24" xfId="0" applyNumberFormat="1" applyFont="1" applyFill="1" applyBorder="1"/>
    <xf numFmtId="0" fontId="2" fillId="10" borderId="14" xfId="0" applyFont="1" applyFill="1" applyBorder="1"/>
    <xf numFmtId="3" fontId="2" fillId="10" borderId="14" xfId="0" applyNumberFormat="1" applyFont="1" applyFill="1" applyBorder="1"/>
    <xf numFmtId="165" fontId="2" fillId="10" borderId="14" xfId="0" applyNumberFormat="1" applyFont="1" applyFill="1" applyBorder="1"/>
    <xf numFmtId="0" fontId="2" fillId="3" borderId="14" xfId="0" applyFont="1" applyFill="1" applyBorder="1"/>
    <xf numFmtId="3" fontId="2" fillId="3" borderId="14" xfId="0" applyNumberFormat="1" applyFont="1" applyFill="1" applyBorder="1"/>
    <xf numFmtId="165" fontId="2" fillId="3" borderId="14" xfId="0" applyNumberFormat="1" applyFont="1" applyFill="1" applyBorder="1"/>
    <xf numFmtId="0" fontId="2" fillId="3" borderId="15" xfId="0" applyFont="1" applyFill="1" applyBorder="1"/>
    <xf numFmtId="3" fontId="2" fillId="3" borderId="15" xfId="0" applyNumberFormat="1" applyFont="1" applyFill="1" applyBorder="1"/>
    <xf numFmtId="165" fontId="2" fillId="3" borderId="15" xfId="0" applyNumberFormat="1" applyFont="1" applyFill="1" applyBorder="1"/>
    <xf numFmtId="3" fontId="2" fillId="20" borderId="41" xfId="0" applyNumberFormat="1" applyFont="1" applyFill="1" applyBorder="1"/>
    <xf numFmtId="0" fontId="2" fillId="3" borderId="24" xfId="0" applyFont="1" applyFill="1" applyBorder="1" applyAlignment="1">
      <alignment horizontal="center"/>
    </xf>
    <xf numFmtId="0" fontId="38" fillId="0" borderId="0" xfId="0" applyFont="1"/>
    <xf numFmtId="0" fontId="2" fillId="3" borderId="14" xfId="0" quotePrefix="1" applyFont="1" applyFill="1" applyBorder="1"/>
    <xf numFmtId="0" fontId="2" fillId="19" borderId="14" xfId="0" applyFont="1" applyFill="1" applyBorder="1" applyAlignment="1">
      <alignment horizontal="center"/>
    </xf>
    <xf numFmtId="0" fontId="2" fillId="19" borderId="14" xfId="0" applyFont="1" applyFill="1" applyBorder="1"/>
    <xf numFmtId="0" fontId="2" fillId="19" borderId="14" xfId="0" quotePrefix="1" applyFont="1" applyFill="1" applyBorder="1"/>
    <xf numFmtId="3" fontId="2" fillId="19" borderId="14" xfId="0" applyNumberFormat="1" applyFont="1" applyFill="1" applyBorder="1"/>
    <xf numFmtId="165" fontId="2" fillId="19" borderId="14" xfId="0" applyNumberFormat="1" applyFont="1" applyFill="1" applyBorder="1"/>
    <xf numFmtId="0" fontId="2" fillId="8" borderId="14" xfId="0" applyFont="1" applyFill="1" applyBorder="1"/>
    <xf numFmtId="3" fontId="2" fillId="8" borderId="14" xfId="0" applyNumberFormat="1" applyFont="1" applyFill="1" applyBorder="1"/>
    <xf numFmtId="3" fontId="39" fillId="0" borderId="0" xfId="0" applyNumberFormat="1" applyFont="1" applyAlignment="1">
      <alignment horizontal="left"/>
    </xf>
    <xf numFmtId="0" fontId="40" fillId="0" borderId="0" xfId="0" applyFont="1" applyAlignment="1">
      <alignment horizontal="left"/>
    </xf>
    <xf numFmtId="0" fontId="41" fillId="0" borderId="0" xfId="0" applyFont="1"/>
    <xf numFmtId="0" fontId="42" fillId="0" borderId="3" xfId="0" applyFont="1" applyBorder="1" applyAlignment="1">
      <alignment horizontal="left"/>
    </xf>
    <xf numFmtId="3" fontId="19" fillId="0" borderId="14" xfId="0" applyNumberFormat="1" applyFont="1" applyBorder="1"/>
    <xf numFmtId="3" fontId="19" fillId="0" borderId="14" xfId="0" applyNumberFormat="1" applyFont="1" applyBorder="1" applyAlignment="1">
      <alignment wrapText="1"/>
    </xf>
    <xf numFmtId="0" fontId="18" fillId="4" borderId="14" xfId="0" applyFont="1" applyFill="1" applyBorder="1" applyAlignment="1">
      <alignment horizontal="center" vertical="center"/>
    </xf>
    <xf numFmtId="0" fontId="18" fillId="21" borderId="14" xfId="0" applyFont="1" applyFill="1" applyBorder="1" applyAlignment="1">
      <alignment horizontal="left"/>
    </xf>
    <xf numFmtId="0" fontId="18" fillId="21" borderId="14" xfId="0" applyFont="1" applyFill="1" applyBorder="1"/>
    <xf numFmtId="0" fontId="18" fillId="21" borderId="14" xfId="0" applyFont="1" applyFill="1" applyBorder="1" applyAlignment="1">
      <alignment horizontal="center"/>
    </xf>
    <xf numFmtId="0" fontId="19" fillId="21" borderId="14" xfId="0" applyFont="1" applyFill="1" applyBorder="1"/>
    <xf numFmtId="166" fontId="18" fillId="21" borderId="14" xfId="0" applyNumberFormat="1" applyFont="1" applyFill="1" applyBorder="1"/>
    <xf numFmtId="0" fontId="20" fillId="21" borderId="14" xfId="0" applyFont="1" applyFill="1" applyBorder="1" applyAlignment="1">
      <alignment horizontal="right" vertical="center"/>
    </xf>
    <xf numFmtId="0" fontId="18" fillId="15" borderId="14" xfId="0" applyFont="1" applyFill="1" applyBorder="1" applyAlignment="1">
      <alignment horizontal="center"/>
    </xf>
    <xf numFmtId="0" fontId="18" fillId="19" borderId="14" xfId="0" applyFont="1" applyFill="1" applyBorder="1" applyAlignment="1">
      <alignment horizontal="center" vertical="center"/>
    </xf>
    <xf numFmtId="0" fontId="19" fillId="3" borderId="14" xfId="0" applyFont="1" applyFill="1" applyBorder="1"/>
    <xf numFmtId="166" fontId="18" fillId="3" borderId="14" xfId="0" applyNumberFormat="1" applyFont="1" applyFill="1" applyBorder="1"/>
    <xf numFmtId="0" fontId="20" fillId="3" borderId="14" xfId="0" applyFont="1" applyFill="1" applyBorder="1" applyAlignment="1">
      <alignment horizontal="right"/>
    </xf>
    <xf numFmtId="0" fontId="18" fillId="3" borderId="14" xfId="0" applyFont="1" applyFill="1" applyBorder="1" applyAlignment="1">
      <alignment horizontal="center"/>
    </xf>
    <xf numFmtId="0" fontId="18" fillId="3" borderId="14" xfId="0" applyFont="1" applyFill="1" applyBorder="1" applyAlignment="1">
      <alignment horizontal="left"/>
    </xf>
    <xf numFmtId="0" fontId="44" fillId="0" borderId="0" xfId="0" applyFont="1"/>
    <xf numFmtId="165" fontId="20" fillId="3" borderId="14" xfId="0" applyNumberFormat="1" applyFont="1" applyFill="1" applyBorder="1" applyAlignment="1">
      <alignment horizontal="right"/>
    </xf>
    <xf numFmtId="0" fontId="43" fillId="0" borderId="14" xfId="0" applyFont="1" applyBorder="1"/>
    <xf numFmtId="165" fontId="20" fillId="0" borderId="14" xfId="0" applyNumberFormat="1" applyFont="1" applyBorder="1" applyAlignment="1">
      <alignment horizontal="right"/>
    </xf>
    <xf numFmtId="0" fontId="18" fillId="3" borderId="14" xfId="0" applyFont="1" applyFill="1" applyBorder="1"/>
    <xf numFmtId="0" fontId="2" fillId="19" borderId="15" xfId="0" applyFont="1" applyFill="1" applyBorder="1"/>
    <xf numFmtId="0" fontId="2" fillId="11" borderId="15" xfId="0" applyFont="1" applyFill="1" applyBorder="1"/>
    <xf numFmtId="0" fontId="2" fillId="11" borderId="15" xfId="0" quotePrefix="1" applyFont="1" applyFill="1" applyBorder="1"/>
    <xf numFmtId="3" fontId="2" fillId="11" borderId="15" xfId="0" applyNumberFormat="1" applyFont="1" applyFill="1" applyBorder="1"/>
    <xf numFmtId="165" fontId="2" fillId="11" borderId="15" xfId="0" applyNumberFormat="1" applyFont="1" applyFill="1" applyBorder="1"/>
    <xf numFmtId="0" fontId="2" fillId="22" borderId="24" xfId="0" applyFont="1" applyFill="1" applyBorder="1"/>
    <xf numFmtId="3" fontId="2" fillId="22" borderId="24" xfId="0" applyNumberFormat="1" applyFont="1" applyFill="1" applyBorder="1"/>
    <xf numFmtId="165" fontId="2" fillId="22" borderId="24" xfId="0" applyNumberFormat="1" applyFont="1" applyFill="1" applyBorder="1"/>
    <xf numFmtId="0" fontId="2" fillId="22" borderId="14" xfId="0" applyFont="1" applyFill="1" applyBorder="1"/>
    <xf numFmtId="3" fontId="2" fillId="22" borderId="14" xfId="0" applyNumberFormat="1" applyFont="1" applyFill="1" applyBorder="1"/>
    <xf numFmtId="165" fontId="2" fillId="22" borderId="14" xfId="0" applyNumberFormat="1" applyFont="1" applyFill="1" applyBorder="1"/>
    <xf numFmtId="165" fontId="2" fillId="18" borderId="14" xfId="0" applyNumberFormat="1" applyFont="1" applyFill="1" applyBorder="1"/>
    <xf numFmtId="0" fontId="2" fillId="20" borderId="14" xfId="0" applyFont="1" applyFill="1" applyBorder="1"/>
    <xf numFmtId="3" fontId="2" fillId="20" borderId="14" xfId="0" applyNumberFormat="1" applyFont="1" applyFill="1" applyBorder="1"/>
    <xf numFmtId="165" fontId="2" fillId="20" borderId="14" xfId="0" applyNumberFormat="1" applyFont="1" applyFill="1" applyBorder="1"/>
    <xf numFmtId="0" fontId="45" fillId="0" borderId="0" xfId="0" applyFont="1" applyAlignment="1">
      <alignment horizontal="left" vertical="center"/>
    </xf>
    <xf numFmtId="166" fontId="21" fillId="0" borderId="0" xfId="0" applyNumberFormat="1" applyFont="1" applyAlignment="1">
      <alignment horizontal="left" wrapText="1"/>
    </xf>
    <xf numFmtId="0" fontId="18" fillId="0" borderId="14" xfId="0" applyFont="1" applyBorder="1" applyAlignment="1">
      <alignment wrapText="1"/>
    </xf>
    <xf numFmtId="0" fontId="43" fillId="0" borderId="14" xfId="0" applyFont="1" applyBorder="1" applyAlignment="1">
      <alignment horizontal="center" vertical="center"/>
    </xf>
    <xf numFmtId="0" fontId="20" fillId="0" borderId="14" xfId="0" applyFont="1" applyBorder="1" applyAlignment="1">
      <alignment horizontal="left"/>
    </xf>
    <xf numFmtId="0" fontId="43" fillId="0" borderId="14" xfId="0" applyFont="1" applyBorder="1" applyAlignment="1">
      <alignment horizontal="center"/>
    </xf>
    <xf numFmtId="4" fontId="18" fillId="0" borderId="14" xfId="0" applyNumberFormat="1" applyFont="1" applyBorder="1"/>
    <xf numFmtId="3" fontId="19" fillId="0" borderId="14" xfId="0" applyNumberFormat="1" applyFont="1" applyBorder="1" applyAlignment="1">
      <alignment vertical="center"/>
    </xf>
    <xf numFmtId="166" fontId="18" fillId="0" borderId="14" xfId="0" applyNumberFormat="1" applyFont="1" applyBorder="1" applyAlignment="1">
      <alignment vertical="center"/>
    </xf>
    <xf numFmtId="2" fontId="20" fillId="0" borderId="14" xfId="0" applyNumberFormat="1" applyFont="1" applyBorder="1" applyAlignment="1">
      <alignment horizontal="right" vertical="center"/>
    </xf>
    <xf numFmtId="0" fontId="18" fillId="0" borderId="14" xfId="0" applyFont="1" applyBorder="1" applyAlignment="1">
      <alignment horizontal="left" vertical="center"/>
    </xf>
    <xf numFmtId="2" fontId="20" fillId="0" borderId="14" xfId="0" applyNumberFormat="1" applyFont="1" applyBorder="1" applyAlignment="1">
      <alignment horizontal="right"/>
    </xf>
    <xf numFmtId="165" fontId="20" fillId="0" borderId="14" xfId="0" applyNumberFormat="1" applyFont="1" applyBorder="1" applyAlignment="1">
      <alignment horizontal="left"/>
    </xf>
    <xf numFmtId="0" fontId="35" fillId="0" borderId="14" xfId="0" applyFont="1" applyBorder="1"/>
    <xf numFmtId="0" fontId="2" fillId="0" borderId="7" xfId="0" applyFont="1" applyBorder="1" applyAlignment="1">
      <alignment horizontal="center"/>
    </xf>
    <xf numFmtId="0" fontId="2" fillId="11" borderId="42" xfId="0" applyFont="1" applyFill="1" applyBorder="1"/>
    <xf numFmtId="0" fontId="2" fillId="11" borderId="42" xfId="0" quotePrefix="1" applyFont="1" applyFill="1" applyBorder="1"/>
    <xf numFmtId="3" fontId="2" fillId="11" borderId="42" xfId="0" applyNumberFormat="1" applyFont="1" applyFill="1" applyBorder="1"/>
    <xf numFmtId="165" fontId="2" fillId="11" borderId="42" xfId="0" applyNumberFormat="1" applyFont="1" applyFill="1" applyBorder="1"/>
    <xf numFmtId="0" fontId="2" fillId="23" borderId="14" xfId="0" applyFont="1" applyFill="1" applyBorder="1"/>
    <xf numFmtId="3" fontId="2" fillId="23" borderId="14" xfId="0" applyNumberFormat="1" applyFont="1" applyFill="1" applyBorder="1"/>
    <xf numFmtId="165" fontId="2" fillId="23" borderId="14" xfId="0" applyNumberFormat="1" applyFont="1" applyFill="1" applyBorder="1"/>
    <xf numFmtId="166" fontId="21" fillId="0" borderId="0" xfId="0" applyNumberFormat="1" applyFont="1" applyAlignment="1">
      <alignment horizontal="left"/>
    </xf>
    <xf numFmtId="0" fontId="18" fillId="4" borderId="14" xfId="0" applyFont="1" applyFill="1" applyBorder="1" applyAlignment="1">
      <alignment wrapText="1"/>
    </xf>
    <xf numFmtId="0" fontId="43" fillId="4" borderId="14" xfId="0" applyFont="1" applyFill="1" applyBorder="1" applyAlignment="1">
      <alignment horizontal="center" vertical="center"/>
    </xf>
    <xf numFmtId="0" fontId="18" fillId="4" borderId="14" xfId="0" applyFont="1" applyFill="1" applyBorder="1" applyAlignment="1">
      <alignment horizontal="left" vertical="center"/>
    </xf>
    <xf numFmtId="0" fontId="18" fillId="4" borderId="14" xfId="0" quotePrefix="1" applyFont="1" applyFill="1" applyBorder="1"/>
    <xf numFmtId="3" fontId="19" fillId="4" borderId="14" xfId="0" applyNumberFormat="1" applyFont="1" applyFill="1" applyBorder="1" applyAlignment="1">
      <alignment vertical="center"/>
    </xf>
    <xf numFmtId="166" fontId="18" fillId="4" borderId="14" xfId="0" applyNumberFormat="1" applyFont="1" applyFill="1" applyBorder="1" applyAlignment="1">
      <alignment vertical="center"/>
    </xf>
    <xf numFmtId="2" fontId="20" fillId="4" borderId="14" xfId="0" applyNumberFormat="1" applyFont="1" applyFill="1" applyBorder="1" applyAlignment="1">
      <alignment horizontal="right" vertical="center"/>
    </xf>
    <xf numFmtId="0" fontId="18" fillId="4" borderId="14" xfId="0" applyFont="1" applyFill="1" applyBorder="1" applyAlignment="1">
      <alignment horizontal="center"/>
    </xf>
    <xf numFmtId="0" fontId="18" fillId="4" borderId="14" xfId="0" applyFont="1" applyFill="1" applyBorder="1"/>
    <xf numFmtId="0" fontId="19" fillId="4" borderId="14" xfId="0" applyFont="1" applyFill="1" applyBorder="1"/>
    <xf numFmtId="166" fontId="18" fillId="4" borderId="14" xfId="0" applyNumberFormat="1" applyFont="1" applyFill="1" applyBorder="1"/>
    <xf numFmtId="2" fontId="20" fillId="4" borderId="14" xfId="0" applyNumberFormat="1" applyFont="1" applyFill="1" applyBorder="1" applyAlignment="1">
      <alignment horizontal="right"/>
    </xf>
    <xf numFmtId="0" fontId="18" fillId="4" borderId="14" xfId="0" applyFont="1" applyFill="1" applyBorder="1" applyAlignment="1">
      <alignment horizontal="left"/>
    </xf>
    <xf numFmtId="0" fontId="19" fillId="19" borderId="14" xfId="0" applyFont="1" applyFill="1" applyBorder="1"/>
    <xf numFmtId="166" fontId="18" fillId="19" borderId="14" xfId="0" applyNumberFormat="1" applyFont="1" applyFill="1" applyBorder="1"/>
    <xf numFmtId="0" fontId="20" fillId="19" borderId="14" xfId="0" applyFont="1" applyFill="1" applyBorder="1" applyAlignment="1">
      <alignment horizontal="left"/>
    </xf>
    <xf numFmtId="0" fontId="20" fillId="4" borderId="14" xfId="0" applyFont="1" applyFill="1" applyBorder="1" applyAlignment="1">
      <alignment horizontal="left"/>
    </xf>
    <xf numFmtId="0" fontId="5" fillId="19" borderId="42" xfId="0" applyFont="1" applyFill="1" applyBorder="1"/>
    <xf numFmtId="0" fontId="5" fillId="19" borderId="43" xfId="0" applyFont="1" applyFill="1" applyBorder="1"/>
    <xf numFmtId="0" fontId="5" fillId="19" borderId="41" xfId="0" applyFont="1" applyFill="1" applyBorder="1"/>
    <xf numFmtId="0" fontId="46" fillId="19" borderId="44" xfId="0" applyFont="1" applyFill="1" applyBorder="1" applyAlignment="1">
      <alignment horizontal="left"/>
    </xf>
    <xf numFmtId="0" fontId="5" fillId="19" borderId="24" xfId="0" applyFont="1" applyFill="1" applyBorder="1"/>
    <xf numFmtId="0" fontId="5" fillId="19" borderId="45" xfId="0" applyFont="1" applyFill="1" applyBorder="1"/>
    <xf numFmtId="0" fontId="12" fillId="19" borderId="15" xfId="0" applyFont="1" applyFill="1" applyBorder="1"/>
    <xf numFmtId="0" fontId="2" fillId="12" borderId="24" xfId="0" applyFont="1" applyFill="1" applyBorder="1"/>
    <xf numFmtId="3" fontId="2" fillId="12" borderId="24" xfId="0" applyNumberFormat="1" applyFont="1" applyFill="1" applyBorder="1"/>
    <xf numFmtId="3" fontId="2" fillId="12" borderId="14" xfId="0" applyNumberFormat="1" applyFont="1" applyFill="1" applyBorder="1"/>
    <xf numFmtId="0" fontId="35" fillId="19" borderId="14" xfId="0" applyFont="1" applyFill="1" applyBorder="1"/>
    <xf numFmtId="0" fontId="38" fillId="12" borderId="14" xfId="0" applyFont="1" applyFill="1" applyBorder="1"/>
    <xf numFmtId="3" fontId="38" fillId="12" borderId="14" xfId="0" applyNumberFormat="1" applyFont="1" applyFill="1" applyBorder="1"/>
    <xf numFmtId="165" fontId="2" fillId="12" borderId="14" xfId="0" applyNumberFormat="1" applyFont="1" applyFill="1" applyBorder="1"/>
    <xf numFmtId="0" fontId="38" fillId="11" borderId="14" xfId="0" applyFont="1" applyFill="1" applyBorder="1"/>
    <xf numFmtId="3" fontId="38" fillId="11" borderId="14" xfId="0" applyNumberFormat="1" applyFont="1" applyFill="1" applyBorder="1"/>
    <xf numFmtId="0" fontId="2" fillId="12" borderId="15" xfId="0" applyFont="1" applyFill="1" applyBorder="1"/>
    <xf numFmtId="3" fontId="2" fillId="12" borderId="15" xfId="0" applyNumberFormat="1" applyFont="1" applyFill="1" applyBorder="1"/>
    <xf numFmtId="0" fontId="18" fillId="0" borderId="15" xfId="0" applyFont="1" applyBorder="1" applyAlignment="1">
      <alignment horizontal="center" vertical="center"/>
    </xf>
    <xf numFmtId="0" fontId="18" fillId="0" borderId="15" xfId="0" applyFont="1" applyBorder="1" applyAlignment="1">
      <alignment wrapText="1"/>
    </xf>
    <xf numFmtId="0" fontId="43" fillId="0" borderId="15" xfId="0" applyFont="1" applyBorder="1" applyAlignment="1">
      <alignment horizontal="center" vertical="center"/>
    </xf>
    <xf numFmtId="0" fontId="18" fillId="0" borderId="15" xfId="0" applyFont="1" applyBorder="1"/>
    <xf numFmtId="0" fontId="18" fillId="0" borderId="15" xfId="0" applyFont="1" applyBorder="1" applyAlignment="1">
      <alignment horizontal="left"/>
    </xf>
    <xf numFmtId="3" fontId="19" fillId="0" borderId="15" xfId="0" applyNumberFormat="1" applyFont="1" applyBorder="1"/>
    <xf numFmtId="166" fontId="18" fillId="0" borderId="15" xfId="0" applyNumberFormat="1" applyFont="1" applyBorder="1"/>
    <xf numFmtId="0" fontId="20" fillId="0" borderId="15" xfId="0" applyFont="1" applyBorder="1" applyAlignment="1">
      <alignment horizontal="left"/>
    </xf>
    <xf numFmtId="0" fontId="18" fillId="0" borderId="15" xfId="0" applyFont="1" applyBorder="1" applyAlignment="1">
      <alignment horizontal="center"/>
    </xf>
    <xf numFmtId="0" fontId="18" fillId="0" borderId="13" xfId="0" applyFont="1" applyBorder="1"/>
    <xf numFmtId="0" fontId="43" fillId="0" borderId="13" xfId="0" applyFont="1" applyBorder="1" applyAlignment="1">
      <alignment horizontal="center"/>
    </xf>
    <xf numFmtId="0" fontId="18" fillId="0" borderId="13" xfId="0" applyFont="1" applyBorder="1" applyAlignment="1">
      <alignment vertical="center"/>
    </xf>
    <xf numFmtId="0" fontId="18" fillId="0" borderId="13" xfId="0" quotePrefix="1" applyFont="1" applyBorder="1"/>
    <xf numFmtId="0" fontId="18" fillId="0" borderId="13" xfId="0" applyFont="1" applyBorder="1" applyAlignment="1">
      <alignment horizontal="left"/>
    </xf>
    <xf numFmtId="3" fontId="19" fillId="0" borderId="13" xfId="0" applyNumberFormat="1" applyFont="1" applyBorder="1"/>
    <xf numFmtId="166" fontId="18" fillId="0" borderId="13" xfId="0" applyNumberFormat="1" applyFont="1" applyBorder="1"/>
    <xf numFmtId="4" fontId="18" fillId="0" borderId="13" xfId="0" applyNumberFormat="1" applyFont="1" applyBorder="1"/>
    <xf numFmtId="0" fontId="20" fillId="0" borderId="14" xfId="0" applyFont="1" applyBorder="1" applyAlignment="1">
      <alignment horizontal="left" vertical="center"/>
    </xf>
    <xf numFmtId="165" fontId="5" fillId="0" borderId="14" xfId="0" applyNumberFormat="1" applyFont="1" applyBorder="1"/>
    <xf numFmtId="49" fontId="2" fillId="0" borderId="14" xfId="0" applyNumberFormat="1" applyFont="1" applyBorder="1"/>
    <xf numFmtId="166" fontId="12" fillId="19" borderId="41" xfId="0" applyNumberFormat="1" applyFont="1" applyFill="1" applyBorder="1"/>
    <xf numFmtId="3" fontId="12" fillId="0" borderId="0" xfId="0" applyNumberFormat="1" applyFont="1"/>
    <xf numFmtId="49" fontId="2" fillId="0" borderId="15" xfId="0" applyNumberFormat="1" applyFont="1" applyBorder="1"/>
    <xf numFmtId="49" fontId="2" fillId="0" borderId="13" xfId="0" applyNumberFormat="1" applyFont="1" applyBorder="1"/>
    <xf numFmtId="0" fontId="2" fillId="15" borderId="24" xfId="0" applyFont="1" applyFill="1" applyBorder="1"/>
    <xf numFmtId="3" fontId="2" fillId="15" borderId="24" xfId="0" applyNumberFormat="1" applyFont="1" applyFill="1" applyBorder="1"/>
    <xf numFmtId="3" fontId="2" fillId="15" borderId="14" xfId="0" applyNumberFormat="1" applyFont="1" applyFill="1" applyBorder="1"/>
    <xf numFmtId="165" fontId="2" fillId="15" borderId="14" xfId="0" applyNumberFormat="1" applyFont="1" applyFill="1" applyBorder="1"/>
    <xf numFmtId="0" fontId="2" fillId="15" borderId="15" xfId="0" applyFont="1" applyFill="1" applyBorder="1"/>
    <xf numFmtId="3" fontId="2" fillId="15" borderId="15" xfId="0" applyNumberFormat="1" applyFont="1" applyFill="1" applyBorder="1"/>
    <xf numFmtId="0" fontId="2" fillId="24" borderId="24" xfId="0" applyFont="1" applyFill="1" applyBorder="1"/>
    <xf numFmtId="3" fontId="2" fillId="24" borderId="24" xfId="0" applyNumberFormat="1" applyFont="1" applyFill="1" applyBorder="1"/>
    <xf numFmtId="0" fontId="2" fillId="24" borderId="14" xfId="0" applyFont="1" applyFill="1" applyBorder="1"/>
    <xf numFmtId="3" fontId="2" fillId="24" borderId="14" xfId="0" applyNumberFormat="1" applyFont="1" applyFill="1" applyBorder="1"/>
    <xf numFmtId="0" fontId="2" fillId="24" borderId="15" xfId="0" applyFont="1" applyFill="1" applyBorder="1"/>
    <xf numFmtId="3" fontId="2" fillId="24" borderId="15" xfId="0" applyNumberFormat="1" applyFont="1" applyFill="1" applyBorder="1"/>
    <xf numFmtId="0" fontId="21" fillId="8" borderId="14" xfId="0" applyFont="1" applyFill="1" applyBorder="1"/>
    <xf numFmtId="0" fontId="18" fillId="0" borderId="14" xfId="0" applyFont="1" applyBorder="1" applyAlignment="1">
      <alignment vertical="center" wrapText="1"/>
    </xf>
    <xf numFmtId="0" fontId="18" fillId="0" borderId="14" xfId="0" quotePrefix="1" applyFont="1" applyBorder="1" applyAlignment="1">
      <alignment vertical="center"/>
    </xf>
    <xf numFmtId="0" fontId="18" fillId="0" borderId="14" xfId="0" applyFont="1" applyBorder="1" applyAlignment="1">
      <alignment horizontal="left" vertical="center" wrapText="1"/>
    </xf>
    <xf numFmtId="4" fontId="20" fillId="0" borderId="14" xfId="0" applyNumberFormat="1" applyFont="1" applyBorder="1" applyAlignment="1">
      <alignment horizontal="right"/>
    </xf>
    <xf numFmtId="166" fontId="2" fillId="0" borderId="15" xfId="0" applyNumberFormat="1" applyFont="1" applyBorder="1"/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44" fillId="19" borderId="14" xfId="0" applyFont="1" applyFill="1" applyBorder="1"/>
    <xf numFmtId="0" fontId="5" fillId="0" borderId="15" xfId="0" applyFont="1" applyBorder="1" applyAlignment="1">
      <alignment horizontal="center"/>
    </xf>
    <xf numFmtId="0" fontId="5" fillId="0" borderId="15" xfId="0" applyFont="1" applyBorder="1"/>
    <xf numFmtId="0" fontId="5" fillId="0" borderId="13" xfId="0" applyFont="1" applyBorder="1" applyAlignment="1">
      <alignment horizontal="center"/>
    </xf>
    <xf numFmtId="166" fontId="2" fillId="0" borderId="13" xfId="0" applyNumberFormat="1" applyFont="1" applyBorder="1"/>
    <xf numFmtId="0" fontId="5" fillId="0" borderId="14" xfId="0" applyFont="1" applyBorder="1" applyAlignment="1">
      <alignment horizontal="center"/>
    </xf>
    <xf numFmtId="0" fontId="5" fillId="0" borderId="14" xfId="0" applyFont="1" applyBorder="1"/>
    <xf numFmtId="166" fontId="2" fillId="11" borderId="24" xfId="0" applyNumberFormat="1" applyFont="1" applyFill="1" applyBorder="1"/>
    <xf numFmtId="0" fontId="5" fillId="0" borderId="7" xfId="0" applyFont="1" applyBorder="1" applyAlignment="1">
      <alignment horizontal="center"/>
    </xf>
    <xf numFmtId="0" fontId="5" fillId="0" borderId="7" xfId="0" applyFont="1" applyBorder="1"/>
    <xf numFmtId="0" fontId="2" fillId="0" borderId="7" xfId="0" quotePrefix="1" applyFont="1" applyBorder="1"/>
    <xf numFmtId="166" fontId="2" fillId="11" borderId="42" xfId="0" applyNumberFormat="1" applyFont="1" applyFill="1" applyBorder="1"/>
    <xf numFmtId="0" fontId="2" fillId="19" borderId="42" xfId="0" applyFont="1" applyFill="1" applyBorder="1"/>
    <xf numFmtId="166" fontId="2" fillId="19" borderId="42" xfId="0" applyNumberFormat="1" applyFont="1" applyFill="1" applyBorder="1"/>
    <xf numFmtId="165" fontId="2" fillId="19" borderId="42" xfId="0" applyNumberFormat="1" applyFont="1" applyFill="1" applyBorder="1"/>
    <xf numFmtId="166" fontId="38" fillId="0" borderId="14" xfId="0" applyNumberFormat="1" applyFont="1" applyBorder="1"/>
    <xf numFmtId="165" fontId="38" fillId="15" borderId="14" xfId="0" applyNumberFormat="1" applyFont="1" applyFill="1" applyBorder="1"/>
    <xf numFmtId="0" fontId="38" fillId="19" borderId="14" xfId="0" applyFont="1" applyFill="1" applyBorder="1"/>
    <xf numFmtId="0" fontId="5" fillId="25" borderId="15" xfId="0" applyFont="1" applyFill="1" applyBorder="1" applyAlignment="1">
      <alignment horizontal="center"/>
    </xf>
    <xf numFmtId="0" fontId="2" fillId="13" borderId="24" xfId="0" applyFont="1" applyFill="1" applyBorder="1"/>
    <xf numFmtId="166" fontId="2" fillId="6" borderId="24" xfId="0" applyNumberFormat="1" applyFont="1" applyFill="1" applyBorder="1"/>
    <xf numFmtId="0" fontId="2" fillId="13" borderId="14" xfId="0" applyFont="1" applyFill="1" applyBorder="1"/>
    <xf numFmtId="166" fontId="2" fillId="6" borderId="14" xfId="0" applyNumberFormat="1" applyFont="1" applyFill="1" applyBorder="1"/>
    <xf numFmtId="166" fontId="2" fillId="12" borderId="14" xfId="0" applyNumberFormat="1" applyFont="1" applyFill="1" applyBorder="1"/>
    <xf numFmtId="0" fontId="2" fillId="6" borderId="14" xfId="0" applyFont="1" applyFill="1" applyBorder="1"/>
    <xf numFmtId="0" fontId="2" fillId="6" borderId="15" xfId="0" applyFont="1" applyFill="1" applyBorder="1"/>
    <xf numFmtId="166" fontId="2" fillId="6" borderId="15" xfId="0" applyNumberFormat="1" applyFont="1" applyFill="1" applyBorder="1"/>
    <xf numFmtId="0" fontId="2" fillId="13" borderId="15" xfId="0" applyFont="1" applyFill="1" applyBorder="1"/>
    <xf numFmtId="166" fontId="18" fillId="0" borderId="14" xfId="0" applyNumberFormat="1" applyFont="1" applyBorder="1" applyAlignment="1">
      <alignment horizontal="right" vertical="center"/>
    </xf>
    <xf numFmtId="2" fontId="20" fillId="0" borderId="14" xfId="0" applyNumberFormat="1" applyFont="1" applyBorder="1" applyAlignment="1">
      <alignment horizontal="left" vertical="center"/>
    </xf>
    <xf numFmtId="0" fontId="43" fillId="0" borderId="15" xfId="0" applyFont="1" applyBorder="1"/>
    <xf numFmtId="0" fontId="19" fillId="0" borderId="15" xfId="0" applyFont="1" applyBorder="1"/>
    <xf numFmtId="0" fontId="19" fillId="0" borderId="13" xfId="0" applyFont="1" applyBorder="1"/>
    <xf numFmtId="0" fontId="20" fillId="0" borderId="13" xfId="0" applyFont="1" applyBorder="1" applyAlignment="1">
      <alignment horizontal="left"/>
    </xf>
    <xf numFmtId="0" fontId="18" fillId="0" borderId="15" xfId="0" quotePrefix="1" applyFont="1" applyBorder="1"/>
    <xf numFmtId="0" fontId="21" fillId="0" borderId="14" xfId="0" applyFont="1" applyBorder="1"/>
    <xf numFmtId="3" fontId="19" fillId="0" borderId="14" xfId="0" applyNumberFormat="1" applyFont="1" applyBorder="1" applyAlignment="1">
      <alignment horizontal="right"/>
    </xf>
    <xf numFmtId="2" fontId="18" fillId="0" borderId="14" xfId="0" applyNumberFormat="1" applyFont="1" applyBorder="1"/>
    <xf numFmtId="3" fontId="18" fillId="0" borderId="14" xfId="0" applyNumberFormat="1" applyFont="1" applyBorder="1"/>
    <xf numFmtId="0" fontId="5" fillId="0" borderId="2" xfId="0" applyFont="1" applyBorder="1"/>
    <xf numFmtId="0" fontId="5" fillId="0" borderId="6" xfId="0" applyFont="1" applyBorder="1"/>
    <xf numFmtId="0" fontId="2" fillId="3" borderId="14" xfId="0" applyFont="1" applyFill="1" applyBorder="1" applyAlignment="1">
      <alignment horizontal="center"/>
    </xf>
    <xf numFmtId="165" fontId="48" fillId="0" borderId="0" xfId="0" applyNumberFormat="1" applyFont="1" applyAlignment="1">
      <alignment horizontal="left"/>
    </xf>
    <xf numFmtId="3" fontId="19" fillId="3" borderId="14" xfId="0" applyNumberFormat="1" applyFont="1" applyFill="1" applyBorder="1" applyAlignment="1">
      <alignment horizontal="right"/>
    </xf>
    <xf numFmtId="3" fontId="18" fillId="3" borderId="14" xfId="0" applyNumberFormat="1" applyFont="1" applyFill="1" applyBorder="1"/>
    <xf numFmtId="165" fontId="18" fillId="0" borderId="14" xfId="0" applyNumberFormat="1" applyFont="1" applyBorder="1"/>
    <xf numFmtId="0" fontId="49" fillId="0" borderId="14" xfId="0" applyFont="1" applyBorder="1" applyAlignment="1">
      <alignment horizontal="right"/>
    </xf>
    <xf numFmtId="166" fontId="43" fillId="0" borderId="14" xfId="0" applyNumberFormat="1" applyFont="1" applyBorder="1"/>
    <xf numFmtId="0" fontId="19" fillId="0" borderId="15" xfId="0" applyFont="1" applyBorder="1" applyAlignment="1">
      <alignment horizontal="right"/>
    </xf>
    <xf numFmtId="0" fontId="18" fillId="0" borderId="13" xfId="0" applyFont="1" applyBorder="1" applyAlignment="1">
      <alignment wrapText="1"/>
    </xf>
    <xf numFmtId="0" fontId="50" fillId="0" borderId="13" xfId="0" applyFont="1" applyBorder="1" applyAlignment="1">
      <alignment wrapText="1"/>
    </xf>
    <xf numFmtId="0" fontId="19" fillId="0" borderId="13" xfId="0" applyFont="1" applyBorder="1" applyAlignment="1">
      <alignment horizontal="right" vertical="center" wrapText="1"/>
    </xf>
    <xf numFmtId="166" fontId="18" fillId="0" borderId="13" xfId="0" applyNumberFormat="1" applyFont="1" applyBorder="1" applyAlignment="1">
      <alignment vertical="center"/>
    </xf>
    <xf numFmtId="165" fontId="18" fillId="0" borderId="13" xfId="0" applyNumberFormat="1" applyFont="1" applyBorder="1" applyAlignment="1">
      <alignment vertical="center"/>
    </xf>
    <xf numFmtId="0" fontId="2" fillId="4" borderId="15" xfId="0" applyFont="1" applyFill="1" applyBorder="1"/>
    <xf numFmtId="3" fontId="2" fillId="4" borderId="15" xfId="0" applyNumberFormat="1" applyFont="1" applyFill="1" applyBorder="1"/>
    <xf numFmtId="0" fontId="2" fillId="4" borderId="24" xfId="0" applyFont="1" applyFill="1" applyBorder="1"/>
    <xf numFmtId="3" fontId="2" fillId="4" borderId="24" xfId="0" applyNumberFormat="1" applyFont="1" applyFill="1" applyBorder="1"/>
    <xf numFmtId="166" fontId="2" fillId="3" borderId="14" xfId="0" applyNumberFormat="1" applyFont="1" applyFill="1" applyBorder="1"/>
    <xf numFmtId="0" fontId="38" fillId="0" borderId="11" xfId="0" applyFont="1" applyBorder="1"/>
    <xf numFmtId="0" fontId="5" fillId="19" borderId="15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3" borderId="15" xfId="0" quotePrefix="1" applyFont="1" applyFill="1" applyBorder="1"/>
    <xf numFmtId="0" fontId="4" fillId="3" borderId="15" xfId="0" applyFont="1" applyFill="1" applyBorder="1"/>
    <xf numFmtId="3" fontId="51" fillId="3" borderId="15" xfId="0" applyNumberFormat="1" applyFont="1" applyFill="1" applyBorder="1" applyAlignment="1">
      <alignment horizontal="right"/>
    </xf>
    <xf numFmtId="166" fontId="2" fillId="3" borderId="15" xfId="0" applyNumberFormat="1" applyFont="1" applyFill="1" applyBorder="1"/>
    <xf numFmtId="2" fontId="2" fillId="3" borderId="15" xfId="0" applyNumberFormat="1" applyFont="1" applyFill="1" applyBorder="1"/>
    <xf numFmtId="0" fontId="5" fillId="3" borderId="15" xfId="0" applyFont="1" applyFill="1" applyBorder="1"/>
    <xf numFmtId="0" fontId="2" fillId="0" borderId="13" xfId="0" applyFont="1" applyBorder="1" applyAlignment="1">
      <alignment horizontal="center" vertical="center"/>
    </xf>
    <xf numFmtId="0" fontId="5" fillId="3" borderId="24" xfId="0" applyFont="1" applyFill="1" applyBorder="1"/>
    <xf numFmtId="0" fontId="2" fillId="3" borderId="24" xfId="0" applyFont="1" applyFill="1" applyBorder="1"/>
    <xf numFmtId="3" fontId="51" fillId="3" borderId="24" xfId="0" applyNumberFormat="1" applyFont="1" applyFill="1" applyBorder="1" applyAlignment="1">
      <alignment horizontal="right"/>
    </xf>
    <xf numFmtId="166" fontId="2" fillId="3" borderId="24" xfId="0" applyNumberFormat="1" applyFont="1" applyFill="1" applyBorder="1"/>
    <xf numFmtId="3" fontId="51" fillId="0" borderId="14" xfId="0" applyNumberFormat="1" applyFont="1" applyBorder="1" applyAlignment="1">
      <alignment horizontal="right"/>
    </xf>
    <xf numFmtId="3" fontId="5" fillId="0" borderId="14" xfId="0" applyNumberFormat="1" applyFont="1" applyBorder="1"/>
    <xf numFmtId="0" fontId="51" fillId="0" borderId="14" xfId="0" applyFont="1" applyBorder="1" applyAlignment="1">
      <alignment horizontal="right"/>
    </xf>
    <xf numFmtId="0" fontId="5" fillId="0" borderId="4" xfId="0" applyFont="1" applyBorder="1"/>
    <xf numFmtId="0" fontId="11" fillId="0" borderId="14" xfId="0" applyFont="1" applyBorder="1"/>
    <xf numFmtId="0" fontId="2" fillId="26" borderId="14" xfId="0" applyFont="1" applyFill="1" applyBorder="1" applyAlignment="1">
      <alignment horizontal="center"/>
    </xf>
    <xf numFmtId="0" fontId="5" fillId="19" borderId="14" xfId="0" applyFont="1" applyFill="1" applyBorder="1" applyAlignment="1">
      <alignment horizontal="center"/>
    </xf>
    <xf numFmtId="0" fontId="5" fillId="19" borderId="14" xfId="0" applyFont="1" applyFill="1" applyBorder="1"/>
    <xf numFmtId="166" fontId="2" fillId="19" borderId="14" xfId="0" applyNumberFormat="1" applyFont="1" applyFill="1" applyBorder="1"/>
    <xf numFmtId="0" fontId="4" fillId="0" borderId="14" xfId="0" applyFont="1" applyBorder="1"/>
    <xf numFmtId="2" fontId="2" fillId="0" borderId="14" xfId="0" applyNumberFormat="1" applyFont="1" applyBorder="1"/>
    <xf numFmtId="0" fontId="52" fillId="0" borderId="14" xfId="0" applyFont="1" applyBorder="1" applyAlignment="1">
      <alignment horizontal="right"/>
    </xf>
    <xf numFmtId="0" fontId="21" fillId="0" borderId="14" xfId="0" applyFont="1" applyBorder="1" applyAlignment="1">
      <alignment horizontal="right"/>
    </xf>
    <xf numFmtId="17" fontId="21" fillId="0" borderId="48" xfId="0" applyNumberFormat="1" applyFont="1" applyBorder="1" applyAlignment="1">
      <alignment horizontal="center" vertical="center"/>
    </xf>
    <xf numFmtId="0" fontId="21" fillId="0" borderId="49" xfId="0" applyFont="1" applyBorder="1" applyAlignment="1">
      <alignment horizontal="center" vertical="center"/>
    </xf>
    <xf numFmtId="0" fontId="12" fillId="0" borderId="34" xfId="0" applyFont="1" applyBorder="1" applyAlignment="1">
      <alignment vertical="center"/>
    </xf>
    <xf numFmtId="3" fontId="2" fillId="0" borderId="50" xfId="0" applyNumberFormat="1" applyFont="1" applyBorder="1" applyAlignment="1">
      <alignment horizontal="right" vertical="center"/>
    </xf>
    <xf numFmtId="166" fontId="2" fillId="0" borderId="51" xfId="0" applyNumberFormat="1" applyFont="1" applyBorder="1" applyAlignment="1">
      <alignment vertical="center"/>
    </xf>
    <xf numFmtId="166" fontId="2" fillId="0" borderId="50" xfId="0" applyNumberFormat="1" applyFont="1" applyBorder="1" applyAlignment="1">
      <alignment vertical="center"/>
    </xf>
    <xf numFmtId="168" fontId="2" fillId="0" borderId="51" xfId="0" applyNumberFormat="1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3" fontId="2" fillId="0" borderId="51" xfId="0" applyNumberFormat="1" applyFont="1" applyBorder="1" applyAlignment="1">
      <alignment vertical="center"/>
    </xf>
    <xf numFmtId="168" fontId="2" fillId="0" borderId="0" xfId="0" applyNumberFormat="1" applyFont="1"/>
    <xf numFmtId="3" fontId="2" fillId="0" borderId="52" xfId="0" applyNumberFormat="1" applyFont="1" applyBorder="1" applyAlignment="1">
      <alignment horizontal="right" vertical="center"/>
    </xf>
    <xf numFmtId="166" fontId="2" fillId="0" borderId="52" xfId="0" applyNumberFormat="1" applyFont="1" applyBorder="1" applyAlignment="1">
      <alignment vertical="center"/>
    </xf>
    <xf numFmtId="3" fontId="2" fillId="0" borderId="52" xfId="0" applyNumberFormat="1" applyFont="1" applyBorder="1" applyAlignment="1">
      <alignment vertical="center"/>
    </xf>
    <xf numFmtId="0" fontId="2" fillId="0" borderId="52" xfId="0" applyFont="1" applyBorder="1" applyAlignment="1">
      <alignment vertical="center"/>
    </xf>
    <xf numFmtId="166" fontId="2" fillId="0" borderId="52" xfId="0" applyNumberFormat="1" applyFont="1" applyBorder="1" applyAlignment="1">
      <alignment horizontal="right" vertical="center"/>
    </xf>
    <xf numFmtId="0" fontId="2" fillId="0" borderId="53" xfId="0" applyFont="1" applyBorder="1" applyAlignment="1">
      <alignment vertical="center"/>
    </xf>
    <xf numFmtId="3" fontId="2" fillId="0" borderId="54" xfId="0" applyNumberFormat="1" applyFont="1" applyBorder="1" applyAlignment="1">
      <alignment vertical="center"/>
    </xf>
    <xf numFmtId="166" fontId="2" fillId="0" borderId="55" xfId="0" applyNumberFormat="1" applyFont="1" applyBorder="1" applyAlignment="1">
      <alignment vertical="center"/>
    </xf>
    <xf numFmtId="166" fontId="2" fillId="0" borderId="54" xfId="0" applyNumberFormat="1" applyFont="1" applyBorder="1" applyAlignment="1">
      <alignment vertical="center"/>
    </xf>
    <xf numFmtId="3" fontId="2" fillId="0" borderId="55" xfId="0" applyNumberFormat="1" applyFont="1" applyBorder="1" applyAlignment="1">
      <alignment vertical="center"/>
    </xf>
    <xf numFmtId="0" fontId="54" fillId="0" borderId="25" xfId="0" applyFont="1" applyBorder="1"/>
    <xf numFmtId="166" fontId="38" fillId="0" borderId="0" xfId="0" applyNumberFormat="1" applyFont="1"/>
    <xf numFmtId="0" fontId="2" fillId="0" borderId="9" xfId="0" applyFont="1" applyBorder="1"/>
    <xf numFmtId="0" fontId="24" fillId="0" borderId="10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26" fillId="0" borderId="1" xfId="0" applyFont="1" applyBorder="1"/>
    <xf numFmtId="0" fontId="26" fillId="0" borderId="2" xfId="0" applyFont="1" applyBorder="1"/>
    <xf numFmtId="0" fontId="26" fillId="0" borderId="11" xfId="0" applyFont="1" applyBorder="1"/>
    <xf numFmtId="0" fontId="26" fillId="0" borderId="3" xfId="0" applyFont="1" applyBorder="1"/>
    <xf numFmtId="0" fontId="26" fillId="0" borderId="5" xfId="0" applyFont="1" applyBorder="1"/>
    <xf numFmtId="0" fontId="26" fillId="0" borderId="6" xfId="0" applyFont="1" applyBorder="1"/>
    <xf numFmtId="0" fontId="8" fillId="0" borderId="9" xfId="0" applyFont="1" applyBorder="1" applyAlignment="1">
      <alignment horizontal="center"/>
    </xf>
    <xf numFmtId="0" fontId="6" fillId="0" borderId="10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2" xfId="0" applyFont="1" applyBorder="1"/>
    <xf numFmtId="0" fontId="8" fillId="0" borderId="4" xfId="0" applyFont="1" applyBorder="1" applyAlignment="1">
      <alignment horizontal="left"/>
    </xf>
    <xf numFmtId="0" fontId="6" fillId="0" borderId="4" xfId="0" applyFont="1" applyBorder="1"/>
    <xf numFmtId="0" fontId="5" fillId="0" borderId="5" xfId="0" applyFont="1" applyBorder="1" applyAlignment="1">
      <alignment horizontal="left"/>
    </xf>
    <xf numFmtId="0" fontId="6" fillId="0" borderId="6" xfId="0" applyFont="1" applyBorder="1"/>
    <xf numFmtId="0" fontId="9" fillId="0" borderId="1" xfId="0" applyFont="1" applyBorder="1" applyAlignment="1">
      <alignment horizontal="center"/>
    </xf>
    <xf numFmtId="0" fontId="6" fillId="0" borderId="8" xfId="0" applyFont="1" applyBorder="1"/>
    <xf numFmtId="0" fontId="8" fillId="0" borderId="11" xfId="0" applyFont="1" applyBorder="1" applyAlignment="1">
      <alignment horizontal="center"/>
    </xf>
    <xf numFmtId="0" fontId="6" fillId="0" borderId="3" xfId="0" applyFont="1" applyBorder="1"/>
    <xf numFmtId="0" fontId="3" fillId="0" borderId="4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18" fillId="0" borderId="7" xfId="0" applyFont="1" applyBorder="1" applyAlignment="1">
      <alignment horizontal="center" vertical="center"/>
    </xf>
    <xf numFmtId="0" fontId="6" fillId="0" borderId="12" xfId="0" applyFont="1" applyBorder="1"/>
    <xf numFmtId="0" fontId="6" fillId="0" borderId="13" xfId="0" applyFont="1" applyBorder="1"/>
    <xf numFmtId="0" fontId="18" fillId="0" borderId="7" xfId="0" applyFont="1" applyBorder="1" applyAlignment="1">
      <alignment horizontal="left" vertical="center"/>
    </xf>
    <xf numFmtId="0" fontId="18" fillId="0" borderId="7" xfId="0" applyFont="1" applyBorder="1" applyAlignment="1">
      <alignment horizontal="center"/>
    </xf>
    <xf numFmtId="0" fontId="22" fillId="2" borderId="16" xfId="0" applyFont="1" applyFill="1" applyBorder="1" applyAlignment="1">
      <alignment horizontal="center"/>
    </xf>
    <xf numFmtId="0" fontId="6" fillId="0" borderId="17" xfId="0" applyFont="1" applyBorder="1"/>
    <xf numFmtId="0" fontId="6" fillId="0" borderId="18" xfId="0" applyFont="1" applyBorder="1"/>
    <xf numFmtId="0" fontId="23" fillId="0" borderId="7" xfId="0" applyFont="1" applyBorder="1" applyAlignment="1">
      <alignment horizontal="center" vertical="center"/>
    </xf>
    <xf numFmtId="0" fontId="23" fillId="4" borderId="9" xfId="0" applyFont="1" applyFill="1" applyBorder="1" applyAlignment="1">
      <alignment horizontal="center" vertical="center"/>
    </xf>
    <xf numFmtId="0" fontId="6" fillId="0" borderId="19" xfId="0" applyFont="1" applyBorder="1"/>
    <xf numFmtId="0" fontId="23" fillId="5" borderId="9" xfId="0" applyFont="1" applyFill="1" applyBorder="1" applyAlignment="1">
      <alignment horizontal="center" vertical="center"/>
    </xf>
    <xf numFmtId="0" fontId="23" fillId="6" borderId="9" xfId="0" applyFont="1" applyFill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24" fillId="8" borderId="21" xfId="0" applyFont="1" applyFill="1" applyBorder="1" applyAlignment="1">
      <alignment horizontal="center" vertical="center"/>
    </xf>
    <xf numFmtId="0" fontId="6" fillId="0" borderId="22" xfId="0" applyFont="1" applyBorder="1"/>
    <xf numFmtId="0" fontId="6" fillId="0" borderId="23" xfId="0" applyFont="1" applyBorder="1"/>
    <xf numFmtId="167" fontId="31" fillId="0" borderId="9" xfId="0" applyNumberFormat="1" applyFont="1" applyBorder="1" applyAlignment="1">
      <alignment horizontal="center"/>
    </xf>
    <xf numFmtId="166" fontId="32" fillId="13" borderId="9" xfId="0" applyNumberFormat="1" applyFont="1" applyFill="1" applyBorder="1" applyAlignment="1">
      <alignment horizontal="center" vertical="center"/>
    </xf>
    <xf numFmtId="0" fontId="32" fillId="13" borderId="9" xfId="0" applyFont="1" applyFill="1" applyBorder="1" applyAlignment="1">
      <alignment horizontal="center" vertical="center"/>
    </xf>
    <xf numFmtId="2" fontId="32" fillId="13" borderId="9" xfId="0" applyNumberFormat="1" applyFont="1" applyFill="1" applyBorder="1" applyAlignment="1">
      <alignment horizontal="right" vertical="center"/>
    </xf>
    <xf numFmtId="0" fontId="33" fillId="0" borderId="9" xfId="0" applyFont="1" applyBorder="1" applyAlignment="1">
      <alignment horizontal="center" vertical="center"/>
    </xf>
    <xf numFmtId="0" fontId="32" fillId="13" borderId="9" xfId="0" applyFont="1" applyFill="1" applyBorder="1" applyAlignment="1">
      <alignment horizontal="right" vertical="center"/>
    </xf>
    <xf numFmtId="0" fontId="23" fillId="3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32" fillId="13" borderId="9" xfId="0" applyFont="1" applyFill="1" applyBorder="1" applyAlignment="1">
      <alignment horizontal="center" vertical="center" wrapText="1"/>
    </xf>
    <xf numFmtId="3" fontId="2" fillId="0" borderId="9" xfId="0" applyNumberFormat="1" applyFont="1" applyBorder="1" applyAlignment="1">
      <alignment horizontal="center"/>
    </xf>
    <xf numFmtId="0" fontId="20" fillId="0" borderId="7" xfId="0" applyFont="1" applyBorder="1" applyAlignment="1">
      <alignment horizontal="right" vertical="center"/>
    </xf>
    <xf numFmtId="0" fontId="18" fillId="0" borderId="7" xfId="0" applyFont="1" applyBorder="1" applyAlignment="1">
      <alignment horizontal="left" vertical="center" wrapText="1"/>
    </xf>
    <xf numFmtId="0" fontId="43" fillId="0" borderId="7" xfId="0" applyFont="1" applyBorder="1" applyAlignment="1">
      <alignment horizontal="center" vertical="center"/>
    </xf>
    <xf numFmtId="0" fontId="18" fillId="0" borderId="7" xfId="0" applyFont="1" applyBorder="1"/>
    <xf numFmtId="0" fontId="18" fillId="0" borderId="7" xfId="0" quotePrefix="1" applyFont="1" applyBorder="1" applyAlignment="1">
      <alignment horizontal="left" vertical="center"/>
    </xf>
    <xf numFmtId="0" fontId="19" fillId="0" borderId="7" xfId="0" applyFont="1" applyBorder="1" applyAlignment="1">
      <alignment horizontal="left" vertical="center"/>
    </xf>
    <xf numFmtId="0" fontId="18" fillId="19" borderId="7" xfId="0" applyFont="1" applyFill="1" applyBorder="1" applyAlignment="1">
      <alignment horizontal="center" vertical="center"/>
    </xf>
    <xf numFmtId="0" fontId="43" fillId="0" borderId="7" xfId="0" applyFont="1" applyBorder="1" applyAlignment="1">
      <alignment horizontal="left" vertical="center"/>
    </xf>
    <xf numFmtId="164" fontId="3" fillId="0" borderId="0" xfId="0" applyNumberFormat="1" applyFont="1" applyAlignment="1">
      <alignment horizontal="center"/>
    </xf>
    <xf numFmtId="0" fontId="20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7" fillId="0" borderId="0" xfId="0" applyFont="1" applyAlignment="1">
      <alignment horizontal="center"/>
    </xf>
    <xf numFmtId="0" fontId="2" fillId="25" borderId="16" xfId="0" applyFont="1" applyFill="1" applyBorder="1" applyAlignment="1">
      <alignment horizontal="center"/>
    </xf>
    <xf numFmtId="15" fontId="2" fillId="0" borderId="0" xfId="0" applyNumberFormat="1" applyFont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19" borderId="7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left"/>
    </xf>
    <xf numFmtId="0" fontId="55" fillId="0" borderId="25" xfId="0" applyFont="1" applyBorder="1" applyAlignment="1">
      <alignment horizontal="right"/>
    </xf>
    <xf numFmtId="0" fontId="6" fillId="0" borderId="27" xfId="0" applyFont="1" applyBorder="1"/>
    <xf numFmtId="166" fontId="55" fillId="0" borderId="27" xfId="0" applyNumberFormat="1" applyFont="1" applyBorder="1" applyAlignment="1">
      <alignment horizontal="center"/>
    </xf>
    <xf numFmtId="0" fontId="6" fillId="0" borderId="28" xfId="0" applyFont="1" applyBorder="1"/>
    <xf numFmtId="0" fontId="23" fillId="0" borderId="0" xfId="0" applyFont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6" fillId="0" borderId="47" xfId="0" applyFont="1" applyBorder="1"/>
    <xf numFmtId="17" fontId="53" fillId="0" borderId="29" xfId="0" applyNumberFormat="1" applyFont="1" applyBorder="1" applyAlignment="1">
      <alignment horizontal="center" vertical="center"/>
    </xf>
    <xf numFmtId="0" fontId="6" fillId="0" borderId="33" xfId="0" applyFont="1" applyBorder="1"/>
    <xf numFmtId="0" fontId="53" fillId="0" borderId="29" xfId="0" applyFont="1" applyBorder="1" applyAlignment="1">
      <alignment horizontal="center" vertical="center"/>
    </xf>
    <xf numFmtId="167" fontId="2" fillId="0" borderId="0" xfId="0" applyNumberFormat="1" applyFont="1" applyAlignment="1">
      <alignment horizontal="center"/>
    </xf>
    <xf numFmtId="166" fontId="54" fillId="0" borderId="2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
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
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
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
<Relationships xmlns="http://schemas.openxmlformats.org/package/2006/relationships"><Relationship Id="rId1" Type="http://customschemas.google.com/relationships/workbookmetadata" Target="commentsmeta9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Z1000"/>
  <sheetViews>
    <sheetView workbookViewId="0"/>
  </sheetViews>
  <sheetFormatPr defaultColWidth="14.42578125" defaultRowHeight="15" customHeight="1"/>
  <cols>
    <col min="1" max="1" width="4.7109375" customWidth="1"/>
    <col min="2" max="2" width="23.7109375" customWidth="1"/>
    <col min="3" max="3" width="8.140625" customWidth="1"/>
    <col min="4" max="4" width="16.140625" customWidth="1"/>
    <col min="5" max="5" width="14.5703125" customWidth="1"/>
    <col min="6" max="6" width="14.85546875" customWidth="1"/>
    <col min="7" max="7" width="14" customWidth="1"/>
    <col min="8" max="8" width="16.42578125" customWidth="1"/>
    <col min="9" max="9" width="16.85546875" customWidth="1"/>
    <col min="10" max="10" width="9.5703125" customWidth="1"/>
    <col min="11" max="11" width="17.85546875" customWidth="1"/>
    <col min="12" max="12" width="9.140625" customWidth="1"/>
    <col min="13" max="13" width="11.5703125" customWidth="1"/>
    <col min="14" max="26" width="8.7109375" customWidth="1"/>
  </cols>
  <sheetData>
    <row r="1" spans="1:12" ht="23.25">
      <c r="A1" s="555" t="s">
        <v>0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1"/>
    </row>
    <row r="2" spans="1:12" ht="18">
      <c r="A2" s="556" t="s">
        <v>1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1"/>
    </row>
    <row r="3" spans="1:12">
      <c r="A3" s="2"/>
      <c r="B3" s="3"/>
      <c r="C3" s="4"/>
      <c r="D3" s="3"/>
      <c r="E3" s="3"/>
      <c r="F3" s="1"/>
      <c r="G3" s="4"/>
      <c r="H3" s="5"/>
      <c r="I3" s="6"/>
      <c r="J3" s="557" t="s">
        <v>2</v>
      </c>
      <c r="K3" s="558"/>
      <c r="L3" s="1"/>
    </row>
    <row r="4" spans="1:12">
      <c r="A4" s="2"/>
      <c r="B4" s="3"/>
      <c r="C4" s="4"/>
      <c r="D4" s="3"/>
      <c r="E4" s="3"/>
      <c r="F4" s="1"/>
      <c r="G4" s="4"/>
      <c r="H4" s="5"/>
      <c r="I4" s="7"/>
      <c r="J4" s="8" t="s">
        <v>3</v>
      </c>
      <c r="K4" s="9">
        <v>70</v>
      </c>
      <c r="L4" s="1"/>
    </row>
    <row r="5" spans="1:12">
      <c r="A5" s="2"/>
      <c r="B5" s="3"/>
      <c r="C5" s="4"/>
      <c r="D5" s="3"/>
      <c r="E5" s="3"/>
      <c r="F5" s="1"/>
      <c r="G5" s="4"/>
      <c r="H5" s="5"/>
      <c r="I5" s="7"/>
      <c r="J5" s="8" t="s">
        <v>4</v>
      </c>
      <c r="K5" s="9">
        <v>16</v>
      </c>
      <c r="L5" s="1"/>
    </row>
    <row r="6" spans="1:12">
      <c r="A6" s="559" t="s">
        <v>5</v>
      </c>
      <c r="B6" s="560"/>
      <c r="C6" s="4"/>
      <c r="D6" s="3"/>
      <c r="E6" s="10"/>
      <c r="F6" s="1"/>
      <c r="G6" s="4"/>
      <c r="H6" s="5"/>
      <c r="I6" s="6"/>
      <c r="J6" s="561" t="s">
        <v>6</v>
      </c>
      <c r="K6" s="562"/>
      <c r="L6" s="1"/>
    </row>
    <row r="7" spans="1:12">
      <c r="A7" s="11"/>
      <c r="B7" s="12"/>
      <c r="C7" s="13"/>
      <c r="D7" s="14"/>
      <c r="E7" s="14"/>
      <c r="F7" s="563" t="s">
        <v>7</v>
      </c>
      <c r="G7" s="564"/>
      <c r="H7" s="558"/>
      <c r="I7" s="15"/>
      <c r="J7" s="550" t="s">
        <v>8</v>
      </c>
      <c r="K7" s="551"/>
      <c r="L7" s="1"/>
    </row>
    <row r="8" spans="1:12">
      <c r="A8" s="565" t="s">
        <v>9</v>
      </c>
      <c r="B8" s="566"/>
      <c r="C8" s="16" t="s">
        <v>10</v>
      </c>
      <c r="D8" s="17" t="s">
        <v>11</v>
      </c>
      <c r="E8" s="18" t="s">
        <v>12</v>
      </c>
      <c r="F8" s="19" t="s">
        <v>13</v>
      </c>
      <c r="G8" s="20"/>
      <c r="H8" s="21" t="s">
        <v>14</v>
      </c>
      <c r="I8" s="22" t="s">
        <v>15</v>
      </c>
      <c r="J8" s="23"/>
      <c r="K8" s="24"/>
      <c r="L8" s="1"/>
    </row>
    <row r="9" spans="1:12">
      <c r="A9" s="25"/>
      <c r="B9" s="26"/>
      <c r="C9" s="20"/>
      <c r="D9" s="27"/>
      <c r="E9" s="26"/>
      <c r="F9" s="28" t="s">
        <v>16</v>
      </c>
      <c r="G9" s="16" t="s">
        <v>17</v>
      </c>
      <c r="H9" s="21" t="s">
        <v>18</v>
      </c>
      <c r="I9" s="29"/>
      <c r="J9" s="17" t="s">
        <v>19</v>
      </c>
      <c r="K9" s="17" t="s">
        <v>20</v>
      </c>
      <c r="L9" s="1"/>
    </row>
    <row r="10" spans="1:12">
      <c r="A10" s="30"/>
      <c r="B10" s="31"/>
      <c r="C10" s="32"/>
      <c r="D10" s="33"/>
      <c r="E10" s="33"/>
      <c r="F10" s="34"/>
      <c r="G10" s="35"/>
      <c r="H10" s="36" t="s">
        <v>21</v>
      </c>
      <c r="I10" s="37"/>
      <c r="J10" s="34"/>
      <c r="K10" s="38" t="s">
        <v>22</v>
      </c>
      <c r="L10" s="1"/>
    </row>
    <row r="11" spans="1:12">
      <c r="A11" s="39" t="s">
        <v>23</v>
      </c>
      <c r="B11" s="40"/>
      <c r="C11" s="40"/>
      <c r="D11" s="40"/>
      <c r="E11" s="40"/>
      <c r="F11" s="40"/>
      <c r="G11" s="40"/>
      <c r="H11" s="40"/>
      <c r="I11" s="41"/>
      <c r="J11" s="40"/>
      <c r="K11" s="40"/>
      <c r="L11" s="1"/>
    </row>
    <row r="12" spans="1:12">
      <c r="A12" s="42">
        <v>1</v>
      </c>
      <c r="B12" s="40" t="s">
        <v>24</v>
      </c>
      <c r="C12" s="40" t="s">
        <v>25</v>
      </c>
      <c r="D12" s="40" t="s">
        <v>26</v>
      </c>
      <c r="E12" s="40" t="s">
        <v>27</v>
      </c>
      <c r="F12" s="43" t="s">
        <v>28</v>
      </c>
      <c r="G12" s="40" t="s">
        <v>29</v>
      </c>
      <c r="H12" s="44">
        <v>4000</v>
      </c>
      <c r="I12" s="41">
        <v>800</v>
      </c>
      <c r="J12" s="40" t="s">
        <v>30</v>
      </c>
      <c r="K12" s="40" t="s">
        <v>31</v>
      </c>
      <c r="L12" s="1"/>
    </row>
    <row r="13" spans="1:12">
      <c r="A13" s="42">
        <v>1</v>
      </c>
      <c r="B13" s="40" t="s">
        <v>32</v>
      </c>
      <c r="C13" s="40" t="s">
        <v>25</v>
      </c>
      <c r="D13" s="40" t="s">
        <v>33</v>
      </c>
      <c r="E13" s="40" t="s">
        <v>34</v>
      </c>
      <c r="F13" s="43" t="s">
        <v>35</v>
      </c>
      <c r="G13" s="40" t="s">
        <v>29</v>
      </c>
      <c r="H13" s="44">
        <v>4000</v>
      </c>
      <c r="I13" s="41">
        <v>800</v>
      </c>
      <c r="J13" s="40" t="s">
        <v>30</v>
      </c>
      <c r="K13" s="40" t="s">
        <v>31</v>
      </c>
      <c r="L13" s="1"/>
    </row>
    <row r="14" spans="1:12">
      <c r="A14" s="42">
        <v>1</v>
      </c>
      <c r="B14" s="40" t="s">
        <v>36</v>
      </c>
      <c r="C14" s="40" t="s">
        <v>25</v>
      </c>
      <c r="D14" s="40" t="s">
        <v>37</v>
      </c>
      <c r="E14" s="40" t="s">
        <v>38</v>
      </c>
      <c r="F14" s="43" t="s">
        <v>39</v>
      </c>
      <c r="G14" s="40" t="s">
        <v>29</v>
      </c>
      <c r="H14" s="44">
        <v>3000</v>
      </c>
      <c r="I14" s="41">
        <v>600</v>
      </c>
      <c r="J14" s="40" t="s">
        <v>30</v>
      </c>
      <c r="K14" s="40" t="s">
        <v>31</v>
      </c>
      <c r="L14" s="1"/>
    </row>
    <row r="15" spans="1:12">
      <c r="A15" s="42">
        <v>1</v>
      </c>
      <c r="B15" s="40" t="s">
        <v>40</v>
      </c>
      <c r="C15" s="40" t="s">
        <v>25</v>
      </c>
      <c r="D15" s="40" t="s">
        <v>41</v>
      </c>
      <c r="E15" s="40" t="s">
        <v>42</v>
      </c>
      <c r="F15" s="43" t="s">
        <v>43</v>
      </c>
      <c r="G15" s="40" t="s">
        <v>29</v>
      </c>
      <c r="H15" s="44">
        <v>3000</v>
      </c>
      <c r="I15" s="41">
        <v>600</v>
      </c>
      <c r="J15" s="40" t="s">
        <v>30</v>
      </c>
      <c r="K15" s="40" t="s">
        <v>31</v>
      </c>
      <c r="L15" s="1"/>
    </row>
    <row r="16" spans="1:12">
      <c r="A16" s="42">
        <v>1</v>
      </c>
      <c r="B16" s="40" t="s">
        <v>44</v>
      </c>
      <c r="C16" s="40" t="s">
        <v>25</v>
      </c>
      <c r="D16" s="40" t="s">
        <v>45</v>
      </c>
      <c r="E16" s="40" t="s">
        <v>46</v>
      </c>
      <c r="F16" s="43" t="s">
        <v>47</v>
      </c>
      <c r="G16" s="40" t="s">
        <v>29</v>
      </c>
      <c r="H16" s="44">
        <v>1000</v>
      </c>
      <c r="I16" s="41">
        <v>200</v>
      </c>
      <c r="J16" s="40" t="s">
        <v>30</v>
      </c>
      <c r="K16" s="40" t="s">
        <v>31</v>
      </c>
      <c r="L16" s="1"/>
    </row>
    <row r="17" spans="1:12">
      <c r="A17" s="42">
        <v>1</v>
      </c>
      <c r="B17" s="40" t="s">
        <v>48</v>
      </c>
      <c r="C17" s="40" t="s">
        <v>25</v>
      </c>
      <c r="D17" s="40" t="s">
        <v>49</v>
      </c>
      <c r="E17" s="40" t="s">
        <v>50</v>
      </c>
      <c r="F17" s="43" t="s">
        <v>51</v>
      </c>
      <c r="G17" s="40" t="s">
        <v>29</v>
      </c>
      <c r="H17" s="44">
        <v>1000</v>
      </c>
      <c r="I17" s="41">
        <v>200</v>
      </c>
      <c r="J17" s="40" t="s">
        <v>30</v>
      </c>
      <c r="K17" s="40" t="s">
        <v>31</v>
      </c>
      <c r="L17" s="1"/>
    </row>
    <row r="18" spans="1:12">
      <c r="A18" s="42">
        <v>1</v>
      </c>
      <c r="B18" s="40" t="s">
        <v>52</v>
      </c>
      <c r="C18" s="40" t="s">
        <v>25</v>
      </c>
      <c r="D18" s="40" t="s">
        <v>41</v>
      </c>
      <c r="E18" s="40" t="s">
        <v>42</v>
      </c>
      <c r="F18" s="43" t="s">
        <v>53</v>
      </c>
      <c r="G18" s="40" t="s">
        <v>29</v>
      </c>
      <c r="H18" s="44">
        <v>1000</v>
      </c>
      <c r="I18" s="41">
        <v>200</v>
      </c>
      <c r="J18" s="40" t="s">
        <v>30</v>
      </c>
      <c r="K18" s="40" t="s">
        <v>31</v>
      </c>
      <c r="L18" s="1"/>
    </row>
    <row r="19" spans="1:12">
      <c r="A19" s="42">
        <v>1</v>
      </c>
      <c r="B19" s="40" t="s">
        <v>54</v>
      </c>
      <c r="C19" s="40" t="s">
        <v>25</v>
      </c>
      <c r="D19" s="40" t="s">
        <v>55</v>
      </c>
      <c r="E19" s="40" t="s">
        <v>56</v>
      </c>
      <c r="F19" s="43" t="s">
        <v>57</v>
      </c>
      <c r="G19" s="40" t="s">
        <v>29</v>
      </c>
      <c r="H19" s="44">
        <v>1000</v>
      </c>
      <c r="I19" s="41">
        <v>200</v>
      </c>
      <c r="J19" s="40" t="s">
        <v>30</v>
      </c>
      <c r="K19" s="40" t="s">
        <v>31</v>
      </c>
      <c r="L19" s="1"/>
    </row>
    <row r="20" spans="1:12">
      <c r="A20" s="42">
        <v>1</v>
      </c>
      <c r="B20" s="40" t="s">
        <v>58</v>
      </c>
      <c r="C20" s="40" t="s">
        <v>59</v>
      </c>
      <c r="D20" s="40" t="s">
        <v>27</v>
      </c>
      <c r="E20" s="40" t="s">
        <v>60</v>
      </c>
      <c r="F20" s="43" t="s">
        <v>61</v>
      </c>
      <c r="G20" s="40" t="s">
        <v>29</v>
      </c>
      <c r="H20" s="44">
        <v>1000</v>
      </c>
      <c r="I20" s="41">
        <v>200</v>
      </c>
      <c r="J20" s="40" t="s">
        <v>30</v>
      </c>
      <c r="K20" s="40" t="s">
        <v>31</v>
      </c>
      <c r="L20" s="1"/>
    </row>
    <row r="21" spans="1:12" ht="15.75" customHeight="1">
      <c r="A21" s="42">
        <v>1</v>
      </c>
      <c r="B21" s="40" t="s">
        <v>62</v>
      </c>
      <c r="C21" s="40" t="s">
        <v>25</v>
      </c>
      <c r="D21" s="40" t="s">
        <v>63</v>
      </c>
      <c r="E21" s="40" t="s">
        <v>38</v>
      </c>
      <c r="F21" s="43" t="s">
        <v>64</v>
      </c>
      <c r="G21" s="40" t="s">
        <v>29</v>
      </c>
      <c r="H21" s="44">
        <v>5000</v>
      </c>
      <c r="I21" s="41">
        <v>1000</v>
      </c>
      <c r="J21" s="40" t="s">
        <v>30</v>
      </c>
      <c r="K21" s="40" t="s">
        <v>31</v>
      </c>
      <c r="L21" s="1"/>
    </row>
    <row r="22" spans="1:12" ht="15.75" customHeight="1">
      <c r="A22" s="42">
        <v>1</v>
      </c>
      <c r="B22" s="40" t="s">
        <v>65</v>
      </c>
      <c r="C22" s="40" t="s">
        <v>25</v>
      </c>
      <c r="D22" s="40" t="s">
        <v>63</v>
      </c>
      <c r="E22" s="40" t="s">
        <v>42</v>
      </c>
      <c r="F22" s="43" t="s">
        <v>66</v>
      </c>
      <c r="G22" s="40" t="s">
        <v>29</v>
      </c>
      <c r="H22" s="44">
        <v>5000</v>
      </c>
      <c r="I22" s="41">
        <v>1000</v>
      </c>
      <c r="J22" s="40" t="s">
        <v>30</v>
      </c>
      <c r="K22" s="40" t="s">
        <v>31</v>
      </c>
      <c r="L22" s="1"/>
    </row>
    <row r="23" spans="1:12" ht="15.75" customHeight="1">
      <c r="A23" s="42">
        <v>1</v>
      </c>
      <c r="B23" s="40" t="s">
        <v>67</v>
      </c>
      <c r="C23" s="40" t="s">
        <v>25</v>
      </c>
      <c r="D23" s="40" t="s">
        <v>68</v>
      </c>
      <c r="E23" s="40" t="s">
        <v>38</v>
      </c>
      <c r="F23" s="43" t="s">
        <v>69</v>
      </c>
      <c r="G23" s="40" t="s">
        <v>29</v>
      </c>
      <c r="H23" s="44">
        <v>2000</v>
      </c>
      <c r="I23" s="41">
        <v>400</v>
      </c>
      <c r="J23" s="40" t="s">
        <v>30</v>
      </c>
      <c r="K23" s="40" t="s">
        <v>31</v>
      </c>
      <c r="L23" s="1"/>
    </row>
    <row r="24" spans="1:12" ht="15.75" customHeight="1">
      <c r="A24" s="42">
        <v>1</v>
      </c>
      <c r="B24" s="40" t="s">
        <v>70</v>
      </c>
      <c r="C24" s="40" t="s">
        <v>25</v>
      </c>
      <c r="D24" s="40" t="s">
        <v>55</v>
      </c>
      <c r="E24" s="40" t="s">
        <v>56</v>
      </c>
      <c r="F24" s="43" t="s">
        <v>71</v>
      </c>
      <c r="G24" s="40" t="s">
        <v>29</v>
      </c>
      <c r="H24" s="44">
        <v>2000</v>
      </c>
      <c r="I24" s="41">
        <v>400</v>
      </c>
      <c r="J24" s="40" t="s">
        <v>30</v>
      </c>
      <c r="K24" s="40" t="s">
        <v>31</v>
      </c>
      <c r="L24" s="1"/>
    </row>
    <row r="25" spans="1:12" ht="15.75" customHeight="1">
      <c r="A25" s="42">
        <v>1</v>
      </c>
      <c r="B25" s="40" t="s">
        <v>70</v>
      </c>
      <c r="C25" s="40" t="s">
        <v>25</v>
      </c>
      <c r="D25" s="40" t="s">
        <v>55</v>
      </c>
      <c r="E25" s="40" t="s">
        <v>56</v>
      </c>
      <c r="F25" s="43" t="s">
        <v>71</v>
      </c>
      <c r="G25" s="40" t="s">
        <v>72</v>
      </c>
      <c r="H25" s="44">
        <v>100</v>
      </c>
      <c r="I25" s="41">
        <v>10</v>
      </c>
      <c r="J25" s="40" t="s">
        <v>30</v>
      </c>
      <c r="K25" s="40" t="s">
        <v>31</v>
      </c>
      <c r="L25" s="1"/>
    </row>
    <row r="26" spans="1:12" ht="15.75" customHeight="1">
      <c r="A26" s="42">
        <v>1</v>
      </c>
      <c r="B26" s="40" t="s">
        <v>73</v>
      </c>
      <c r="C26" s="40" t="s">
        <v>25</v>
      </c>
      <c r="D26" s="40" t="s">
        <v>74</v>
      </c>
      <c r="E26" s="40" t="s">
        <v>38</v>
      </c>
      <c r="F26" s="43" t="s">
        <v>75</v>
      </c>
      <c r="G26" s="40" t="s">
        <v>29</v>
      </c>
      <c r="H26" s="44">
        <v>2000</v>
      </c>
      <c r="I26" s="41">
        <v>400</v>
      </c>
      <c r="J26" s="40" t="s">
        <v>30</v>
      </c>
      <c r="K26" s="40" t="s">
        <v>31</v>
      </c>
      <c r="L26" s="1"/>
    </row>
    <row r="27" spans="1:12" ht="15.75" customHeight="1">
      <c r="A27" s="42">
        <v>1</v>
      </c>
      <c r="B27" s="40" t="s">
        <v>76</v>
      </c>
      <c r="C27" s="40" t="s">
        <v>59</v>
      </c>
      <c r="D27" s="40" t="s">
        <v>77</v>
      </c>
      <c r="E27" s="40" t="s">
        <v>78</v>
      </c>
      <c r="F27" s="43" t="s">
        <v>79</v>
      </c>
      <c r="G27" s="40" t="s">
        <v>29</v>
      </c>
      <c r="H27" s="44">
        <v>1000</v>
      </c>
      <c r="I27" s="41">
        <v>200</v>
      </c>
      <c r="J27" s="40" t="s">
        <v>30</v>
      </c>
      <c r="K27" s="40" t="s">
        <v>31</v>
      </c>
      <c r="L27" s="1"/>
    </row>
    <row r="28" spans="1:12" ht="15.75" customHeight="1">
      <c r="A28" s="42">
        <v>1</v>
      </c>
      <c r="B28" s="40" t="s">
        <v>80</v>
      </c>
      <c r="C28" s="40" t="s">
        <v>25</v>
      </c>
      <c r="D28" s="40" t="s">
        <v>81</v>
      </c>
      <c r="E28" s="40" t="s">
        <v>50</v>
      </c>
      <c r="F28" s="43" t="s">
        <v>79</v>
      </c>
      <c r="G28" s="40" t="s">
        <v>29</v>
      </c>
      <c r="H28" s="44">
        <v>1000</v>
      </c>
      <c r="I28" s="41">
        <v>200</v>
      </c>
      <c r="J28" s="40" t="s">
        <v>30</v>
      </c>
      <c r="K28" s="40" t="s">
        <v>31</v>
      </c>
      <c r="L28" s="1"/>
    </row>
    <row r="29" spans="1:12" ht="15.75" customHeight="1">
      <c r="A29" s="42">
        <v>1</v>
      </c>
      <c r="B29" s="40" t="s">
        <v>82</v>
      </c>
      <c r="C29" s="40" t="s">
        <v>25</v>
      </c>
      <c r="D29" s="40" t="s">
        <v>83</v>
      </c>
      <c r="E29" s="40" t="s">
        <v>46</v>
      </c>
      <c r="F29" s="43" t="s">
        <v>84</v>
      </c>
      <c r="G29" s="40" t="s">
        <v>29</v>
      </c>
      <c r="H29" s="44">
        <v>500</v>
      </c>
      <c r="I29" s="41">
        <v>100</v>
      </c>
      <c r="J29" s="40" t="s">
        <v>30</v>
      </c>
      <c r="K29" s="40" t="s">
        <v>31</v>
      </c>
      <c r="L29" s="1"/>
    </row>
    <row r="30" spans="1:12" ht="15.75" customHeight="1">
      <c r="A30" s="42">
        <v>1</v>
      </c>
      <c r="B30" s="40" t="s">
        <v>85</v>
      </c>
      <c r="C30" s="40" t="s">
        <v>25</v>
      </c>
      <c r="D30" s="40" t="s">
        <v>86</v>
      </c>
      <c r="E30" s="40" t="s">
        <v>42</v>
      </c>
      <c r="F30" s="43" t="s">
        <v>87</v>
      </c>
      <c r="G30" s="40" t="s">
        <v>29</v>
      </c>
      <c r="H30" s="44">
        <v>500</v>
      </c>
      <c r="I30" s="41">
        <v>100</v>
      </c>
      <c r="J30" s="40" t="s">
        <v>30</v>
      </c>
      <c r="K30" s="40" t="s">
        <v>31</v>
      </c>
      <c r="L30" s="1"/>
    </row>
    <row r="31" spans="1:12" ht="15.75" customHeight="1">
      <c r="A31" s="42">
        <v>1</v>
      </c>
      <c r="B31" s="40" t="s">
        <v>88</v>
      </c>
      <c r="C31" s="40" t="s">
        <v>25</v>
      </c>
      <c r="D31" s="40" t="s">
        <v>89</v>
      </c>
      <c r="E31" s="40" t="s">
        <v>46</v>
      </c>
      <c r="F31" s="43" t="s">
        <v>90</v>
      </c>
      <c r="G31" s="40" t="s">
        <v>29</v>
      </c>
      <c r="H31" s="44">
        <v>500</v>
      </c>
      <c r="I31" s="41">
        <v>100</v>
      </c>
      <c r="J31" s="40" t="s">
        <v>30</v>
      </c>
      <c r="K31" s="40" t="s">
        <v>31</v>
      </c>
      <c r="L31" s="1"/>
    </row>
    <row r="32" spans="1:12" ht="15.75" customHeight="1">
      <c r="A32" s="42">
        <v>1</v>
      </c>
      <c r="B32" s="40" t="s">
        <v>91</v>
      </c>
      <c r="C32" s="40" t="s">
        <v>25</v>
      </c>
      <c r="D32" s="40" t="s">
        <v>92</v>
      </c>
      <c r="E32" s="40" t="s">
        <v>34</v>
      </c>
      <c r="F32" s="43" t="s">
        <v>93</v>
      </c>
      <c r="G32" s="40" t="s">
        <v>29</v>
      </c>
      <c r="H32" s="44">
        <v>4000</v>
      </c>
      <c r="I32" s="41">
        <v>800</v>
      </c>
      <c r="J32" s="40" t="s">
        <v>30</v>
      </c>
      <c r="K32" s="40" t="s">
        <v>31</v>
      </c>
      <c r="L32" s="1"/>
    </row>
    <row r="33" spans="1:16" ht="15.75" customHeight="1">
      <c r="A33" s="42">
        <v>1</v>
      </c>
      <c r="B33" s="40" t="s">
        <v>91</v>
      </c>
      <c r="C33" s="40" t="s">
        <v>25</v>
      </c>
      <c r="D33" s="40" t="s">
        <v>92</v>
      </c>
      <c r="E33" s="40" t="s">
        <v>34</v>
      </c>
      <c r="F33" s="43" t="s">
        <v>93</v>
      </c>
      <c r="G33" s="40" t="s">
        <v>72</v>
      </c>
      <c r="H33" s="44">
        <v>5000</v>
      </c>
      <c r="I33" s="41">
        <v>5000</v>
      </c>
      <c r="J33" s="40" t="s">
        <v>30</v>
      </c>
      <c r="K33" s="40" t="s">
        <v>31</v>
      </c>
      <c r="L33" s="1"/>
    </row>
    <row r="34" spans="1:16" ht="15.75" customHeight="1">
      <c r="A34" s="42">
        <v>1</v>
      </c>
      <c r="B34" s="40" t="s">
        <v>94</v>
      </c>
      <c r="C34" s="40" t="s">
        <v>25</v>
      </c>
      <c r="D34" s="40" t="s">
        <v>95</v>
      </c>
      <c r="E34" s="40" t="s">
        <v>96</v>
      </c>
      <c r="F34" s="43" t="s">
        <v>97</v>
      </c>
      <c r="G34" s="40" t="s">
        <v>29</v>
      </c>
      <c r="H34" s="44">
        <v>10000</v>
      </c>
      <c r="I34" s="41">
        <v>2000</v>
      </c>
      <c r="J34" s="40" t="s">
        <v>30</v>
      </c>
      <c r="K34" s="40" t="s">
        <v>31</v>
      </c>
      <c r="L34" s="1"/>
    </row>
    <row r="35" spans="1:16" ht="15.75" customHeight="1">
      <c r="A35" s="42">
        <v>1</v>
      </c>
      <c r="B35" s="40" t="s">
        <v>98</v>
      </c>
      <c r="C35" s="40" t="s">
        <v>59</v>
      </c>
      <c r="D35" s="40" t="s">
        <v>99</v>
      </c>
      <c r="E35" s="40" t="s">
        <v>42</v>
      </c>
      <c r="F35" s="43" t="s">
        <v>100</v>
      </c>
      <c r="G35" s="40" t="s">
        <v>29</v>
      </c>
      <c r="H35" s="44">
        <v>500</v>
      </c>
      <c r="I35" s="41" t="s">
        <v>101</v>
      </c>
      <c r="J35" s="40" t="s">
        <v>30</v>
      </c>
      <c r="K35" s="40" t="s">
        <v>31</v>
      </c>
      <c r="L35" s="1"/>
    </row>
    <row r="36" spans="1:16" ht="15.75" customHeight="1">
      <c r="A36" s="42">
        <v>1</v>
      </c>
      <c r="B36" s="40" t="s">
        <v>98</v>
      </c>
      <c r="C36" s="40" t="s">
        <v>59</v>
      </c>
      <c r="D36" s="40" t="s">
        <v>99</v>
      </c>
      <c r="E36" s="40" t="s">
        <v>42</v>
      </c>
      <c r="F36" s="43" t="s">
        <v>100</v>
      </c>
      <c r="G36" s="40" t="s">
        <v>29</v>
      </c>
      <c r="H36" s="44">
        <v>1500</v>
      </c>
      <c r="I36" s="41">
        <v>300</v>
      </c>
      <c r="J36" s="40" t="s">
        <v>30</v>
      </c>
      <c r="K36" s="40" t="s">
        <v>31</v>
      </c>
      <c r="L36" s="1"/>
    </row>
    <row r="37" spans="1:16" ht="15.75" customHeight="1">
      <c r="A37" s="42">
        <v>1</v>
      </c>
      <c r="B37" s="40" t="s">
        <v>102</v>
      </c>
      <c r="C37" s="40" t="s">
        <v>25</v>
      </c>
      <c r="D37" s="40" t="s">
        <v>63</v>
      </c>
      <c r="E37" s="40" t="s">
        <v>103</v>
      </c>
      <c r="F37" s="43" t="s">
        <v>79</v>
      </c>
      <c r="G37" s="40" t="s">
        <v>29</v>
      </c>
      <c r="H37" s="44">
        <v>800</v>
      </c>
      <c r="I37" s="41">
        <v>160</v>
      </c>
      <c r="J37" s="40" t="s">
        <v>30</v>
      </c>
      <c r="K37" s="40" t="s">
        <v>31</v>
      </c>
      <c r="L37" s="1"/>
    </row>
    <row r="38" spans="1:16" ht="15.75" customHeight="1">
      <c r="A38" s="42">
        <v>1</v>
      </c>
      <c r="B38" s="40" t="s">
        <v>104</v>
      </c>
      <c r="C38" s="40" t="s">
        <v>25</v>
      </c>
      <c r="D38" s="40" t="s">
        <v>41</v>
      </c>
      <c r="E38" s="40" t="s">
        <v>42</v>
      </c>
      <c r="F38" s="43" t="s">
        <v>105</v>
      </c>
      <c r="G38" s="40" t="s">
        <v>29</v>
      </c>
      <c r="H38" s="44">
        <v>500</v>
      </c>
      <c r="I38" s="41" t="s">
        <v>101</v>
      </c>
      <c r="J38" s="40" t="s">
        <v>30</v>
      </c>
      <c r="K38" s="40" t="s">
        <v>31</v>
      </c>
      <c r="L38" s="1"/>
    </row>
    <row r="39" spans="1:16" ht="15.75" customHeight="1">
      <c r="A39" s="42">
        <v>1</v>
      </c>
      <c r="B39" s="40" t="s">
        <v>104</v>
      </c>
      <c r="C39" s="40" t="s">
        <v>25</v>
      </c>
      <c r="D39" s="40" t="s">
        <v>41</v>
      </c>
      <c r="E39" s="40" t="s">
        <v>42</v>
      </c>
      <c r="F39" s="43" t="s">
        <v>105</v>
      </c>
      <c r="G39" s="40" t="s">
        <v>29</v>
      </c>
      <c r="H39" s="44">
        <v>500</v>
      </c>
      <c r="I39" s="41">
        <v>100</v>
      </c>
      <c r="J39" s="40" t="s">
        <v>30</v>
      </c>
      <c r="K39" s="40" t="s">
        <v>31</v>
      </c>
      <c r="L39" s="1"/>
    </row>
    <row r="40" spans="1:16" ht="15.75" customHeight="1">
      <c r="A40" s="42">
        <v>1</v>
      </c>
      <c r="B40" s="40" t="s">
        <v>106</v>
      </c>
      <c r="C40" s="40" t="s">
        <v>59</v>
      </c>
      <c r="D40" s="40" t="s">
        <v>107</v>
      </c>
      <c r="E40" s="40" t="s">
        <v>78</v>
      </c>
      <c r="F40" s="43" t="s">
        <v>108</v>
      </c>
      <c r="G40" s="40" t="s">
        <v>29</v>
      </c>
      <c r="H40" s="44">
        <v>400</v>
      </c>
      <c r="I40" s="41">
        <v>80</v>
      </c>
      <c r="J40" s="40" t="s">
        <v>30</v>
      </c>
      <c r="K40" s="40" t="s">
        <v>31</v>
      </c>
      <c r="L40" s="1"/>
    </row>
    <row r="41" spans="1:16" ht="15.75" customHeight="1">
      <c r="A41" s="42">
        <v>1</v>
      </c>
      <c r="B41" s="40" t="s">
        <v>109</v>
      </c>
      <c r="C41" s="40" t="s">
        <v>25</v>
      </c>
      <c r="D41" s="40" t="s">
        <v>110</v>
      </c>
      <c r="E41" s="40" t="s">
        <v>111</v>
      </c>
      <c r="F41" s="43" t="s">
        <v>112</v>
      </c>
      <c r="G41" s="40" t="s">
        <v>29</v>
      </c>
      <c r="H41" s="44">
        <v>300</v>
      </c>
      <c r="I41" s="41">
        <v>60</v>
      </c>
      <c r="J41" s="40" t="s">
        <v>30</v>
      </c>
      <c r="K41" s="40" t="s">
        <v>31</v>
      </c>
      <c r="L41" s="1"/>
      <c r="P41" s="45"/>
    </row>
    <row r="42" spans="1:16" ht="15.75" customHeight="1">
      <c r="A42" s="42">
        <v>1</v>
      </c>
      <c r="B42" s="40" t="s">
        <v>113</v>
      </c>
      <c r="C42" s="40" t="s">
        <v>25</v>
      </c>
      <c r="D42" s="40" t="s">
        <v>114</v>
      </c>
      <c r="E42" s="40" t="s">
        <v>78</v>
      </c>
      <c r="F42" s="43" t="s">
        <v>115</v>
      </c>
      <c r="G42" s="40" t="s">
        <v>29</v>
      </c>
      <c r="H42" s="44">
        <v>200</v>
      </c>
      <c r="I42" s="41">
        <v>40</v>
      </c>
      <c r="J42" s="40" t="s">
        <v>30</v>
      </c>
      <c r="K42" s="40" t="s">
        <v>31</v>
      </c>
      <c r="L42" s="1"/>
      <c r="P42" s="45"/>
    </row>
    <row r="43" spans="1:16" ht="15.75" customHeight="1">
      <c r="A43" s="42">
        <v>1</v>
      </c>
      <c r="B43" s="40" t="s">
        <v>113</v>
      </c>
      <c r="C43" s="40" t="s">
        <v>25</v>
      </c>
      <c r="D43" s="40" t="s">
        <v>114</v>
      </c>
      <c r="E43" s="40" t="s">
        <v>78</v>
      </c>
      <c r="F43" s="43" t="s">
        <v>115</v>
      </c>
      <c r="G43" s="40" t="s">
        <v>116</v>
      </c>
      <c r="H43" s="44">
        <v>100</v>
      </c>
      <c r="I43" s="41">
        <v>100</v>
      </c>
      <c r="J43" s="40" t="s">
        <v>30</v>
      </c>
      <c r="K43" s="40" t="s">
        <v>31</v>
      </c>
      <c r="L43" s="1"/>
      <c r="P43" s="45"/>
    </row>
    <row r="44" spans="1:16" ht="15.75" customHeight="1">
      <c r="A44" s="42">
        <v>1</v>
      </c>
      <c r="B44" s="40" t="s">
        <v>117</v>
      </c>
      <c r="C44" s="40" t="s">
        <v>59</v>
      </c>
      <c r="D44" s="40" t="s">
        <v>118</v>
      </c>
      <c r="E44" s="40" t="s">
        <v>119</v>
      </c>
      <c r="F44" s="43" t="s">
        <v>120</v>
      </c>
      <c r="G44" s="40" t="s">
        <v>29</v>
      </c>
      <c r="H44" s="44">
        <v>100</v>
      </c>
      <c r="I44" s="41">
        <v>20</v>
      </c>
      <c r="J44" s="40" t="s">
        <v>30</v>
      </c>
      <c r="K44" s="40" t="s">
        <v>31</v>
      </c>
      <c r="L44" s="1"/>
    </row>
    <row r="45" spans="1:16" ht="15.75" customHeight="1">
      <c r="A45" s="42">
        <v>1</v>
      </c>
      <c r="B45" s="40" t="s">
        <v>121</v>
      </c>
      <c r="C45" s="40" t="s">
        <v>25</v>
      </c>
      <c r="D45" s="40" t="s">
        <v>63</v>
      </c>
      <c r="E45" s="40" t="s">
        <v>38</v>
      </c>
      <c r="F45" s="40"/>
      <c r="G45" s="40" t="s">
        <v>29</v>
      </c>
      <c r="H45" s="44">
        <v>1400</v>
      </c>
      <c r="I45" s="41" t="s">
        <v>101</v>
      </c>
      <c r="J45" s="40" t="s">
        <v>30</v>
      </c>
      <c r="K45" s="40" t="s">
        <v>31</v>
      </c>
      <c r="L45" s="1"/>
    </row>
    <row r="46" spans="1:16" ht="15.75" customHeight="1">
      <c r="A46" s="42">
        <v>2</v>
      </c>
      <c r="B46" s="40" t="s">
        <v>122</v>
      </c>
      <c r="C46" s="40" t="s">
        <v>25</v>
      </c>
      <c r="D46" s="40" t="s">
        <v>123</v>
      </c>
      <c r="E46" s="40" t="s">
        <v>96</v>
      </c>
      <c r="F46" s="43" t="s">
        <v>124</v>
      </c>
      <c r="G46" s="40" t="s">
        <v>29</v>
      </c>
      <c r="H46" s="44">
        <v>4000</v>
      </c>
      <c r="I46" s="41">
        <v>800</v>
      </c>
      <c r="J46" s="40" t="s">
        <v>30</v>
      </c>
      <c r="K46" s="40" t="s">
        <v>31</v>
      </c>
      <c r="L46" s="1"/>
      <c r="O46" s="45"/>
    </row>
    <row r="47" spans="1:16" ht="15.75" customHeight="1">
      <c r="A47" s="42">
        <v>2</v>
      </c>
      <c r="B47" s="40" t="s">
        <v>125</v>
      </c>
      <c r="C47" s="40" t="s">
        <v>25</v>
      </c>
      <c r="D47" s="40" t="s">
        <v>126</v>
      </c>
      <c r="E47" s="40" t="s">
        <v>96</v>
      </c>
      <c r="F47" s="43" t="s">
        <v>127</v>
      </c>
      <c r="G47" s="40" t="s">
        <v>29</v>
      </c>
      <c r="H47" s="44">
        <v>2000</v>
      </c>
      <c r="I47" s="41">
        <v>400</v>
      </c>
      <c r="J47" s="40" t="s">
        <v>30</v>
      </c>
      <c r="K47" s="40" t="s">
        <v>31</v>
      </c>
      <c r="L47" s="1"/>
      <c r="O47" s="45"/>
    </row>
    <row r="48" spans="1:16" ht="15.75" customHeight="1">
      <c r="A48" s="42">
        <v>2</v>
      </c>
      <c r="B48" s="40" t="s">
        <v>128</v>
      </c>
      <c r="C48" s="40" t="s">
        <v>25</v>
      </c>
      <c r="D48" s="40" t="s">
        <v>129</v>
      </c>
      <c r="E48" s="40" t="s">
        <v>130</v>
      </c>
      <c r="F48" s="43" t="s">
        <v>131</v>
      </c>
      <c r="G48" s="40" t="s">
        <v>29</v>
      </c>
      <c r="H48" s="44">
        <v>1500</v>
      </c>
      <c r="I48" s="41">
        <v>300</v>
      </c>
      <c r="J48" s="40" t="s">
        <v>30</v>
      </c>
      <c r="K48" s="40" t="s">
        <v>31</v>
      </c>
      <c r="L48" s="1"/>
      <c r="O48" s="45"/>
    </row>
    <row r="49" spans="1:15" ht="15.75" customHeight="1">
      <c r="A49" s="42">
        <v>2</v>
      </c>
      <c r="B49" s="40" t="s">
        <v>132</v>
      </c>
      <c r="C49" s="40" t="s">
        <v>59</v>
      </c>
      <c r="D49" s="40" t="s">
        <v>133</v>
      </c>
      <c r="E49" s="40" t="s">
        <v>46</v>
      </c>
      <c r="F49" s="43" t="s">
        <v>134</v>
      </c>
      <c r="G49" s="40" t="s">
        <v>29</v>
      </c>
      <c r="H49" s="44">
        <v>1000</v>
      </c>
      <c r="I49" s="41">
        <v>200</v>
      </c>
      <c r="J49" s="40" t="s">
        <v>30</v>
      </c>
      <c r="K49" s="40" t="s">
        <v>31</v>
      </c>
      <c r="L49" s="1"/>
      <c r="O49" s="45"/>
    </row>
    <row r="50" spans="1:15" ht="15.75" customHeight="1">
      <c r="A50" s="42">
        <v>2</v>
      </c>
      <c r="B50" s="40" t="s">
        <v>135</v>
      </c>
      <c r="C50" s="40" t="s">
        <v>25</v>
      </c>
      <c r="D50" s="40" t="s">
        <v>89</v>
      </c>
      <c r="E50" s="40" t="s">
        <v>46</v>
      </c>
      <c r="F50" s="43" t="s">
        <v>136</v>
      </c>
      <c r="G50" s="40" t="s">
        <v>29</v>
      </c>
      <c r="H50" s="44">
        <v>500</v>
      </c>
      <c r="I50" s="41">
        <v>100</v>
      </c>
      <c r="J50" s="40" t="s">
        <v>30</v>
      </c>
      <c r="K50" s="40" t="s">
        <v>31</v>
      </c>
      <c r="L50" s="1"/>
    </row>
    <row r="51" spans="1:15" ht="15.75" customHeight="1">
      <c r="A51" s="42">
        <v>2</v>
      </c>
      <c r="B51" s="40" t="s">
        <v>137</v>
      </c>
      <c r="C51" s="40" t="s">
        <v>25</v>
      </c>
      <c r="D51" s="40" t="s">
        <v>110</v>
      </c>
      <c r="E51" s="40" t="s">
        <v>111</v>
      </c>
      <c r="F51" s="43" t="s">
        <v>138</v>
      </c>
      <c r="G51" s="40" t="s">
        <v>29</v>
      </c>
      <c r="H51" s="44">
        <v>5000</v>
      </c>
      <c r="I51" s="41">
        <v>1000</v>
      </c>
      <c r="J51" s="40" t="s">
        <v>30</v>
      </c>
      <c r="K51" s="40" t="s">
        <v>31</v>
      </c>
      <c r="L51" s="1"/>
      <c r="O51" s="45"/>
    </row>
    <row r="52" spans="1:15" ht="15.75" customHeight="1">
      <c r="A52" s="42">
        <v>2</v>
      </c>
      <c r="B52" s="40" t="s">
        <v>139</v>
      </c>
      <c r="C52" s="40" t="s">
        <v>25</v>
      </c>
      <c r="D52" s="40" t="s">
        <v>140</v>
      </c>
      <c r="E52" s="40" t="s">
        <v>141</v>
      </c>
      <c r="F52" s="43" t="s">
        <v>79</v>
      </c>
      <c r="G52" s="40" t="s">
        <v>142</v>
      </c>
      <c r="H52" s="44">
        <v>70</v>
      </c>
      <c r="I52" s="41">
        <v>350</v>
      </c>
      <c r="J52" s="40" t="s">
        <v>30</v>
      </c>
      <c r="K52" s="40" t="s">
        <v>31</v>
      </c>
      <c r="L52" s="1"/>
    </row>
    <row r="53" spans="1:15" ht="15.75" customHeight="1">
      <c r="A53" s="42">
        <v>2</v>
      </c>
      <c r="B53" s="40" t="s">
        <v>143</v>
      </c>
      <c r="C53" s="40" t="s">
        <v>25</v>
      </c>
      <c r="D53" s="40" t="s">
        <v>144</v>
      </c>
      <c r="E53" s="40" t="s">
        <v>50</v>
      </c>
      <c r="F53" s="43" t="s">
        <v>145</v>
      </c>
      <c r="G53" s="40" t="s">
        <v>29</v>
      </c>
      <c r="H53" s="44">
        <v>600</v>
      </c>
      <c r="I53" s="41">
        <v>120</v>
      </c>
      <c r="J53" s="40" t="s">
        <v>30</v>
      </c>
      <c r="K53" s="40" t="s">
        <v>31</v>
      </c>
      <c r="L53" s="1"/>
    </row>
    <row r="54" spans="1:15" ht="15.75" customHeight="1">
      <c r="A54" s="42">
        <v>2</v>
      </c>
      <c r="B54" s="40" t="s">
        <v>146</v>
      </c>
      <c r="C54" s="40" t="s">
        <v>25</v>
      </c>
      <c r="D54" s="40" t="s">
        <v>147</v>
      </c>
      <c r="E54" s="40" t="s">
        <v>38</v>
      </c>
      <c r="F54" s="40"/>
      <c r="G54" s="40" t="s">
        <v>29</v>
      </c>
      <c r="H54" s="44">
        <v>3000</v>
      </c>
      <c r="I54" s="41">
        <v>600</v>
      </c>
      <c r="J54" s="40" t="s">
        <v>30</v>
      </c>
      <c r="K54" s="40" t="s">
        <v>31</v>
      </c>
      <c r="L54" s="1"/>
    </row>
    <row r="55" spans="1:15" ht="15.75" customHeight="1">
      <c r="A55" s="42">
        <v>2</v>
      </c>
      <c r="B55" s="40" t="s">
        <v>148</v>
      </c>
      <c r="C55" s="40" t="s">
        <v>25</v>
      </c>
      <c r="D55" s="40" t="s">
        <v>149</v>
      </c>
      <c r="E55" s="40" t="s">
        <v>150</v>
      </c>
      <c r="F55" s="43" t="s">
        <v>151</v>
      </c>
      <c r="G55" s="40" t="s">
        <v>29</v>
      </c>
      <c r="H55" s="44">
        <v>200</v>
      </c>
      <c r="I55" s="41">
        <v>40</v>
      </c>
      <c r="J55" s="40" t="s">
        <v>30</v>
      </c>
      <c r="K55" s="40" t="s">
        <v>31</v>
      </c>
      <c r="L55" s="1"/>
    </row>
    <row r="56" spans="1:15" ht="15.75" customHeight="1">
      <c r="A56" s="42">
        <v>2</v>
      </c>
      <c r="B56" s="40" t="s">
        <v>152</v>
      </c>
      <c r="C56" s="40" t="s">
        <v>25</v>
      </c>
      <c r="D56" s="40" t="s">
        <v>68</v>
      </c>
      <c r="E56" s="40" t="s">
        <v>78</v>
      </c>
      <c r="F56" s="43" t="s">
        <v>153</v>
      </c>
      <c r="G56" s="40" t="s">
        <v>116</v>
      </c>
      <c r="H56" s="44">
        <v>1000</v>
      </c>
      <c r="I56" s="41">
        <v>1000</v>
      </c>
      <c r="J56" s="40" t="s">
        <v>30</v>
      </c>
      <c r="K56" s="40" t="s">
        <v>31</v>
      </c>
      <c r="L56" s="1"/>
    </row>
    <row r="57" spans="1:15" ht="15.75" customHeight="1">
      <c r="A57" s="42">
        <v>2</v>
      </c>
      <c r="B57" s="40" t="s">
        <v>65</v>
      </c>
      <c r="C57" s="40" t="s">
        <v>25</v>
      </c>
      <c r="D57" s="40" t="s">
        <v>63</v>
      </c>
      <c r="E57" s="40" t="s">
        <v>42</v>
      </c>
      <c r="F57" s="43" t="s">
        <v>66</v>
      </c>
      <c r="G57" s="40" t="s">
        <v>29</v>
      </c>
      <c r="H57" s="44">
        <v>5000</v>
      </c>
      <c r="I57" s="41">
        <v>1000</v>
      </c>
      <c r="J57" s="40" t="s">
        <v>30</v>
      </c>
      <c r="K57" s="40" t="s">
        <v>31</v>
      </c>
      <c r="L57" s="1"/>
    </row>
    <row r="58" spans="1:15" ht="15.75" customHeight="1">
      <c r="A58" s="42">
        <v>2</v>
      </c>
      <c r="B58" s="40" t="s">
        <v>154</v>
      </c>
      <c r="C58" s="40" t="s">
        <v>59</v>
      </c>
      <c r="D58" s="40" t="s">
        <v>155</v>
      </c>
      <c r="E58" s="40" t="s">
        <v>42</v>
      </c>
      <c r="F58" s="43" t="s">
        <v>156</v>
      </c>
      <c r="G58" s="40" t="s">
        <v>29</v>
      </c>
      <c r="H58" s="44">
        <v>200</v>
      </c>
      <c r="I58" s="41">
        <v>40</v>
      </c>
      <c r="J58" s="40" t="s">
        <v>30</v>
      </c>
      <c r="K58" s="40" t="s">
        <v>31</v>
      </c>
      <c r="L58" s="1"/>
    </row>
    <row r="59" spans="1:15" ht="15.75" customHeight="1">
      <c r="A59" s="42">
        <v>2</v>
      </c>
      <c r="B59" s="40" t="s">
        <v>157</v>
      </c>
      <c r="C59" s="40" t="s">
        <v>59</v>
      </c>
      <c r="D59" s="40" t="s">
        <v>158</v>
      </c>
      <c r="E59" s="40" t="s">
        <v>141</v>
      </c>
      <c r="F59" s="43" t="s">
        <v>159</v>
      </c>
      <c r="G59" s="40" t="s">
        <v>29</v>
      </c>
      <c r="H59" s="44">
        <v>6000</v>
      </c>
      <c r="I59" s="41">
        <v>1200</v>
      </c>
      <c r="J59" s="40" t="s">
        <v>30</v>
      </c>
      <c r="K59" s="40" t="s">
        <v>31</v>
      </c>
      <c r="L59" s="1"/>
      <c r="O59" s="45"/>
    </row>
    <row r="60" spans="1:15" ht="15.75" customHeight="1">
      <c r="A60" s="42">
        <v>2</v>
      </c>
      <c r="B60" s="40" t="s">
        <v>160</v>
      </c>
      <c r="C60" s="40" t="s">
        <v>25</v>
      </c>
      <c r="D60" s="40" t="s">
        <v>55</v>
      </c>
      <c r="E60" s="40" t="s">
        <v>38</v>
      </c>
      <c r="F60" s="40"/>
      <c r="G60" s="40" t="s">
        <v>29</v>
      </c>
      <c r="H60" s="44">
        <v>1400</v>
      </c>
      <c r="I60" s="41" t="s">
        <v>101</v>
      </c>
      <c r="J60" s="40" t="s">
        <v>30</v>
      </c>
      <c r="K60" s="40" t="s">
        <v>31</v>
      </c>
      <c r="L60" s="46" t="s">
        <v>161</v>
      </c>
    </row>
    <row r="61" spans="1:15" ht="15.75" customHeight="1">
      <c r="A61" s="42">
        <v>2</v>
      </c>
      <c r="B61" s="40" t="s">
        <v>162</v>
      </c>
      <c r="C61" s="40" t="s">
        <v>25</v>
      </c>
      <c r="D61" s="40" t="s">
        <v>163</v>
      </c>
      <c r="E61" s="40" t="s">
        <v>150</v>
      </c>
      <c r="F61" s="43" t="s">
        <v>164</v>
      </c>
      <c r="G61" s="40" t="s">
        <v>29</v>
      </c>
      <c r="H61" s="44">
        <v>250</v>
      </c>
      <c r="I61" s="41" t="s">
        <v>101</v>
      </c>
      <c r="J61" s="40" t="s">
        <v>30</v>
      </c>
      <c r="K61" s="40" t="s">
        <v>31</v>
      </c>
      <c r="L61" s="1"/>
    </row>
    <row r="62" spans="1:15" ht="15.75" customHeight="1">
      <c r="A62" s="47">
        <v>2</v>
      </c>
      <c r="B62" s="48" t="s">
        <v>165</v>
      </c>
      <c r="C62" s="48" t="s">
        <v>25</v>
      </c>
      <c r="D62" s="48" t="s">
        <v>63</v>
      </c>
      <c r="E62" s="48" t="s">
        <v>166</v>
      </c>
      <c r="F62" s="49" t="s">
        <v>167</v>
      </c>
      <c r="G62" s="48" t="s">
        <v>72</v>
      </c>
      <c r="H62" s="50">
        <v>200</v>
      </c>
      <c r="I62" s="51" t="s">
        <v>101</v>
      </c>
      <c r="J62" s="48" t="s">
        <v>30</v>
      </c>
      <c r="K62" s="48" t="s">
        <v>31</v>
      </c>
      <c r="L62" s="1"/>
    </row>
    <row r="63" spans="1:15" ht="15.75" customHeight="1">
      <c r="A63" s="52">
        <v>2</v>
      </c>
      <c r="B63" s="53" t="s">
        <v>168</v>
      </c>
      <c r="C63" s="53" t="s">
        <v>25</v>
      </c>
      <c r="D63" s="53" t="s">
        <v>169</v>
      </c>
      <c r="E63" s="53" t="s">
        <v>78</v>
      </c>
      <c r="F63" s="53"/>
      <c r="G63" s="53" t="s">
        <v>29</v>
      </c>
      <c r="H63" s="54">
        <v>3000</v>
      </c>
      <c r="I63" s="55">
        <v>600</v>
      </c>
      <c r="J63" s="53" t="s">
        <v>30</v>
      </c>
      <c r="K63" s="53" t="s">
        <v>31</v>
      </c>
      <c r="L63" s="1"/>
    </row>
    <row r="64" spans="1:15" ht="15.75" customHeight="1">
      <c r="A64" s="42">
        <v>3</v>
      </c>
      <c r="B64" s="40" t="s">
        <v>170</v>
      </c>
      <c r="C64" s="40" t="s">
        <v>25</v>
      </c>
      <c r="D64" s="40" t="s">
        <v>171</v>
      </c>
      <c r="E64" s="40" t="s">
        <v>60</v>
      </c>
      <c r="F64" s="43" t="s">
        <v>172</v>
      </c>
      <c r="G64" s="40" t="s">
        <v>29</v>
      </c>
      <c r="H64" s="44">
        <v>500</v>
      </c>
      <c r="I64" s="41">
        <v>100</v>
      </c>
      <c r="J64" s="40" t="s">
        <v>30</v>
      </c>
      <c r="K64" s="40" t="s">
        <v>31</v>
      </c>
      <c r="L64" s="1"/>
    </row>
    <row r="65" spans="1:16" ht="15.75" customHeight="1">
      <c r="A65" s="42">
        <v>3</v>
      </c>
      <c r="B65" s="40" t="s">
        <v>170</v>
      </c>
      <c r="C65" s="40" t="s">
        <v>25</v>
      </c>
      <c r="D65" s="40" t="s">
        <v>171</v>
      </c>
      <c r="E65" s="40" t="s">
        <v>60</v>
      </c>
      <c r="F65" s="40"/>
      <c r="G65" s="40" t="s">
        <v>72</v>
      </c>
      <c r="H65" s="44">
        <v>100</v>
      </c>
      <c r="I65" s="41">
        <v>100</v>
      </c>
      <c r="J65" s="40" t="s">
        <v>30</v>
      </c>
      <c r="K65" s="40" t="s">
        <v>31</v>
      </c>
      <c r="L65" s="1"/>
    </row>
    <row r="66" spans="1:16" ht="15.75" customHeight="1">
      <c r="A66" s="42">
        <v>3</v>
      </c>
      <c r="B66" s="40" t="s">
        <v>173</v>
      </c>
      <c r="C66" s="40" t="s">
        <v>25</v>
      </c>
      <c r="D66" s="40" t="s">
        <v>110</v>
      </c>
      <c r="E66" s="40" t="s">
        <v>111</v>
      </c>
      <c r="F66" s="43" t="s">
        <v>174</v>
      </c>
      <c r="G66" s="40" t="s">
        <v>29</v>
      </c>
      <c r="H66" s="44">
        <v>500</v>
      </c>
      <c r="I66" s="41">
        <v>100</v>
      </c>
      <c r="J66" s="40" t="s">
        <v>30</v>
      </c>
      <c r="K66" s="40" t="s">
        <v>31</v>
      </c>
      <c r="L66" s="1"/>
    </row>
    <row r="67" spans="1:16" ht="15.75" customHeight="1">
      <c r="A67" s="42">
        <v>3</v>
      </c>
      <c r="B67" s="40" t="s">
        <v>175</v>
      </c>
      <c r="C67" s="40" t="s">
        <v>25</v>
      </c>
      <c r="D67" s="40" t="s">
        <v>176</v>
      </c>
      <c r="E67" s="40" t="s">
        <v>38</v>
      </c>
      <c r="F67" s="43" t="s">
        <v>177</v>
      </c>
      <c r="G67" s="40" t="s">
        <v>29</v>
      </c>
      <c r="H67" s="44">
        <v>500</v>
      </c>
      <c r="I67" s="41" t="s">
        <v>101</v>
      </c>
      <c r="J67" s="40" t="s">
        <v>30</v>
      </c>
      <c r="K67" s="40" t="s">
        <v>31</v>
      </c>
      <c r="L67" s="1"/>
    </row>
    <row r="68" spans="1:16" ht="15.75" customHeight="1">
      <c r="A68" s="42">
        <v>3</v>
      </c>
      <c r="B68" s="40" t="s">
        <v>175</v>
      </c>
      <c r="C68" s="40" t="s">
        <v>25</v>
      </c>
      <c r="D68" s="43" t="s">
        <v>176</v>
      </c>
      <c r="E68" s="40" t="s">
        <v>38</v>
      </c>
      <c r="F68" s="40"/>
      <c r="G68" s="40" t="s">
        <v>29</v>
      </c>
      <c r="H68" s="44">
        <v>500</v>
      </c>
      <c r="I68" s="41">
        <v>10</v>
      </c>
      <c r="J68" s="40" t="s">
        <v>30</v>
      </c>
      <c r="K68" s="40" t="s">
        <v>31</v>
      </c>
      <c r="L68" s="1"/>
    </row>
    <row r="69" spans="1:16" ht="15.75" customHeight="1">
      <c r="A69" s="42">
        <v>3</v>
      </c>
      <c r="B69" s="40" t="s">
        <v>178</v>
      </c>
      <c r="C69" s="40" t="s">
        <v>25</v>
      </c>
      <c r="D69" s="40" t="s">
        <v>68</v>
      </c>
      <c r="E69" s="40" t="s">
        <v>38</v>
      </c>
      <c r="F69" s="43" t="s">
        <v>179</v>
      </c>
      <c r="G69" s="40" t="s">
        <v>29</v>
      </c>
      <c r="H69" s="44">
        <v>500</v>
      </c>
      <c r="I69" s="41" t="s">
        <v>101</v>
      </c>
      <c r="J69" s="40" t="s">
        <v>30</v>
      </c>
      <c r="K69" s="40" t="s">
        <v>31</v>
      </c>
      <c r="L69" s="1"/>
    </row>
    <row r="70" spans="1:16" ht="15.75" customHeight="1">
      <c r="A70" s="42">
        <v>3</v>
      </c>
      <c r="B70" s="40" t="s">
        <v>178</v>
      </c>
      <c r="C70" s="40" t="s">
        <v>25</v>
      </c>
      <c r="D70" s="40" t="s">
        <v>68</v>
      </c>
      <c r="E70" s="40" t="s">
        <v>38</v>
      </c>
      <c r="F70" s="40"/>
      <c r="G70" s="40" t="s">
        <v>29</v>
      </c>
      <c r="H70" s="44">
        <v>500</v>
      </c>
      <c r="I70" s="41">
        <v>100</v>
      </c>
      <c r="J70" s="40" t="s">
        <v>30</v>
      </c>
      <c r="K70" s="40" t="s">
        <v>31</v>
      </c>
      <c r="L70" s="1"/>
    </row>
    <row r="71" spans="1:16" ht="15.75" customHeight="1">
      <c r="A71" s="42">
        <v>3</v>
      </c>
      <c r="B71" s="40" t="s">
        <v>180</v>
      </c>
      <c r="C71" s="40" t="s">
        <v>25</v>
      </c>
      <c r="D71" s="40" t="s">
        <v>68</v>
      </c>
      <c r="E71" s="40" t="s">
        <v>38</v>
      </c>
      <c r="F71" s="43" t="s">
        <v>181</v>
      </c>
      <c r="G71" s="40" t="s">
        <v>29</v>
      </c>
      <c r="H71" s="44">
        <v>500</v>
      </c>
      <c r="I71" s="41" t="s">
        <v>101</v>
      </c>
      <c r="J71" s="40" t="s">
        <v>30</v>
      </c>
      <c r="K71" s="40" t="s">
        <v>31</v>
      </c>
      <c r="L71" s="1"/>
    </row>
    <row r="72" spans="1:16" ht="15.75" customHeight="1">
      <c r="A72" s="42">
        <v>3</v>
      </c>
      <c r="B72" s="40" t="s">
        <v>180</v>
      </c>
      <c r="C72" s="40" t="s">
        <v>25</v>
      </c>
      <c r="D72" s="40" t="s">
        <v>68</v>
      </c>
      <c r="E72" s="40" t="s">
        <v>38</v>
      </c>
      <c r="F72" s="40"/>
      <c r="G72" s="40" t="s">
        <v>29</v>
      </c>
      <c r="H72" s="44">
        <v>500</v>
      </c>
      <c r="I72" s="41">
        <v>100</v>
      </c>
      <c r="J72" s="40" t="s">
        <v>30</v>
      </c>
      <c r="K72" s="40" t="s">
        <v>31</v>
      </c>
      <c r="L72" s="1"/>
    </row>
    <row r="73" spans="1:16" ht="15.75" customHeight="1">
      <c r="A73" s="42">
        <v>3</v>
      </c>
      <c r="B73" s="40" t="s">
        <v>182</v>
      </c>
      <c r="C73" s="40" t="s">
        <v>25</v>
      </c>
      <c r="D73" s="40" t="s">
        <v>55</v>
      </c>
      <c r="E73" s="40" t="s">
        <v>96</v>
      </c>
      <c r="F73" s="43" t="s">
        <v>183</v>
      </c>
      <c r="G73" s="40" t="s">
        <v>29</v>
      </c>
      <c r="H73" s="44">
        <v>10000</v>
      </c>
      <c r="I73" s="41">
        <v>2000</v>
      </c>
      <c r="J73" s="40" t="s">
        <v>30</v>
      </c>
      <c r="K73" s="40" t="s">
        <v>31</v>
      </c>
      <c r="L73" s="1"/>
    </row>
    <row r="74" spans="1:16" ht="15.75" customHeight="1">
      <c r="A74" s="42">
        <v>3</v>
      </c>
      <c r="B74" s="40" t="s">
        <v>184</v>
      </c>
      <c r="C74" s="40" t="s">
        <v>25</v>
      </c>
      <c r="D74" s="40" t="s">
        <v>185</v>
      </c>
      <c r="E74" s="40" t="s">
        <v>42</v>
      </c>
      <c r="F74" s="43" t="s">
        <v>79</v>
      </c>
      <c r="G74" s="40" t="s">
        <v>29</v>
      </c>
      <c r="H74" s="44">
        <v>1500</v>
      </c>
      <c r="I74" s="41">
        <v>300</v>
      </c>
      <c r="J74" s="40" t="s">
        <v>30</v>
      </c>
      <c r="K74" s="40" t="s">
        <v>31</v>
      </c>
      <c r="L74" s="1"/>
    </row>
    <row r="75" spans="1:16" ht="15.75" customHeight="1">
      <c r="A75" s="42">
        <v>3</v>
      </c>
      <c r="B75" s="40" t="s">
        <v>186</v>
      </c>
      <c r="C75" s="40" t="s">
        <v>25</v>
      </c>
      <c r="D75" s="40" t="s">
        <v>187</v>
      </c>
      <c r="E75" s="40" t="s">
        <v>78</v>
      </c>
      <c r="F75" s="43" t="s">
        <v>188</v>
      </c>
      <c r="G75" s="40" t="s">
        <v>29</v>
      </c>
      <c r="H75" s="44">
        <v>200</v>
      </c>
      <c r="I75" s="41">
        <v>40</v>
      </c>
      <c r="J75" s="40" t="s">
        <v>30</v>
      </c>
      <c r="K75" s="40" t="s">
        <v>31</v>
      </c>
      <c r="L75" s="1"/>
    </row>
    <row r="76" spans="1:16" ht="15.75" customHeight="1">
      <c r="A76" s="42">
        <v>3</v>
      </c>
      <c r="B76" s="40" t="s">
        <v>189</v>
      </c>
      <c r="C76" s="40" t="s">
        <v>59</v>
      </c>
      <c r="D76" s="40" t="s">
        <v>63</v>
      </c>
      <c r="E76" s="40" t="s">
        <v>130</v>
      </c>
      <c r="F76" s="43" t="s">
        <v>190</v>
      </c>
      <c r="G76" s="40" t="s">
        <v>72</v>
      </c>
      <c r="H76" s="44">
        <v>300</v>
      </c>
      <c r="I76" s="41" t="s">
        <v>101</v>
      </c>
      <c r="J76" s="40" t="s">
        <v>30</v>
      </c>
      <c r="K76" s="40" t="s">
        <v>31</v>
      </c>
      <c r="L76" s="1"/>
    </row>
    <row r="77" spans="1:16" ht="15.75" customHeight="1">
      <c r="A77" s="42">
        <v>3</v>
      </c>
      <c r="B77" s="40" t="s">
        <v>189</v>
      </c>
      <c r="C77" s="40" t="s">
        <v>59</v>
      </c>
      <c r="D77" s="40" t="s">
        <v>63</v>
      </c>
      <c r="E77" s="40" t="s">
        <v>130</v>
      </c>
      <c r="F77" s="40"/>
      <c r="G77" s="40" t="s">
        <v>142</v>
      </c>
      <c r="H77" s="44">
        <v>20</v>
      </c>
      <c r="I77" s="41" t="s">
        <v>101</v>
      </c>
      <c r="J77" s="40" t="s">
        <v>30</v>
      </c>
      <c r="K77" s="40" t="s">
        <v>31</v>
      </c>
      <c r="L77" s="1"/>
    </row>
    <row r="78" spans="1:16" ht="15.75" customHeight="1">
      <c r="A78" s="42">
        <v>3</v>
      </c>
      <c r="B78" s="40" t="s">
        <v>191</v>
      </c>
      <c r="C78" s="40" t="s">
        <v>25</v>
      </c>
      <c r="D78" s="40" t="s">
        <v>192</v>
      </c>
      <c r="E78" s="40" t="s">
        <v>150</v>
      </c>
      <c r="F78" s="43" t="s">
        <v>193</v>
      </c>
      <c r="G78" s="40" t="s">
        <v>29</v>
      </c>
      <c r="H78" s="44">
        <v>330</v>
      </c>
      <c r="I78" s="41" t="s">
        <v>101</v>
      </c>
      <c r="J78" s="40" t="s">
        <v>30</v>
      </c>
      <c r="K78" s="40" t="s">
        <v>31</v>
      </c>
      <c r="L78" s="1"/>
    </row>
    <row r="79" spans="1:16" ht="15.75" customHeight="1">
      <c r="A79" s="42">
        <v>6</v>
      </c>
      <c r="B79" s="40" t="s">
        <v>194</v>
      </c>
      <c r="C79" s="40" t="s">
        <v>25</v>
      </c>
      <c r="D79" s="40" t="s">
        <v>195</v>
      </c>
      <c r="E79" s="40" t="s">
        <v>96</v>
      </c>
      <c r="F79" s="43" t="s">
        <v>196</v>
      </c>
      <c r="G79" s="40" t="s">
        <v>29</v>
      </c>
      <c r="H79" s="44">
        <v>4500</v>
      </c>
      <c r="I79" s="41">
        <v>900</v>
      </c>
      <c r="J79" s="40" t="s">
        <v>30</v>
      </c>
      <c r="K79" s="40" t="s">
        <v>31</v>
      </c>
      <c r="L79" s="1"/>
    </row>
    <row r="80" spans="1:16" ht="15.75" customHeight="1">
      <c r="A80" s="42">
        <v>6</v>
      </c>
      <c r="B80" s="40" t="s">
        <v>197</v>
      </c>
      <c r="C80" s="40" t="s">
        <v>25</v>
      </c>
      <c r="D80" s="40" t="s">
        <v>63</v>
      </c>
      <c r="E80" s="40" t="s">
        <v>27</v>
      </c>
      <c r="F80" s="43" t="s">
        <v>198</v>
      </c>
      <c r="G80" s="40" t="s">
        <v>29</v>
      </c>
      <c r="H80" s="44">
        <v>500</v>
      </c>
      <c r="I80" s="41">
        <v>100</v>
      </c>
      <c r="J80" s="40" t="s">
        <v>30</v>
      </c>
      <c r="K80" s="40" t="s">
        <v>31</v>
      </c>
      <c r="L80" s="1"/>
      <c r="O80" s="552"/>
      <c r="P80" s="553"/>
    </row>
    <row r="81" spans="1:16" ht="15.75" customHeight="1">
      <c r="A81" s="42">
        <v>6</v>
      </c>
      <c r="B81" s="40" t="s">
        <v>199</v>
      </c>
      <c r="C81" s="40" t="s">
        <v>59</v>
      </c>
      <c r="D81" s="40" t="s">
        <v>200</v>
      </c>
      <c r="E81" s="40" t="s">
        <v>60</v>
      </c>
      <c r="F81" s="43" t="s">
        <v>201</v>
      </c>
      <c r="G81" s="40" t="s">
        <v>29</v>
      </c>
      <c r="H81" s="44">
        <v>1000</v>
      </c>
      <c r="I81" s="41">
        <v>200</v>
      </c>
      <c r="J81" s="40" t="s">
        <v>30</v>
      </c>
      <c r="K81" s="40" t="s">
        <v>31</v>
      </c>
      <c r="L81" s="1"/>
      <c r="P81" s="45"/>
    </row>
    <row r="82" spans="1:16" ht="15.75" customHeight="1">
      <c r="A82" s="42">
        <v>6</v>
      </c>
      <c r="B82" s="40" t="s">
        <v>202</v>
      </c>
      <c r="C82" s="40" t="s">
        <v>25</v>
      </c>
      <c r="D82" s="40" t="s">
        <v>103</v>
      </c>
      <c r="E82" s="40" t="s">
        <v>103</v>
      </c>
      <c r="F82" s="40"/>
      <c r="G82" s="40" t="s">
        <v>29</v>
      </c>
      <c r="H82" s="44">
        <v>1000</v>
      </c>
      <c r="I82" s="41">
        <v>200</v>
      </c>
      <c r="J82" s="40" t="s">
        <v>30</v>
      </c>
      <c r="K82" s="40" t="s">
        <v>31</v>
      </c>
      <c r="L82" s="1"/>
      <c r="P82" s="45"/>
    </row>
    <row r="83" spans="1:16" ht="15.75" customHeight="1">
      <c r="A83" s="42">
        <v>6</v>
      </c>
      <c r="B83" s="40" t="s">
        <v>203</v>
      </c>
      <c r="C83" s="40" t="s">
        <v>25</v>
      </c>
      <c r="D83" s="40" t="s">
        <v>204</v>
      </c>
      <c r="E83" s="40" t="s">
        <v>50</v>
      </c>
      <c r="F83" s="43" t="s">
        <v>79</v>
      </c>
      <c r="G83" s="40" t="s">
        <v>29</v>
      </c>
      <c r="H83" s="44">
        <v>1000</v>
      </c>
      <c r="I83" s="41">
        <v>200</v>
      </c>
      <c r="J83" s="40" t="s">
        <v>30</v>
      </c>
      <c r="K83" s="40" t="s">
        <v>31</v>
      </c>
      <c r="L83" s="1"/>
      <c r="O83" s="552"/>
      <c r="P83" s="553"/>
    </row>
    <row r="84" spans="1:16" ht="15.75" customHeight="1">
      <c r="A84" s="42">
        <v>6</v>
      </c>
      <c r="B84" s="40" t="s">
        <v>205</v>
      </c>
      <c r="C84" s="40" t="s">
        <v>25</v>
      </c>
      <c r="D84" s="40" t="s">
        <v>206</v>
      </c>
      <c r="E84" s="40" t="s">
        <v>96</v>
      </c>
      <c r="F84" s="43" t="s">
        <v>207</v>
      </c>
      <c r="G84" s="40" t="s">
        <v>29</v>
      </c>
      <c r="H84" s="44">
        <v>1000</v>
      </c>
      <c r="I84" s="41">
        <v>200</v>
      </c>
      <c r="J84" s="40" t="s">
        <v>30</v>
      </c>
      <c r="K84" s="40" t="s">
        <v>31</v>
      </c>
      <c r="L84" s="1"/>
      <c r="P84" s="45"/>
    </row>
    <row r="85" spans="1:16" ht="15.75" customHeight="1">
      <c r="A85" s="42">
        <v>6</v>
      </c>
      <c r="B85" s="40" t="s">
        <v>208</v>
      </c>
      <c r="C85" s="40" t="s">
        <v>25</v>
      </c>
      <c r="D85" s="40" t="s">
        <v>209</v>
      </c>
      <c r="E85" s="40" t="s">
        <v>96</v>
      </c>
      <c r="F85" s="43" t="s">
        <v>210</v>
      </c>
      <c r="G85" s="40" t="s">
        <v>29</v>
      </c>
      <c r="H85" s="44">
        <v>1500</v>
      </c>
      <c r="I85" s="41">
        <v>300</v>
      </c>
      <c r="J85" s="40" t="s">
        <v>30</v>
      </c>
      <c r="K85" s="40" t="s">
        <v>31</v>
      </c>
      <c r="L85" s="1"/>
      <c r="P85" s="45"/>
    </row>
    <row r="86" spans="1:16" ht="15.75" customHeight="1">
      <c r="A86" s="42">
        <v>6</v>
      </c>
      <c r="B86" s="40" t="s">
        <v>211</v>
      </c>
      <c r="C86" s="40" t="s">
        <v>25</v>
      </c>
      <c r="D86" s="40" t="s">
        <v>212</v>
      </c>
      <c r="E86" s="40" t="s">
        <v>78</v>
      </c>
      <c r="F86" s="43" t="s">
        <v>213</v>
      </c>
      <c r="G86" s="40" t="s">
        <v>29</v>
      </c>
      <c r="H86" s="44">
        <v>100</v>
      </c>
      <c r="I86" s="41">
        <v>20</v>
      </c>
      <c r="J86" s="40" t="s">
        <v>30</v>
      </c>
      <c r="K86" s="40" t="s">
        <v>31</v>
      </c>
      <c r="L86" s="1"/>
      <c r="O86" s="552"/>
      <c r="P86" s="553"/>
    </row>
    <row r="87" spans="1:16" ht="15.75" customHeight="1">
      <c r="A87" s="42">
        <v>6</v>
      </c>
      <c r="B87" s="40" t="s">
        <v>214</v>
      </c>
      <c r="C87" s="40" t="s">
        <v>25</v>
      </c>
      <c r="D87" s="40" t="s">
        <v>215</v>
      </c>
      <c r="E87" s="40" t="s">
        <v>216</v>
      </c>
      <c r="F87" s="43" t="s">
        <v>217</v>
      </c>
      <c r="G87" s="40" t="s">
        <v>72</v>
      </c>
      <c r="H87" s="44">
        <v>200</v>
      </c>
      <c r="I87" s="41" t="s">
        <v>101</v>
      </c>
      <c r="J87" s="40" t="s">
        <v>30</v>
      </c>
      <c r="K87" s="40" t="s">
        <v>31</v>
      </c>
      <c r="L87" s="1"/>
    </row>
    <row r="88" spans="1:16" ht="15.75" customHeight="1">
      <c r="A88" s="42">
        <v>6</v>
      </c>
      <c r="B88" s="40" t="s">
        <v>218</v>
      </c>
      <c r="C88" s="40" t="s">
        <v>59</v>
      </c>
      <c r="D88" s="40" t="s">
        <v>103</v>
      </c>
      <c r="E88" s="40" t="s">
        <v>219</v>
      </c>
      <c r="F88" s="43" t="s">
        <v>220</v>
      </c>
      <c r="G88" s="40" t="s">
        <v>221</v>
      </c>
      <c r="H88" s="44">
        <v>20</v>
      </c>
      <c r="I88" s="41" t="s">
        <v>101</v>
      </c>
      <c r="J88" s="40" t="s">
        <v>30</v>
      </c>
      <c r="K88" s="40" t="s">
        <v>31</v>
      </c>
      <c r="L88" s="1"/>
    </row>
    <row r="89" spans="1:16" ht="15.75" customHeight="1">
      <c r="A89" s="42">
        <v>6</v>
      </c>
      <c r="B89" s="40" t="s">
        <v>222</v>
      </c>
      <c r="C89" s="40" t="s">
        <v>25</v>
      </c>
      <c r="D89" s="40" t="s">
        <v>185</v>
      </c>
      <c r="E89" s="40" t="s">
        <v>42</v>
      </c>
      <c r="F89" s="56" t="s">
        <v>223</v>
      </c>
      <c r="G89" s="40" t="s">
        <v>29</v>
      </c>
      <c r="H89" s="44">
        <v>500</v>
      </c>
      <c r="I89" s="41">
        <v>100</v>
      </c>
      <c r="J89" s="40" t="s">
        <v>30</v>
      </c>
      <c r="K89" s="40" t="s">
        <v>31</v>
      </c>
      <c r="L89" s="1"/>
      <c r="O89" s="552"/>
      <c r="P89" s="553"/>
    </row>
    <row r="90" spans="1:16" ht="15.75" customHeight="1">
      <c r="A90" s="42">
        <v>6</v>
      </c>
      <c r="B90" s="40" t="s">
        <v>224</v>
      </c>
      <c r="C90" s="40" t="s">
        <v>25</v>
      </c>
      <c r="D90" s="40" t="s">
        <v>63</v>
      </c>
      <c r="E90" s="40" t="s">
        <v>103</v>
      </c>
      <c r="F90" s="56" t="s">
        <v>225</v>
      </c>
      <c r="G90" s="40" t="s">
        <v>29</v>
      </c>
      <c r="H90" s="44">
        <v>500</v>
      </c>
      <c r="I90" s="41">
        <v>100</v>
      </c>
      <c r="J90" s="40" t="s">
        <v>30</v>
      </c>
      <c r="K90" s="40" t="s">
        <v>31</v>
      </c>
      <c r="L90" s="1"/>
    </row>
    <row r="91" spans="1:16" ht="15.75" customHeight="1">
      <c r="A91" s="42">
        <v>6</v>
      </c>
      <c r="B91" s="40" t="s">
        <v>226</v>
      </c>
      <c r="C91" s="40" t="s">
        <v>25</v>
      </c>
      <c r="D91" s="40" t="s">
        <v>227</v>
      </c>
      <c r="E91" s="40" t="s">
        <v>46</v>
      </c>
      <c r="F91" s="57"/>
      <c r="G91" s="40" t="s">
        <v>142</v>
      </c>
      <c r="H91" s="44">
        <v>20</v>
      </c>
      <c r="I91" s="41">
        <v>100</v>
      </c>
      <c r="J91" s="40" t="s">
        <v>30</v>
      </c>
      <c r="K91" s="40" t="s">
        <v>31</v>
      </c>
      <c r="L91" s="1"/>
    </row>
    <row r="92" spans="1:16" ht="15.75" customHeight="1">
      <c r="A92" s="42">
        <v>6</v>
      </c>
      <c r="B92" s="40" t="s">
        <v>228</v>
      </c>
      <c r="C92" s="40" t="s">
        <v>25</v>
      </c>
      <c r="D92" s="40" t="s">
        <v>229</v>
      </c>
      <c r="E92" s="40" t="s">
        <v>150</v>
      </c>
      <c r="F92" s="56" t="s">
        <v>230</v>
      </c>
      <c r="G92" s="40" t="s">
        <v>29</v>
      </c>
      <c r="H92" s="44">
        <v>500</v>
      </c>
      <c r="I92" s="41">
        <v>100</v>
      </c>
      <c r="J92" s="40" t="s">
        <v>30</v>
      </c>
      <c r="K92" s="40" t="s">
        <v>31</v>
      </c>
      <c r="L92" s="1"/>
    </row>
    <row r="93" spans="1:16" ht="15.75" customHeight="1">
      <c r="A93" s="42">
        <v>6</v>
      </c>
      <c r="B93" s="40" t="s">
        <v>231</v>
      </c>
      <c r="C93" s="40" t="s">
        <v>59</v>
      </c>
      <c r="D93" s="40" t="s">
        <v>232</v>
      </c>
      <c r="E93" s="40" t="s">
        <v>46</v>
      </c>
      <c r="F93" s="56" t="s">
        <v>233</v>
      </c>
      <c r="G93" s="40" t="s">
        <v>29</v>
      </c>
      <c r="H93" s="44">
        <v>500</v>
      </c>
      <c r="I93" s="41">
        <v>100</v>
      </c>
      <c r="J93" s="40" t="s">
        <v>30</v>
      </c>
      <c r="K93" s="40" t="s">
        <v>31</v>
      </c>
      <c r="L93" s="1"/>
    </row>
    <row r="94" spans="1:16" ht="15.75" customHeight="1">
      <c r="A94" s="42">
        <v>6</v>
      </c>
      <c r="B94" s="40" t="s">
        <v>234</v>
      </c>
      <c r="C94" s="40" t="s">
        <v>25</v>
      </c>
      <c r="D94" s="40" t="s">
        <v>235</v>
      </c>
      <c r="E94" s="40" t="s">
        <v>78</v>
      </c>
      <c r="F94" s="56" t="s">
        <v>236</v>
      </c>
      <c r="G94" s="40" t="s">
        <v>29</v>
      </c>
      <c r="H94" s="44">
        <v>500</v>
      </c>
      <c r="I94" s="41">
        <v>100</v>
      </c>
      <c r="J94" s="40" t="s">
        <v>30</v>
      </c>
      <c r="K94" s="40" t="s">
        <v>31</v>
      </c>
      <c r="L94" s="1"/>
      <c r="P94" s="45"/>
    </row>
    <row r="95" spans="1:16" ht="15.75" customHeight="1">
      <c r="A95" s="42">
        <v>6</v>
      </c>
      <c r="B95" s="40" t="s">
        <v>237</v>
      </c>
      <c r="C95" s="40" t="s">
        <v>25</v>
      </c>
      <c r="D95" s="40" t="s">
        <v>238</v>
      </c>
      <c r="E95" s="40" t="s">
        <v>119</v>
      </c>
      <c r="F95" s="56" t="s">
        <v>239</v>
      </c>
      <c r="G95" s="40" t="s">
        <v>29</v>
      </c>
      <c r="H95" s="44">
        <v>700</v>
      </c>
      <c r="I95" s="41">
        <v>140</v>
      </c>
      <c r="J95" s="40" t="s">
        <v>30</v>
      </c>
      <c r="K95" s="40" t="s">
        <v>31</v>
      </c>
      <c r="L95" s="1"/>
    </row>
    <row r="96" spans="1:16" ht="15.75" customHeight="1">
      <c r="A96" s="42">
        <v>6</v>
      </c>
      <c r="B96" s="40" t="s">
        <v>240</v>
      </c>
      <c r="C96" s="40" t="s">
        <v>25</v>
      </c>
      <c r="D96" s="40" t="s">
        <v>241</v>
      </c>
      <c r="E96" s="40" t="s">
        <v>242</v>
      </c>
      <c r="F96" s="56" t="s">
        <v>243</v>
      </c>
      <c r="G96" s="40" t="s">
        <v>29</v>
      </c>
      <c r="H96" s="44">
        <v>2500</v>
      </c>
      <c r="I96" s="41" t="s">
        <v>101</v>
      </c>
      <c r="J96" s="40" t="s">
        <v>30</v>
      </c>
      <c r="K96" s="40" t="s">
        <v>31</v>
      </c>
      <c r="L96" s="1"/>
    </row>
    <row r="97" spans="1:12" ht="15.75" customHeight="1">
      <c r="A97" s="47">
        <v>6</v>
      </c>
      <c r="B97" s="48" t="s">
        <v>244</v>
      </c>
      <c r="C97" s="48" t="s">
        <v>59</v>
      </c>
      <c r="D97" s="48" t="s">
        <v>245</v>
      </c>
      <c r="E97" s="48" t="s">
        <v>150</v>
      </c>
      <c r="F97" s="58" t="s">
        <v>246</v>
      </c>
      <c r="G97" s="48" t="s">
        <v>29</v>
      </c>
      <c r="H97" s="50">
        <v>270</v>
      </c>
      <c r="I97" s="51" t="s">
        <v>101</v>
      </c>
      <c r="J97" s="48" t="s">
        <v>30</v>
      </c>
      <c r="K97" s="48" t="s">
        <v>31</v>
      </c>
      <c r="L97" s="1"/>
    </row>
    <row r="98" spans="1:12" ht="15.75" customHeight="1">
      <c r="A98" s="52">
        <v>7</v>
      </c>
      <c r="B98" s="53" t="s">
        <v>247</v>
      </c>
      <c r="C98" s="53" t="s">
        <v>25</v>
      </c>
      <c r="D98" s="53" t="s">
        <v>248</v>
      </c>
      <c r="E98" s="53" t="s">
        <v>249</v>
      </c>
      <c r="F98" s="59" t="s">
        <v>250</v>
      </c>
      <c r="G98" s="53" t="s">
        <v>29</v>
      </c>
      <c r="H98" s="54">
        <v>1000</v>
      </c>
      <c r="I98" s="55">
        <v>200</v>
      </c>
      <c r="J98" s="53" t="s">
        <v>30</v>
      </c>
      <c r="K98" s="53" t="s">
        <v>31</v>
      </c>
      <c r="L98" s="1"/>
    </row>
    <row r="99" spans="1:12" ht="15.75" customHeight="1">
      <c r="A99" s="42">
        <v>7</v>
      </c>
      <c r="B99" s="40" t="s">
        <v>251</v>
      </c>
      <c r="C99" s="40" t="s">
        <v>25</v>
      </c>
      <c r="D99" s="40" t="s">
        <v>155</v>
      </c>
      <c r="E99" s="40" t="s">
        <v>42</v>
      </c>
      <c r="F99" s="56" t="s">
        <v>252</v>
      </c>
      <c r="G99" s="40" t="s">
        <v>29</v>
      </c>
      <c r="H99" s="44">
        <v>250</v>
      </c>
      <c r="I99" s="41">
        <v>50</v>
      </c>
      <c r="J99" s="40" t="s">
        <v>30</v>
      </c>
      <c r="K99" s="40" t="s">
        <v>31</v>
      </c>
      <c r="L99" s="1"/>
    </row>
    <row r="100" spans="1:12" ht="15.75" customHeight="1">
      <c r="A100" s="42">
        <v>7</v>
      </c>
      <c r="B100" s="40" t="s">
        <v>253</v>
      </c>
      <c r="C100" s="40" t="s">
        <v>25</v>
      </c>
      <c r="D100" s="40" t="s">
        <v>254</v>
      </c>
      <c r="E100" s="40" t="s">
        <v>111</v>
      </c>
      <c r="F100" s="56" t="s">
        <v>255</v>
      </c>
      <c r="G100" s="40" t="s">
        <v>29</v>
      </c>
      <c r="H100" s="44">
        <v>6000</v>
      </c>
      <c r="I100" s="41">
        <v>1200</v>
      </c>
      <c r="J100" s="40" t="s">
        <v>30</v>
      </c>
      <c r="K100" s="40" t="s">
        <v>31</v>
      </c>
      <c r="L100" s="1"/>
    </row>
    <row r="101" spans="1:12" ht="15.75" customHeight="1">
      <c r="A101" s="42">
        <v>7</v>
      </c>
      <c r="B101" s="40" t="s">
        <v>256</v>
      </c>
      <c r="C101" s="40" t="s">
        <v>25</v>
      </c>
      <c r="D101" s="40" t="s">
        <v>257</v>
      </c>
      <c r="E101" s="40" t="s">
        <v>258</v>
      </c>
      <c r="F101" s="56" t="s">
        <v>259</v>
      </c>
      <c r="G101" s="40" t="s">
        <v>29</v>
      </c>
      <c r="H101" s="44">
        <v>10000</v>
      </c>
      <c r="I101" s="41">
        <v>2000</v>
      </c>
      <c r="J101" s="40" t="s">
        <v>30</v>
      </c>
      <c r="K101" s="40" t="s">
        <v>31</v>
      </c>
      <c r="L101" s="1"/>
    </row>
    <row r="102" spans="1:12" ht="15.75" customHeight="1">
      <c r="A102" s="42">
        <v>7</v>
      </c>
      <c r="B102" s="40" t="s">
        <v>260</v>
      </c>
      <c r="C102" s="40" t="s">
        <v>25</v>
      </c>
      <c r="D102" s="40" t="s">
        <v>245</v>
      </c>
      <c r="E102" s="40" t="s">
        <v>150</v>
      </c>
      <c r="F102" s="43" t="s">
        <v>261</v>
      </c>
      <c r="G102" s="40" t="s">
        <v>29</v>
      </c>
      <c r="H102" s="44">
        <v>5000</v>
      </c>
      <c r="I102" s="41">
        <v>1000</v>
      </c>
      <c r="J102" s="40" t="s">
        <v>30</v>
      </c>
      <c r="K102" s="40" t="s">
        <v>31</v>
      </c>
      <c r="L102" s="1"/>
    </row>
    <row r="103" spans="1:12" ht="15.75" customHeight="1">
      <c r="A103" s="42">
        <v>7</v>
      </c>
      <c r="B103" s="40" t="s">
        <v>262</v>
      </c>
      <c r="C103" s="40" t="s">
        <v>25</v>
      </c>
      <c r="D103" s="40" t="s">
        <v>263</v>
      </c>
      <c r="E103" s="40" t="s">
        <v>42</v>
      </c>
      <c r="F103" s="43" t="s">
        <v>264</v>
      </c>
      <c r="G103" s="40" t="s">
        <v>29</v>
      </c>
      <c r="H103" s="44">
        <v>500</v>
      </c>
      <c r="I103" s="41">
        <v>100</v>
      </c>
      <c r="J103" s="40" t="s">
        <v>30</v>
      </c>
      <c r="K103" s="40" t="s">
        <v>31</v>
      </c>
      <c r="L103" s="1"/>
    </row>
    <row r="104" spans="1:12" ht="15.75" customHeight="1">
      <c r="A104" s="42">
        <v>7</v>
      </c>
      <c r="B104" s="40" t="s">
        <v>265</v>
      </c>
      <c r="C104" s="40" t="s">
        <v>59</v>
      </c>
      <c r="D104" s="40" t="s">
        <v>63</v>
      </c>
      <c r="E104" s="40" t="s">
        <v>103</v>
      </c>
      <c r="F104" s="43" t="s">
        <v>266</v>
      </c>
      <c r="G104" s="40" t="s">
        <v>29</v>
      </c>
      <c r="H104" s="44">
        <v>600</v>
      </c>
      <c r="I104" s="41">
        <v>120</v>
      </c>
      <c r="J104" s="40" t="s">
        <v>30</v>
      </c>
      <c r="K104" s="40" t="s">
        <v>31</v>
      </c>
      <c r="L104" s="1"/>
    </row>
    <row r="105" spans="1:12" ht="15.75" customHeight="1">
      <c r="A105" s="42">
        <v>7</v>
      </c>
      <c r="B105" s="40" t="s">
        <v>267</v>
      </c>
      <c r="C105" s="40" t="s">
        <v>25</v>
      </c>
      <c r="D105" s="40" t="s">
        <v>268</v>
      </c>
      <c r="E105" s="40" t="s">
        <v>78</v>
      </c>
      <c r="F105" s="43" t="s">
        <v>269</v>
      </c>
      <c r="G105" s="40" t="s">
        <v>29</v>
      </c>
      <c r="H105" s="44">
        <v>1000</v>
      </c>
      <c r="I105" s="41">
        <v>200</v>
      </c>
      <c r="J105" s="40" t="s">
        <v>30</v>
      </c>
      <c r="K105" s="40" t="s">
        <v>31</v>
      </c>
      <c r="L105" s="1"/>
    </row>
    <row r="106" spans="1:12" ht="15.75" customHeight="1">
      <c r="A106" s="42">
        <v>8</v>
      </c>
      <c r="B106" s="40" t="s">
        <v>270</v>
      </c>
      <c r="C106" s="40" t="s">
        <v>59</v>
      </c>
      <c r="D106" s="40" t="s">
        <v>271</v>
      </c>
      <c r="E106" s="40" t="s">
        <v>216</v>
      </c>
      <c r="F106" s="43" t="s">
        <v>272</v>
      </c>
      <c r="G106" s="40" t="s">
        <v>29</v>
      </c>
      <c r="H106" s="44">
        <v>100</v>
      </c>
      <c r="I106" s="41">
        <v>20</v>
      </c>
      <c r="J106" s="40" t="s">
        <v>30</v>
      </c>
      <c r="K106" s="40" t="s">
        <v>31</v>
      </c>
      <c r="L106" s="1"/>
    </row>
    <row r="107" spans="1:12" ht="15.75" customHeight="1">
      <c r="A107" s="42">
        <v>8</v>
      </c>
      <c r="B107" s="40" t="s">
        <v>273</v>
      </c>
      <c r="C107" s="40" t="s">
        <v>25</v>
      </c>
      <c r="D107" s="40" t="s">
        <v>274</v>
      </c>
      <c r="E107" s="40" t="s">
        <v>130</v>
      </c>
      <c r="F107" s="43" t="s">
        <v>275</v>
      </c>
      <c r="G107" s="40" t="s">
        <v>29</v>
      </c>
      <c r="H107" s="44">
        <v>8000</v>
      </c>
      <c r="I107" s="41">
        <v>1600</v>
      </c>
      <c r="J107" s="40" t="s">
        <v>30</v>
      </c>
      <c r="K107" s="40" t="s">
        <v>31</v>
      </c>
      <c r="L107" s="1"/>
    </row>
    <row r="108" spans="1:12" ht="15.75" customHeight="1">
      <c r="A108" s="42">
        <v>8</v>
      </c>
      <c r="B108" s="40" t="s">
        <v>276</v>
      </c>
      <c r="C108" s="40" t="s">
        <v>25</v>
      </c>
      <c r="D108" s="40" t="s">
        <v>176</v>
      </c>
      <c r="E108" s="40" t="s">
        <v>130</v>
      </c>
      <c r="F108" s="43" t="s">
        <v>277</v>
      </c>
      <c r="G108" s="40" t="s">
        <v>29</v>
      </c>
      <c r="H108" s="44">
        <v>1000</v>
      </c>
      <c r="I108" s="41">
        <v>200</v>
      </c>
      <c r="J108" s="40" t="s">
        <v>30</v>
      </c>
      <c r="K108" s="40" t="s">
        <v>31</v>
      </c>
      <c r="L108" s="1"/>
    </row>
    <row r="109" spans="1:12" ht="15.75" customHeight="1">
      <c r="A109" s="42">
        <v>9</v>
      </c>
      <c r="B109" s="40" t="s">
        <v>278</v>
      </c>
      <c r="C109" s="40" t="s">
        <v>25</v>
      </c>
      <c r="D109" s="40" t="s">
        <v>86</v>
      </c>
      <c r="E109" s="40" t="s">
        <v>42</v>
      </c>
      <c r="F109" s="43" t="s">
        <v>279</v>
      </c>
      <c r="G109" s="40" t="s">
        <v>29</v>
      </c>
      <c r="H109" s="44">
        <v>500</v>
      </c>
      <c r="I109" s="41">
        <v>100</v>
      </c>
      <c r="J109" s="40" t="s">
        <v>30</v>
      </c>
      <c r="K109" s="40" t="s">
        <v>31</v>
      </c>
      <c r="L109" s="1"/>
    </row>
    <row r="110" spans="1:12" ht="15.75" customHeight="1">
      <c r="A110" s="47">
        <v>9</v>
      </c>
      <c r="B110" s="48" t="s">
        <v>280</v>
      </c>
      <c r="C110" s="48" t="s">
        <v>25</v>
      </c>
      <c r="D110" s="48" t="s">
        <v>77</v>
      </c>
      <c r="E110" s="48" t="s">
        <v>78</v>
      </c>
      <c r="F110" s="49" t="s">
        <v>281</v>
      </c>
      <c r="G110" s="48" t="s">
        <v>29</v>
      </c>
      <c r="H110" s="50">
        <v>500</v>
      </c>
      <c r="I110" s="51">
        <v>100</v>
      </c>
      <c r="J110" s="48" t="s">
        <v>30</v>
      </c>
      <c r="K110" s="48" t="s">
        <v>31</v>
      </c>
      <c r="L110" s="1"/>
    </row>
    <row r="111" spans="1:12" ht="15.75" customHeight="1">
      <c r="A111" s="52">
        <v>14</v>
      </c>
      <c r="B111" s="53" t="s">
        <v>282</v>
      </c>
      <c r="C111" s="53" t="s">
        <v>25</v>
      </c>
      <c r="D111" s="53" t="s">
        <v>283</v>
      </c>
      <c r="E111" s="53" t="s">
        <v>284</v>
      </c>
      <c r="F111" s="60" t="s">
        <v>285</v>
      </c>
      <c r="G111" s="53" t="s">
        <v>29</v>
      </c>
      <c r="H111" s="54">
        <v>1000</v>
      </c>
      <c r="I111" s="55">
        <v>200</v>
      </c>
      <c r="J111" s="53" t="s">
        <v>30</v>
      </c>
      <c r="K111" s="53" t="s">
        <v>31</v>
      </c>
      <c r="L111" s="1"/>
    </row>
    <row r="112" spans="1:12" ht="15.75" customHeight="1">
      <c r="A112" s="42">
        <v>14</v>
      </c>
      <c r="B112" s="40" t="s">
        <v>286</v>
      </c>
      <c r="C112" s="40" t="s">
        <v>25</v>
      </c>
      <c r="D112" s="40" t="s">
        <v>287</v>
      </c>
      <c r="E112" s="40" t="s">
        <v>78</v>
      </c>
      <c r="F112" s="43" t="s">
        <v>288</v>
      </c>
      <c r="G112" s="40" t="s">
        <v>29</v>
      </c>
      <c r="H112" s="44">
        <v>200</v>
      </c>
      <c r="I112" s="41">
        <v>40</v>
      </c>
      <c r="J112" s="40" t="s">
        <v>30</v>
      </c>
      <c r="K112" s="40" t="s">
        <v>31</v>
      </c>
      <c r="L112" s="1"/>
    </row>
    <row r="113" spans="1:17" ht="15.75" customHeight="1">
      <c r="A113" s="42">
        <v>14</v>
      </c>
      <c r="B113" s="40" t="s">
        <v>289</v>
      </c>
      <c r="C113" s="40" t="s">
        <v>25</v>
      </c>
      <c r="D113" s="40" t="s">
        <v>95</v>
      </c>
      <c r="E113" s="40" t="s">
        <v>96</v>
      </c>
      <c r="F113" s="43" t="s">
        <v>290</v>
      </c>
      <c r="G113" s="40" t="s">
        <v>29</v>
      </c>
      <c r="H113" s="44">
        <v>1000</v>
      </c>
      <c r="I113" s="41">
        <v>200</v>
      </c>
      <c r="J113" s="40" t="s">
        <v>30</v>
      </c>
      <c r="K113" s="40" t="s">
        <v>31</v>
      </c>
      <c r="L113" s="1"/>
    </row>
    <row r="114" spans="1:17" ht="15.75" customHeight="1">
      <c r="A114" s="42">
        <v>14</v>
      </c>
      <c r="B114" s="40" t="s">
        <v>291</v>
      </c>
      <c r="C114" s="40" t="s">
        <v>25</v>
      </c>
      <c r="D114" s="40" t="s">
        <v>149</v>
      </c>
      <c r="E114" s="40" t="s">
        <v>150</v>
      </c>
      <c r="F114" s="43" t="s">
        <v>79</v>
      </c>
      <c r="G114" s="40" t="s">
        <v>29</v>
      </c>
      <c r="H114" s="44">
        <v>1000</v>
      </c>
      <c r="I114" s="41">
        <v>200</v>
      </c>
      <c r="J114" s="40" t="s">
        <v>30</v>
      </c>
      <c r="K114" s="40" t="s">
        <v>31</v>
      </c>
      <c r="L114" s="1"/>
    </row>
    <row r="115" spans="1:17" ht="15.75" customHeight="1">
      <c r="A115" s="42">
        <v>14</v>
      </c>
      <c r="B115" s="40" t="s">
        <v>292</v>
      </c>
      <c r="C115" s="40" t="s">
        <v>25</v>
      </c>
      <c r="D115" s="40" t="s">
        <v>293</v>
      </c>
      <c r="E115" s="40" t="s">
        <v>103</v>
      </c>
      <c r="F115" s="43" t="s">
        <v>294</v>
      </c>
      <c r="G115" s="40" t="s">
        <v>29</v>
      </c>
      <c r="H115" s="44">
        <v>1000</v>
      </c>
      <c r="I115" s="41">
        <v>200</v>
      </c>
      <c r="J115" s="40" t="s">
        <v>30</v>
      </c>
      <c r="K115" s="40" t="s">
        <v>31</v>
      </c>
      <c r="L115" s="1"/>
    </row>
    <row r="116" spans="1:17" ht="15.75" customHeight="1">
      <c r="A116" s="42">
        <v>14</v>
      </c>
      <c r="B116" s="40" t="s">
        <v>295</v>
      </c>
      <c r="C116" s="40" t="s">
        <v>25</v>
      </c>
      <c r="D116" s="40" t="s">
        <v>77</v>
      </c>
      <c r="E116" s="40" t="s">
        <v>78</v>
      </c>
      <c r="F116" s="43" t="s">
        <v>79</v>
      </c>
      <c r="G116" s="40" t="s">
        <v>29</v>
      </c>
      <c r="H116" s="44">
        <v>1000</v>
      </c>
      <c r="I116" s="41">
        <v>200</v>
      </c>
      <c r="J116" s="40" t="s">
        <v>30</v>
      </c>
      <c r="K116" s="40" t="s">
        <v>31</v>
      </c>
      <c r="L116" s="1"/>
    </row>
    <row r="117" spans="1:17" ht="15.75" customHeight="1">
      <c r="A117" s="42">
        <v>14</v>
      </c>
      <c r="B117" s="40" t="s">
        <v>296</v>
      </c>
      <c r="C117" s="40" t="s">
        <v>25</v>
      </c>
      <c r="D117" s="40" t="s">
        <v>68</v>
      </c>
      <c r="E117" s="40" t="s">
        <v>78</v>
      </c>
      <c r="F117" s="43" t="s">
        <v>297</v>
      </c>
      <c r="G117" s="40" t="s">
        <v>29</v>
      </c>
      <c r="H117" s="44">
        <v>1500</v>
      </c>
      <c r="I117" s="41">
        <v>300</v>
      </c>
      <c r="J117" s="40" t="s">
        <v>30</v>
      </c>
      <c r="K117" s="40" t="s">
        <v>31</v>
      </c>
      <c r="L117" s="1"/>
    </row>
    <row r="118" spans="1:17" ht="15.75" customHeight="1">
      <c r="A118" s="42">
        <v>14</v>
      </c>
      <c r="B118" s="40" t="s">
        <v>298</v>
      </c>
      <c r="C118" s="40" t="s">
        <v>25</v>
      </c>
      <c r="D118" s="40" t="s">
        <v>77</v>
      </c>
      <c r="E118" s="40" t="s">
        <v>78</v>
      </c>
      <c r="F118" s="43" t="s">
        <v>299</v>
      </c>
      <c r="G118" s="40" t="s">
        <v>29</v>
      </c>
      <c r="H118" s="44">
        <v>500</v>
      </c>
      <c r="I118" s="41">
        <v>100</v>
      </c>
      <c r="J118" s="40" t="s">
        <v>30</v>
      </c>
      <c r="K118" s="40" t="s">
        <v>31</v>
      </c>
      <c r="L118" s="1"/>
    </row>
    <row r="119" spans="1:17" ht="15.75" customHeight="1">
      <c r="A119" s="42">
        <v>14</v>
      </c>
      <c r="B119" s="40" t="s">
        <v>300</v>
      </c>
      <c r="C119" s="40" t="s">
        <v>59</v>
      </c>
      <c r="D119" s="40" t="s">
        <v>77</v>
      </c>
      <c r="E119" s="40" t="s">
        <v>78</v>
      </c>
      <c r="F119" s="43" t="s">
        <v>301</v>
      </c>
      <c r="G119" s="40" t="s">
        <v>29</v>
      </c>
      <c r="H119" s="44">
        <v>500</v>
      </c>
      <c r="I119" s="41">
        <v>100</v>
      </c>
      <c r="J119" s="40" t="s">
        <v>30</v>
      </c>
      <c r="K119" s="40" t="s">
        <v>31</v>
      </c>
      <c r="L119" s="1"/>
      <c r="Q119" s="45"/>
    </row>
    <row r="120" spans="1:17" ht="15.75" customHeight="1">
      <c r="A120" s="42">
        <v>14</v>
      </c>
      <c r="B120" s="40" t="s">
        <v>302</v>
      </c>
      <c r="C120" s="40" t="s">
        <v>25</v>
      </c>
      <c r="D120" s="40" t="s">
        <v>303</v>
      </c>
      <c r="E120" s="40" t="s">
        <v>96</v>
      </c>
      <c r="F120" s="43" t="s">
        <v>304</v>
      </c>
      <c r="G120" s="40" t="s">
        <v>29</v>
      </c>
      <c r="H120" s="44">
        <v>500</v>
      </c>
      <c r="I120" s="41" t="s">
        <v>101</v>
      </c>
      <c r="J120" s="40" t="s">
        <v>30</v>
      </c>
      <c r="K120" s="40" t="s">
        <v>31</v>
      </c>
      <c r="L120" s="1"/>
    </row>
    <row r="121" spans="1:17" ht="15.75" customHeight="1">
      <c r="A121" s="42">
        <v>14</v>
      </c>
      <c r="B121" s="40" t="s">
        <v>305</v>
      </c>
      <c r="C121" s="40" t="s">
        <v>25</v>
      </c>
      <c r="D121" s="40" t="s">
        <v>306</v>
      </c>
      <c r="E121" s="40" t="s">
        <v>96</v>
      </c>
      <c r="F121" s="43" t="s">
        <v>307</v>
      </c>
      <c r="G121" s="40" t="s">
        <v>29</v>
      </c>
      <c r="H121" s="44">
        <v>500</v>
      </c>
      <c r="I121" s="41">
        <v>100</v>
      </c>
      <c r="J121" s="40" t="s">
        <v>30</v>
      </c>
      <c r="K121" s="40" t="s">
        <v>31</v>
      </c>
      <c r="L121" s="1"/>
    </row>
    <row r="122" spans="1:17" ht="15.75" customHeight="1">
      <c r="A122" s="42">
        <v>15</v>
      </c>
      <c r="B122" s="40" t="s">
        <v>305</v>
      </c>
      <c r="C122" s="40" t="s">
        <v>25</v>
      </c>
      <c r="D122" s="40" t="s">
        <v>306</v>
      </c>
      <c r="E122" s="40" t="s">
        <v>96</v>
      </c>
      <c r="F122" s="40"/>
      <c r="G122" s="40" t="s">
        <v>72</v>
      </c>
      <c r="H122" s="44">
        <v>200</v>
      </c>
      <c r="I122" s="41">
        <v>200</v>
      </c>
      <c r="J122" s="40" t="s">
        <v>30</v>
      </c>
      <c r="K122" s="40" t="s">
        <v>31</v>
      </c>
      <c r="L122" s="1"/>
    </row>
    <row r="123" spans="1:17" ht="15.75" customHeight="1">
      <c r="A123" s="42">
        <v>15</v>
      </c>
      <c r="B123" s="40" t="s">
        <v>308</v>
      </c>
      <c r="C123" s="40" t="s">
        <v>25</v>
      </c>
      <c r="D123" s="40" t="s">
        <v>86</v>
      </c>
      <c r="E123" s="40" t="s">
        <v>42</v>
      </c>
      <c r="F123" s="43" t="s">
        <v>79</v>
      </c>
      <c r="G123" s="40" t="s">
        <v>29</v>
      </c>
      <c r="H123" s="44">
        <v>1200</v>
      </c>
      <c r="I123" s="41">
        <v>240</v>
      </c>
      <c r="J123" s="40" t="s">
        <v>30</v>
      </c>
      <c r="K123" s="40" t="s">
        <v>31</v>
      </c>
      <c r="L123" s="1"/>
    </row>
    <row r="124" spans="1:17" ht="15.75" customHeight="1">
      <c r="A124" s="42">
        <v>15</v>
      </c>
      <c r="B124" s="40" t="s">
        <v>309</v>
      </c>
      <c r="C124" s="40" t="s">
        <v>25</v>
      </c>
      <c r="D124" s="40" t="s">
        <v>310</v>
      </c>
      <c r="E124" s="40" t="s">
        <v>311</v>
      </c>
      <c r="F124" s="43" t="s">
        <v>312</v>
      </c>
      <c r="G124" s="40" t="s">
        <v>29</v>
      </c>
      <c r="H124" s="44">
        <v>1000</v>
      </c>
      <c r="I124" s="41">
        <v>200</v>
      </c>
      <c r="J124" s="40" t="s">
        <v>30</v>
      </c>
      <c r="K124" s="40" t="s">
        <v>31</v>
      </c>
      <c r="L124" s="1"/>
    </row>
    <row r="125" spans="1:17" ht="15.75" customHeight="1">
      <c r="A125" s="42">
        <v>15</v>
      </c>
      <c r="B125" s="40" t="s">
        <v>313</v>
      </c>
      <c r="C125" s="40" t="s">
        <v>25</v>
      </c>
      <c r="D125" s="40" t="s">
        <v>89</v>
      </c>
      <c r="E125" s="40" t="s">
        <v>38</v>
      </c>
      <c r="F125" s="43" t="s">
        <v>314</v>
      </c>
      <c r="G125" s="40" t="s">
        <v>29</v>
      </c>
      <c r="H125" s="44">
        <v>1000</v>
      </c>
      <c r="I125" s="41">
        <v>200</v>
      </c>
      <c r="J125" s="40" t="s">
        <v>30</v>
      </c>
      <c r="K125" s="40" t="s">
        <v>31</v>
      </c>
      <c r="L125" s="1"/>
    </row>
    <row r="126" spans="1:17" ht="15.75" customHeight="1">
      <c r="A126" s="42">
        <v>15</v>
      </c>
      <c r="B126" s="40" t="s">
        <v>315</v>
      </c>
      <c r="C126" s="40" t="s">
        <v>25</v>
      </c>
      <c r="D126" s="40" t="s">
        <v>123</v>
      </c>
      <c r="E126" s="40" t="s">
        <v>96</v>
      </c>
      <c r="F126" s="43" t="s">
        <v>316</v>
      </c>
      <c r="G126" s="40" t="s">
        <v>29</v>
      </c>
      <c r="H126" s="44">
        <v>2500</v>
      </c>
      <c r="I126" s="41">
        <v>500</v>
      </c>
      <c r="J126" s="40" t="s">
        <v>30</v>
      </c>
      <c r="K126" s="40" t="s">
        <v>31</v>
      </c>
      <c r="L126" s="1"/>
    </row>
    <row r="127" spans="1:17" ht="15.75" customHeight="1">
      <c r="A127" s="42">
        <v>15</v>
      </c>
      <c r="B127" s="40" t="s">
        <v>315</v>
      </c>
      <c r="C127" s="40" t="s">
        <v>25</v>
      </c>
      <c r="D127" s="40" t="s">
        <v>123</v>
      </c>
      <c r="E127" s="40" t="s">
        <v>96</v>
      </c>
      <c r="F127" s="40"/>
      <c r="G127" s="40" t="s">
        <v>72</v>
      </c>
      <c r="H127" s="44">
        <v>200</v>
      </c>
      <c r="I127" s="41">
        <v>200</v>
      </c>
      <c r="J127" s="40" t="s">
        <v>30</v>
      </c>
      <c r="K127" s="40" t="s">
        <v>31</v>
      </c>
      <c r="L127" s="1"/>
    </row>
    <row r="128" spans="1:17" ht="15.75" customHeight="1">
      <c r="A128" s="42">
        <v>15</v>
      </c>
      <c r="B128" s="40" t="s">
        <v>317</v>
      </c>
      <c r="C128" s="40" t="s">
        <v>25</v>
      </c>
      <c r="D128" s="40" t="s">
        <v>318</v>
      </c>
      <c r="E128" s="40" t="s">
        <v>319</v>
      </c>
      <c r="F128" s="43" t="s">
        <v>320</v>
      </c>
      <c r="G128" s="40" t="s">
        <v>321</v>
      </c>
      <c r="H128" s="44">
        <v>64</v>
      </c>
      <c r="I128" s="41">
        <v>192</v>
      </c>
      <c r="J128" s="40" t="s">
        <v>30</v>
      </c>
      <c r="K128" s="40" t="s">
        <v>31</v>
      </c>
      <c r="L128" s="1"/>
    </row>
    <row r="129" spans="1:26" ht="15.75" customHeight="1">
      <c r="A129" s="42">
        <v>15</v>
      </c>
      <c r="B129" s="40" t="s">
        <v>322</v>
      </c>
      <c r="C129" s="40" t="s">
        <v>25</v>
      </c>
      <c r="D129" s="40" t="s">
        <v>323</v>
      </c>
      <c r="E129" s="40" t="s">
        <v>42</v>
      </c>
      <c r="F129" s="43" t="s">
        <v>324</v>
      </c>
      <c r="G129" s="40" t="s">
        <v>72</v>
      </c>
      <c r="H129" s="44">
        <v>1000</v>
      </c>
      <c r="I129" s="41">
        <v>1000</v>
      </c>
      <c r="J129" s="40" t="s">
        <v>30</v>
      </c>
      <c r="K129" s="40" t="s">
        <v>31</v>
      </c>
      <c r="L129" s="1"/>
    </row>
    <row r="130" spans="1:26" ht="15.75" customHeight="1">
      <c r="A130" s="42">
        <v>27</v>
      </c>
      <c r="B130" s="40" t="s">
        <v>325</v>
      </c>
      <c r="C130" s="40" t="s">
        <v>25</v>
      </c>
      <c r="D130" s="40" t="s">
        <v>195</v>
      </c>
      <c r="E130" s="40" t="s">
        <v>96</v>
      </c>
      <c r="F130" s="43" t="s">
        <v>326</v>
      </c>
      <c r="G130" s="40" t="s">
        <v>29</v>
      </c>
      <c r="H130" s="44">
        <v>1500</v>
      </c>
      <c r="I130" s="41">
        <v>450</v>
      </c>
      <c r="J130" s="40" t="s">
        <v>30</v>
      </c>
      <c r="K130" s="40" t="s">
        <v>31</v>
      </c>
      <c r="L130" s="1"/>
    </row>
    <row r="131" spans="1:26" ht="15.75" customHeight="1">
      <c r="A131" s="42">
        <v>27</v>
      </c>
      <c r="B131" s="40" t="s">
        <v>327</v>
      </c>
      <c r="C131" s="40" t="s">
        <v>25</v>
      </c>
      <c r="D131" s="40" t="s">
        <v>328</v>
      </c>
      <c r="E131" s="40" t="s">
        <v>34</v>
      </c>
      <c r="F131" s="40"/>
      <c r="G131" s="40" t="s">
        <v>29</v>
      </c>
      <c r="H131" s="44">
        <v>12000</v>
      </c>
      <c r="I131" s="41">
        <v>2400</v>
      </c>
      <c r="J131" s="40" t="s">
        <v>30</v>
      </c>
      <c r="K131" s="40" t="s">
        <v>31</v>
      </c>
      <c r="L131" s="1"/>
    </row>
    <row r="132" spans="1:26" ht="15.75" customHeight="1">
      <c r="A132" s="42">
        <v>27</v>
      </c>
      <c r="B132" s="40" t="s">
        <v>329</v>
      </c>
      <c r="C132" s="40" t="s">
        <v>59</v>
      </c>
      <c r="D132" s="40" t="s">
        <v>103</v>
      </c>
      <c r="E132" s="40" t="s">
        <v>38</v>
      </c>
      <c r="F132" s="43" t="s">
        <v>330</v>
      </c>
      <c r="G132" s="40" t="s">
        <v>29</v>
      </c>
      <c r="H132" s="44">
        <v>100</v>
      </c>
      <c r="I132" s="41">
        <v>20</v>
      </c>
      <c r="J132" s="40" t="s">
        <v>30</v>
      </c>
      <c r="K132" s="40" t="s">
        <v>31</v>
      </c>
      <c r="L132" s="1"/>
    </row>
    <row r="133" spans="1:26" ht="15.75" customHeight="1">
      <c r="A133" s="42">
        <v>27</v>
      </c>
      <c r="B133" s="40" t="s">
        <v>331</v>
      </c>
      <c r="C133" s="40" t="s">
        <v>59</v>
      </c>
      <c r="D133" s="40" t="s">
        <v>332</v>
      </c>
      <c r="E133" s="40" t="s">
        <v>333</v>
      </c>
      <c r="F133" s="43" t="s">
        <v>334</v>
      </c>
      <c r="G133" s="40" t="s">
        <v>29</v>
      </c>
      <c r="H133" s="44">
        <v>150</v>
      </c>
      <c r="I133" s="41">
        <v>30</v>
      </c>
      <c r="J133" s="40" t="s">
        <v>30</v>
      </c>
      <c r="K133" s="40" t="s">
        <v>31</v>
      </c>
      <c r="L133" s="1"/>
    </row>
    <row r="134" spans="1:26" ht="15.75" customHeight="1">
      <c r="A134" s="2"/>
      <c r="B134" s="1"/>
      <c r="C134" s="1"/>
      <c r="D134" s="1"/>
      <c r="E134" s="1"/>
      <c r="F134" s="1"/>
      <c r="G134" s="1"/>
      <c r="H134" s="45"/>
      <c r="I134" s="61"/>
      <c r="J134" s="1"/>
      <c r="K134" s="1"/>
      <c r="L134" s="1"/>
    </row>
    <row r="135" spans="1:26" ht="15.75" customHeight="1">
      <c r="A135" s="2"/>
      <c r="B135" s="1"/>
      <c r="C135" s="1"/>
      <c r="D135" s="1"/>
      <c r="E135" s="1"/>
      <c r="F135" s="1"/>
      <c r="G135" s="1"/>
      <c r="H135" s="1"/>
      <c r="I135" s="62" t="s">
        <v>335</v>
      </c>
      <c r="J135" s="63"/>
      <c r="K135" s="1"/>
      <c r="L135" s="1"/>
    </row>
    <row r="136" spans="1:26" ht="16.5" customHeight="1">
      <c r="A136" s="2"/>
      <c r="B136" s="1" t="s">
        <v>336</v>
      </c>
      <c r="C136" s="1"/>
      <c r="D136" s="1"/>
      <c r="E136" s="1" t="s">
        <v>337</v>
      </c>
      <c r="F136" s="1"/>
      <c r="G136" s="1"/>
      <c r="H136" s="1"/>
      <c r="I136" s="6" t="s">
        <v>338</v>
      </c>
      <c r="J136" s="64" t="s">
        <v>339</v>
      </c>
      <c r="K136" s="1"/>
      <c r="L136" s="1"/>
    </row>
    <row r="137" spans="1:26" ht="15.75" customHeight="1">
      <c r="A137" s="2"/>
      <c r="B137" s="1"/>
      <c r="C137" s="1"/>
      <c r="D137" s="1"/>
      <c r="E137" s="1"/>
      <c r="F137" s="1"/>
      <c r="G137" s="1"/>
      <c r="H137" s="1"/>
      <c r="I137" s="6" t="s">
        <v>340</v>
      </c>
      <c r="J137" s="64" t="s">
        <v>341</v>
      </c>
      <c r="K137" s="65"/>
      <c r="L137" s="1"/>
    </row>
    <row r="138" spans="1:26" ht="15.75" customHeight="1">
      <c r="A138" s="2"/>
      <c r="B138" s="1"/>
      <c r="C138" s="1"/>
      <c r="D138" s="1"/>
      <c r="E138" s="1"/>
      <c r="F138" s="1"/>
      <c r="G138" s="1"/>
      <c r="H138" s="1"/>
      <c r="I138" s="6" t="s">
        <v>342</v>
      </c>
      <c r="J138" s="66">
        <v>0</v>
      </c>
      <c r="K138" s="1"/>
      <c r="L138" s="1"/>
    </row>
    <row r="139" spans="1:26" ht="15.75" customHeight="1">
      <c r="A139" s="2"/>
      <c r="B139" s="67" t="s">
        <v>343</v>
      </c>
      <c r="C139" s="1"/>
      <c r="D139" s="1"/>
      <c r="E139" s="554" t="s">
        <v>344</v>
      </c>
      <c r="F139" s="553"/>
      <c r="G139" s="553"/>
      <c r="H139" s="553"/>
      <c r="I139" s="6" t="s">
        <v>345</v>
      </c>
      <c r="J139" s="66" t="s">
        <v>346</v>
      </c>
      <c r="K139" s="1"/>
      <c r="L139" s="1"/>
    </row>
    <row r="140" spans="1:26" ht="15.75" customHeight="1">
      <c r="A140" s="2"/>
      <c r="B140" s="1" t="s">
        <v>347</v>
      </c>
      <c r="C140" s="1"/>
      <c r="D140" s="1"/>
      <c r="E140" s="552" t="s">
        <v>348</v>
      </c>
      <c r="F140" s="553"/>
      <c r="G140" s="553"/>
      <c r="H140" s="553"/>
      <c r="I140" s="6" t="s">
        <v>349</v>
      </c>
      <c r="J140" s="66" t="s">
        <v>350</v>
      </c>
      <c r="K140" s="1"/>
      <c r="L140" s="1"/>
    </row>
    <row r="141" spans="1:26" ht="15.75" customHeight="1">
      <c r="A141" s="2"/>
      <c r="B141" s="1"/>
      <c r="C141" s="1"/>
      <c r="D141" s="1"/>
      <c r="E141" s="1"/>
      <c r="F141" s="1"/>
      <c r="G141" s="1"/>
      <c r="H141" s="1"/>
      <c r="I141" s="6" t="s">
        <v>351</v>
      </c>
      <c r="J141" s="66" t="s">
        <v>352</v>
      </c>
      <c r="K141" s="1"/>
      <c r="L141" s="1"/>
    </row>
    <row r="142" spans="1:26" ht="15.75" customHeight="1">
      <c r="A142" s="2"/>
      <c r="B142" s="1"/>
      <c r="C142" s="1"/>
      <c r="D142" s="1"/>
      <c r="E142" s="1"/>
      <c r="F142" s="1"/>
      <c r="G142" s="1"/>
      <c r="H142" s="1"/>
      <c r="I142" s="6" t="s">
        <v>353</v>
      </c>
      <c r="J142" s="6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2"/>
      <c r="B143" s="1"/>
      <c r="C143" s="1"/>
      <c r="D143" s="1"/>
      <c r="E143" s="1"/>
      <c r="F143" s="1"/>
      <c r="G143" s="1"/>
      <c r="H143" s="1"/>
      <c r="I143" s="68" t="s">
        <v>354</v>
      </c>
      <c r="J143" s="64" t="s">
        <v>355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2"/>
      <c r="B144" s="1"/>
      <c r="C144" s="1"/>
      <c r="D144" s="1"/>
      <c r="E144" s="1"/>
      <c r="F144" s="1"/>
      <c r="G144" s="1"/>
      <c r="H144" s="1"/>
      <c r="I144" s="68" t="s">
        <v>356</v>
      </c>
      <c r="J144" s="69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2"/>
      <c r="B145" s="70"/>
      <c r="C145" s="1"/>
      <c r="D145" s="1"/>
      <c r="E145" s="70"/>
      <c r="F145" s="70"/>
      <c r="G145" s="70"/>
      <c r="H145" s="1"/>
      <c r="I145" s="6"/>
      <c r="J145" s="63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2"/>
      <c r="B146" s="1"/>
      <c r="C146" s="1"/>
      <c r="D146" s="1"/>
      <c r="E146" s="1"/>
      <c r="F146" s="1"/>
      <c r="G146" s="1"/>
      <c r="H146" s="1"/>
      <c r="I146" s="61"/>
      <c r="J146" s="1"/>
      <c r="K146" s="1"/>
      <c r="L146" s="1"/>
    </row>
    <row r="147" spans="1:26" ht="15.75" customHeight="1">
      <c r="A147" s="2"/>
      <c r="B147" s="1"/>
      <c r="C147" s="1"/>
      <c r="D147" s="1"/>
      <c r="E147" s="1"/>
      <c r="F147" s="1"/>
      <c r="G147" s="1"/>
      <c r="H147" s="1"/>
      <c r="I147" s="61"/>
      <c r="J147" s="1"/>
      <c r="K147" s="1"/>
      <c r="L147" s="1"/>
    </row>
    <row r="148" spans="1:26" ht="15.75" customHeight="1">
      <c r="A148" s="2"/>
      <c r="B148" s="1"/>
      <c r="C148" s="1"/>
      <c r="D148" s="1"/>
      <c r="E148" s="1"/>
      <c r="F148" s="1"/>
      <c r="G148" s="1"/>
      <c r="H148" s="1"/>
      <c r="I148" s="61"/>
      <c r="J148" s="1"/>
      <c r="K148" s="1"/>
      <c r="L148" s="1"/>
    </row>
    <row r="149" spans="1:26" ht="15.75" customHeight="1">
      <c r="A149" s="2"/>
      <c r="B149" s="1"/>
      <c r="C149" s="1"/>
      <c r="D149" s="1"/>
      <c r="E149" s="1"/>
      <c r="F149" s="1"/>
      <c r="G149" s="1"/>
      <c r="H149" s="1"/>
      <c r="I149" s="61"/>
      <c r="J149" s="1"/>
      <c r="K149" s="1"/>
      <c r="L149" s="1"/>
    </row>
    <row r="150" spans="1:26" ht="15.75" customHeight="1">
      <c r="A150" s="2"/>
      <c r="B150" s="1"/>
      <c r="C150" s="1"/>
      <c r="D150" s="1"/>
      <c r="E150" s="1"/>
      <c r="F150" s="1"/>
      <c r="G150" s="1"/>
      <c r="H150" s="1"/>
      <c r="I150" s="61"/>
      <c r="J150" s="1"/>
      <c r="K150" s="1"/>
      <c r="L150" s="1"/>
    </row>
    <row r="151" spans="1:26" ht="15.75" customHeight="1">
      <c r="A151" s="2"/>
      <c r="B151" s="1"/>
      <c r="C151" s="1"/>
      <c r="D151" s="1"/>
      <c r="E151" s="1"/>
      <c r="F151" s="1"/>
      <c r="G151" s="1"/>
      <c r="H151" s="1"/>
      <c r="I151" s="61"/>
      <c r="J151" s="1"/>
      <c r="K151" s="1"/>
      <c r="L151" s="1"/>
    </row>
    <row r="152" spans="1:26" ht="15.75" customHeight="1">
      <c r="A152" s="2"/>
      <c r="B152" s="1"/>
      <c r="C152" s="1"/>
      <c r="D152" s="1"/>
      <c r="E152" s="1"/>
      <c r="F152" s="1"/>
      <c r="G152" s="1"/>
      <c r="H152" s="1"/>
      <c r="I152" s="61"/>
      <c r="J152" s="1"/>
      <c r="K152" s="1"/>
      <c r="L152" s="1"/>
    </row>
    <row r="153" spans="1:26" ht="15.75" customHeight="1">
      <c r="A153" s="2"/>
      <c r="B153" s="1"/>
      <c r="C153" s="1"/>
      <c r="D153" s="1"/>
      <c r="E153" s="1"/>
      <c r="F153" s="1"/>
      <c r="G153" s="1"/>
      <c r="H153" s="1"/>
      <c r="I153" s="61"/>
      <c r="J153" s="1"/>
      <c r="K153" s="1"/>
      <c r="L153" s="1"/>
    </row>
    <row r="154" spans="1:26" ht="15.75" customHeight="1">
      <c r="A154" s="2"/>
      <c r="B154" s="1"/>
      <c r="C154" s="1"/>
      <c r="D154" s="1"/>
      <c r="E154" s="1"/>
      <c r="F154" s="1"/>
      <c r="G154" s="1"/>
      <c r="H154" s="1"/>
      <c r="I154" s="61"/>
      <c r="J154" s="1"/>
      <c r="K154" s="1"/>
      <c r="L154" s="1"/>
    </row>
    <row r="155" spans="1:26" ht="15.75" customHeight="1">
      <c r="A155" s="2"/>
      <c r="B155" s="1"/>
      <c r="C155" s="1"/>
      <c r="D155" s="1"/>
      <c r="E155" s="1"/>
      <c r="F155" s="1"/>
      <c r="G155" s="1"/>
      <c r="H155" s="1"/>
      <c r="I155" s="61"/>
      <c r="J155" s="1"/>
      <c r="K155" s="1"/>
      <c r="L155" s="1"/>
    </row>
    <row r="156" spans="1:26" ht="15.75" customHeight="1">
      <c r="A156" s="2"/>
      <c r="B156" s="1"/>
      <c r="C156" s="1"/>
      <c r="D156" s="1"/>
      <c r="E156" s="1"/>
      <c r="F156" s="1"/>
      <c r="G156" s="1"/>
      <c r="H156" s="1"/>
      <c r="I156" s="61"/>
      <c r="J156" s="1"/>
      <c r="K156" s="1"/>
      <c r="L156" s="1"/>
    </row>
    <row r="157" spans="1:26" ht="15.75" customHeight="1">
      <c r="A157" s="2"/>
      <c r="B157" s="1"/>
      <c r="C157" s="1"/>
      <c r="D157" s="1"/>
      <c r="E157" s="1"/>
      <c r="F157" s="1"/>
      <c r="G157" s="1"/>
      <c r="H157" s="1"/>
      <c r="I157" s="61"/>
      <c r="J157" s="1"/>
      <c r="K157" s="1"/>
      <c r="L157" s="1"/>
    </row>
    <row r="158" spans="1:26" ht="15.75" customHeight="1">
      <c r="A158" s="2"/>
      <c r="B158" s="1"/>
      <c r="C158" s="1"/>
      <c r="D158" s="1"/>
      <c r="E158" s="1"/>
      <c r="F158" s="1"/>
      <c r="G158" s="1"/>
      <c r="H158" s="1"/>
      <c r="I158" s="61"/>
      <c r="J158" s="1"/>
      <c r="K158" s="1"/>
      <c r="L158" s="1"/>
    </row>
    <row r="159" spans="1:26" ht="15.75" customHeight="1">
      <c r="A159" s="2"/>
      <c r="B159" s="1"/>
      <c r="C159" s="1"/>
      <c r="D159" s="1"/>
      <c r="E159" s="1"/>
      <c r="F159" s="1"/>
      <c r="G159" s="1"/>
      <c r="H159" s="1"/>
      <c r="I159" s="61"/>
      <c r="J159" s="1"/>
      <c r="K159" s="1"/>
      <c r="L159" s="1"/>
    </row>
    <row r="160" spans="1:26" ht="15.75" customHeight="1">
      <c r="A160" s="2"/>
      <c r="B160" s="1"/>
      <c r="C160" s="1"/>
      <c r="D160" s="1"/>
      <c r="E160" s="1"/>
      <c r="F160" s="1"/>
      <c r="G160" s="1"/>
      <c r="H160" s="1"/>
      <c r="I160" s="61"/>
      <c r="J160" s="1"/>
      <c r="K160" s="1"/>
      <c r="L160" s="1"/>
    </row>
    <row r="161" spans="1:12" ht="15.75" customHeight="1">
      <c r="A161" s="2"/>
      <c r="B161" s="1"/>
      <c r="C161" s="1"/>
      <c r="D161" s="1"/>
      <c r="E161" s="1"/>
      <c r="F161" s="1"/>
      <c r="G161" s="1"/>
      <c r="H161" s="1"/>
      <c r="I161" s="61"/>
      <c r="J161" s="1"/>
      <c r="K161" s="1"/>
      <c r="L161" s="1"/>
    </row>
    <row r="162" spans="1:12" ht="15.75" customHeight="1">
      <c r="A162" s="2"/>
      <c r="B162" s="1"/>
      <c r="C162" s="1"/>
      <c r="D162" s="1"/>
      <c r="E162" s="1"/>
      <c r="F162" s="1"/>
      <c r="G162" s="1"/>
      <c r="H162" s="1"/>
      <c r="I162" s="61"/>
      <c r="J162" s="1"/>
      <c r="K162" s="1"/>
      <c r="L162" s="1"/>
    </row>
    <row r="163" spans="1:12" ht="15.75" customHeight="1">
      <c r="A163" s="2"/>
      <c r="B163" s="1"/>
      <c r="C163" s="1"/>
      <c r="D163" s="1"/>
      <c r="E163" s="1"/>
      <c r="F163" s="1"/>
      <c r="G163" s="1"/>
      <c r="H163" s="1"/>
      <c r="I163" s="61"/>
      <c r="J163" s="1"/>
      <c r="K163" s="1"/>
      <c r="L163" s="1"/>
    </row>
    <row r="164" spans="1:12" ht="15.75" customHeight="1">
      <c r="A164" s="2"/>
      <c r="B164" s="1"/>
      <c r="C164" s="1"/>
      <c r="D164" s="1"/>
      <c r="E164" s="1"/>
      <c r="F164" s="1"/>
      <c r="G164" s="1"/>
      <c r="H164" s="1"/>
      <c r="I164" s="61"/>
      <c r="J164" s="1"/>
      <c r="K164" s="1"/>
      <c r="L164" s="1"/>
    </row>
    <row r="165" spans="1:12" ht="15.75" customHeight="1">
      <c r="A165" s="2"/>
      <c r="B165" s="1"/>
      <c r="C165" s="1"/>
      <c r="D165" s="1"/>
      <c r="E165" s="1"/>
      <c r="F165" s="1"/>
      <c r="G165" s="1"/>
      <c r="H165" s="1"/>
      <c r="I165" s="61"/>
      <c r="J165" s="1"/>
      <c r="K165" s="1"/>
      <c r="L165" s="1"/>
    </row>
    <row r="166" spans="1:12" ht="15.75" customHeight="1">
      <c r="A166" s="2"/>
      <c r="B166" s="1"/>
      <c r="C166" s="1"/>
      <c r="D166" s="1"/>
      <c r="E166" s="1"/>
      <c r="F166" s="1"/>
      <c r="G166" s="1"/>
      <c r="H166" s="1"/>
      <c r="I166" s="61"/>
      <c r="J166" s="1"/>
      <c r="K166" s="1"/>
      <c r="L166" s="1"/>
    </row>
    <row r="167" spans="1:12" ht="15.75" customHeight="1">
      <c r="A167" s="2"/>
      <c r="B167" s="1"/>
      <c r="C167" s="1"/>
      <c r="D167" s="1"/>
      <c r="E167" s="1"/>
      <c r="F167" s="1"/>
      <c r="G167" s="1"/>
      <c r="H167" s="1"/>
      <c r="I167" s="61"/>
      <c r="J167" s="1"/>
      <c r="K167" s="1"/>
      <c r="L167" s="1"/>
    </row>
    <row r="168" spans="1:12" ht="15.75" customHeight="1">
      <c r="A168" s="2"/>
      <c r="B168" s="1"/>
      <c r="C168" s="1"/>
      <c r="D168" s="1"/>
      <c r="E168" s="1"/>
      <c r="F168" s="1"/>
      <c r="G168" s="1"/>
      <c r="H168" s="1"/>
      <c r="I168" s="61"/>
      <c r="J168" s="1"/>
      <c r="K168" s="1"/>
      <c r="L168" s="1"/>
    </row>
    <row r="169" spans="1:12" ht="15.75" customHeight="1">
      <c r="A169" s="2"/>
      <c r="B169" s="1"/>
      <c r="C169" s="1"/>
      <c r="D169" s="1"/>
      <c r="E169" s="1"/>
      <c r="F169" s="1"/>
      <c r="G169" s="1"/>
      <c r="H169" s="1"/>
      <c r="I169" s="61"/>
      <c r="J169" s="1"/>
      <c r="K169" s="1"/>
      <c r="L169" s="1"/>
    </row>
    <row r="170" spans="1:12" ht="15.75" customHeight="1">
      <c r="A170" s="2"/>
      <c r="B170" s="1"/>
      <c r="C170" s="1"/>
      <c r="D170" s="1"/>
      <c r="E170" s="1"/>
      <c r="F170" s="1"/>
      <c r="G170" s="1"/>
      <c r="H170" s="1"/>
      <c r="I170" s="61"/>
      <c r="J170" s="1"/>
      <c r="K170" s="1"/>
      <c r="L170" s="1"/>
    </row>
    <row r="171" spans="1:12" ht="15.75" customHeight="1">
      <c r="A171" s="2"/>
      <c r="B171" s="1"/>
      <c r="C171" s="1"/>
      <c r="D171" s="1"/>
      <c r="E171" s="1"/>
      <c r="F171" s="1"/>
      <c r="G171" s="1"/>
      <c r="H171" s="1"/>
      <c r="I171" s="61"/>
      <c r="J171" s="1"/>
      <c r="K171" s="1"/>
      <c r="L171" s="1"/>
    </row>
    <row r="172" spans="1:12" ht="15.75" customHeight="1">
      <c r="A172" s="2"/>
      <c r="B172" s="1"/>
      <c r="C172" s="1"/>
      <c r="D172" s="1"/>
      <c r="E172" s="1"/>
      <c r="F172" s="1"/>
      <c r="G172" s="1"/>
      <c r="H172" s="1"/>
      <c r="I172" s="61"/>
      <c r="J172" s="1"/>
      <c r="K172" s="1"/>
      <c r="L172" s="1"/>
    </row>
    <row r="173" spans="1:12" ht="15.75" customHeight="1">
      <c r="A173" s="2"/>
      <c r="B173" s="1"/>
      <c r="C173" s="1"/>
      <c r="D173" s="1"/>
      <c r="E173" s="1"/>
      <c r="F173" s="1"/>
      <c r="G173" s="1"/>
      <c r="H173" s="1"/>
      <c r="I173" s="61"/>
      <c r="J173" s="1"/>
      <c r="K173" s="1"/>
      <c r="L173" s="1"/>
    </row>
    <row r="174" spans="1:12" ht="15.75" customHeight="1">
      <c r="A174" s="2"/>
      <c r="B174" s="1"/>
      <c r="C174" s="1"/>
      <c r="D174" s="1"/>
      <c r="E174" s="1"/>
      <c r="F174" s="1"/>
      <c r="G174" s="1"/>
      <c r="H174" s="1"/>
      <c r="I174" s="61"/>
      <c r="J174" s="1"/>
      <c r="K174" s="1"/>
      <c r="L174" s="1"/>
    </row>
    <row r="175" spans="1:12" ht="15.75" customHeight="1">
      <c r="A175" s="2"/>
      <c r="B175" s="1"/>
      <c r="C175" s="1"/>
      <c r="D175" s="1"/>
      <c r="E175" s="1"/>
      <c r="F175" s="1"/>
      <c r="G175" s="1"/>
      <c r="H175" s="1"/>
      <c r="I175" s="61"/>
      <c r="J175" s="1"/>
      <c r="K175" s="1"/>
      <c r="L175" s="1"/>
    </row>
    <row r="176" spans="1:12" ht="15.75" customHeight="1">
      <c r="A176" s="2"/>
      <c r="B176" s="1"/>
      <c r="C176" s="1"/>
      <c r="D176" s="1"/>
      <c r="E176" s="1"/>
      <c r="F176" s="1"/>
      <c r="G176" s="1"/>
      <c r="H176" s="1"/>
      <c r="I176" s="61"/>
      <c r="J176" s="1"/>
      <c r="K176" s="1"/>
      <c r="L176" s="1"/>
    </row>
    <row r="177" spans="1:12" ht="15.75" customHeight="1">
      <c r="A177" s="2"/>
      <c r="B177" s="1"/>
      <c r="C177" s="1"/>
      <c r="D177" s="1"/>
      <c r="E177" s="1"/>
      <c r="F177" s="1"/>
      <c r="G177" s="1"/>
      <c r="H177" s="1"/>
      <c r="I177" s="61"/>
      <c r="J177" s="1"/>
      <c r="K177" s="1"/>
      <c r="L177" s="1"/>
    </row>
    <row r="178" spans="1:12" ht="15.75" customHeight="1">
      <c r="A178" s="2"/>
      <c r="B178" s="1"/>
      <c r="C178" s="1"/>
      <c r="D178" s="1"/>
      <c r="E178" s="1"/>
      <c r="F178" s="1"/>
      <c r="G178" s="1"/>
      <c r="H178" s="1"/>
      <c r="I178" s="61"/>
      <c r="J178" s="1"/>
      <c r="K178" s="1"/>
      <c r="L178" s="1"/>
    </row>
    <row r="179" spans="1:12" ht="15.75" customHeight="1">
      <c r="A179" s="2"/>
      <c r="B179" s="1"/>
      <c r="C179" s="1"/>
      <c r="D179" s="1"/>
      <c r="E179" s="1"/>
      <c r="F179" s="1"/>
      <c r="G179" s="1"/>
      <c r="H179" s="1"/>
      <c r="I179" s="61"/>
      <c r="J179" s="1"/>
      <c r="K179" s="1"/>
      <c r="L179" s="1"/>
    </row>
    <row r="180" spans="1:12" ht="15.75" customHeight="1">
      <c r="A180" s="2"/>
      <c r="B180" s="1"/>
      <c r="C180" s="1"/>
      <c r="D180" s="1"/>
      <c r="E180" s="1"/>
      <c r="F180" s="1"/>
      <c r="G180" s="1"/>
      <c r="H180" s="1"/>
      <c r="I180" s="61"/>
      <c r="J180" s="1"/>
      <c r="K180" s="1"/>
      <c r="L180" s="1"/>
    </row>
    <row r="181" spans="1:12" ht="15.75" customHeight="1">
      <c r="A181" s="2"/>
      <c r="B181" s="1"/>
      <c r="C181" s="1"/>
      <c r="D181" s="1"/>
      <c r="E181" s="1"/>
      <c r="F181" s="1"/>
      <c r="G181" s="1"/>
      <c r="H181" s="1"/>
      <c r="I181" s="61"/>
      <c r="J181" s="1"/>
      <c r="K181" s="1"/>
      <c r="L181" s="1"/>
    </row>
    <row r="182" spans="1:12" ht="15.75" customHeight="1">
      <c r="A182" s="2"/>
      <c r="B182" s="1"/>
      <c r="C182" s="1"/>
      <c r="D182" s="1"/>
      <c r="E182" s="1"/>
      <c r="F182" s="1"/>
      <c r="G182" s="1"/>
      <c r="H182" s="1"/>
      <c r="I182" s="61"/>
      <c r="J182" s="1"/>
      <c r="K182" s="1"/>
      <c r="L182" s="1"/>
    </row>
    <row r="183" spans="1:12" ht="15.75" customHeight="1">
      <c r="A183" s="2"/>
      <c r="B183" s="1"/>
      <c r="C183" s="1"/>
      <c r="D183" s="1"/>
      <c r="E183" s="1"/>
      <c r="F183" s="1"/>
      <c r="G183" s="1"/>
      <c r="H183" s="1"/>
      <c r="I183" s="61"/>
      <c r="J183" s="1"/>
      <c r="K183" s="1"/>
      <c r="L183" s="1"/>
    </row>
    <row r="184" spans="1:12" ht="15.75" customHeight="1">
      <c r="A184" s="2"/>
      <c r="B184" s="1"/>
      <c r="C184" s="1"/>
      <c r="D184" s="1"/>
      <c r="E184" s="1"/>
      <c r="F184" s="1"/>
      <c r="G184" s="1"/>
      <c r="H184" s="1"/>
      <c r="I184" s="61"/>
      <c r="J184" s="1"/>
      <c r="K184" s="1"/>
      <c r="L184" s="1"/>
    </row>
    <row r="185" spans="1:12" ht="15.75" customHeight="1">
      <c r="A185" s="2"/>
      <c r="B185" s="1"/>
      <c r="C185" s="1"/>
      <c r="D185" s="1"/>
      <c r="E185" s="1"/>
      <c r="F185" s="1"/>
      <c r="G185" s="1"/>
      <c r="H185" s="1"/>
      <c r="I185" s="61"/>
      <c r="J185" s="1"/>
      <c r="K185" s="1"/>
      <c r="L185" s="1"/>
    </row>
    <row r="186" spans="1:12" ht="15.75" customHeight="1">
      <c r="A186" s="2"/>
      <c r="B186" s="1"/>
      <c r="C186" s="1"/>
      <c r="D186" s="1"/>
      <c r="E186" s="1"/>
      <c r="F186" s="1"/>
      <c r="G186" s="1"/>
      <c r="H186" s="1"/>
      <c r="I186" s="61"/>
      <c r="J186" s="1"/>
      <c r="K186" s="1"/>
      <c r="L186" s="1"/>
    </row>
    <row r="187" spans="1:12" ht="15.75" customHeight="1">
      <c r="A187" s="2"/>
      <c r="B187" s="1"/>
      <c r="C187" s="1"/>
      <c r="D187" s="1"/>
      <c r="E187" s="1"/>
      <c r="F187" s="1"/>
      <c r="G187" s="1"/>
      <c r="H187" s="1"/>
      <c r="I187" s="61"/>
      <c r="J187" s="1"/>
      <c r="K187" s="1"/>
      <c r="L187" s="1"/>
    </row>
    <row r="188" spans="1:12" ht="15.75" customHeight="1">
      <c r="A188" s="2"/>
      <c r="B188" s="1"/>
      <c r="C188" s="1"/>
      <c r="D188" s="1"/>
      <c r="E188" s="1"/>
      <c r="F188" s="1"/>
      <c r="G188" s="1"/>
      <c r="H188" s="1"/>
      <c r="I188" s="61"/>
      <c r="J188" s="1"/>
      <c r="K188" s="1"/>
      <c r="L188" s="1"/>
    </row>
    <row r="189" spans="1:12" ht="15.75" customHeight="1">
      <c r="A189" s="2"/>
      <c r="B189" s="1"/>
      <c r="C189" s="1"/>
      <c r="D189" s="1"/>
      <c r="E189" s="1"/>
      <c r="F189" s="1"/>
      <c r="G189" s="1"/>
      <c r="H189" s="1"/>
      <c r="I189" s="61"/>
      <c r="J189" s="1"/>
      <c r="K189" s="1"/>
      <c r="L189" s="1"/>
    </row>
    <row r="190" spans="1:12" ht="15.75" customHeight="1">
      <c r="A190" s="2"/>
      <c r="B190" s="1"/>
      <c r="C190" s="1"/>
      <c r="D190" s="1"/>
      <c r="E190" s="1"/>
      <c r="F190" s="1"/>
      <c r="G190" s="1"/>
      <c r="H190" s="1"/>
      <c r="I190" s="61"/>
      <c r="J190" s="1"/>
      <c r="K190" s="1"/>
      <c r="L190" s="1"/>
    </row>
    <row r="191" spans="1:12" ht="15.75" customHeight="1">
      <c r="A191" s="2"/>
      <c r="B191" s="1"/>
      <c r="C191" s="1"/>
      <c r="D191" s="1"/>
      <c r="E191" s="1"/>
      <c r="F191" s="1"/>
      <c r="G191" s="1"/>
      <c r="H191" s="1"/>
      <c r="I191" s="61"/>
      <c r="J191" s="1"/>
      <c r="K191" s="1"/>
      <c r="L191" s="1"/>
    </row>
    <row r="192" spans="1:12" ht="15.75" customHeight="1">
      <c r="A192" s="2"/>
      <c r="B192" s="1"/>
      <c r="C192" s="1"/>
      <c r="D192" s="1"/>
      <c r="E192" s="1"/>
      <c r="F192" s="1"/>
      <c r="G192" s="1"/>
      <c r="H192" s="1"/>
      <c r="I192" s="61"/>
      <c r="J192" s="1"/>
      <c r="K192" s="1"/>
      <c r="L192" s="1"/>
    </row>
    <row r="193" spans="1:12" ht="15.75" customHeight="1">
      <c r="A193" s="2"/>
      <c r="B193" s="1"/>
      <c r="C193" s="1"/>
      <c r="D193" s="1"/>
      <c r="E193" s="1"/>
      <c r="F193" s="1"/>
      <c r="G193" s="1"/>
      <c r="H193" s="1"/>
      <c r="I193" s="61"/>
      <c r="J193" s="1"/>
      <c r="K193" s="1"/>
      <c r="L193" s="1"/>
    </row>
    <row r="194" spans="1:12" ht="15.75" customHeight="1">
      <c r="A194" s="2"/>
      <c r="B194" s="1"/>
      <c r="C194" s="1"/>
      <c r="D194" s="1"/>
      <c r="E194" s="1"/>
      <c r="F194" s="1"/>
      <c r="G194" s="1"/>
      <c r="H194" s="1"/>
      <c r="I194" s="61"/>
      <c r="J194" s="1"/>
      <c r="K194" s="1"/>
      <c r="L194" s="1"/>
    </row>
    <row r="195" spans="1:12" ht="15.75" customHeight="1">
      <c r="A195" s="2"/>
      <c r="B195" s="1"/>
      <c r="C195" s="1"/>
      <c r="D195" s="1"/>
      <c r="E195" s="1"/>
      <c r="F195" s="1"/>
      <c r="G195" s="1"/>
      <c r="H195" s="1"/>
      <c r="I195" s="61"/>
      <c r="J195" s="1"/>
      <c r="K195" s="1"/>
      <c r="L195" s="1"/>
    </row>
    <row r="196" spans="1:12" ht="15.75" customHeight="1">
      <c r="A196" s="2"/>
      <c r="B196" s="1"/>
      <c r="C196" s="1"/>
      <c r="D196" s="1"/>
      <c r="E196" s="1"/>
      <c r="F196" s="1"/>
      <c r="G196" s="1"/>
      <c r="H196" s="1"/>
      <c r="I196" s="61"/>
      <c r="J196" s="1"/>
      <c r="K196" s="1"/>
      <c r="L196" s="1"/>
    </row>
    <row r="197" spans="1:12" ht="15.75" customHeight="1">
      <c r="A197" s="2"/>
      <c r="B197" s="1"/>
      <c r="C197" s="1"/>
      <c r="D197" s="1"/>
      <c r="E197" s="1"/>
      <c r="F197" s="1"/>
      <c r="G197" s="1"/>
      <c r="H197" s="1"/>
      <c r="I197" s="61"/>
      <c r="J197" s="1"/>
      <c r="K197" s="1"/>
      <c r="L197" s="1"/>
    </row>
    <row r="198" spans="1:12" ht="15.75" customHeight="1">
      <c r="A198" s="2"/>
      <c r="B198" s="1"/>
      <c r="C198" s="1"/>
      <c r="D198" s="1"/>
      <c r="E198" s="1"/>
      <c r="F198" s="1"/>
      <c r="G198" s="1"/>
      <c r="H198" s="1"/>
      <c r="I198" s="61"/>
      <c r="J198" s="1"/>
      <c r="K198" s="1"/>
      <c r="L198" s="1"/>
    </row>
    <row r="199" spans="1:12" ht="15.75" customHeight="1">
      <c r="A199" s="2"/>
      <c r="B199" s="1"/>
      <c r="C199" s="1"/>
      <c r="D199" s="1"/>
      <c r="E199" s="1"/>
      <c r="F199" s="1"/>
      <c r="G199" s="1"/>
      <c r="H199" s="1"/>
      <c r="I199" s="61"/>
      <c r="J199" s="1"/>
      <c r="K199" s="1"/>
      <c r="L199" s="1"/>
    </row>
    <row r="200" spans="1:12" ht="15.75" customHeight="1">
      <c r="A200" s="2"/>
      <c r="B200" s="1"/>
      <c r="C200" s="1"/>
      <c r="D200" s="1"/>
      <c r="E200" s="1"/>
      <c r="F200" s="1"/>
      <c r="G200" s="1"/>
      <c r="H200" s="1"/>
      <c r="I200" s="61"/>
      <c r="J200" s="1"/>
      <c r="K200" s="1"/>
      <c r="L200" s="1"/>
    </row>
    <row r="201" spans="1:12" ht="15.75" customHeight="1">
      <c r="A201" s="2"/>
      <c r="B201" s="1"/>
      <c r="C201" s="1"/>
      <c r="D201" s="1"/>
      <c r="E201" s="1"/>
      <c r="F201" s="1"/>
      <c r="G201" s="1"/>
      <c r="H201" s="1"/>
      <c r="I201" s="61"/>
      <c r="J201" s="1"/>
      <c r="K201" s="1"/>
      <c r="L201" s="1"/>
    </row>
    <row r="202" spans="1:12" ht="15.75" customHeight="1">
      <c r="A202" s="2"/>
      <c r="B202" s="1"/>
      <c r="C202" s="1"/>
      <c r="D202" s="1"/>
      <c r="E202" s="1"/>
      <c r="F202" s="1"/>
      <c r="G202" s="1"/>
      <c r="H202" s="1"/>
      <c r="I202" s="61"/>
      <c r="J202" s="1"/>
      <c r="K202" s="1"/>
      <c r="L202" s="1"/>
    </row>
    <row r="203" spans="1:12" ht="15.75" customHeight="1">
      <c r="A203" s="2"/>
      <c r="B203" s="1"/>
      <c r="C203" s="1"/>
      <c r="D203" s="1"/>
      <c r="E203" s="1"/>
      <c r="F203" s="1"/>
      <c r="G203" s="1"/>
      <c r="H203" s="1"/>
      <c r="I203" s="61"/>
      <c r="J203" s="1"/>
      <c r="K203" s="1"/>
      <c r="L203" s="1"/>
    </row>
    <row r="204" spans="1:12" ht="15.75" customHeight="1">
      <c r="A204" s="2"/>
      <c r="B204" s="1"/>
      <c r="C204" s="1"/>
      <c r="D204" s="1"/>
      <c r="E204" s="1"/>
      <c r="F204" s="1"/>
      <c r="G204" s="1"/>
      <c r="H204" s="1"/>
      <c r="I204" s="61"/>
      <c r="J204" s="1"/>
      <c r="K204" s="1"/>
      <c r="L204" s="1"/>
    </row>
    <row r="205" spans="1:12" ht="15.75" customHeight="1">
      <c r="A205" s="2"/>
      <c r="B205" s="1"/>
      <c r="C205" s="1"/>
      <c r="D205" s="1"/>
      <c r="E205" s="1"/>
      <c r="F205" s="1"/>
      <c r="G205" s="1"/>
      <c r="H205" s="1"/>
      <c r="I205" s="61"/>
      <c r="J205" s="1"/>
      <c r="K205" s="1"/>
      <c r="L205" s="1"/>
    </row>
    <row r="206" spans="1:12" ht="15.75" customHeight="1">
      <c r="A206" s="2"/>
      <c r="B206" s="1"/>
      <c r="C206" s="1"/>
      <c r="D206" s="1"/>
      <c r="E206" s="1"/>
      <c r="F206" s="1"/>
      <c r="G206" s="1"/>
      <c r="H206" s="1"/>
      <c r="I206" s="61"/>
      <c r="J206" s="1"/>
      <c r="K206" s="1"/>
      <c r="L206" s="1"/>
    </row>
    <row r="207" spans="1:12" ht="15.75" customHeight="1">
      <c r="A207" s="2"/>
      <c r="B207" s="1"/>
      <c r="C207" s="1"/>
      <c r="D207" s="1"/>
      <c r="E207" s="1"/>
      <c r="F207" s="1"/>
      <c r="G207" s="1"/>
      <c r="H207" s="1"/>
      <c r="I207" s="61"/>
      <c r="J207" s="1"/>
      <c r="K207" s="1"/>
      <c r="L207" s="1"/>
    </row>
    <row r="208" spans="1:12" ht="15.75" customHeight="1">
      <c r="A208" s="2"/>
      <c r="B208" s="1"/>
      <c r="C208" s="1"/>
      <c r="D208" s="1"/>
      <c r="E208" s="1"/>
      <c r="F208" s="1"/>
      <c r="G208" s="1"/>
      <c r="H208" s="1"/>
      <c r="I208" s="61"/>
      <c r="J208" s="1"/>
      <c r="K208" s="1"/>
      <c r="L208" s="1"/>
    </row>
    <row r="209" spans="1:12" ht="15.75" customHeight="1">
      <c r="A209" s="2"/>
      <c r="B209" s="1"/>
      <c r="C209" s="1"/>
      <c r="D209" s="1"/>
      <c r="E209" s="1"/>
      <c r="F209" s="1"/>
      <c r="G209" s="1"/>
      <c r="H209" s="1"/>
      <c r="I209" s="61"/>
      <c r="J209" s="1"/>
      <c r="K209" s="1"/>
      <c r="L209" s="1"/>
    </row>
    <row r="210" spans="1:12" ht="15.75" customHeight="1">
      <c r="A210" s="2"/>
      <c r="B210" s="1"/>
      <c r="C210" s="1"/>
      <c r="D210" s="1"/>
      <c r="E210" s="1"/>
      <c r="F210" s="1"/>
      <c r="G210" s="1"/>
      <c r="H210" s="1"/>
      <c r="I210" s="61"/>
      <c r="J210" s="1"/>
      <c r="K210" s="1"/>
      <c r="L210" s="1"/>
    </row>
    <row r="211" spans="1:12" ht="15.75" customHeight="1">
      <c r="A211" s="2"/>
      <c r="B211" s="1"/>
      <c r="C211" s="1"/>
      <c r="D211" s="1"/>
      <c r="E211" s="1"/>
      <c r="F211" s="1"/>
      <c r="G211" s="1"/>
      <c r="H211" s="1"/>
      <c r="I211" s="61"/>
      <c r="J211" s="1"/>
      <c r="K211" s="1"/>
      <c r="L211" s="1"/>
    </row>
    <row r="212" spans="1:12" ht="15.75" customHeight="1">
      <c r="A212" s="2"/>
      <c r="B212" s="1"/>
      <c r="C212" s="1"/>
      <c r="D212" s="1"/>
      <c r="E212" s="1"/>
      <c r="F212" s="1"/>
      <c r="G212" s="1"/>
      <c r="H212" s="1"/>
      <c r="I212" s="61"/>
      <c r="J212" s="1"/>
      <c r="K212" s="1"/>
      <c r="L212" s="1"/>
    </row>
    <row r="213" spans="1:12" ht="15.75" customHeight="1">
      <c r="A213" s="2"/>
      <c r="B213" s="1"/>
      <c r="C213" s="1"/>
      <c r="D213" s="1"/>
      <c r="E213" s="1"/>
      <c r="F213" s="1"/>
      <c r="G213" s="1"/>
      <c r="H213" s="1"/>
      <c r="I213" s="61"/>
      <c r="J213" s="1"/>
      <c r="K213" s="1"/>
      <c r="L213" s="1"/>
    </row>
    <row r="214" spans="1:12" ht="15.75" customHeight="1">
      <c r="A214" s="2"/>
      <c r="B214" s="1"/>
      <c r="C214" s="1"/>
      <c r="D214" s="1"/>
      <c r="E214" s="1"/>
      <c r="F214" s="1"/>
      <c r="G214" s="1"/>
      <c r="H214" s="1"/>
      <c r="I214" s="61"/>
      <c r="J214" s="1"/>
      <c r="K214" s="1"/>
      <c r="L214" s="1"/>
    </row>
    <row r="215" spans="1:12" ht="15.75" customHeight="1">
      <c r="A215" s="2"/>
      <c r="B215" s="1"/>
      <c r="C215" s="1"/>
      <c r="D215" s="1"/>
      <c r="E215" s="1"/>
      <c r="F215" s="1"/>
      <c r="G215" s="1"/>
      <c r="H215" s="1"/>
      <c r="I215" s="61"/>
      <c r="J215" s="1"/>
      <c r="K215" s="1"/>
      <c r="L215" s="1"/>
    </row>
    <row r="216" spans="1:12" ht="15.75" customHeight="1">
      <c r="A216" s="2"/>
      <c r="B216" s="1"/>
      <c r="C216" s="1"/>
      <c r="D216" s="1"/>
      <c r="E216" s="1"/>
      <c r="F216" s="1"/>
      <c r="G216" s="1"/>
      <c r="H216" s="1"/>
      <c r="I216" s="61"/>
      <c r="J216" s="1"/>
      <c r="K216" s="1"/>
      <c r="L216" s="1"/>
    </row>
    <row r="217" spans="1:12" ht="15.75" customHeight="1">
      <c r="A217" s="2"/>
      <c r="B217" s="1"/>
      <c r="C217" s="1"/>
      <c r="D217" s="1"/>
      <c r="E217" s="1"/>
      <c r="F217" s="1"/>
      <c r="G217" s="1"/>
      <c r="H217" s="1"/>
      <c r="I217" s="61"/>
      <c r="J217" s="1"/>
      <c r="K217" s="1"/>
      <c r="L217" s="1"/>
    </row>
    <row r="218" spans="1:12" ht="15.75" customHeight="1">
      <c r="A218" s="2"/>
      <c r="B218" s="1"/>
      <c r="C218" s="1"/>
      <c r="D218" s="1"/>
      <c r="E218" s="1"/>
      <c r="F218" s="1"/>
      <c r="G218" s="1"/>
      <c r="H218" s="1"/>
      <c r="I218" s="61"/>
      <c r="J218" s="1"/>
      <c r="K218" s="1"/>
      <c r="L218" s="1"/>
    </row>
    <row r="219" spans="1:12" ht="15.75" customHeight="1">
      <c r="A219" s="2"/>
      <c r="B219" s="1"/>
      <c r="C219" s="1"/>
      <c r="D219" s="1"/>
      <c r="E219" s="1"/>
      <c r="F219" s="1"/>
      <c r="G219" s="1"/>
      <c r="H219" s="1"/>
      <c r="I219" s="61"/>
      <c r="J219" s="1"/>
      <c r="K219" s="1"/>
      <c r="L219" s="1"/>
    </row>
    <row r="220" spans="1:12" ht="15.75" customHeight="1">
      <c r="A220" s="2"/>
      <c r="B220" s="1"/>
      <c r="C220" s="1"/>
      <c r="D220" s="1"/>
      <c r="E220" s="1"/>
      <c r="F220" s="1"/>
      <c r="G220" s="1"/>
      <c r="H220" s="1"/>
      <c r="I220" s="61"/>
      <c r="J220" s="1"/>
      <c r="K220" s="1"/>
      <c r="L220" s="1"/>
    </row>
    <row r="221" spans="1:12" ht="15.75" customHeight="1">
      <c r="A221" s="2"/>
      <c r="B221" s="1"/>
      <c r="C221" s="1"/>
      <c r="D221" s="1"/>
      <c r="E221" s="1"/>
      <c r="F221" s="1"/>
      <c r="G221" s="1"/>
      <c r="H221" s="1"/>
      <c r="I221" s="61"/>
      <c r="J221" s="1"/>
      <c r="K221" s="1"/>
      <c r="L221" s="1"/>
    </row>
    <row r="222" spans="1:12" ht="15.75" customHeight="1">
      <c r="A222" s="2"/>
      <c r="B222" s="1"/>
      <c r="C222" s="1"/>
      <c r="D222" s="1"/>
      <c r="E222" s="1"/>
      <c r="F222" s="1"/>
      <c r="G222" s="1"/>
      <c r="H222" s="1"/>
      <c r="I222" s="61"/>
      <c r="J222" s="1"/>
      <c r="K222" s="1"/>
      <c r="L222" s="1"/>
    </row>
    <row r="223" spans="1:12" ht="15.75" customHeight="1">
      <c r="A223" s="2"/>
      <c r="B223" s="1"/>
      <c r="C223" s="1"/>
      <c r="D223" s="1"/>
      <c r="E223" s="1"/>
      <c r="F223" s="1"/>
      <c r="G223" s="1"/>
      <c r="H223" s="1"/>
      <c r="I223" s="61"/>
      <c r="J223" s="1"/>
      <c r="K223" s="1"/>
      <c r="L223" s="1"/>
    </row>
    <row r="224" spans="1:12" ht="15.75" customHeight="1">
      <c r="A224" s="2"/>
      <c r="B224" s="1"/>
      <c r="C224" s="1"/>
      <c r="D224" s="1"/>
      <c r="E224" s="1"/>
      <c r="F224" s="1"/>
      <c r="G224" s="1"/>
      <c r="H224" s="1"/>
      <c r="I224" s="61"/>
      <c r="J224" s="1"/>
      <c r="K224" s="1"/>
      <c r="L224" s="1"/>
    </row>
    <row r="225" spans="1:12" ht="15.75" customHeight="1">
      <c r="A225" s="2"/>
      <c r="B225" s="1"/>
      <c r="C225" s="1"/>
      <c r="D225" s="1"/>
      <c r="E225" s="1"/>
      <c r="F225" s="1"/>
      <c r="G225" s="1"/>
      <c r="H225" s="1"/>
      <c r="I225" s="61"/>
      <c r="J225" s="1"/>
      <c r="K225" s="1"/>
      <c r="L225" s="1"/>
    </row>
    <row r="226" spans="1:12" ht="15.75" customHeight="1">
      <c r="A226" s="2"/>
      <c r="B226" s="1"/>
      <c r="C226" s="1"/>
      <c r="D226" s="1"/>
      <c r="E226" s="1"/>
      <c r="F226" s="1"/>
      <c r="G226" s="1"/>
      <c r="H226" s="1"/>
      <c r="I226" s="61"/>
      <c r="J226" s="1"/>
      <c r="K226" s="1"/>
      <c r="L226" s="1"/>
    </row>
    <row r="227" spans="1:12" ht="15.75" customHeight="1">
      <c r="A227" s="2"/>
      <c r="B227" s="1"/>
      <c r="C227" s="1"/>
      <c r="D227" s="1"/>
      <c r="E227" s="1"/>
      <c r="F227" s="1"/>
      <c r="G227" s="1"/>
      <c r="H227" s="1"/>
      <c r="I227" s="61"/>
      <c r="J227" s="1"/>
      <c r="K227" s="1"/>
      <c r="L227" s="1"/>
    </row>
    <row r="228" spans="1:12" ht="15.75" customHeight="1">
      <c r="A228" s="2"/>
      <c r="B228" s="1"/>
      <c r="C228" s="1"/>
      <c r="D228" s="1"/>
      <c r="E228" s="1"/>
      <c r="F228" s="1"/>
      <c r="G228" s="1"/>
      <c r="H228" s="1"/>
      <c r="I228" s="61"/>
      <c r="J228" s="1"/>
      <c r="K228" s="1"/>
      <c r="L228" s="1"/>
    </row>
    <row r="229" spans="1:12" ht="15.75" customHeight="1">
      <c r="A229" s="2"/>
      <c r="B229" s="1"/>
      <c r="C229" s="1"/>
      <c r="D229" s="1"/>
      <c r="E229" s="1"/>
      <c r="F229" s="1"/>
      <c r="G229" s="1"/>
      <c r="H229" s="1"/>
      <c r="I229" s="61"/>
      <c r="J229" s="1"/>
      <c r="K229" s="1"/>
      <c r="L229" s="1"/>
    </row>
    <row r="230" spans="1:12" ht="15.75" customHeight="1">
      <c r="A230" s="2"/>
      <c r="B230" s="1"/>
      <c r="C230" s="1"/>
      <c r="D230" s="1"/>
      <c r="E230" s="1"/>
      <c r="F230" s="1"/>
      <c r="G230" s="1"/>
      <c r="H230" s="1"/>
      <c r="I230" s="61"/>
      <c r="J230" s="1"/>
      <c r="K230" s="1"/>
      <c r="L230" s="1"/>
    </row>
    <row r="231" spans="1:12" ht="15.75" customHeight="1">
      <c r="A231" s="2"/>
      <c r="B231" s="1"/>
      <c r="C231" s="1"/>
      <c r="D231" s="1"/>
      <c r="E231" s="1"/>
      <c r="F231" s="1"/>
      <c r="G231" s="1"/>
      <c r="H231" s="1"/>
      <c r="I231" s="61"/>
      <c r="J231" s="1"/>
      <c r="K231" s="1"/>
      <c r="L231" s="1"/>
    </row>
    <row r="232" spans="1:12" ht="15.75" customHeight="1">
      <c r="A232" s="2"/>
      <c r="B232" s="1"/>
      <c r="C232" s="1"/>
      <c r="D232" s="1"/>
      <c r="E232" s="1"/>
      <c r="F232" s="1"/>
      <c r="G232" s="1"/>
      <c r="H232" s="1"/>
      <c r="I232" s="61"/>
      <c r="J232" s="1"/>
      <c r="K232" s="1"/>
      <c r="L232" s="1"/>
    </row>
    <row r="233" spans="1:12" ht="15.75" customHeight="1">
      <c r="A233" s="2"/>
      <c r="B233" s="1"/>
      <c r="C233" s="1"/>
      <c r="D233" s="1"/>
      <c r="E233" s="1"/>
      <c r="F233" s="1"/>
      <c r="G233" s="1"/>
      <c r="H233" s="1"/>
      <c r="I233" s="61"/>
      <c r="J233" s="1"/>
      <c r="K233" s="1"/>
      <c r="L233" s="1"/>
    </row>
    <row r="234" spans="1:12" ht="15.75" customHeight="1">
      <c r="A234" s="2"/>
      <c r="B234" s="1"/>
      <c r="C234" s="1"/>
      <c r="D234" s="1"/>
      <c r="E234" s="1"/>
      <c r="F234" s="1"/>
      <c r="G234" s="1"/>
      <c r="H234" s="1"/>
      <c r="I234" s="61"/>
      <c r="J234" s="1"/>
      <c r="K234" s="1"/>
      <c r="L234" s="1"/>
    </row>
    <row r="235" spans="1:12" ht="15.75" customHeight="1">
      <c r="A235" s="2"/>
      <c r="B235" s="1"/>
      <c r="C235" s="1"/>
      <c r="D235" s="1"/>
      <c r="E235" s="1"/>
      <c r="F235" s="1"/>
      <c r="G235" s="1"/>
      <c r="H235" s="1"/>
      <c r="I235" s="61"/>
      <c r="J235" s="1"/>
      <c r="K235" s="1"/>
      <c r="L235" s="1"/>
    </row>
    <row r="236" spans="1:12" ht="15.75" customHeight="1">
      <c r="A236" s="2"/>
      <c r="B236" s="1"/>
      <c r="C236" s="1"/>
      <c r="D236" s="1"/>
      <c r="E236" s="1"/>
      <c r="F236" s="1"/>
      <c r="G236" s="1"/>
      <c r="H236" s="1"/>
      <c r="I236" s="61"/>
      <c r="J236" s="1"/>
      <c r="K236" s="1"/>
      <c r="L236" s="1"/>
    </row>
    <row r="237" spans="1:12" ht="15.75" customHeight="1">
      <c r="A237" s="2"/>
      <c r="B237" s="1"/>
      <c r="C237" s="1"/>
      <c r="D237" s="1"/>
      <c r="E237" s="1"/>
      <c r="F237" s="1"/>
      <c r="G237" s="1"/>
      <c r="H237" s="1"/>
      <c r="I237" s="61"/>
      <c r="J237" s="1"/>
      <c r="K237" s="1"/>
      <c r="L237" s="1"/>
    </row>
    <row r="238" spans="1:12" ht="15.75" customHeight="1">
      <c r="A238" s="2"/>
      <c r="B238" s="1"/>
      <c r="C238" s="1"/>
      <c r="D238" s="1"/>
      <c r="E238" s="1"/>
      <c r="F238" s="1"/>
      <c r="G238" s="1"/>
      <c r="H238" s="1"/>
      <c r="I238" s="61"/>
      <c r="J238" s="1"/>
      <c r="K238" s="1"/>
      <c r="L238" s="1"/>
    </row>
    <row r="239" spans="1:12" ht="15.75" customHeight="1">
      <c r="A239" s="2"/>
      <c r="B239" s="1"/>
      <c r="C239" s="1"/>
      <c r="D239" s="1"/>
      <c r="E239" s="1"/>
      <c r="F239" s="1"/>
      <c r="G239" s="1"/>
      <c r="H239" s="1"/>
      <c r="I239" s="61"/>
      <c r="J239" s="1"/>
      <c r="K239" s="1"/>
      <c r="L239" s="1"/>
    </row>
    <row r="240" spans="1:12" ht="15.75" customHeight="1">
      <c r="A240" s="2"/>
      <c r="B240" s="1"/>
      <c r="C240" s="1"/>
      <c r="D240" s="1"/>
      <c r="E240" s="1"/>
      <c r="F240" s="1"/>
      <c r="G240" s="1"/>
      <c r="H240" s="1"/>
      <c r="I240" s="61"/>
      <c r="J240" s="1"/>
      <c r="K240" s="1"/>
      <c r="L240" s="1"/>
    </row>
    <row r="241" spans="1:12" ht="15.75" customHeight="1">
      <c r="A241" s="2"/>
      <c r="B241" s="1"/>
      <c r="C241" s="1"/>
      <c r="D241" s="1"/>
      <c r="E241" s="1"/>
      <c r="F241" s="1"/>
      <c r="G241" s="1"/>
      <c r="H241" s="1"/>
      <c r="I241" s="61"/>
      <c r="J241" s="1"/>
      <c r="K241" s="1"/>
      <c r="L241" s="1"/>
    </row>
    <row r="242" spans="1:12" ht="15.75" customHeight="1">
      <c r="A242" s="2"/>
      <c r="B242" s="1"/>
      <c r="C242" s="1"/>
      <c r="D242" s="1"/>
      <c r="E242" s="1"/>
      <c r="F242" s="1"/>
      <c r="G242" s="1"/>
      <c r="H242" s="1"/>
      <c r="I242" s="61"/>
      <c r="J242" s="1"/>
      <c r="K242" s="1"/>
      <c r="L242" s="1"/>
    </row>
    <row r="243" spans="1:12" ht="15.75" customHeight="1">
      <c r="A243" s="2"/>
      <c r="B243" s="1"/>
      <c r="C243" s="1"/>
      <c r="D243" s="1"/>
      <c r="E243" s="1"/>
      <c r="F243" s="1"/>
      <c r="G243" s="1"/>
      <c r="H243" s="1"/>
      <c r="I243" s="61"/>
      <c r="J243" s="1"/>
      <c r="K243" s="1"/>
      <c r="L243" s="1"/>
    </row>
    <row r="244" spans="1:12" ht="15.75" customHeight="1">
      <c r="A244" s="2"/>
      <c r="B244" s="1"/>
      <c r="C244" s="1"/>
      <c r="D244" s="1"/>
      <c r="E244" s="1"/>
      <c r="F244" s="1"/>
      <c r="G244" s="1"/>
      <c r="H244" s="1"/>
      <c r="I244" s="61"/>
      <c r="J244" s="1"/>
      <c r="K244" s="1"/>
      <c r="L244" s="1"/>
    </row>
    <row r="245" spans="1:12" ht="15.75" customHeight="1">
      <c r="A245" s="2"/>
      <c r="B245" s="1"/>
      <c r="C245" s="1"/>
      <c r="D245" s="1"/>
      <c r="E245" s="1"/>
      <c r="F245" s="1"/>
      <c r="G245" s="1"/>
      <c r="H245" s="1"/>
      <c r="I245" s="61"/>
      <c r="J245" s="1"/>
      <c r="K245" s="1"/>
      <c r="L245" s="1"/>
    </row>
    <row r="246" spans="1:12" ht="15.75" customHeight="1">
      <c r="A246" s="2"/>
      <c r="B246" s="1"/>
      <c r="C246" s="1"/>
      <c r="D246" s="1"/>
      <c r="E246" s="1"/>
      <c r="F246" s="1"/>
      <c r="G246" s="1"/>
      <c r="H246" s="1"/>
      <c r="I246" s="61"/>
      <c r="J246" s="1"/>
      <c r="K246" s="1"/>
      <c r="L246" s="1"/>
    </row>
    <row r="247" spans="1:12" ht="15.75" customHeight="1">
      <c r="A247" s="2"/>
      <c r="B247" s="1"/>
      <c r="C247" s="1"/>
      <c r="D247" s="1"/>
      <c r="E247" s="1"/>
      <c r="F247" s="1"/>
      <c r="G247" s="1"/>
      <c r="H247" s="1"/>
      <c r="I247" s="61"/>
      <c r="J247" s="1"/>
      <c r="K247" s="1"/>
      <c r="L247" s="1"/>
    </row>
    <row r="248" spans="1:12" ht="15.75" customHeight="1">
      <c r="A248" s="2"/>
      <c r="B248" s="1"/>
      <c r="C248" s="1"/>
      <c r="D248" s="1"/>
      <c r="E248" s="1"/>
      <c r="F248" s="1"/>
      <c r="G248" s="1"/>
      <c r="H248" s="1"/>
      <c r="I248" s="61"/>
      <c r="J248" s="1"/>
      <c r="K248" s="1"/>
      <c r="L248" s="1"/>
    </row>
    <row r="249" spans="1:12" ht="15.75" customHeight="1">
      <c r="A249" s="2"/>
      <c r="B249" s="1"/>
      <c r="C249" s="1"/>
      <c r="D249" s="1"/>
      <c r="E249" s="1"/>
      <c r="F249" s="1"/>
      <c r="G249" s="1"/>
      <c r="H249" s="1"/>
      <c r="I249" s="61"/>
      <c r="J249" s="1"/>
      <c r="K249" s="1"/>
      <c r="L249" s="1"/>
    </row>
    <row r="250" spans="1:12" ht="15.75" customHeight="1">
      <c r="A250" s="2"/>
      <c r="B250" s="1"/>
      <c r="C250" s="1"/>
      <c r="D250" s="1"/>
      <c r="E250" s="1"/>
      <c r="F250" s="1"/>
      <c r="G250" s="1"/>
      <c r="H250" s="1"/>
      <c r="I250" s="61"/>
      <c r="J250" s="1"/>
      <c r="K250" s="1"/>
      <c r="L250" s="1"/>
    </row>
    <row r="251" spans="1:12" ht="15.75" customHeight="1">
      <c r="A251" s="2"/>
      <c r="B251" s="1"/>
      <c r="C251" s="1"/>
      <c r="D251" s="1"/>
      <c r="E251" s="1"/>
      <c r="F251" s="1"/>
      <c r="G251" s="1"/>
      <c r="H251" s="1"/>
      <c r="I251" s="61"/>
      <c r="J251" s="1"/>
      <c r="K251" s="1"/>
      <c r="L251" s="1"/>
    </row>
    <row r="252" spans="1:12" ht="15.75" customHeight="1">
      <c r="A252" s="2"/>
      <c r="B252" s="1"/>
      <c r="C252" s="1"/>
      <c r="D252" s="1"/>
      <c r="E252" s="1"/>
      <c r="F252" s="1"/>
      <c r="G252" s="1"/>
      <c r="H252" s="1"/>
      <c r="I252" s="61"/>
      <c r="J252" s="1"/>
      <c r="K252" s="1"/>
      <c r="L252" s="1"/>
    </row>
    <row r="253" spans="1:12" ht="15.75" customHeight="1">
      <c r="A253" s="2"/>
      <c r="B253" s="1"/>
      <c r="C253" s="1"/>
      <c r="D253" s="1"/>
      <c r="E253" s="1"/>
      <c r="F253" s="1"/>
      <c r="G253" s="1"/>
      <c r="H253" s="1"/>
      <c r="I253" s="61"/>
      <c r="J253" s="1"/>
      <c r="K253" s="1"/>
      <c r="L253" s="1"/>
    </row>
    <row r="254" spans="1:12" ht="15.75" customHeight="1">
      <c r="A254" s="2"/>
      <c r="B254" s="1"/>
      <c r="C254" s="1"/>
      <c r="D254" s="1"/>
      <c r="E254" s="1"/>
      <c r="F254" s="1"/>
      <c r="G254" s="1"/>
      <c r="H254" s="1"/>
      <c r="I254" s="61"/>
      <c r="J254" s="1"/>
      <c r="K254" s="1"/>
      <c r="L254" s="1"/>
    </row>
    <row r="255" spans="1:12" ht="15.75" customHeight="1">
      <c r="A255" s="2"/>
      <c r="B255" s="1"/>
      <c r="C255" s="1"/>
      <c r="D255" s="1"/>
      <c r="E255" s="1"/>
      <c r="F255" s="1"/>
      <c r="G255" s="1"/>
      <c r="H255" s="1"/>
      <c r="I255" s="61"/>
      <c r="J255" s="1"/>
      <c r="K255" s="1"/>
      <c r="L255" s="1"/>
    </row>
    <row r="256" spans="1:12" ht="15.75" customHeight="1">
      <c r="A256" s="2"/>
      <c r="B256" s="1"/>
      <c r="C256" s="1"/>
      <c r="D256" s="1"/>
      <c r="E256" s="1"/>
      <c r="F256" s="1"/>
      <c r="G256" s="1"/>
      <c r="H256" s="1"/>
      <c r="I256" s="61"/>
      <c r="J256" s="1"/>
      <c r="K256" s="1"/>
      <c r="L256" s="1"/>
    </row>
    <row r="257" spans="1:12" ht="15.75" customHeight="1">
      <c r="A257" s="2"/>
      <c r="B257" s="1"/>
      <c r="C257" s="1"/>
      <c r="D257" s="1"/>
      <c r="E257" s="1"/>
      <c r="F257" s="1"/>
      <c r="G257" s="1"/>
      <c r="H257" s="1"/>
      <c r="I257" s="61"/>
      <c r="J257" s="1"/>
      <c r="K257" s="1"/>
      <c r="L257" s="1"/>
    </row>
    <row r="258" spans="1:12" ht="15.75" customHeight="1">
      <c r="A258" s="2"/>
      <c r="B258" s="1"/>
      <c r="C258" s="1"/>
      <c r="D258" s="1"/>
      <c r="E258" s="1"/>
      <c r="F258" s="1"/>
      <c r="G258" s="1"/>
      <c r="H258" s="1"/>
      <c r="I258" s="61"/>
      <c r="J258" s="1"/>
      <c r="K258" s="1"/>
      <c r="L258" s="1"/>
    </row>
    <row r="259" spans="1:12" ht="15.75" customHeight="1">
      <c r="A259" s="2"/>
      <c r="B259" s="1"/>
      <c r="C259" s="1"/>
      <c r="D259" s="1"/>
      <c r="E259" s="1"/>
      <c r="F259" s="1"/>
      <c r="G259" s="1"/>
      <c r="H259" s="1"/>
      <c r="I259" s="61"/>
      <c r="J259" s="1"/>
      <c r="K259" s="1"/>
      <c r="L259" s="1"/>
    </row>
    <row r="260" spans="1:12" ht="15.75" customHeight="1">
      <c r="A260" s="2"/>
      <c r="B260" s="1"/>
      <c r="C260" s="1"/>
      <c r="D260" s="1"/>
      <c r="E260" s="1"/>
      <c r="F260" s="1"/>
      <c r="G260" s="1"/>
      <c r="H260" s="1"/>
      <c r="I260" s="61"/>
      <c r="J260" s="1"/>
      <c r="K260" s="1"/>
      <c r="L260" s="1"/>
    </row>
    <row r="261" spans="1:12" ht="15.75" customHeight="1">
      <c r="A261" s="2"/>
      <c r="B261" s="1"/>
      <c r="C261" s="1"/>
      <c r="D261" s="1"/>
      <c r="E261" s="1"/>
      <c r="F261" s="1"/>
      <c r="G261" s="1"/>
      <c r="H261" s="1"/>
      <c r="I261" s="61"/>
      <c r="J261" s="1"/>
      <c r="K261" s="1"/>
      <c r="L261" s="1"/>
    </row>
    <row r="262" spans="1:12" ht="15.75" customHeight="1">
      <c r="A262" s="2"/>
      <c r="B262" s="1"/>
      <c r="C262" s="1"/>
      <c r="D262" s="1"/>
      <c r="E262" s="1"/>
      <c r="F262" s="1"/>
      <c r="G262" s="1"/>
      <c r="H262" s="1"/>
      <c r="I262" s="61"/>
      <c r="J262" s="1"/>
      <c r="K262" s="1"/>
      <c r="L262" s="1"/>
    </row>
    <row r="263" spans="1:12" ht="15.75" customHeight="1">
      <c r="A263" s="2"/>
      <c r="B263" s="1"/>
      <c r="C263" s="1"/>
      <c r="D263" s="1"/>
      <c r="E263" s="1"/>
      <c r="F263" s="1"/>
      <c r="G263" s="1"/>
      <c r="H263" s="1"/>
      <c r="I263" s="61"/>
      <c r="J263" s="1"/>
      <c r="K263" s="1"/>
      <c r="L263" s="1"/>
    </row>
    <row r="264" spans="1:12" ht="15.75" customHeight="1">
      <c r="A264" s="2"/>
      <c r="B264" s="1"/>
      <c r="C264" s="1"/>
      <c r="D264" s="1"/>
      <c r="E264" s="1"/>
      <c r="F264" s="1"/>
      <c r="G264" s="1"/>
      <c r="H264" s="1"/>
      <c r="I264" s="61"/>
      <c r="J264" s="1"/>
      <c r="K264" s="1"/>
      <c r="L264" s="1"/>
    </row>
    <row r="265" spans="1:12" ht="15.75" customHeight="1">
      <c r="A265" s="2"/>
      <c r="B265" s="1"/>
      <c r="C265" s="1"/>
      <c r="D265" s="1"/>
      <c r="E265" s="1"/>
      <c r="F265" s="1"/>
      <c r="G265" s="1"/>
      <c r="H265" s="1"/>
      <c r="I265" s="61"/>
      <c r="J265" s="1"/>
      <c r="K265" s="1"/>
      <c r="L265" s="1"/>
    </row>
    <row r="266" spans="1:12" ht="15.75" customHeight="1">
      <c r="A266" s="2"/>
      <c r="B266" s="1"/>
      <c r="C266" s="1"/>
      <c r="D266" s="1"/>
      <c r="E266" s="1"/>
      <c r="F266" s="1"/>
      <c r="G266" s="1"/>
      <c r="H266" s="1"/>
      <c r="I266" s="61"/>
      <c r="J266" s="1"/>
      <c r="K266" s="1"/>
      <c r="L266" s="1"/>
    </row>
    <row r="267" spans="1:12" ht="15.75" customHeight="1">
      <c r="A267" s="2"/>
      <c r="B267" s="1"/>
      <c r="C267" s="1"/>
      <c r="D267" s="1"/>
      <c r="E267" s="1"/>
      <c r="F267" s="1"/>
      <c r="G267" s="1"/>
      <c r="H267" s="1"/>
      <c r="I267" s="61"/>
      <c r="J267" s="1"/>
      <c r="K267" s="1"/>
      <c r="L267" s="1"/>
    </row>
    <row r="268" spans="1:12" ht="15.75" customHeight="1">
      <c r="A268" s="2"/>
      <c r="B268" s="1"/>
      <c r="C268" s="1"/>
      <c r="D268" s="1"/>
      <c r="E268" s="1"/>
      <c r="F268" s="1"/>
      <c r="G268" s="1"/>
      <c r="H268" s="1"/>
      <c r="I268" s="61"/>
      <c r="J268" s="1"/>
      <c r="K268" s="1"/>
      <c r="L268" s="1"/>
    </row>
    <row r="269" spans="1:12" ht="15.75" customHeight="1">
      <c r="A269" s="2"/>
      <c r="B269" s="1"/>
      <c r="C269" s="1"/>
      <c r="D269" s="1"/>
      <c r="E269" s="1"/>
      <c r="F269" s="1"/>
      <c r="G269" s="1"/>
      <c r="H269" s="1"/>
      <c r="I269" s="61"/>
      <c r="J269" s="1"/>
      <c r="K269" s="1"/>
      <c r="L269" s="1"/>
    </row>
    <row r="270" spans="1:12" ht="15.75" customHeight="1">
      <c r="A270" s="2"/>
      <c r="B270" s="1"/>
      <c r="C270" s="1"/>
      <c r="D270" s="1"/>
      <c r="E270" s="1"/>
      <c r="F270" s="1"/>
      <c r="G270" s="1"/>
      <c r="H270" s="1"/>
      <c r="I270" s="61"/>
      <c r="J270" s="1"/>
      <c r="K270" s="1"/>
      <c r="L270" s="1"/>
    </row>
    <row r="271" spans="1:12" ht="15.75" customHeight="1">
      <c r="A271" s="2"/>
      <c r="B271" s="1"/>
      <c r="C271" s="1"/>
      <c r="D271" s="1"/>
      <c r="E271" s="1"/>
      <c r="F271" s="1"/>
      <c r="G271" s="1"/>
      <c r="H271" s="1"/>
      <c r="I271" s="61"/>
      <c r="J271" s="1"/>
      <c r="K271" s="1"/>
      <c r="L271" s="1"/>
    </row>
    <row r="272" spans="1:12" ht="15.75" customHeight="1">
      <c r="A272" s="2"/>
      <c r="B272" s="1"/>
      <c r="C272" s="1"/>
      <c r="D272" s="1"/>
      <c r="E272" s="1"/>
      <c r="F272" s="1"/>
      <c r="G272" s="1"/>
      <c r="H272" s="1"/>
      <c r="I272" s="61"/>
      <c r="J272" s="1"/>
      <c r="K272" s="1"/>
      <c r="L272" s="1"/>
    </row>
    <row r="273" spans="1:12" ht="15.75" customHeight="1">
      <c r="A273" s="2"/>
      <c r="B273" s="1"/>
      <c r="C273" s="1"/>
      <c r="D273" s="1"/>
      <c r="E273" s="1"/>
      <c r="F273" s="1"/>
      <c r="G273" s="1"/>
      <c r="H273" s="1"/>
      <c r="I273" s="61"/>
      <c r="J273" s="1"/>
      <c r="K273" s="1"/>
      <c r="L273" s="1"/>
    </row>
    <row r="274" spans="1:12" ht="15.75" customHeight="1">
      <c r="A274" s="2"/>
      <c r="B274" s="1"/>
      <c r="C274" s="1"/>
      <c r="D274" s="1"/>
      <c r="E274" s="1"/>
      <c r="F274" s="1"/>
      <c r="G274" s="1"/>
      <c r="H274" s="1"/>
      <c r="I274" s="61"/>
      <c r="J274" s="1"/>
      <c r="K274" s="1"/>
      <c r="L274" s="1"/>
    </row>
    <row r="275" spans="1:12" ht="15.75" customHeight="1">
      <c r="A275" s="2"/>
      <c r="B275" s="1"/>
      <c r="C275" s="1"/>
      <c r="D275" s="1"/>
      <c r="E275" s="1"/>
      <c r="F275" s="1"/>
      <c r="G275" s="1"/>
      <c r="H275" s="1"/>
      <c r="I275" s="61"/>
      <c r="J275" s="1"/>
      <c r="K275" s="1"/>
      <c r="L275" s="1"/>
    </row>
    <row r="276" spans="1:12" ht="15.75" customHeight="1">
      <c r="A276" s="2"/>
      <c r="B276" s="1"/>
      <c r="C276" s="1"/>
      <c r="D276" s="1"/>
      <c r="E276" s="1"/>
      <c r="F276" s="1"/>
      <c r="G276" s="1"/>
      <c r="H276" s="1"/>
      <c r="I276" s="61"/>
      <c r="J276" s="1"/>
      <c r="K276" s="1"/>
      <c r="L276" s="1"/>
    </row>
    <row r="277" spans="1:12" ht="15.75" customHeight="1">
      <c r="A277" s="2"/>
      <c r="B277" s="1"/>
      <c r="C277" s="1"/>
      <c r="D277" s="1"/>
      <c r="E277" s="1"/>
      <c r="F277" s="1"/>
      <c r="G277" s="1"/>
      <c r="H277" s="1"/>
      <c r="I277" s="61"/>
      <c r="J277" s="1"/>
      <c r="K277" s="1"/>
      <c r="L277" s="1"/>
    </row>
    <row r="278" spans="1:12" ht="15.75" customHeight="1">
      <c r="A278" s="2"/>
      <c r="B278" s="1"/>
      <c r="C278" s="1"/>
      <c r="D278" s="1"/>
      <c r="E278" s="1"/>
      <c r="F278" s="1"/>
      <c r="G278" s="1"/>
      <c r="H278" s="1"/>
      <c r="I278" s="61"/>
      <c r="J278" s="1"/>
      <c r="K278" s="1"/>
      <c r="L278" s="1"/>
    </row>
    <row r="279" spans="1:12" ht="15.75" customHeight="1">
      <c r="A279" s="2"/>
      <c r="B279" s="1"/>
      <c r="C279" s="1"/>
      <c r="D279" s="1"/>
      <c r="E279" s="1"/>
      <c r="F279" s="1"/>
      <c r="G279" s="1"/>
      <c r="H279" s="1"/>
      <c r="I279" s="61"/>
      <c r="J279" s="1"/>
      <c r="K279" s="1"/>
      <c r="L279" s="1"/>
    </row>
    <row r="280" spans="1:12" ht="15.75" customHeight="1">
      <c r="A280" s="2"/>
      <c r="B280" s="1"/>
      <c r="C280" s="1"/>
      <c r="D280" s="1"/>
      <c r="E280" s="1"/>
      <c r="F280" s="1"/>
      <c r="G280" s="1"/>
      <c r="H280" s="1"/>
      <c r="I280" s="61"/>
      <c r="J280" s="1"/>
      <c r="K280" s="1"/>
      <c r="L280" s="1"/>
    </row>
    <row r="281" spans="1:12" ht="15.75" customHeight="1">
      <c r="A281" s="2"/>
      <c r="B281" s="1"/>
      <c r="C281" s="1"/>
      <c r="D281" s="1"/>
      <c r="E281" s="1"/>
      <c r="F281" s="1"/>
      <c r="G281" s="1"/>
      <c r="H281" s="1"/>
      <c r="I281" s="61"/>
      <c r="J281" s="1"/>
      <c r="K281" s="1"/>
      <c r="L281" s="1"/>
    </row>
    <row r="282" spans="1:12" ht="15.75" customHeight="1">
      <c r="A282" s="2"/>
      <c r="B282" s="1"/>
      <c r="C282" s="1"/>
      <c r="D282" s="1"/>
      <c r="E282" s="1"/>
      <c r="F282" s="1"/>
      <c r="G282" s="1"/>
      <c r="H282" s="1"/>
      <c r="I282" s="61"/>
      <c r="J282" s="1"/>
      <c r="K282" s="1"/>
      <c r="L282" s="1"/>
    </row>
    <row r="283" spans="1:12" ht="15.75" customHeight="1">
      <c r="A283" s="2"/>
      <c r="B283" s="1"/>
      <c r="C283" s="1"/>
      <c r="D283" s="1"/>
      <c r="E283" s="1"/>
      <c r="F283" s="1"/>
      <c r="G283" s="1"/>
      <c r="H283" s="1"/>
      <c r="I283" s="61"/>
      <c r="J283" s="1"/>
      <c r="K283" s="1"/>
      <c r="L283" s="1"/>
    </row>
    <row r="284" spans="1:12" ht="15.75" customHeight="1">
      <c r="A284" s="2"/>
      <c r="B284" s="1"/>
      <c r="C284" s="1"/>
      <c r="D284" s="1"/>
      <c r="E284" s="1"/>
      <c r="F284" s="1"/>
      <c r="G284" s="1"/>
      <c r="H284" s="1"/>
      <c r="I284" s="61"/>
      <c r="J284" s="1"/>
      <c r="K284" s="1"/>
      <c r="L284" s="1"/>
    </row>
    <row r="285" spans="1:12" ht="15.75" customHeight="1">
      <c r="A285" s="2"/>
      <c r="B285" s="1"/>
      <c r="C285" s="1"/>
      <c r="D285" s="1"/>
      <c r="E285" s="1"/>
      <c r="F285" s="1"/>
      <c r="G285" s="1"/>
      <c r="H285" s="1"/>
      <c r="I285" s="61"/>
      <c r="J285" s="1"/>
      <c r="K285" s="1"/>
      <c r="L285" s="1"/>
    </row>
    <row r="286" spans="1:12" ht="15.75" customHeight="1">
      <c r="A286" s="2"/>
      <c r="B286" s="1"/>
      <c r="C286" s="1"/>
      <c r="D286" s="1"/>
      <c r="E286" s="1"/>
      <c r="F286" s="1"/>
      <c r="G286" s="1"/>
      <c r="H286" s="1"/>
      <c r="I286" s="61"/>
      <c r="J286" s="1"/>
      <c r="K286" s="1"/>
      <c r="L286" s="1"/>
    </row>
    <row r="287" spans="1:12" ht="15.75" customHeight="1">
      <c r="A287" s="2"/>
      <c r="B287" s="1"/>
      <c r="C287" s="1"/>
      <c r="D287" s="1"/>
      <c r="E287" s="1"/>
      <c r="F287" s="1"/>
      <c r="G287" s="1"/>
      <c r="H287" s="1"/>
      <c r="I287" s="61"/>
      <c r="J287" s="1"/>
      <c r="K287" s="1"/>
      <c r="L287" s="1"/>
    </row>
    <row r="288" spans="1:12" ht="15.75" customHeight="1">
      <c r="A288" s="2"/>
      <c r="B288" s="1"/>
      <c r="C288" s="1"/>
      <c r="D288" s="1"/>
      <c r="E288" s="1"/>
      <c r="F288" s="1"/>
      <c r="G288" s="1"/>
      <c r="H288" s="1"/>
      <c r="I288" s="61"/>
      <c r="J288" s="1"/>
      <c r="K288" s="1"/>
      <c r="L288" s="1"/>
    </row>
    <row r="289" spans="1:12" ht="15.75" customHeight="1">
      <c r="A289" s="2"/>
      <c r="B289" s="1"/>
      <c r="C289" s="1"/>
      <c r="D289" s="1"/>
      <c r="E289" s="1"/>
      <c r="F289" s="1"/>
      <c r="G289" s="1"/>
      <c r="H289" s="1"/>
      <c r="I289" s="61"/>
      <c r="J289" s="1"/>
      <c r="K289" s="1"/>
      <c r="L289" s="1"/>
    </row>
    <row r="290" spans="1:12" ht="15.75" customHeight="1">
      <c r="A290" s="2"/>
      <c r="B290" s="1"/>
      <c r="C290" s="1"/>
      <c r="D290" s="1"/>
      <c r="E290" s="1"/>
      <c r="F290" s="1"/>
      <c r="G290" s="1"/>
      <c r="H290" s="1"/>
      <c r="I290" s="61"/>
      <c r="J290" s="1"/>
      <c r="K290" s="1"/>
      <c r="L290" s="1"/>
    </row>
    <row r="291" spans="1:12" ht="15.75" customHeight="1">
      <c r="A291" s="2"/>
      <c r="B291" s="1"/>
      <c r="C291" s="1"/>
      <c r="D291" s="1"/>
      <c r="E291" s="1"/>
      <c r="F291" s="1"/>
      <c r="G291" s="1"/>
      <c r="H291" s="1"/>
      <c r="I291" s="61"/>
      <c r="J291" s="1"/>
      <c r="K291" s="1"/>
      <c r="L291" s="1"/>
    </row>
    <row r="292" spans="1:12" ht="15.75" customHeight="1">
      <c r="A292" s="2"/>
      <c r="B292" s="1"/>
      <c r="C292" s="1"/>
      <c r="D292" s="1"/>
      <c r="E292" s="1"/>
      <c r="F292" s="1"/>
      <c r="G292" s="1"/>
      <c r="H292" s="1"/>
      <c r="I292" s="61"/>
      <c r="J292" s="1"/>
      <c r="K292" s="1"/>
      <c r="L292" s="1"/>
    </row>
    <row r="293" spans="1:12" ht="15.75" customHeight="1">
      <c r="A293" s="2"/>
      <c r="B293" s="1"/>
      <c r="C293" s="1"/>
      <c r="D293" s="1"/>
      <c r="E293" s="1"/>
      <c r="F293" s="1"/>
      <c r="G293" s="1"/>
      <c r="H293" s="1"/>
      <c r="I293" s="61"/>
      <c r="J293" s="1"/>
      <c r="K293" s="1"/>
      <c r="L293" s="1"/>
    </row>
    <row r="294" spans="1:12" ht="15.75" customHeight="1">
      <c r="A294" s="2"/>
      <c r="B294" s="1"/>
      <c r="C294" s="1"/>
      <c r="D294" s="1"/>
      <c r="E294" s="1"/>
      <c r="F294" s="1"/>
      <c r="G294" s="1"/>
      <c r="H294" s="1"/>
      <c r="I294" s="61"/>
      <c r="J294" s="1"/>
      <c r="K294" s="1"/>
      <c r="L294" s="1"/>
    </row>
    <row r="295" spans="1:12" ht="15.75" customHeight="1">
      <c r="A295" s="2"/>
      <c r="B295" s="1"/>
      <c r="C295" s="1"/>
      <c r="D295" s="1"/>
      <c r="E295" s="1"/>
      <c r="F295" s="1"/>
      <c r="G295" s="1"/>
      <c r="H295" s="1"/>
      <c r="I295" s="61"/>
      <c r="J295" s="1"/>
      <c r="K295" s="1"/>
      <c r="L295" s="1"/>
    </row>
    <row r="296" spans="1:12" ht="15.75" customHeight="1">
      <c r="A296" s="2"/>
      <c r="B296" s="1"/>
      <c r="C296" s="1"/>
      <c r="D296" s="1"/>
      <c r="E296" s="1"/>
      <c r="F296" s="1"/>
      <c r="G296" s="1"/>
      <c r="H296" s="1"/>
      <c r="I296" s="61"/>
      <c r="J296" s="1"/>
      <c r="K296" s="1"/>
      <c r="L296" s="1"/>
    </row>
    <row r="297" spans="1:12" ht="15.75" customHeight="1">
      <c r="A297" s="2"/>
      <c r="B297" s="1"/>
      <c r="C297" s="1"/>
      <c r="D297" s="1"/>
      <c r="E297" s="1"/>
      <c r="F297" s="1"/>
      <c r="G297" s="1"/>
      <c r="H297" s="1"/>
      <c r="I297" s="61"/>
      <c r="J297" s="1"/>
      <c r="K297" s="1"/>
      <c r="L297" s="1"/>
    </row>
    <row r="298" spans="1:12" ht="15.75" customHeight="1">
      <c r="A298" s="2"/>
      <c r="B298" s="1"/>
      <c r="C298" s="1"/>
      <c r="D298" s="1"/>
      <c r="E298" s="1"/>
      <c r="F298" s="1"/>
      <c r="G298" s="1"/>
      <c r="H298" s="1"/>
      <c r="I298" s="61"/>
      <c r="J298" s="1"/>
      <c r="K298" s="1"/>
      <c r="L298" s="1"/>
    </row>
    <row r="299" spans="1:12" ht="15.75" customHeight="1">
      <c r="A299" s="2"/>
      <c r="B299" s="1"/>
      <c r="C299" s="1"/>
      <c r="D299" s="1"/>
      <c r="E299" s="1"/>
      <c r="F299" s="1"/>
      <c r="G299" s="1"/>
      <c r="H299" s="1"/>
      <c r="I299" s="61"/>
      <c r="J299" s="1"/>
      <c r="K299" s="1"/>
      <c r="L299" s="1"/>
    </row>
    <row r="300" spans="1:12" ht="15.75" customHeight="1">
      <c r="A300" s="2"/>
      <c r="B300" s="1"/>
      <c r="C300" s="1"/>
      <c r="D300" s="1"/>
      <c r="E300" s="1"/>
      <c r="F300" s="1"/>
      <c r="G300" s="1"/>
      <c r="H300" s="1"/>
      <c r="I300" s="61"/>
      <c r="J300" s="1"/>
      <c r="K300" s="1"/>
      <c r="L300" s="1"/>
    </row>
    <row r="301" spans="1:12" ht="15.75" customHeight="1">
      <c r="A301" s="2"/>
      <c r="B301" s="1"/>
      <c r="C301" s="1"/>
      <c r="D301" s="1"/>
      <c r="E301" s="1"/>
      <c r="F301" s="1"/>
      <c r="G301" s="1"/>
      <c r="H301" s="1"/>
      <c r="I301" s="61"/>
      <c r="J301" s="1"/>
      <c r="K301" s="1"/>
      <c r="L301" s="1"/>
    </row>
    <row r="302" spans="1:12" ht="15.75" customHeight="1">
      <c r="A302" s="2"/>
      <c r="B302" s="1"/>
      <c r="C302" s="1"/>
      <c r="D302" s="1"/>
      <c r="E302" s="1"/>
      <c r="F302" s="1"/>
      <c r="G302" s="1"/>
      <c r="H302" s="1"/>
      <c r="I302" s="61"/>
      <c r="J302" s="1"/>
      <c r="K302" s="1"/>
      <c r="L302" s="1"/>
    </row>
    <row r="303" spans="1:12" ht="15.75" customHeight="1">
      <c r="A303" s="2"/>
      <c r="B303" s="1"/>
      <c r="C303" s="1"/>
      <c r="D303" s="1"/>
      <c r="E303" s="1"/>
      <c r="F303" s="1"/>
      <c r="G303" s="1"/>
      <c r="H303" s="1"/>
      <c r="I303" s="61"/>
      <c r="J303" s="1"/>
      <c r="K303" s="1"/>
      <c r="L303" s="1"/>
    </row>
    <row r="304" spans="1:12" ht="15.75" customHeight="1">
      <c r="A304" s="2"/>
      <c r="B304" s="1"/>
      <c r="C304" s="1"/>
      <c r="D304" s="1"/>
      <c r="E304" s="1"/>
      <c r="F304" s="1"/>
      <c r="G304" s="1"/>
      <c r="H304" s="1"/>
      <c r="I304" s="61"/>
      <c r="J304" s="1"/>
      <c r="K304" s="1"/>
      <c r="L304" s="1"/>
    </row>
    <row r="305" spans="1:12" ht="15.75" customHeight="1">
      <c r="A305" s="2"/>
      <c r="B305" s="1"/>
      <c r="C305" s="1"/>
      <c r="D305" s="1"/>
      <c r="E305" s="1"/>
      <c r="F305" s="1"/>
      <c r="G305" s="1"/>
      <c r="H305" s="1"/>
      <c r="I305" s="61"/>
      <c r="J305" s="1"/>
      <c r="K305" s="1"/>
      <c r="L305" s="1"/>
    </row>
    <row r="306" spans="1:12" ht="15.75" customHeight="1">
      <c r="A306" s="2"/>
      <c r="B306" s="1"/>
      <c r="C306" s="1"/>
      <c r="D306" s="1"/>
      <c r="E306" s="1"/>
      <c r="F306" s="1"/>
      <c r="G306" s="1"/>
      <c r="H306" s="1"/>
      <c r="I306" s="61"/>
      <c r="J306" s="1"/>
      <c r="K306" s="1"/>
      <c r="L306" s="1"/>
    </row>
    <row r="307" spans="1:12" ht="15.75" customHeight="1">
      <c r="A307" s="2"/>
      <c r="B307" s="1"/>
      <c r="C307" s="1"/>
      <c r="D307" s="1"/>
      <c r="E307" s="1"/>
      <c r="F307" s="1"/>
      <c r="G307" s="1"/>
      <c r="H307" s="1"/>
      <c r="I307" s="61"/>
      <c r="J307" s="1"/>
      <c r="K307" s="1"/>
      <c r="L307" s="1"/>
    </row>
    <row r="308" spans="1:12" ht="15.75" customHeight="1">
      <c r="A308" s="2"/>
      <c r="B308" s="1"/>
      <c r="C308" s="1"/>
      <c r="D308" s="1"/>
      <c r="E308" s="1"/>
      <c r="F308" s="1"/>
      <c r="G308" s="1"/>
      <c r="H308" s="1"/>
      <c r="I308" s="61"/>
      <c r="J308" s="1"/>
      <c r="K308" s="1"/>
      <c r="L308" s="1"/>
    </row>
    <row r="309" spans="1:12" ht="15.75" customHeight="1">
      <c r="A309" s="2"/>
      <c r="B309" s="1"/>
      <c r="C309" s="1"/>
      <c r="D309" s="1"/>
      <c r="E309" s="1"/>
      <c r="F309" s="1"/>
      <c r="G309" s="1"/>
      <c r="H309" s="1"/>
      <c r="I309" s="61"/>
      <c r="J309" s="1"/>
      <c r="K309" s="1"/>
      <c r="L309" s="1"/>
    </row>
    <row r="310" spans="1:12" ht="15.75" customHeight="1">
      <c r="A310" s="2"/>
      <c r="B310" s="1"/>
      <c r="C310" s="1"/>
      <c r="D310" s="1"/>
      <c r="E310" s="1"/>
      <c r="F310" s="1"/>
      <c r="G310" s="1"/>
      <c r="H310" s="1"/>
      <c r="I310" s="61"/>
      <c r="J310" s="1"/>
      <c r="K310" s="1"/>
      <c r="L310" s="1"/>
    </row>
    <row r="311" spans="1:12" ht="15.75" customHeight="1">
      <c r="A311" s="2"/>
      <c r="B311" s="1"/>
      <c r="C311" s="1"/>
      <c r="D311" s="1"/>
      <c r="E311" s="1"/>
      <c r="F311" s="1"/>
      <c r="G311" s="1"/>
      <c r="H311" s="1"/>
      <c r="I311" s="61"/>
      <c r="J311" s="1"/>
      <c r="K311" s="1"/>
      <c r="L311" s="1"/>
    </row>
    <row r="312" spans="1:12" ht="15.75" customHeight="1">
      <c r="A312" s="2"/>
      <c r="B312" s="1"/>
      <c r="C312" s="1"/>
      <c r="D312" s="1"/>
      <c r="E312" s="1"/>
      <c r="F312" s="1"/>
      <c r="G312" s="1"/>
      <c r="H312" s="1"/>
      <c r="I312" s="61"/>
      <c r="J312" s="1"/>
      <c r="K312" s="1"/>
      <c r="L312" s="1"/>
    </row>
    <row r="313" spans="1:12" ht="15.75" customHeight="1">
      <c r="A313" s="2"/>
      <c r="B313" s="1"/>
      <c r="C313" s="1"/>
      <c r="D313" s="1"/>
      <c r="E313" s="1"/>
      <c r="F313" s="1"/>
      <c r="G313" s="1"/>
      <c r="H313" s="1"/>
      <c r="I313" s="61"/>
      <c r="J313" s="1"/>
      <c r="K313" s="1"/>
      <c r="L313" s="1"/>
    </row>
    <row r="314" spans="1:12" ht="15.75" customHeight="1">
      <c r="A314" s="2"/>
      <c r="B314" s="1"/>
      <c r="C314" s="1"/>
      <c r="D314" s="1"/>
      <c r="E314" s="1"/>
      <c r="F314" s="1"/>
      <c r="G314" s="1"/>
      <c r="H314" s="1"/>
      <c r="I314" s="61"/>
      <c r="J314" s="1"/>
      <c r="K314" s="1"/>
      <c r="L314" s="1"/>
    </row>
    <row r="315" spans="1:12" ht="15.75" customHeight="1">
      <c r="A315" s="2"/>
      <c r="B315" s="1"/>
      <c r="C315" s="1"/>
      <c r="D315" s="1"/>
      <c r="E315" s="1"/>
      <c r="F315" s="1"/>
      <c r="G315" s="1"/>
      <c r="H315" s="1"/>
      <c r="I315" s="61"/>
      <c r="J315" s="1"/>
      <c r="K315" s="1"/>
      <c r="L315" s="1"/>
    </row>
    <row r="316" spans="1:12" ht="15.75" customHeight="1">
      <c r="A316" s="2"/>
      <c r="B316" s="1"/>
      <c r="C316" s="1"/>
      <c r="D316" s="1"/>
      <c r="E316" s="1"/>
      <c r="F316" s="1"/>
      <c r="G316" s="1"/>
      <c r="H316" s="1"/>
      <c r="I316" s="61"/>
      <c r="J316" s="1"/>
      <c r="K316" s="1"/>
      <c r="L316" s="1"/>
    </row>
    <row r="317" spans="1:12" ht="15.75" customHeight="1">
      <c r="A317" s="2"/>
      <c r="B317" s="1"/>
      <c r="C317" s="1"/>
      <c r="D317" s="1"/>
      <c r="E317" s="1"/>
      <c r="F317" s="1"/>
      <c r="G317" s="1"/>
      <c r="H317" s="1"/>
      <c r="I317" s="61"/>
      <c r="J317" s="1"/>
      <c r="K317" s="1"/>
      <c r="L317" s="1"/>
    </row>
    <row r="318" spans="1:12" ht="15.75" customHeight="1">
      <c r="A318" s="2"/>
      <c r="B318" s="1"/>
      <c r="C318" s="1"/>
      <c r="D318" s="1"/>
      <c r="E318" s="1"/>
      <c r="F318" s="1"/>
      <c r="G318" s="1"/>
      <c r="H318" s="1"/>
      <c r="I318" s="61"/>
      <c r="J318" s="1"/>
      <c r="K318" s="1"/>
      <c r="L318" s="1"/>
    </row>
    <row r="319" spans="1:12" ht="15.75" customHeight="1">
      <c r="A319" s="2"/>
      <c r="B319" s="1"/>
      <c r="C319" s="1"/>
      <c r="D319" s="1"/>
      <c r="E319" s="1"/>
      <c r="F319" s="1"/>
      <c r="G319" s="1"/>
      <c r="H319" s="1"/>
      <c r="I319" s="61"/>
      <c r="J319" s="1"/>
      <c r="K319" s="1"/>
      <c r="L319" s="1"/>
    </row>
    <row r="320" spans="1:12" ht="15.75" customHeight="1">
      <c r="A320" s="2"/>
      <c r="B320" s="1"/>
      <c r="C320" s="1"/>
      <c r="D320" s="1"/>
      <c r="E320" s="1"/>
      <c r="F320" s="1"/>
      <c r="G320" s="1"/>
      <c r="H320" s="1"/>
      <c r="I320" s="61"/>
      <c r="J320" s="1"/>
      <c r="K320" s="1"/>
      <c r="L320" s="1"/>
    </row>
    <row r="321" spans="1:12" ht="15.75" customHeight="1">
      <c r="A321" s="2"/>
      <c r="B321" s="1"/>
      <c r="C321" s="1"/>
      <c r="D321" s="1"/>
      <c r="E321" s="1"/>
      <c r="F321" s="1"/>
      <c r="G321" s="1"/>
      <c r="H321" s="1"/>
      <c r="I321" s="61"/>
      <c r="J321" s="1"/>
      <c r="K321" s="1"/>
      <c r="L321" s="1"/>
    </row>
    <row r="322" spans="1:12" ht="15.75" customHeight="1">
      <c r="A322" s="2"/>
      <c r="B322" s="1"/>
      <c r="C322" s="1"/>
      <c r="D322" s="1"/>
      <c r="E322" s="1"/>
      <c r="F322" s="1"/>
      <c r="G322" s="1"/>
      <c r="H322" s="1"/>
      <c r="I322" s="61"/>
      <c r="J322" s="1"/>
      <c r="K322" s="1"/>
      <c r="L322" s="1"/>
    </row>
    <row r="323" spans="1:12" ht="15.75" customHeight="1">
      <c r="A323" s="2"/>
      <c r="B323" s="1"/>
      <c r="C323" s="1"/>
      <c r="D323" s="1"/>
      <c r="E323" s="1"/>
      <c r="F323" s="1"/>
      <c r="G323" s="1"/>
      <c r="H323" s="1"/>
      <c r="I323" s="61"/>
      <c r="J323" s="1"/>
      <c r="K323" s="1"/>
      <c r="L323" s="1"/>
    </row>
    <row r="324" spans="1:12" ht="15.75" customHeight="1">
      <c r="A324" s="2"/>
      <c r="B324" s="1"/>
      <c r="C324" s="1"/>
      <c r="D324" s="1"/>
      <c r="E324" s="1"/>
      <c r="F324" s="1"/>
      <c r="G324" s="1"/>
      <c r="H324" s="1"/>
      <c r="I324" s="61"/>
      <c r="J324" s="1"/>
      <c r="K324" s="1"/>
      <c r="L324" s="1"/>
    </row>
    <row r="325" spans="1:12" ht="15.75" customHeight="1">
      <c r="A325" s="2"/>
      <c r="B325" s="1"/>
      <c r="C325" s="1"/>
      <c r="D325" s="1"/>
      <c r="E325" s="1"/>
      <c r="F325" s="1"/>
      <c r="G325" s="1"/>
      <c r="H325" s="1"/>
      <c r="I325" s="61"/>
      <c r="J325" s="1"/>
      <c r="K325" s="1"/>
      <c r="L325" s="1"/>
    </row>
    <row r="326" spans="1:12" ht="15.75" customHeight="1">
      <c r="A326" s="2"/>
      <c r="B326" s="1"/>
      <c r="C326" s="1"/>
      <c r="D326" s="1"/>
      <c r="E326" s="1"/>
      <c r="F326" s="1"/>
      <c r="G326" s="1"/>
      <c r="H326" s="1"/>
      <c r="I326" s="61"/>
      <c r="J326" s="1"/>
      <c r="K326" s="1"/>
      <c r="L326" s="1"/>
    </row>
    <row r="327" spans="1:12" ht="15.75" customHeight="1">
      <c r="A327" s="2"/>
      <c r="B327" s="1"/>
      <c r="C327" s="1"/>
      <c r="D327" s="1"/>
      <c r="E327" s="1"/>
      <c r="F327" s="1"/>
      <c r="G327" s="1"/>
      <c r="H327" s="1"/>
      <c r="I327" s="61"/>
      <c r="J327" s="1"/>
      <c r="K327" s="1"/>
      <c r="L327" s="1"/>
    </row>
    <row r="328" spans="1:12" ht="15.75" customHeight="1">
      <c r="A328" s="2"/>
      <c r="B328" s="1"/>
      <c r="C328" s="1"/>
      <c r="D328" s="1"/>
      <c r="E328" s="1"/>
      <c r="F328" s="1"/>
      <c r="G328" s="1"/>
      <c r="H328" s="1"/>
      <c r="I328" s="61"/>
      <c r="J328" s="1"/>
      <c r="K328" s="1"/>
      <c r="L328" s="1"/>
    </row>
    <row r="329" spans="1:12" ht="15.75" customHeight="1">
      <c r="A329" s="2"/>
      <c r="B329" s="1"/>
      <c r="C329" s="1"/>
      <c r="D329" s="1"/>
      <c r="E329" s="1"/>
      <c r="F329" s="1"/>
      <c r="G329" s="1"/>
      <c r="H329" s="1"/>
      <c r="I329" s="61"/>
      <c r="J329" s="1"/>
      <c r="K329" s="1"/>
      <c r="L329" s="1"/>
    </row>
    <row r="330" spans="1:12" ht="15.75" customHeight="1">
      <c r="A330" s="2"/>
      <c r="B330" s="1"/>
      <c r="C330" s="1"/>
      <c r="D330" s="1"/>
      <c r="E330" s="1"/>
      <c r="F330" s="1"/>
      <c r="G330" s="1"/>
      <c r="H330" s="1"/>
      <c r="I330" s="61"/>
      <c r="J330" s="1"/>
      <c r="K330" s="1"/>
      <c r="L330" s="1"/>
    </row>
    <row r="331" spans="1:12" ht="15.75" customHeight="1">
      <c r="A331" s="2"/>
      <c r="B331" s="1"/>
      <c r="C331" s="1"/>
      <c r="D331" s="1"/>
      <c r="E331" s="1"/>
      <c r="F331" s="1"/>
      <c r="G331" s="1"/>
      <c r="H331" s="1"/>
      <c r="I331" s="61"/>
      <c r="J331" s="1"/>
      <c r="K331" s="1"/>
      <c r="L331" s="1"/>
    </row>
    <row r="332" spans="1:12" ht="15.75" customHeight="1">
      <c r="A332" s="2"/>
      <c r="B332" s="1"/>
      <c r="C332" s="1"/>
      <c r="D332" s="1"/>
      <c r="E332" s="1"/>
      <c r="F332" s="1"/>
      <c r="G332" s="1"/>
      <c r="H332" s="1"/>
      <c r="I332" s="61"/>
      <c r="J332" s="1"/>
      <c r="K332" s="1"/>
      <c r="L332" s="1"/>
    </row>
    <row r="333" spans="1:12" ht="15.75" customHeight="1">
      <c r="A333" s="2"/>
      <c r="B333" s="1"/>
      <c r="C333" s="1"/>
      <c r="D333" s="1"/>
      <c r="E333" s="1"/>
      <c r="F333" s="1"/>
      <c r="G333" s="1"/>
      <c r="H333" s="1"/>
      <c r="I333" s="61"/>
      <c r="J333" s="1"/>
      <c r="K333" s="1"/>
      <c r="L333" s="1"/>
    </row>
    <row r="334" spans="1:12" ht="15.75" customHeight="1">
      <c r="A334" s="2"/>
      <c r="B334" s="1"/>
      <c r="C334" s="1"/>
      <c r="D334" s="1"/>
      <c r="E334" s="1"/>
      <c r="F334" s="1"/>
      <c r="G334" s="1"/>
      <c r="H334" s="1"/>
      <c r="I334" s="61"/>
      <c r="J334" s="1"/>
      <c r="K334" s="1"/>
      <c r="L334" s="1"/>
    </row>
    <row r="335" spans="1:12" ht="15.75" customHeight="1">
      <c r="A335" s="2"/>
      <c r="B335" s="1"/>
      <c r="C335" s="1"/>
      <c r="D335" s="1"/>
      <c r="E335" s="1"/>
      <c r="F335" s="1"/>
      <c r="G335" s="1"/>
      <c r="H335" s="1"/>
      <c r="I335" s="61"/>
      <c r="J335" s="1"/>
      <c r="K335" s="1"/>
      <c r="L335" s="1"/>
    </row>
    <row r="336" spans="1:12" ht="15.75" customHeight="1">
      <c r="A336" s="2"/>
      <c r="B336" s="1"/>
      <c r="C336" s="1"/>
      <c r="D336" s="1"/>
      <c r="E336" s="1"/>
      <c r="F336" s="1"/>
      <c r="G336" s="1"/>
      <c r="H336" s="1"/>
      <c r="I336" s="61"/>
      <c r="J336" s="1"/>
      <c r="K336" s="1"/>
      <c r="L336" s="1"/>
    </row>
    <row r="337" spans="1:12" ht="15.75" customHeight="1">
      <c r="A337" s="2"/>
      <c r="B337" s="1"/>
      <c r="C337" s="1"/>
      <c r="D337" s="1"/>
      <c r="E337" s="1"/>
      <c r="F337" s="1"/>
      <c r="G337" s="1"/>
      <c r="H337" s="1"/>
      <c r="I337" s="61"/>
      <c r="J337" s="1"/>
      <c r="K337" s="1"/>
      <c r="L337" s="1"/>
    </row>
    <row r="338" spans="1:12" ht="15.75" customHeight="1">
      <c r="A338" s="2"/>
      <c r="B338" s="1"/>
      <c r="C338" s="1"/>
      <c r="D338" s="1"/>
      <c r="E338" s="1"/>
      <c r="F338" s="1"/>
      <c r="G338" s="1"/>
      <c r="H338" s="1"/>
      <c r="I338" s="61"/>
      <c r="J338" s="1"/>
      <c r="K338" s="1"/>
      <c r="L338" s="1"/>
    </row>
    <row r="339" spans="1:12" ht="15.75" customHeight="1">
      <c r="A339" s="2"/>
      <c r="B339" s="1"/>
      <c r="C339" s="1"/>
      <c r="D339" s="1"/>
      <c r="E339" s="1"/>
      <c r="F339" s="1"/>
      <c r="G339" s="1"/>
      <c r="H339" s="1"/>
      <c r="I339" s="61"/>
      <c r="J339" s="1"/>
      <c r="K339" s="1"/>
      <c r="L339" s="1"/>
    </row>
    <row r="340" spans="1:12" ht="15.75" customHeight="1">
      <c r="A340" s="2"/>
      <c r="B340" s="1"/>
      <c r="C340" s="1"/>
      <c r="D340" s="1"/>
      <c r="E340" s="1"/>
      <c r="F340" s="1"/>
      <c r="G340" s="1"/>
      <c r="H340" s="1"/>
      <c r="I340" s="61"/>
      <c r="J340" s="1"/>
      <c r="K340" s="1"/>
      <c r="L340" s="1"/>
    </row>
    <row r="341" spans="1:12" ht="15.75" customHeight="1">
      <c r="A341" s="2"/>
      <c r="B341" s="1"/>
      <c r="C341" s="1"/>
      <c r="D341" s="1"/>
      <c r="E341" s="1"/>
      <c r="F341" s="1"/>
      <c r="G341" s="1"/>
      <c r="H341" s="1"/>
      <c r="I341" s="61"/>
      <c r="J341" s="1"/>
      <c r="K341" s="1"/>
      <c r="L341" s="1"/>
    </row>
    <row r="342" spans="1:12" ht="15.75" customHeight="1">
      <c r="A342" s="2"/>
      <c r="B342" s="1"/>
      <c r="C342" s="1"/>
      <c r="D342" s="1"/>
      <c r="E342" s="1"/>
      <c r="F342" s="1"/>
      <c r="G342" s="1"/>
      <c r="H342" s="1"/>
      <c r="I342" s="61"/>
      <c r="J342" s="1"/>
      <c r="K342" s="1"/>
      <c r="L342" s="1"/>
    </row>
    <row r="343" spans="1:12" ht="15.75" customHeight="1">
      <c r="A343" s="2"/>
      <c r="B343" s="1"/>
      <c r="C343" s="1"/>
      <c r="D343" s="1"/>
      <c r="E343" s="1"/>
      <c r="F343" s="1"/>
      <c r="G343" s="1"/>
      <c r="H343" s="1"/>
      <c r="I343" s="61"/>
      <c r="J343" s="1"/>
      <c r="K343" s="1"/>
      <c r="L343" s="1"/>
    </row>
    <row r="344" spans="1:12" ht="15.75" customHeight="1">
      <c r="A344" s="2"/>
      <c r="B344" s="1"/>
      <c r="C344" s="1"/>
      <c r="D344" s="1"/>
      <c r="E344" s="1"/>
      <c r="F344" s="1"/>
      <c r="G344" s="1"/>
      <c r="H344" s="1"/>
      <c r="I344" s="61"/>
      <c r="J344" s="1"/>
      <c r="K344" s="1"/>
      <c r="L344" s="1"/>
    </row>
    <row r="345" spans="1:12" ht="15.75" customHeight="1">
      <c r="A345" s="2"/>
      <c r="B345" s="1"/>
      <c r="C345" s="1"/>
      <c r="D345" s="1"/>
      <c r="E345" s="1"/>
      <c r="F345" s="1"/>
      <c r="G345" s="1"/>
      <c r="H345" s="1"/>
      <c r="I345" s="61"/>
      <c r="J345" s="1"/>
      <c r="K345" s="1"/>
      <c r="L345" s="1"/>
    </row>
    <row r="346" spans="1:12" ht="15.75" customHeight="1">
      <c r="A346" s="2"/>
      <c r="B346" s="1"/>
      <c r="C346" s="1"/>
      <c r="D346" s="1"/>
      <c r="E346" s="1"/>
      <c r="F346" s="1"/>
      <c r="G346" s="1"/>
      <c r="H346" s="1"/>
      <c r="I346" s="61"/>
      <c r="J346" s="1"/>
      <c r="K346" s="1"/>
      <c r="L346" s="1"/>
    </row>
    <row r="347" spans="1:12" ht="15.75" customHeight="1">
      <c r="A347" s="2"/>
      <c r="B347" s="1"/>
      <c r="C347" s="1"/>
      <c r="D347" s="1"/>
      <c r="E347" s="1"/>
      <c r="F347" s="1"/>
      <c r="G347" s="1"/>
      <c r="H347" s="1"/>
      <c r="I347" s="61"/>
      <c r="J347" s="1"/>
      <c r="K347" s="1"/>
      <c r="L347" s="1"/>
    </row>
    <row r="348" spans="1:12" ht="15.75" customHeight="1">
      <c r="A348" s="2"/>
      <c r="B348" s="1"/>
      <c r="C348" s="1"/>
      <c r="D348" s="1"/>
      <c r="E348" s="1"/>
      <c r="F348" s="1"/>
      <c r="G348" s="1"/>
      <c r="H348" s="1"/>
      <c r="I348" s="61"/>
      <c r="J348" s="1"/>
      <c r="K348" s="1"/>
      <c r="L348" s="1"/>
    </row>
    <row r="349" spans="1:12" ht="15.75" customHeight="1">
      <c r="A349" s="2"/>
      <c r="B349" s="1"/>
      <c r="C349" s="1"/>
      <c r="D349" s="1"/>
      <c r="E349" s="1"/>
      <c r="F349" s="1"/>
      <c r="G349" s="1"/>
      <c r="H349" s="1"/>
      <c r="I349" s="61"/>
      <c r="J349" s="1"/>
      <c r="K349" s="1"/>
      <c r="L349" s="1"/>
    </row>
    <row r="350" spans="1:12" ht="15.75" customHeight="1">
      <c r="A350" s="2"/>
      <c r="B350" s="1"/>
      <c r="C350" s="1"/>
      <c r="D350" s="1"/>
      <c r="E350" s="1"/>
      <c r="F350" s="1"/>
      <c r="G350" s="1"/>
      <c r="H350" s="1"/>
      <c r="I350" s="61"/>
      <c r="J350" s="1"/>
      <c r="K350" s="1"/>
      <c r="L350" s="1"/>
    </row>
    <row r="351" spans="1:12" ht="15.75" customHeight="1">
      <c r="A351" s="2"/>
      <c r="B351" s="1"/>
      <c r="C351" s="1"/>
      <c r="D351" s="1"/>
      <c r="E351" s="1"/>
      <c r="F351" s="1"/>
      <c r="G351" s="1"/>
      <c r="H351" s="1"/>
      <c r="I351" s="61"/>
      <c r="J351" s="1"/>
      <c r="K351" s="1"/>
      <c r="L351" s="1"/>
    </row>
    <row r="352" spans="1:12" ht="15.75" customHeight="1">
      <c r="A352" s="2"/>
      <c r="B352" s="1"/>
      <c r="C352" s="1"/>
      <c r="D352" s="1"/>
      <c r="E352" s="1"/>
      <c r="F352" s="1"/>
      <c r="G352" s="1"/>
      <c r="H352" s="1"/>
      <c r="I352" s="61"/>
      <c r="J352" s="1"/>
      <c r="K352" s="1"/>
      <c r="L352" s="1"/>
    </row>
    <row r="353" spans="1:12" ht="15.75" customHeight="1">
      <c r="A353" s="2"/>
      <c r="B353" s="1"/>
      <c r="C353" s="1"/>
      <c r="D353" s="1"/>
      <c r="E353" s="1"/>
      <c r="F353" s="1"/>
      <c r="G353" s="1"/>
      <c r="H353" s="1"/>
      <c r="I353" s="61"/>
      <c r="J353" s="1"/>
      <c r="K353" s="1"/>
      <c r="L353" s="1"/>
    </row>
    <row r="354" spans="1:12" ht="15.75" customHeight="1">
      <c r="A354" s="2"/>
      <c r="B354" s="1"/>
      <c r="C354" s="1"/>
      <c r="D354" s="1"/>
      <c r="E354" s="1"/>
      <c r="F354" s="1"/>
      <c r="G354" s="1"/>
      <c r="H354" s="1"/>
      <c r="I354" s="61"/>
      <c r="J354" s="1"/>
      <c r="K354" s="1"/>
      <c r="L354" s="1"/>
    </row>
    <row r="355" spans="1:12" ht="15.75" customHeight="1">
      <c r="A355" s="2"/>
      <c r="B355" s="1"/>
      <c r="C355" s="1"/>
      <c r="D355" s="1"/>
      <c r="E355" s="1"/>
      <c r="F355" s="1"/>
      <c r="G355" s="1"/>
      <c r="H355" s="1"/>
      <c r="I355" s="61"/>
      <c r="J355" s="1"/>
      <c r="K355" s="1"/>
      <c r="L355" s="1"/>
    </row>
    <row r="356" spans="1:12" ht="15.75" customHeight="1">
      <c r="A356" s="2"/>
      <c r="B356" s="1"/>
      <c r="C356" s="1"/>
      <c r="D356" s="1"/>
      <c r="E356" s="1"/>
      <c r="F356" s="1"/>
      <c r="G356" s="1"/>
      <c r="H356" s="1"/>
      <c r="I356" s="61"/>
      <c r="J356" s="1"/>
      <c r="K356" s="1"/>
      <c r="L356" s="1"/>
    </row>
    <row r="357" spans="1:12" ht="15.75" customHeight="1">
      <c r="A357" s="2"/>
      <c r="B357" s="1"/>
      <c r="C357" s="1"/>
      <c r="D357" s="1"/>
      <c r="E357" s="1"/>
      <c r="F357" s="1"/>
      <c r="G357" s="1"/>
      <c r="H357" s="1"/>
      <c r="I357" s="61"/>
      <c r="J357" s="1"/>
      <c r="K357" s="1"/>
      <c r="L357" s="1"/>
    </row>
    <row r="358" spans="1:12" ht="15.75" customHeight="1">
      <c r="A358" s="2"/>
      <c r="B358" s="1"/>
      <c r="C358" s="1"/>
      <c r="D358" s="1"/>
      <c r="E358" s="1"/>
      <c r="F358" s="1"/>
      <c r="G358" s="1"/>
      <c r="H358" s="1"/>
      <c r="I358" s="61"/>
      <c r="J358" s="1"/>
      <c r="K358" s="1"/>
      <c r="L358" s="1"/>
    </row>
    <row r="359" spans="1:12" ht="15.75" customHeight="1">
      <c r="A359" s="2"/>
      <c r="B359" s="1"/>
      <c r="C359" s="1"/>
      <c r="D359" s="1"/>
      <c r="E359" s="1"/>
      <c r="F359" s="1"/>
      <c r="G359" s="1"/>
      <c r="H359" s="1"/>
      <c r="I359" s="61"/>
      <c r="J359" s="1"/>
      <c r="K359" s="1"/>
      <c r="L359" s="1"/>
    </row>
    <row r="360" spans="1:12" ht="15.75" customHeight="1">
      <c r="A360" s="2"/>
      <c r="B360" s="1"/>
      <c r="C360" s="1"/>
      <c r="D360" s="1"/>
      <c r="E360" s="1"/>
      <c r="F360" s="1"/>
      <c r="G360" s="1"/>
      <c r="H360" s="1"/>
      <c r="I360" s="61"/>
      <c r="J360" s="1"/>
      <c r="K360" s="1"/>
      <c r="L360" s="1"/>
    </row>
    <row r="361" spans="1:12" ht="15.75" customHeight="1">
      <c r="A361" s="2"/>
      <c r="B361" s="1"/>
      <c r="C361" s="1"/>
      <c r="D361" s="1"/>
      <c r="E361" s="1"/>
      <c r="F361" s="1"/>
      <c r="G361" s="1"/>
      <c r="H361" s="1"/>
      <c r="I361" s="61"/>
      <c r="J361" s="1"/>
      <c r="K361" s="1"/>
      <c r="L361" s="1"/>
    </row>
    <row r="362" spans="1:12" ht="15.75" customHeight="1">
      <c r="A362" s="2"/>
      <c r="B362" s="1"/>
      <c r="C362" s="1"/>
      <c r="D362" s="1"/>
      <c r="E362" s="1"/>
      <c r="F362" s="1"/>
      <c r="G362" s="1"/>
      <c r="H362" s="1"/>
      <c r="I362" s="61"/>
      <c r="J362" s="1"/>
      <c r="K362" s="1"/>
      <c r="L362" s="1"/>
    </row>
    <row r="363" spans="1:12" ht="15.75" customHeight="1">
      <c r="A363" s="2"/>
      <c r="B363" s="1"/>
      <c r="C363" s="1"/>
      <c r="D363" s="1"/>
      <c r="E363" s="1"/>
      <c r="F363" s="1"/>
      <c r="G363" s="1"/>
      <c r="H363" s="1"/>
      <c r="I363" s="61"/>
      <c r="J363" s="1"/>
      <c r="K363" s="1"/>
      <c r="L363" s="1"/>
    </row>
    <row r="364" spans="1:12" ht="15.75" customHeight="1">
      <c r="A364" s="2"/>
      <c r="B364" s="1"/>
      <c r="C364" s="1"/>
      <c r="D364" s="1"/>
      <c r="E364" s="1"/>
      <c r="F364" s="1"/>
      <c r="G364" s="1"/>
      <c r="H364" s="1"/>
      <c r="I364" s="61"/>
      <c r="J364" s="1"/>
      <c r="K364" s="1"/>
      <c r="L364" s="1"/>
    </row>
    <row r="365" spans="1:12" ht="15.75" customHeight="1">
      <c r="A365" s="2"/>
      <c r="B365" s="1"/>
      <c r="C365" s="1"/>
      <c r="D365" s="1"/>
      <c r="E365" s="1"/>
      <c r="F365" s="1"/>
      <c r="G365" s="1"/>
      <c r="H365" s="1"/>
      <c r="I365" s="61"/>
      <c r="J365" s="1"/>
      <c r="K365" s="1"/>
      <c r="L365" s="1"/>
    </row>
    <row r="366" spans="1:12" ht="15.75" customHeight="1">
      <c r="A366" s="2"/>
      <c r="B366" s="1"/>
      <c r="C366" s="1"/>
      <c r="D366" s="1"/>
      <c r="E366" s="1"/>
      <c r="F366" s="1"/>
      <c r="G366" s="1"/>
      <c r="H366" s="1"/>
      <c r="I366" s="61"/>
      <c r="J366" s="1"/>
      <c r="K366" s="1"/>
      <c r="L366" s="1"/>
    </row>
    <row r="367" spans="1:12" ht="15.75" customHeight="1">
      <c r="A367" s="2"/>
      <c r="B367" s="1"/>
      <c r="C367" s="1"/>
      <c r="D367" s="1"/>
      <c r="E367" s="1"/>
      <c r="F367" s="1"/>
      <c r="G367" s="1"/>
      <c r="H367" s="1"/>
      <c r="I367" s="61"/>
      <c r="J367" s="1"/>
      <c r="K367" s="1"/>
      <c r="L367" s="1"/>
    </row>
    <row r="368" spans="1:12" ht="15.75" customHeight="1">
      <c r="A368" s="2"/>
      <c r="B368" s="1"/>
      <c r="C368" s="1"/>
      <c r="D368" s="1"/>
      <c r="E368" s="1"/>
      <c r="F368" s="1"/>
      <c r="G368" s="1"/>
      <c r="H368" s="1"/>
      <c r="I368" s="61"/>
      <c r="J368" s="1"/>
      <c r="K368" s="1"/>
      <c r="L368" s="1"/>
    </row>
    <row r="369" spans="1:12" ht="15.75" customHeight="1">
      <c r="A369" s="2"/>
      <c r="B369" s="1"/>
      <c r="C369" s="1"/>
      <c r="D369" s="1"/>
      <c r="E369" s="1"/>
      <c r="F369" s="1"/>
      <c r="G369" s="1"/>
      <c r="H369" s="1"/>
      <c r="I369" s="61"/>
      <c r="J369" s="1"/>
      <c r="K369" s="1"/>
      <c r="L369" s="1"/>
    </row>
    <row r="370" spans="1:12" ht="15.75" customHeight="1">
      <c r="A370" s="2"/>
      <c r="B370" s="1"/>
      <c r="C370" s="1"/>
      <c r="D370" s="1"/>
      <c r="E370" s="1"/>
      <c r="F370" s="1"/>
      <c r="G370" s="1"/>
      <c r="H370" s="1"/>
      <c r="I370" s="61"/>
      <c r="J370" s="1"/>
      <c r="K370" s="1"/>
      <c r="L370" s="1"/>
    </row>
    <row r="371" spans="1:12" ht="15.75" customHeight="1">
      <c r="A371" s="2"/>
      <c r="B371" s="1"/>
      <c r="C371" s="1"/>
      <c r="D371" s="1"/>
      <c r="E371" s="1"/>
      <c r="F371" s="1"/>
      <c r="G371" s="1"/>
      <c r="H371" s="1"/>
      <c r="I371" s="61"/>
      <c r="J371" s="1"/>
      <c r="K371" s="1"/>
      <c r="L371" s="1"/>
    </row>
    <row r="372" spans="1:12" ht="15.75" customHeight="1">
      <c r="A372" s="2"/>
      <c r="B372" s="1"/>
      <c r="C372" s="1"/>
      <c r="D372" s="1"/>
      <c r="E372" s="1"/>
      <c r="F372" s="1"/>
      <c r="G372" s="1"/>
      <c r="H372" s="1"/>
      <c r="I372" s="61"/>
      <c r="J372" s="1"/>
      <c r="K372" s="1"/>
      <c r="L372" s="1"/>
    </row>
    <row r="373" spans="1:12" ht="15.75" customHeight="1">
      <c r="A373" s="2"/>
      <c r="B373" s="1"/>
      <c r="C373" s="1"/>
      <c r="D373" s="1"/>
      <c r="E373" s="1"/>
      <c r="F373" s="1"/>
      <c r="G373" s="1"/>
      <c r="H373" s="1"/>
      <c r="I373" s="61"/>
      <c r="J373" s="1"/>
      <c r="K373" s="1"/>
      <c r="L373" s="1"/>
    </row>
    <row r="374" spans="1:12" ht="15.75" customHeight="1">
      <c r="A374" s="2"/>
      <c r="B374" s="1"/>
      <c r="C374" s="1"/>
      <c r="D374" s="1"/>
      <c r="E374" s="1"/>
      <c r="F374" s="1"/>
      <c r="G374" s="1"/>
      <c r="H374" s="1"/>
      <c r="I374" s="61"/>
      <c r="J374" s="1"/>
      <c r="K374" s="1"/>
      <c r="L374" s="1"/>
    </row>
    <row r="375" spans="1:12" ht="15.75" customHeight="1">
      <c r="A375" s="2"/>
      <c r="B375" s="1"/>
      <c r="C375" s="1"/>
      <c r="D375" s="1"/>
      <c r="E375" s="1"/>
      <c r="F375" s="1"/>
      <c r="G375" s="1"/>
      <c r="H375" s="1"/>
      <c r="I375" s="61"/>
      <c r="J375" s="1"/>
      <c r="K375" s="1"/>
      <c r="L375" s="1"/>
    </row>
    <row r="376" spans="1:12" ht="15.75" customHeight="1">
      <c r="A376" s="2"/>
      <c r="B376" s="1"/>
      <c r="C376" s="1"/>
      <c r="D376" s="1"/>
      <c r="E376" s="1"/>
      <c r="F376" s="1"/>
      <c r="G376" s="1"/>
      <c r="H376" s="1"/>
      <c r="I376" s="61"/>
      <c r="J376" s="1"/>
      <c r="K376" s="1"/>
      <c r="L376" s="1"/>
    </row>
    <row r="377" spans="1:12" ht="15.75" customHeight="1">
      <c r="A377" s="2"/>
      <c r="B377" s="1"/>
      <c r="C377" s="1"/>
      <c r="D377" s="1"/>
      <c r="E377" s="1"/>
      <c r="F377" s="1"/>
      <c r="G377" s="1"/>
      <c r="H377" s="1"/>
      <c r="I377" s="61"/>
      <c r="J377" s="1"/>
      <c r="K377" s="1"/>
      <c r="L377" s="1"/>
    </row>
    <row r="378" spans="1:12" ht="15.75" customHeight="1">
      <c r="A378" s="2"/>
      <c r="B378" s="1"/>
      <c r="C378" s="1"/>
      <c r="D378" s="1"/>
      <c r="E378" s="1"/>
      <c r="F378" s="1"/>
      <c r="G378" s="1"/>
      <c r="H378" s="1"/>
      <c r="I378" s="61"/>
      <c r="J378" s="1"/>
      <c r="K378" s="1"/>
      <c r="L378" s="1"/>
    </row>
    <row r="379" spans="1:12" ht="15.75" customHeight="1">
      <c r="A379" s="2"/>
      <c r="B379" s="1"/>
      <c r="C379" s="1"/>
      <c r="D379" s="1"/>
      <c r="E379" s="1"/>
      <c r="F379" s="1"/>
      <c r="G379" s="1"/>
      <c r="H379" s="1"/>
      <c r="I379" s="61"/>
      <c r="J379" s="1"/>
      <c r="K379" s="1"/>
      <c r="L379" s="1"/>
    </row>
    <row r="380" spans="1:12" ht="15.75" customHeight="1">
      <c r="A380" s="2"/>
      <c r="B380" s="1"/>
      <c r="C380" s="1"/>
      <c r="D380" s="1"/>
      <c r="E380" s="1"/>
      <c r="F380" s="1"/>
      <c r="G380" s="1"/>
      <c r="H380" s="1"/>
      <c r="I380" s="61"/>
      <c r="J380" s="1"/>
      <c r="K380" s="1"/>
      <c r="L380" s="1"/>
    </row>
    <row r="381" spans="1:12" ht="15.75" customHeight="1">
      <c r="A381" s="2"/>
      <c r="B381" s="1"/>
      <c r="C381" s="1"/>
      <c r="D381" s="1"/>
      <c r="E381" s="1"/>
      <c r="F381" s="1"/>
      <c r="G381" s="1"/>
      <c r="H381" s="1"/>
      <c r="I381" s="61"/>
      <c r="J381" s="1"/>
      <c r="K381" s="1"/>
      <c r="L381" s="1"/>
    </row>
    <row r="382" spans="1:12" ht="15.75" customHeight="1">
      <c r="A382" s="2"/>
      <c r="B382" s="1"/>
      <c r="C382" s="1"/>
      <c r="D382" s="1"/>
      <c r="E382" s="1"/>
      <c r="F382" s="1"/>
      <c r="G382" s="1"/>
      <c r="H382" s="1"/>
      <c r="I382" s="61"/>
      <c r="J382" s="1"/>
      <c r="K382" s="1"/>
      <c r="L382" s="1"/>
    </row>
    <row r="383" spans="1:12" ht="15.75" customHeight="1">
      <c r="A383" s="2"/>
      <c r="B383" s="1"/>
      <c r="C383" s="1"/>
      <c r="D383" s="1"/>
      <c r="E383" s="1"/>
      <c r="F383" s="1"/>
      <c r="G383" s="1"/>
      <c r="H383" s="1"/>
      <c r="I383" s="61"/>
      <c r="J383" s="1"/>
      <c r="K383" s="1"/>
      <c r="L383" s="1"/>
    </row>
    <row r="384" spans="1:12" ht="15.75" customHeight="1">
      <c r="A384" s="2"/>
      <c r="B384" s="1"/>
      <c r="C384" s="1"/>
      <c r="D384" s="1"/>
      <c r="E384" s="1"/>
      <c r="F384" s="1"/>
      <c r="G384" s="1"/>
      <c r="H384" s="1"/>
      <c r="I384" s="61"/>
      <c r="J384" s="1"/>
      <c r="K384" s="1"/>
      <c r="L384" s="1"/>
    </row>
    <row r="385" spans="1:12" ht="15.75" customHeight="1">
      <c r="A385" s="2"/>
      <c r="B385" s="1"/>
      <c r="C385" s="1"/>
      <c r="D385" s="1"/>
      <c r="E385" s="1"/>
      <c r="F385" s="1"/>
      <c r="G385" s="1"/>
      <c r="H385" s="1"/>
      <c r="I385" s="61"/>
      <c r="J385" s="1"/>
      <c r="K385" s="1"/>
      <c r="L385" s="1"/>
    </row>
    <row r="386" spans="1:12" ht="15.75" customHeight="1">
      <c r="A386" s="2"/>
      <c r="B386" s="1"/>
      <c r="C386" s="1"/>
      <c r="D386" s="1"/>
      <c r="E386" s="1"/>
      <c r="F386" s="1"/>
      <c r="G386" s="1"/>
      <c r="H386" s="1"/>
      <c r="I386" s="61"/>
      <c r="J386" s="1"/>
      <c r="K386" s="1"/>
      <c r="L386" s="1"/>
    </row>
    <row r="387" spans="1:12" ht="15.75" customHeight="1">
      <c r="A387" s="2"/>
      <c r="B387" s="1"/>
      <c r="C387" s="1"/>
      <c r="D387" s="1"/>
      <c r="E387" s="1"/>
      <c r="F387" s="1"/>
      <c r="G387" s="1"/>
      <c r="H387" s="1"/>
      <c r="I387" s="61"/>
      <c r="J387" s="1"/>
      <c r="K387" s="1"/>
      <c r="L387" s="1"/>
    </row>
    <row r="388" spans="1:12" ht="15.75" customHeight="1">
      <c r="A388" s="2"/>
      <c r="B388" s="1"/>
      <c r="C388" s="1"/>
      <c r="D388" s="1"/>
      <c r="E388" s="1"/>
      <c r="F388" s="1"/>
      <c r="G388" s="1"/>
      <c r="H388" s="1"/>
      <c r="I388" s="61"/>
      <c r="J388" s="1"/>
      <c r="K388" s="1"/>
      <c r="L388" s="1"/>
    </row>
    <row r="389" spans="1:12" ht="15.75" customHeight="1">
      <c r="A389" s="2"/>
      <c r="B389" s="1"/>
      <c r="C389" s="1"/>
      <c r="D389" s="1"/>
      <c r="E389" s="1"/>
      <c r="F389" s="1"/>
      <c r="G389" s="1"/>
      <c r="H389" s="1"/>
      <c r="I389" s="61"/>
      <c r="J389" s="1"/>
      <c r="K389" s="1"/>
      <c r="L389" s="1"/>
    </row>
    <row r="390" spans="1:12" ht="15.75" customHeight="1">
      <c r="A390" s="2"/>
      <c r="B390" s="1"/>
      <c r="C390" s="1"/>
      <c r="D390" s="1"/>
      <c r="E390" s="1"/>
      <c r="F390" s="1"/>
      <c r="G390" s="1"/>
      <c r="H390" s="1"/>
      <c r="I390" s="61"/>
      <c r="J390" s="1"/>
      <c r="K390" s="1"/>
      <c r="L390" s="1"/>
    </row>
    <row r="391" spans="1:12" ht="15.75" customHeight="1">
      <c r="A391" s="2"/>
      <c r="B391" s="1"/>
      <c r="C391" s="1"/>
      <c r="D391" s="1"/>
      <c r="E391" s="1"/>
      <c r="F391" s="1"/>
      <c r="G391" s="1"/>
      <c r="H391" s="1"/>
      <c r="I391" s="61"/>
      <c r="J391" s="1"/>
      <c r="K391" s="1"/>
      <c r="L391" s="1"/>
    </row>
    <row r="392" spans="1:12" ht="15.75" customHeight="1">
      <c r="A392" s="2"/>
      <c r="B392" s="1"/>
      <c r="C392" s="1"/>
      <c r="D392" s="1"/>
      <c r="E392" s="1"/>
      <c r="F392" s="1"/>
      <c r="G392" s="1"/>
      <c r="H392" s="1"/>
      <c r="I392" s="61"/>
      <c r="J392" s="1"/>
      <c r="K392" s="1"/>
      <c r="L392" s="1"/>
    </row>
    <row r="393" spans="1:12" ht="15.75" customHeight="1">
      <c r="A393" s="2"/>
      <c r="B393" s="1"/>
      <c r="C393" s="1"/>
      <c r="D393" s="1"/>
      <c r="E393" s="1"/>
      <c r="F393" s="1"/>
      <c r="G393" s="1"/>
      <c r="H393" s="1"/>
      <c r="I393" s="61"/>
      <c r="J393" s="1"/>
      <c r="K393" s="1"/>
      <c r="L393" s="1"/>
    </row>
    <row r="394" spans="1:12" ht="15.75" customHeight="1">
      <c r="A394" s="2"/>
      <c r="B394" s="1"/>
      <c r="C394" s="1"/>
      <c r="D394" s="1"/>
      <c r="E394" s="1"/>
      <c r="F394" s="1"/>
      <c r="G394" s="1"/>
      <c r="H394" s="1"/>
      <c r="I394" s="61"/>
      <c r="J394" s="1"/>
      <c r="K394" s="1"/>
      <c r="L394" s="1"/>
    </row>
    <row r="395" spans="1:12" ht="15.75" customHeight="1">
      <c r="A395" s="2"/>
      <c r="B395" s="1"/>
      <c r="C395" s="1"/>
      <c r="D395" s="1"/>
      <c r="E395" s="1"/>
      <c r="F395" s="1"/>
      <c r="G395" s="1"/>
      <c r="H395" s="1"/>
      <c r="I395" s="61"/>
      <c r="J395" s="1"/>
      <c r="K395" s="1"/>
      <c r="L395" s="1"/>
    </row>
    <row r="396" spans="1:12" ht="15.75" customHeight="1">
      <c r="A396" s="2"/>
      <c r="B396" s="1"/>
      <c r="C396" s="1"/>
      <c r="D396" s="1"/>
      <c r="E396" s="1"/>
      <c r="F396" s="1"/>
      <c r="G396" s="1"/>
      <c r="H396" s="1"/>
      <c r="I396" s="61"/>
      <c r="J396" s="1"/>
      <c r="K396" s="1"/>
      <c r="L396" s="1"/>
    </row>
    <row r="397" spans="1:12" ht="15.75" customHeight="1">
      <c r="A397" s="2"/>
      <c r="B397" s="1"/>
      <c r="C397" s="1"/>
      <c r="D397" s="1"/>
      <c r="E397" s="1"/>
      <c r="F397" s="1"/>
      <c r="G397" s="1"/>
      <c r="H397" s="1"/>
      <c r="I397" s="61"/>
      <c r="J397" s="1"/>
      <c r="K397" s="1"/>
      <c r="L397" s="1"/>
    </row>
    <row r="398" spans="1:12" ht="15.75" customHeight="1">
      <c r="A398" s="2"/>
      <c r="B398" s="1"/>
      <c r="C398" s="1"/>
      <c r="D398" s="1"/>
      <c r="E398" s="1"/>
      <c r="F398" s="1"/>
      <c r="G398" s="1"/>
      <c r="H398" s="1"/>
      <c r="I398" s="61"/>
      <c r="J398" s="1"/>
      <c r="K398" s="1"/>
      <c r="L398" s="1"/>
    </row>
    <row r="399" spans="1:12" ht="15.75" customHeight="1">
      <c r="A399" s="2"/>
      <c r="B399" s="1"/>
      <c r="C399" s="1"/>
      <c r="D399" s="1"/>
      <c r="E399" s="1"/>
      <c r="F399" s="1"/>
      <c r="G399" s="1"/>
      <c r="H399" s="1"/>
      <c r="I399" s="61"/>
      <c r="J399" s="1"/>
      <c r="K399" s="1"/>
      <c r="L399" s="1"/>
    </row>
    <row r="400" spans="1:12" ht="15.75" customHeight="1">
      <c r="A400" s="2"/>
      <c r="B400" s="1"/>
      <c r="C400" s="1"/>
      <c r="D400" s="1"/>
      <c r="E400" s="1"/>
      <c r="F400" s="1"/>
      <c r="G400" s="1"/>
      <c r="H400" s="1"/>
      <c r="I400" s="61"/>
      <c r="J400" s="1"/>
      <c r="K400" s="1"/>
      <c r="L400" s="1"/>
    </row>
    <row r="401" spans="1:12" ht="15.75" customHeight="1">
      <c r="A401" s="2"/>
      <c r="B401" s="1"/>
      <c r="C401" s="1"/>
      <c r="D401" s="1"/>
      <c r="E401" s="1"/>
      <c r="F401" s="1"/>
      <c r="G401" s="1"/>
      <c r="H401" s="1"/>
      <c r="I401" s="61"/>
      <c r="J401" s="1"/>
      <c r="K401" s="1"/>
      <c r="L401" s="1"/>
    </row>
    <row r="402" spans="1:12" ht="15.75" customHeight="1">
      <c r="A402" s="2"/>
      <c r="B402" s="1"/>
      <c r="C402" s="1"/>
      <c r="D402" s="1"/>
      <c r="E402" s="1"/>
      <c r="F402" s="1"/>
      <c r="G402" s="1"/>
      <c r="H402" s="1"/>
      <c r="I402" s="61"/>
      <c r="J402" s="1"/>
      <c r="K402" s="1"/>
      <c r="L402" s="1"/>
    </row>
    <row r="403" spans="1:12" ht="15.75" customHeight="1">
      <c r="A403" s="2"/>
      <c r="B403" s="1"/>
      <c r="C403" s="1"/>
      <c r="D403" s="1"/>
      <c r="E403" s="1"/>
      <c r="F403" s="1"/>
      <c r="G403" s="1"/>
      <c r="H403" s="1"/>
      <c r="I403" s="61"/>
      <c r="J403" s="1"/>
      <c r="K403" s="1"/>
      <c r="L403" s="1"/>
    </row>
    <row r="404" spans="1:12" ht="15.75" customHeight="1">
      <c r="A404" s="2"/>
      <c r="B404" s="1"/>
      <c r="C404" s="1"/>
      <c r="D404" s="1"/>
      <c r="E404" s="1"/>
      <c r="F404" s="1"/>
      <c r="G404" s="1"/>
      <c r="H404" s="1"/>
      <c r="I404" s="61"/>
      <c r="J404" s="1"/>
      <c r="K404" s="1"/>
      <c r="L404" s="1"/>
    </row>
    <row r="405" spans="1:12" ht="15.75" customHeight="1">
      <c r="A405" s="2"/>
      <c r="B405" s="1"/>
      <c r="C405" s="1"/>
      <c r="D405" s="1"/>
      <c r="E405" s="1"/>
      <c r="F405" s="1"/>
      <c r="G405" s="1"/>
      <c r="H405" s="1"/>
      <c r="I405" s="61"/>
      <c r="J405" s="1"/>
      <c r="K405" s="1"/>
      <c r="L405" s="1"/>
    </row>
    <row r="406" spans="1:12" ht="15.75" customHeight="1">
      <c r="A406" s="2"/>
      <c r="B406" s="1"/>
      <c r="C406" s="1"/>
      <c r="D406" s="1"/>
      <c r="E406" s="1"/>
      <c r="F406" s="1"/>
      <c r="G406" s="1"/>
      <c r="H406" s="1"/>
      <c r="I406" s="61"/>
      <c r="J406" s="1"/>
      <c r="K406" s="1"/>
      <c r="L406" s="1"/>
    </row>
    <row r="407" spans="1:12" ht="15.75" customHeight="1">
      <c r="A407" s="2"/>
      <c r="B407" s="1"/>
      <c r="C407" s="1"/>
      <c r="D407" s="1"/>
      <c r="E407" s="1"/>
      <c r="F407" s="1"/>
      <c r="G407" s="1"/>
      <c r="H407" s="1"/>
      <c r="I407" s="61"/>
      <c r="J407" s="1"/>
      <c r="K407" s="1"/>
      <c r="L407" s="1"/>
    </row>
    <row r="408" spans="1:12" ht="15.75" customHeight="1">
      <c r="A408" s="2"/>
      <c r="B408" s="1"/>
      <c r="C408" s="1"/>
      <c r="D408" s="1"/>
      <c r="E408" s="1"/>
      <c r="F408" s="1"/>
      <c r="G408" s="1"/>
      <c r="H408" s="1"/>
      <c r="I408" s="61"/>
      <c r="J408" s="1"/>
      <c r="K408" s="1"/>
      <c r="L408" s="1"/>
    </row>
    <row r="409" spans="1:12" ht="15.75" customHeight="1">
      <c r="A409" s="2"/>
      <c r="B409" s="1"/>
      <c r="C409" s="1"/>
      <c r="D409" s="1"/>
      <c r="E409" s="1"/>
      <c r="F409" s="1"/>
      <c r="G409" s="1"/>
      <c r="H409" s="1"/>
      <c r="I409" s="61"/>
      <c r="J409" s="1"/>
      <c r="K409" s="1"/>
      <c r="L409" s="1"/>
    </row>
    <row r="410" spans="1:12" ht="15.75" customHeight="1">
      <c r="A410" s="2"/>
      <c r="B410" s="1"/>
      <c r="C410" s="1"/>
      <c r="D410" s="1"/>
      <c r="E410" s="1"/>
      <c r="F410" s="1"/>
      <c r="G410" s="1"/>
      <c r="H410" s="1"/>
      <c r="I410" s="61"/>
      <c r="J410" s="1"/>
      <c r="K410" s="1"/>
      <c r="L410" s="1"/>
    </row>
    <row r="411" spans="1:12" ht="15.75" customHeight="1">
      <c r="A411" s="2"/>
      <c r="B411" s="1"/>
      <c r="C411" s="1"/>
      <c r="D411" s="1"/>
      <c r="E411" s="1"/>
      <c r="F411" s="1"/>
      <c r="G411" s="1"/>
      <c r="H411" s="1"/>
      <c r="I411" s="61"/>
      <c r="J411" s="1"/>
      <c r="K411" s="1"/>
      <c r="L411" s="1"/>
    </row>
    <row r="412" spans="1:12" ht="15.75" customHeight="1">
      <c r="A412" s="2"/>
      <c r="B412" s="1"/>
      <c r="C412" s="1"/>
      <c r="D412" s="1"/>
      <c r="E412" s="1"/>
      <c r="F412" s="1"/>
      <c r="G412" s="1"/>
      <c r="H412" s="1"/>
      <c r="I412" s="61"/>
      <c r="J412" s="1"/>
      <c r="K412" s="1"/>
      <c r="L412" s="1"/>
    </row>
    <row r="413" spans="1:12" ht="15.75" customHeight="1">
      <c r="A413" s="2"/>
      <c r="B413" s="1"/>
      <c r="C413" s="1"/>
      <c r="D413" s="1"/>
      <c r="E413" s="1"/>
      <c r="F413" s="1"/>
      <c r="G413" s="1"/>
      <c r="H413" s="1"/>
      <c r="I413" s="61"/>
      <c r="J413" s="1"/>
      <c r="K413" s="1"/>
      <c r="L413" s="1"/>
    </row>
    <row r="414" spans="1:12" ht="15.75" customHeight="1">
      <c r="A414" s="2"/>
      <c r="B414" s="1"/>
      <c r="C414" s="1"/>
      <c r="D414" s="1"/>
      <c r="E414" s="1"/>
      <c r="F414" s="1"/>
      <c r="G414" s="1"/>
      <c r="H414" s="1"/>
      <c r="I414" s="61"/>
      <c r="J414" s="1"/>
      <c r="K414" s="1"/>
      <c r="L414" s="1"/>
    </row>
    <row r="415" spans="1:12" ht="15.75" customHeight="1">
      <c r="A415" s="2"/>
      <c r="B415" s="1"/>
      <c r="C415" s="1"/>
      <c r="D415" s="1"/>
      <c r="E415" s="1"/>
      <c r="F415" s="1"/>
      <c r="G415" s="1"/>
      <c r="H415" s="1"/>
      <c r="I415" s="61"/>
      <c r="J415" s="1"/>
      <c r="K415" s="1"/>
      <c r="L415" s="1"/>
    </row>
    <row r="416" spans="1:12" ht="15.75" customHeight="1">
      <c r="A416" s="2"/>
      <c r="B416" s="1"/>
      <c r="C416" s="1"/>
      <c r="D416" s="1"/>
      <c r="E416" s="1"/>
      <c r="F416" s="1"/>
      <c r="G416" s="1"/>
      <c r="H416" s="1"/>
      <c r="I416" s="61"/>
      <c r="J416" s="1"/>
      <c r="K416" s="1"/>
      <c r="L416" s="1"/>
    </row>
    <row r="417" spans="1:12" ht="15.75" customHeight="1">
      <c r="A417" s="2"/>
      <c r="B417" s="1"/>
      <c r="C417" s="1"/>
      <c r="D417" s="1"/>
      <c r="E417" s="1"/>
      <c r="F417" s="1"/>
      <c r="G417" s="1"/>
      <c r="H417" s="1"/>
      <c r="I417" s="61"/>
      <c r="J417" s="1"/>
      <c r="K417" s="1"/>
      <c r="L417" s="1"/>
    </row>
    <row r="418" spans="1:12" ht="15.75" customHeight="1">
      <c r="A418" s="2"/>
      <c r="B418" s="1"/>
      <c r="C418" s="1"/>
      <c r="D418" s="1"/>
      <c r="E418" s="1"/>
      <c r="F418" s="1"/>
      <c r="G418" s="1"/>
      <c r="H418" s="1"/>
      <c r="I418" s="61"/>
      <c r="J418" s="1"/>
      <c r="K418" s="1"/>
      <c r="L418" s="1"/>
    </row>
    <row r="419" spans="1:12" ht="15.75" customHeight="1">
      <c r="A419" s="2"/>
      <c r="B419" s="1"/>
      <c r="C419" s="1"/>
      <c r="D419" s="1"/>
      <c r="E419" s="1"/>
      <c r="F419" s="1"/>
      <c r="G419" s="1"/>
      <c r="H419" s="1"/>
      <c r="I419" s="61"/>
      <c r="J419" s="1"/>
      <c r="K419" s="1"/>
      <c r="L419" s="1"/>
    </row>
    <row r="420" spans="1:12" ht="15.75" customHeight="1">
      <c r="A420" s="2"/>
      <c r="B420" s="1"/>
      <c r="C420" s="1"/>
      <c r="D420" s="1"/>
      <c r="E420" s="1"/>
      <c r="F420" s="1"/>
      <c r="G420" s="1"/>
      <c r="H420" s="1"/>
      <c r="I420" s="61"/>
      <c r="J420" s="1"/>
      <c r="K420" s="1"/>
      <c r="L420" s="1"/>
    </row>
    <row r="421" spans="1:12" ht="15.75" customHeight="1">
      <c r="A421" s="2"/>
      <c r="B421" s="1"/>
      <c r="C421" s="1"/>
      <c r="D421" s="1"/>
      <c r="E421" s="1"/>
      <c r="F421" s="1"/>
      <c r="G421" s="1"/>
      <c r="H421" s="1"/>
      <c r="I421" s="61"/>
      <c r="J421" s="1"/>
      <c r="K421" s="1"/>
      <c r="L421" s="1"/>
    </row>
    <row r="422" spans="1:12" ht="15.75" customHeight="1">
      <c r="A422" s="2"/>
      <c r="B422" s="1"/>
      <c r="C422" s="1"/>
      <c r="D422" s="1"/>
      <c r="E422" s="1"/>
      <c r="F422" s="1"/>
      <c r="G422" s="1"/>
      <c r="H422" s="1"/>
      <c r="I422" s="61"/>
      <c r="J422" s="1"/>
      <c r="K422" s="1"/>
      <c r="L422" s="1"/>
    </row>
    <row r="423" spans="1:12" ht="15.75" customHeight="1">
      <c r="A423" s="2"/>
      <c r="B423" s="1"/>
      <c r="C423" s="1"/>
      <c r="D423" s="1"/>
      <c r="E423" s="1"/>
      <c r="F423" s="1"/>
      <c r="G423" s="1"/>
      <c r="H423" s="1"/>
      <c r="I423" s="61"/>
      <c r="J423" s="1"/>
      <c r="K423" s="1"/>
      <c r="L423" s="1"/>
    </row>
    <row r="424" spans="1:12" ht="15.75" customHeight="1">
      <c r="A424" s="2"/>
      <c r="B424" s="1"/>
      <c r="C424" s="1"/>
      <c r="D424" s="1"/>
      <c r="E424" s="1"/>
      <c r="F424" s="1"/>
      <c r="G424" s="1"/>
      <c r="H424" s="1"/>
      <c r="I424" s="61"/>
      <c r="J424" s="1"/>
      <c r="K424" s="1"/>
      <c r="L424" s="1"/>
    </row>
    <row r="425" spans="1:12" ht="15.75" customHeight="1">
      <c r="A425" s="2"/>
      <c r="B425" s="1"/>
      <c r="C425" s="1"/>
      <c r="D425" s="1"/>
      <c r="E425" s="1"/>
      <c r="F425" s="1"/>
      <c r="G425" s="1"/>
      <c r="H425" s="1"/>
      <c r="I425" s="61"/>
      <c r="J425" s="1"/>
      <c r="K425" s="1"/>
      <c r="L425" s="1"/>
    </row>
    <row r="426" spans="1:12" ht="15.75" customHeight="1">
      <c r="A426" s="2"/>
      <c r="B426" s="1"/>
      <c r="C426" s="1"/>
      <c r="D426" s="1"/>
      <c r="E426" s="1"/>
      <c r="F426" s="1"/>
      <c r="G426" s="1"/>
      <c r="H426" s="1"/>
      <c r="I426" s="61"/>
      <c r="J426" s="1"/>
      <c r="K426" s="1"/>
      <c r="L426" s="1"/>
    </row>
    <row r="427" spans="1:12" ht="15.75" customHeight="1">
      <c r="A427" s="2"/>
      <c r="B427" s="1"/>
      <c r="C427" s="1"/>
      <c r="D427" s="1"/>
      <c r="E427" s="1"/>
      <c r="F427" s="1"/>
      <c r="G427" s="1"/>
      <c r="H427" s="1"/>
      <c r="I427" s="61"/>
      <c r="J427" s="1"/>
      <c r="K427" s="1"/>
      <c r="L427" s="1"/>
    </row>
    <row r="428" spans="1:12" ht="15.75" customHeight="1">
      <c r="A428" s="2"/>
      <c r="B428" s="1"/>
      <c r="C428" s="1"/>
      <c r="D428" s="1"/>
      <c r="E428" s="1"/>
      <c r="F428" s="1"/>
      <c r="G428" s="1"/>
      <c r="H428" s="1"/>
      <c r="I428" s="61"/>
      <c r="J428" s="1"/>
      <c r="K428" s="1"/>
      <c r="L428" s="1"/>
    </row>
    <row r="429" spans="1:12" ht="15.75" customHeight="1">
      <c r="A429" s="2"/>
      <c r="B429" s="1"/>
      <c r="C429" s="1"/>
      <c r="D429" s="1"/>
      <c r="E429" s="1"/>
      <c r="F429" s="1"/>
      <c r="G429" s="1"/>
      <c r="H429" s="1"/>
      <c r="I429" s="61"/>
      <c r="J429" s="1"/>
      <c r="K429" s="1"/>
      <c r="L429" s="1"/>
    </row>
    <row r="430" spans="1:12" ht="15.75" customHeight="1">
      <c r="A430" s="2"/>
      <c r="B430" s="1"/>
      <c r="C430" s="1"/>
      <c r="D430" s="1"/>
      <c r="E430" s="1"/>
      <c r="F430" s="1"/>
      <c r="G430" s="1"/>
      <c r="H430" s="1"/>
      <c r="I430" s="61"/>
      <c r="J430" s="1"/>
      <c r="K430" s="1"/>
      <c r="L430" s="1"/>
    </row>
    <row r="431" spans="1:12" ht="15.75" customHeight="1">
      <c r="A431" s="2"/>
      <c r="B431" s="1"/>
      <c r="C431" s="1"/>
      <c r="D431" s="1"/>
      <c r="E431" s="1"/>
      <c r="F431" s="1"/>
      <c r="G431" s="1"/>
      <c r="H431" s="1"/>
      <c r="I431" s="61"/>
      <c r="J431" s="1"/>
      <c r="K431" s="1"/>
      <c r="L431" s="1"/>
    </row>
    <row r="432" spans="1:12" ht="15.75" customHeight="1">
      <c r="A432" s="2"/>
      <c r="B432" s="1"/>
      <c r="C432" s="1"/>
      <c r="D432" s="1"/>
      <c r="E432" s="1"/>
      <c r="F432" s="1"/>
      <c r="G432" s="1"/>
      <c r="H432" s="1"/>
      <c r="I432" s="61"/>
      <c r="J432" s="1"/>
      <c r="K432" s="1"/>
      <c r="L432" s="1"/>
    </row>
    <row r="433" spans="1:12" ht="15.75" customHeight="1">
      <c r="A433" s="2"/>
      <c r="B433" s="1"/>
      <c r="C433" s="1"/>
      <c r="D433" s="1"/>
      <c r="E433" s="1"/>
      <c r="F433" s="1"/>
      <c r="G433" s="1"/>
      <c r="H433" s="1"/>
      <c r="I433" s="61"/>
      <c r="J433" s="1"/>
      <c r="K433" s="1"/>
      <c r="L433" s="1"/>
    </row>
    <row r="434" spans="1:12" ht="15.75" customHeight="1">
      <c r="A434" s="2"/>
      <c r="B434" s="1"/>
      <c r="C434" s="1"/>
      <c r="D434" s="1"/>
      <c r="E434" s="1"/>
      <c r="F434" s="1"/>
      <c r="G434" s="1"/>
      <c r="H434" s="1"/>
      <c r="I434" s="61"/>
      <c r="J434" s="1"/>
      <c r="K434" s="1"/>
      <c r="L434" s="1"/>
    </row>
    <row r="435" spans="1:12" ht="15.75" customHeight="1">
      <c r="A435" s="2"/>
      <c r="B435" s="1"/>
      <c r="C435" s="1"/>
      <c r="D435" s="1"/>
      <c r="E435" s="1"/>
      <c r="F435" s="1"/>
      <c r="G435" s="1"/>
      <c r="H435" s="1"/>
      <c r="I435" s="61"/>
      <c r="J435" s="1"/>
      <c r="K435" s="1"/>
      <c r="L435" s="1"/>
    </row>
    <row r="436" spans="1:12" ht="15.75" customHeight="1">
      <c r="A436" s="2"/>
      <c r="B436" s="1"/>
      <c r="C436" s="1"/>
      <c r="D436" s="1"/>
      <c r="E436" s="1"/>
      <c r="F436" s="1"/>
      <c r="G436" s="1"/>
      <c r="H436" s="1"/>
      <c r="I436" s="61"/>
      <c r="J436" s="1"/>
      <c r="K436" s="1"/>
      <c r="L436" s="1"/>
    </row>
    <row r="437" spans="1:12" ht="15.75" customHeight="1">
      <c r="A437" s="2"/>
      <c r="B437" s="1"/>
      <c r="C437" s="1"/>
      <c r="D437" s="1"/>
      <c r="E437" s="1"/>
      <c r="F437" s="1"/>
      <c r="G437" s="1"/>
      <c r="H437" s="1"/>
      <c r="I437" s="61"/>
      <c r="J437" s="1"/>
      <c r="K437" s="1"/>
      <c r="L437" s="1"/>
    </row>
    <row r="438" spans="1:12" ht="15.75" customHeight="1">
      <c r="A438" s="2"/>
      <c r="B438" s="1"/>
      <c r="C438" s="1"/>
      <c r="D438" s="1"/>
      <c r="E438" s="1"/>
      <c r="F438" s="1"/>
      <c r="G438" s="1"/>
      <c r="H438" s="1"/>
      <c r="I438" s="61"/>
      <c r="J438" s="1"/>
      <c r="K438" s="1"/>
      <c r="L438" s="1"/>
    </row>
    <row r="439" spans="1:12" ht="15.75" customHeight="1">
      <c r="A439" s="2"/>
      <c r="B439" s="1"/>
      <c r="C439" s="1"/>
      <c r="D439" s="1"/>
      <c r="E439" s="1"/>
      <c r="F439" s="1"/>
      <c r="G439" s="1"/>
      <c r="H439" s="1"/>
      <c r="I439" s="61"/>
      <c r="J439" s="1"/>
      <c r="K439" s="1"/>
      <c r="L439" s="1"/>
    </row>
    <row r="440" spans="1:12" ht="15.75" customHeight="1">
      <c r="A440" s="2"/>
      <c r="B440" s="1"/>
      <c r="C440" s="1"/>
      <c r="D440" s="1"/>
      <c r="E440" s="1"/>
      <c r="F440" s="1"/>
      <c r="G440" s="1"/>
      <c r="H440" s="1"/>
      <c r="I440" s="61"/>
      <c r="J440" s="1"/>
      <c r="K440" s="1"/>
      <c r="L440" s="1"/>
    </row>
    <row r="441" spans="1:12" ht="15.75" customHeight="1">
      <c r="A441" s="2"/>
      <c r="B441" s="1"/>
      <c r="C441" s="1"/>
      <c r="D441" s="1"/>
      <c r="E441" s="1"/>
      <c r="F441" s="1"/>
      <c r="G441" s="1"/>
      <c r="H441" s="1"/>
      <c r="I441" s="61"/>
      <c r="J441" s="1"/>
      <c r="K441" s="1"/>
      <c r="L441" s="1"/>
    </row>
    <row r="442" spans="1:12" ht="15.75" customHeight="1">
      <c r="A442" s="2"/>
      <c r="B442" s="1"/>
      <c r="C442" s="1"/>
      <c r="D442" s="1"/>
      <c r="E442" s="1"/>
      <c r="F442" s="1"/>
      <c r="G442" s="1"/>
      <c r="H442" s="1"/>
      <c r="I442" s="61"/>
      <c r="J442" s="1"/>
      <c r="K442" s="1"/>
      <c r="L442" s="1"/>
    </row>
    <row r="443" spans="1:12" ht="15.75" customHeight="1">
      <c r="A443" s="2"/>
      <c r="B443" s="1"/>
      <c r="C443" s="1"/>
      <c r="D443" s="1"/>
      <c r="E443" s="1"/>
      <c r="F443" s="1"/>
      <c r="G443" s="1"/>
      <c r="H443" s="1"/>
      <c r="I443" s="61"/>
      <c r="J443" s="1"/>
      <c r="K443" s="1"/>
      <c r="L443" s="1"/>
    </row>
    <row r="444" spans="1:12" ht="15.75" customHeight="1">
      <c r="A444" s="2"/>
      <c r="B444" s="1"/>
      <c r="C444" s="1"/>
      <c r="D444" s="1"/>
      <c r="E444" s="1"/>
      <c r="F444" s="1"/>
      <c r="G444" s="1"/>
      <c r="H444" s="1"/>
      <c r="I444" s="61"/>
      <c r="J444" s="1"/>
      <c r="K444" s="1"/>
      <c r="L444" s="1"/>
    </row>
    <row r="445" spans="1:12" ht="15.75" customHeight="1">
      <c r="A445" s="2"/>
      <c r="B445" s="1"/>
      <c r="C445" s="1"/>
      <c r="D445" s="1"/>
      <c r="E445" s="1"/>
      <c r="F445" s="1"/>
      <c r="G445" s="1"/>
      <c r="H445" s="1"/>
      <c r="I445" s="61"/>
      <c r="J445" s="1"/>
      <c r="K445" s="1"/>
      <c r="L445" s="1"/>
    </row>
    <row r="446" spans="1:12" ht="15.75" customHeight="1">
      <c r="A446" s="2"/>
      <c r="B446" s="1"/>
      <c r="C446" s="1"/>
      <c r="D446" s="1"/>
      <c r="E446" s="1"/>
      <c r="F446" s="1"/>
      <c r="G446" s="1"/>
      <c r="H446" s="1"/>
      <c r="I446" s="61"/>
      <c r="J446" s="1"/>
      <c r="K446" s="1"/>
      <c r="L446" s="1"/>
    </row>
    <row r="447" spans="1:12" ht="15.75" customHeight="1">
      <c r="A447" s="2"/>
      <c r="B447" s="1"/>
      <c r="C447" s="1"/>
      <c r="D447" s="1"/>
      <c r="E447" s="1"/>
      <c r="F447" s="1"/>
      <c r="G447" s="1"/>
      <c r="H447" s="1"/>
      <c r="I447" s="61"/>
      <c r="J447" s="1"/>
      <c r="K447" s="1"/>
      <c r="L447" s="1"/>
    </row>
    <row r="448" spans="1:12" ht="15.75" customHeight="1">
      <c r="A448" s="2"/>
      <c r="B448" s="1"/>
      <c r="C448" s="1"/>
      <c r="D448" s="1"/>
      <c r="E448" s="1"/>
      <c r="F448" s="1"/>
      <c r="G448" s="1"/>
      <c r="H448" s="1"/>
      <c r="I448" s="61"/>
      <c r="J448" s="1"/>
      <c r="K448" s="1"/>
      <c r="L448" s="1"/>
    </row>
    <row r="449" spans="1:12" ht="15.75" customHeight="1">
      <c r="A449" s="2"/>
      <c r="B449" s="1"/>
      <c r="C449" s="1"/>
      <c r="D449" s="1"/>
      <c r="E449" s="1"/>
      <c r="F449" s="1"/>
      <c r="G449" s="1"/>
      <c r="H449" s="1"/>
      <c r="I449" s="61"/>
      <c r="J449" s="1"/>
      <c r="K449" s="1"/>
      <c r="L449" s="1"/>
    </row>
    <row r="450" spans="1:12" ht="15.75" customHeight="1">
      <c r="A450" s="2"/>
      <c r="B450" s="1"/>
      <c r="C450" s="1"/>
      <c r="D450" s="1"/>
      <c r="E450" s="1"/>
      <c r="F450" s="1"/>
      <c r="G450" s="1"/>
      <c r="H450" s="1"/>
      <c r="I450" s="61"/>
      <c r="J450" s="1"/>
      <c r="K450" s="1"/>
      <c r="L450" s="1"/>
    </row>
    <row r="451" spans="1:12" ht="15.75" customHeight="1">
      <c r="A451" s="2"/>
      <c r="B451" s="1"/>
      <c r="C451" s="1"/>
      <c r="D451" s="1"/>
      <c r="E451" s="1"/>
      <c r="F451" s="1"/>
      <c r="G451" s="1"/>
      <c r="H451" s="1"/>
      <c r="I451" s="61"/>
      <c r="J451" s="1"/>
      <c r="K451" s="1"/>
      <c r="L451" s="1"/>
    </row>
    <row r="452" spans="1:12" ht="15.75" customHeight="1">
      <c r="A452" s="2"/>
      <c r="B452" s="1"/>
      <c r="C452" s="1"/>
      <c r="D452" s="1"/>
      <c r="E452" s="1"/>
      <c r="F452" s="1"/>
      <c r="G452" s="1"/>
      <c r="H452" s="1"/>
      <c r="I452" s="61"/>
      <c r="J452" s="1"/>
      <c r="K452" s="1"/>
      <c r="L452" s="1"/>
    </row>
    <row r="453" spans="1:12" ht="15.75" customHeight="1">
      <c r="A453" s="2"/>
      <c r="B453" s="1"/>
      <c r="C453" s="1"/>
      <c r="D453" s="1"/>
      <c r="E453" s="1"/>
      <c r="F453" s="1"/>
      <c r="G453" s="1"/>
      <c r="H453" s="1"/>
      <c r="I453" s="61"/>
      <c r="J453" s="1"/>
      <c r="K453" s="1"/>
      <c r="L453" s="1"/>
    </row>
    <row r="454" spans="1:12" ht="15.75" customHeight="1">
      <c r="A454" s="2"/>
      <c r="B454" s="1"/>
      <c r="C454" s="1"/>
      <c r="D454" s="1"/>
      <c r="E454" s="1"/>
      <c r="F454" s="1"/>
      <c r="G454" s="1"/>
      <c r="H454" s="1"/>
      <c r="I454" s="61"/>
      <c r="J454" s="1"/>
      <c r="K454" s="1"/>
      <c r="L454" s="1"/>
    </row>
    <row r="455" spans="1:12" ht="15.75" customHeight="1">
      <c r="A455" s="2"/>
      <c r="B455" s="1"/>
      <c r="C455" s="1"/>
      <c r="D455" s="1"/>
      <c r="E455" s="1"/>
      <c r="F455" s="1"/>
      <c r="G455" s="1"/>
      <c r="H455" s="1"/>
      <c r="I455" s="61"/>
      <c r="J455" s="1"/>
      <c r="K455" s="1"/>
      <c r="L455" s="1"/>
    </row>
    <row r="456" spans="1:12" ht="15.75" customHeight="1">
      <c r="A456" s="2"/>
      <c r="B456" s="1"/>
      <c r="C456" s="1"/>
      <c r="D456" s="1"/>
      <c r="E456" s="1"/>
      <c r="F456" s="1"/>
      <c r="G456" s="1"/>
      <c r="H456" s="1"/>
      <c r="I456" s="61"/>
      <c r="J456" s="1"/>
      <c r="K456" s="1"/>
      <c r="L456" s="1"/>
    </row>
    <row r="457" spans="1:12" ht="15.75" customHeight="1">
      <c r="A457" s="2"/>
      <c r="B457" s="1"/>
      <c r="C457" s="1"/>
      <c r="D457" s="1"/>
      <c r="E457" s="1"/>
      <c r="F457" s="1"/>
      <c r="G457" s="1"/>
      <c r="H457" s="1"/>
      <c r="I457" s="61"/>
      <c r="J457" s="1"/>
      <c r="K457" s="1"/>
      <c r="L457" s="1"/>
    </row>
    <row r="458" spans="1:12" ht="15.75" customHeight="1">
      <c r="A458" s="2"/>
      <c r="B458" s="1"/>
      <c r="C458" s="1"/>
      <c r="D458" s="1"/>
      <c r="E458" s="1"/>
      <c r="F458" s="1"/>
      <c r="G458" s="1"/>
      <c r="H458" s="1"/>
      <c r="I458" s="61"/>
      <c r="J458" s="1"/>
      <c r="K458" s="1"/>
      <c r="L458" s="1"/>
    </row>
    <row r="459" spans="1:12" ht="15.75" customHeight="1">
      <c r="A459" s="2"/>
      <c r="B459" s="1"/>
      <c r="C459" s="1"/>
      <c r="D459" s="1"/>
      <c r="E459" s="1"/>
      <c r="F459" s="1"/>
      <c r="G459" s="1"/>
      <c r="H459" s="1"/>
      <c r="I459" s="61"/>
      <c r="J459" s="1"/>
      <c r="K459" s="1"/>
      <c r="L459" s="1"/>
    </row>
    <row r="460" spans="1:12" ht="15.75" customHeight="1">
      <c r="A460" s="2"/>
      <c r="B460" s="1"/>
      <c r="C460" s="1"/>
      <c r="D460" s="1"/>
      <c r="E460" s="1"/>
      <c r="F460" s="1"/>
      <c r="G460" s="1"/>
      <c r="H460" s="1"/>
      <c r="I460" s="61"/>
      <c r="J460" s="1"/>
      <c r="K460" s="1"/>
      <c r="L460" s="1"/>
    </row>
    <row r="461" spans="1:12" ht="15.75" customHeight="1">
      <c r="A461" s="2"/>
      <c r="B461" s="1"/>
      <c r="C461" s="1"/>
      <c r="D461" s="1"/>
      <c r="E461" s="1"/>
      <c r="F461" s="1"/>
      <c r="G461" s="1"/>
      <c r="H461" s="1"/>
      <c r="I461" s="61"/>
      <c r="J461" s="1"/>
      <c r="K461" s="1"/>
      <c r="L461" s="1"/>
    </row>
    <row r="462" spans="1:12" ht="15.75" customHeight="1">
      <c r="A462" s="2"/>
      <c r="B462" s="1"/>
      <c r="C462" s="1"/>
      <c r="D462" s="1"/>
      <c r="E462" s="1"/>
      <c r="F462" s="1"/>
      <c r="G462" s="1"/>
      <c r="H462" s="1"/>
      <c r="I462" s="61"/>
      <c r="J462" s="1"/>
      <c r="K462" s="1"/>
      <c r="L462" s="1"/>
    </row>
    <row r="463" spans="1:12" ht="15.75" customHeight="1">
      <c r="A463" s="2"/>
      <c r="B463" s="1"/>
      <c r="C463" s="1"/>
      <c r="D463" s="1"/>
      <c r="E463" s="1"/>
      <c r="F463" s="1"/>
      <c r="G463" s="1"/>
      <c r="H463" s="1"/>
      <c r="I463" s="61"/>
      <c r="J463" s="1"/>
      <c r="K463" s="1"/>
      <c r="L463" s="1"/>
    </row>
    <row r="464" spans="1:12" ht="15.75" customHeight="1">
      <c r="A464" s="2"/>
      <c r="B464" s="1"/>
      <c r="C464" s="1"/>
      <c r="D464" s="1"/>
      <c r="E464" s="1"/>
      <c r="F464" s="1"/>
      <c r="G464" s="1"/>
      <c r="H464" s="1"/>
      <c r="I464" s="61"/>
      <c r="J464" s="1"/>
      <c r="K464" s="1"/>
      <c r="L464" s="1"/>
    </row>
    <row r="465" spans="1:12" ht="15.75" customHeight="1">
      <c r="A465" s="2"/>
      <c r="B465" s="1"/>
      <c r="C465" s="1"/>
      <c r="D465" s="1"/>
      <c r="E465" s="1"/>
      <c r="F465" s="1"/>
      <c r="G465" s="1"/>
      <c r="H465" s="1"/>
      <c r="I465" s="61"/>
      <c r="J465" s="1"/>
      <c r="K465" s="1"/>
      <c r="L465" s="1"/>
    </row>
    <row r="466" spans="1:12" ht="15.75" customHeight="1">
      <c r="A466" s="2"/>
      <c r="B466" s="1"/>
      <c r="C466" s="1"/>
      <c r="D466" s="1"/>
      <c r="E466" s="1"/>
      <c r="F466" s="1"/>
      <c r="G466" s="1"/>
      <c r="H466" s="1"/>
      <c r="I466" s="61"/>
      <c r="J466" s="1"/>
      <c r="K466" s="1"/>
      <c r="L466" s="1"/>
    </row>
    <row r="467" spans="1:12" ht="15.75" customHeight="1">
      <c r="A467" s="2"/>
      <c r="B467" s="1"/>
      <c r="C467" s="1"/>
      <c r="D467" s="1"/>
      <c r="E467" s="1"/>
      <c r="F467" s="1"/>
      <c r="G467" s="1"/>
      <c r="H467" s="1"/>
      <c r="I467" s="61"/>
      <c r="J467" s="1"/>
      <c r="K467" s="1"/>
      <c r="L467" s="1"/>
    </row>
    <row r="468" spans="1:12" ht="15.75" customHeight="1">
      <c r="A468" s="2"/>
      <c r="B468" s="1"/>
      <c r="C468" s="1"/>
      <c r="D468" s="1"/>
      <c r="E468" s="1"/>
      <c r="F468" s="1"/>
      <c r="G468" s="1"/>
      <c r="H468" s="1"/>
      <c r="I468" s="61"/>
      <c r="J468" s="1"/>
      <c r="K468" s="1"/>
      <c r="L468" s="1"/>
    </row>
    <row r="469" spans="1:12" ht="15.75" customHeight="1">
      <c r="A469" s="2"/>
      <c r="B469" s="1"/>
      <c r="C469" s="1"/>
      <c r="D469" s="1"/>
      <c r="E469" s="1"/>
      <c r="F469" s="1"/>
      <c r="G469" s="1"/>
      <c r="H469" s="1"/>
      <c r="I469" s="61"/>
      <c r="J469" s="1"/>
      <c r="K469" s="1"/>
      <c r="L469" s="1"/>
    </row>
    <row r="470" spans="1:12" ht="15.75" customHeight="1">
      <c r="A470" s="2"/>
      <c r="B470" s="1"/>
      <c r="C470" s="1"/>
      <c r="D470" s="1"/>
      <c r="E470" s="1"/>
      <c r="F470" s="1"/>
      <c r="G470" s="1"/>
      <c r="H470" s="1"/>
      <c r="I470" s="61"/>
      <c r="J470" s="1"/>
      <c r="K470" s="1"/>
      <c r="L470" s="1"/>
    </row>
    <row r="471" spans="1:12" ht="15.75" customHeight="1">
      <c r="A471" s="2"/>
      <c r="B471" s="1"/>
      <c r="C471" s="1"/>
      <c r="D471" s="1"/>
      <c r="E471" s="1"/>
      <c r="F471" s="1"/>
      <c r="G471" s="1"/>
      <c r="H471" s="1"/>
      <c r="I471" s="61"/>
      <c r="J471" s="1"/>
      <c r="K471" s="1"/>
      <c r="L471" s="1"/>
    </row>
    <row r="472" spans="1:12" ht="15.75" customHeight="1">
      <c r="A472" s="2"/>
      <c r="B472" s="1"/>
      <c r="C472" s="1"/>
      <c r="D472" s="1"/>
      <c r="E472" s="1"/>
      <c r="F472" s="1"/>
      <c r="G472" s="1"/>
      <c r="H472" s="1"/>
      <c r="I472" s="61"/>
      <c r="J472" s="1"/>
      <c r="K472" s="1"/>
      <c r="L472" s="1"/>
    </row>
    <row r="473" spans="1:12" ht="15.75" customHeight="1">
      <c r="A473" s="2"/>
      <c r="B473" s="1"/>
      <c r="C473" s="1"/>
      <c r="D473" s="1"/>
      <c r="E473" s="1"/>
      <c r="F473" s="1"/>
      <c r="G473" s="1"/>
      <c r="H473" s="1"/>
      <c r="I473" s="61"/>
      <c r="J473" s="1"/>
      <c r="K473" s="1"/>
      <c r="L473" s="1"/>
    </row>
    <row r="474" spans="1:12" ht="15.75" customHeight="1">
      <c r="A474" s="2"/>
      <c r="B474" s="1"/>
      <c r="C474" s="1"/>
      <c r="D474" s="1"/>
      <c r="E474" s="1"/>
      <c r="F474" s="1"/>
      <c r="G474" s="1"/>
      <c r="H474" s="1"/>
      <c r="I474" s="61"/>
      <c r="J474" s="1"/>
      <c r="K474" s="1"/>
      <c r="L474" s="1"/>
    </row>
    <row r="475" spans="1:12" ht="15.75" customHeight="1">
      <c r="A475" s="2"/>
      <c r="B475" s="1"/>
      <c r="C475" s="1"/>
      <c r="D475" s="1"/>
      <c r="E475" s="1"/>
      <c r="F475" s="1"/>
      <c r="G475" s="1"/>
      <c r="H475" s="1"/>
      <c r="I475" s="61"/>
      <c r="J475" s="1"/>
      <c r="K475" s="1"/>
      <c r="L475" s="1"/>
    </row>
    <row r="476" spans="1:12" ht="15.75" customHeight="1">
      <c r="A476" s="2"/>
      <c r="B476" s="1"/>
      <c r="C476" s="1"/>
      <c r="D476" s="1"/>
      <c r="E476" s="1"/>
      <c r="F476" s="1"/>
      <c r="G476" s="1"/>
      <c r="H476" s="1"/>
      <c r="I476" s="61"/>
      <c r="J476" s="1"/>
      <c r="K476" s="1"/>
      <c r="L476" s="1"/>
    </row>
    <row r="477" spans="1:12" ht="15.75" customHeight="1">
      <c r="A477" s="2"/>
      <c r="B477" s="1"/>
      <c r="C477" s="1"/>
      <c r="D477" s="1"/>
      <c r="E477" s="1"/>
      <c r="F477" s="1"/>
      <c r="G477" s="1"/>
      <c r="H477" s="1"/>
      <c r="I477" s="61"/>
      <c r="J477" s="1"/>
      <c r="K477" s="1"/>
      <c r="L477" s="1"/>
    </row>
    <row r="478" spans="1:12" ht="15.75" customHeight="1">
      <c r="A478" s="2"/>
      <c r="B478" s="1"/>
      <c r="C478" s="1"/>
      <c r="D478" s="1"/>
      <c r="E478" s="1"/>
      <c r="F478" s="1"/>
      <c r="G478" s="1"/>
      <c r="H478" s="1"/>
      <c r="I478" s="61"/>
      <c r="J478" s="1"/>
      <c r="K478" s="1"/>
      <c r="L478" s="1"/>
    </row>
    <row r="479" spans="1:12" ht="15.75" customHeight="1">
      <c r="A479" s="2"/>
      <c r="B479" s="1"/>
      <c r="C479" s="1"/>
      <c r="D479" s="1"/>
      <c r="E479" s="1"/>
      <c r="F479" s="1"/>
      <c r="G479" s="1"/>
      <c r="H479" s="1"/>
      <c r="I479" s="61"/>
      <c r="J479" s="1"/>
      <c r="K479" s="1"/>
      <c r="L479" s="1"/>
    </row>
    <row r="480" spans="1:12" ht="15.75" customHeight="1">
      <c r="A480" s="2"/>
      <c r="B480" s="1"/>
      <c r="C480" s="1"/>
      <c r="D480" s="1"/>
      <c r="E480" s="1"/>
      <c r="F480" s="1"/>
      <c r="G480" s="1"/>
      <c r="H480" s="1"/>
      <c r="I480" s="61"/>
      <c r="J480" s="1"/>
      <c r="K480" s="1"/>
      <c r="L480" s="1"/>
    </row>
    <row r="481" spans="1:12" ht="15.75" customHeight="1">
      <c r="A481" s="2"/>
      <c r="B481" s="1"/>
      <c r="C481" s="1"/>
      <c r="D481" s="1"/>
      <c r="E481" s="1"/>
      <c r="F481" s="1"/>
      <c r="G481" s="1"/>
      <c r="H481" s="1"/>
      <c r="I481" s="61"/>
      <c r="J481" s="1"/>
      <c r="K481" s="1"/>
      <c r="L481" s="1"/>
    </row>
    <row r="482" spans="1:12" ht="15.75" customHeight="1">
      <c r="A482" s="2"/>
      <c r="B482" s="1"/>
      <c r="C482" s="1"/>
      <c r="D482" s="1"/>
      <c r="E482" s="1"/>
      <c r="F482" s="1"/>
      <c r="G482" s="1"/>
      <c r="H482" s="1"/>
      <c r="I482" s="61"/>
      <c r="J482" s="1"/>
      <c r="K482" s="1"/>
      <c r="L482" s="1"/>
    </row>
    <row r="483" spans="1:12" ht="15.75" customHeight="1">
      <c r="A483" s="2"/>
      <c r="B483" s="1"/>
      <c r="C483" s="1"/>
      <c r="D483" s="1"/>
      <c r="E483" s="1"/>
      <c r="F483" s="1"/>
      <c r="G483" s="1"/>
      <c r="H483" s="1"/>
      <c r="I483" s="61"/>
      <c r="J483" s="1"/>
      <c r="K483" s="1"/>
      <c r="L483" s="1"/>
    </row>
    <row r="484" spans="1:12" ht="15.75" customHeight="1">
      <c r="A484" s="2"/>
      <c r="B484" s="1"/>
      <c r="C484" s="1"/>
      <c r="D484" s="1"/>
      <c r="E484" s="1"/>
      <c r="F484" s="1"/>
      <c r="G484" s="1"/>
      <c r="H484" s="1"/>
      <c r="I484" s="61"/>
      <c r="J484" s="1"/>
      <c r="K484" s="1"/>
      <c r="L484" s="1"/>
    </row>
    <row r="485" spans="1:12" ht="15.75" customHeight="1">
      <c r="A485" s="2"/>
      <c r="B485" s="1"/>
      <c r="C485" s="1"/>
      <c r="D485" s="1"/>
      <c r="E485" s="1"/>
      <c r="F485" s="1"/>
      <c r="G485" s="1"/>
      <c r="H485" s="1"/>
      <c r="I485" s="61"/>
      <c r="J485" s="1"/>
      <c r="K485" s="1"/>
      <c r="L485" s="1"/>
    </row>
    <row r="486" spans="1:12" ht="15.75" customHeight="1">
      <c r="A486" s="2"/>
      <c r="B486" s="1"/>
      <c r="C486" s="1"/>
      <c r="D486" s="1"/>
      <c r="E486" s="1"/>
      <c r="F486" s="1"/>
      <c r="G486" s="1"/>
      <c r="H486" s="1"/>
      <c r="I486" s="61"/>
      <c r="J486" s="1"/>
      <c r="K486" s="1"/>
      <c r="L486" s="1"/>
    </row>
    <row r="487" spans="1:12" ht="15.75" customHeight="1">
      <c r="A487" s="2"/>
      <c r="B487" s="1"/>
      <c r="C487" s="1"/>
      <c r="D487" s="1"/>
      <c r="E487" s="1"/>
      <c r="F487" s="1"/>
      <c r="G487" s="1"/>
      <c r="H487" s="1"/>
      <c r="I487" s="61"/>
      <c r="J487" s="1"/>
      <c r="K487" s="1"/>
      <c r="L487" s="1"/>
    </row>
    <row r="488" spans="1:12" ht="15.75" customHeight="1">
      <c r="A488" s="2"/>
      <c r="B488" s="1"/>
      <c r="C488" s="1"/>
      <c r="D488" s="1"/>
      <c r="E488" s="1"/>
      <c r="F488" s="1"/>
      <c r="G488" s="1"/>
      <c r="H488" s="1"/>
      <c r="I488" s="61"/>
      <c r="J488" s="1"/>
      <c r="K488" s="1"/>
      <c r="L488" s="1"/>
    </row>
    <row r="489" spans="1:12" ht="15.75" customHeight="1">
      <c r="A489" s="2"/>
      <c r="B489" s="1"/>
      <c r="C489" s="1"/>
      <c r="D489" s="1"/>
      <c r="E489" s="1"/>
      <c r="F489" s="1"/>
      <c r="G489" s="1"/>
      <c r="H489" s="1"/>
      <c r="I489" s="61"/>
      <c r="J489" s="1"/>
      <c r="K489" s="1"/>
      <c r="L489" s="1"/>
    </row>
    <row r="490" spans="1:12" ht="15.75" customHeight="1">
      <c r="A490" s="2"/>
      <c r="B490" s="1"/>
      <c r="C490" s="1"/>
      <c r="D490" s="1"/>
      <c r="E490" s="1"/>
      <c r="F490" s="1"/>
      <c r="G490" s="1"/>
      <c r="H490" s="1"/>
      <c r="I490" s="61"/>
      <c r="J490" s="1"/>
      <c r="K490" s="1"/>
      <c r="L490" s="1"/>
    </row>
    <row r="491" spans="1:12" ht="15.75" customHeight="1">
      <c r="A491" s="2"/>
      <c r="B491" s="1"/>
      <c r="C491" s="1"/>
      <c r="D491" s="1"/>
      <c r="E491" s="1"/>
      <c r="F491" s="1"/>
      <c r="G491" s="1"/>
      <c r="H491" s="1"/>
      <c r="I491" s="61"/>
      <c r="J491" s="1"/>
      <c r="K491" s="1"/>
      <c r="L491" s="1"/>
    </row>
    <row r="492" spans="1:12" ht="15.75" customHeight="1">
      <c r="A492" s="2"/>
      <c r="B492" s="1"/>
      <c r="C492" s="1"/>
      <c r="D492" s="1"/>
      <c r="E492" s="1"/>
      <c r="F492" s="1"/>
      <c r="G492" s="1"/>
      <c r="H492" s="1"/>
      <c r="I492" s="61"/>
      <c r="J492" s="1"/>
      <c r="K492" s="1"/>
      <c r="L492" s="1"/>
    </row>
    <row r="493" spans="1:12" ht="15.75" customHeight="1">
      <c r="A493" s="2"/>
      <c r="B493" s="1"/>
      <c r="C493" s="1"/>
      <c r="D493" s="1"/>
      <c r="E493" s="1"/>
      <c r="F493" s="1"/>
      <c r="G493" s="1"/>
      <c r="H493" s="1"/>
      <c r="I493" s="61"/>
      <c r="J493" s="1"/>
      <c r="K493" s="1"/>
      <c r="L493" s="1"/>
    </row>
    <row r="494" spans="1:12" ht="15.75" customHeight="1">
      <c r="A494" s="2"/>
      <c r="B494" s="1"/>
      <c r="C494" s="1"/>
      <c r="D494" s="1"/>
      <c r="E494" s="1"/>
      <c r="F494" s="1"/>
      <c r="G494" s="1"/>
      <c r="H494" s="1"/>
      <c r="I494" s="61"/>
      <c r="J494" s="1"/>
      <c r="K494" s="1"/>
      <c r="L494" s="1"/>
    </row>
    <row r="495" spans="1:12" ht="15.75" customHeight="1">
      <c r="A495" s="2"/>
      <c r="B495" s="1"/>
      <c r="C495" s="1"/>
      <c r="D495" s="1"/>
      <c r="E495" s="1"/>
      <c r="F495" s="1"/>
      <c r="G495" s="1"/>
      <c r="H495" s="1"/>
      <c r="I495" s="61"/>
      <c r="J495" s="1"/>
      <c r="K495" s="1"/>
      <c r="L495" s="1"/>
    </row>
    <row r="496" spans="1:12" ht="15.75" customHeight="1">
      <c r="A496" s="2"/>
      <c r="B496" s="1"/>
      <c r="C496" s="1"/>
      <c r="D496" s="1"/>
      <c r="E496" s="1"/>
      <c r="F496" s="1"/>
      <c r="G496" s="1"/>
      <c r="H496" s="1"/>
      <c r="I496" s="61"/>
      <c r="J496" s="1"/>
      <c r="K496" s="1"/>
      <c r="L496" s="1"/>
    </row>
    <row r="497" spans="1:12" ht="15.75" customHeight="1">
      <c r="A497" s="2"/>
      <c r="B497" s="1"/>
      <c r="C497" s="1"/>
      <c r="D497" s="1"/>
      <c r="E497" s="1"/>
      <c r="F497" s="1"/>
      <c r="G497" s="1"/>
      <c r="H497" s="1"/>
      <c r="I497" s="61"/>
      <c r="J497" s="1"/>
      <c r="K497" s="1"/>
      <c r="L497" s="1"/>
    </row>
    <row r="498" spans="1:12" ht="15.75" customHeight="1">
      <c r="A498" s="2"/>
      <c r="B498" s="1"/>
      <c r="C498" s="1"/>
      <c r="D498" s="1"/>
      <c r="E498" s="1"/>
      <c r="F498" s="1"/>
      <c r="G498" s="1"/>
      <c r="H498" s="1"/>
      <c r="I498" s="61"/>
      <c r="J498" s="1"/>
      <c r="K498" s="1"/>
      <c r="L498" s="1"/>
    </row>
    <row r="499" spans="1:12" ht="15.75" customHeight="1">
      <c r="A499" s="2"/>
      <c r="B499" s="1"/>
      <c r="C499" s="1"/>
      <c r="D499" s="1"/>
      <c r="E499" s="1"/>
      <c r="F499" s="1"/>
      <c r="G499" s="1"/>
      <c r="H499" s="1"/>
      <c r="I499" s="61"/>
      <c r="J499" s="1"/>
      <c r="K499" s="1"/>
      <c r="L499" s="1"/>
    </row>
    <row r="500" spans="1:12" ht="15.75" customHeight="1">
      <c r="A500" s="2"/>
      <c r="B500" s="1"/>
      <c r="C500" s="1"/>
      <c r="D500" s="1"/>
      <c r="E500" s="1"/>
      <c r="F500" s="1"/>
      <c r="G500" s="1"/>
      <c r="H500" s="1"/>
      <c r="I500" s="61"/>
      <c r="J500" s="1"/>
      <c r="K500" s="1"/>
      <c r="L500" s="1"/>
    </row>
    <row r="501" spans="1:12" ht="15.75" customHeight="1">
      <c r="A501" s="2"/>
      <c r="B501" s="1"/>
      <c r="C501" s="1"/>
      <c r="D501" s="1"/>
      <c r="E501" s="1"/>
      <c r="F501" s="1"/>
      <c r="G501" s="1"/>
      <c r="H501" s="1"/>
      <c r="I501" s="61"/>
      <c r="J501" s="1"/>
      <c r="K501" s="1"/>
      <c r="L501" s="1"/>
    </row>
    <row r="502" spans="1:12" ht="15.75" customHeight="1">
      <c r="A502" s="2"/>
      <c r="B502" s="1"/>
      <c r="C502" s="1"/>
      <c r="D502" s="1"/>
      <c r="E502" s="1"/>
      <c r="F502" s="1"/>
      <c r="G502" s="1"/>
      <c r="H502" s="1"/>
      <c r="I502" s="61"/>
      <c r="J502" s="1"/>
      <c r="K502" s="1"/>
      <c r="L502" s="1"/>
    </row>
    <row r="503" spans="1:12" ht="15.75" customHeight="1">
      <c r="A503" s="2"/>
      <c r="B503" s="1"/>
      <c r="C503" s="1"/>
      <c r="D503" s="1"/>
      <c r="E503" s="1"/>
      <c r="F503" s="1"/>
      <c r="G503" s="1"/>
      <c r="H503" s="1"/>
      <c r="I503" s="61"/>
      <c r="J503" s="1"/>
      <c r="K503" s="1"/>
      <c r="L503" s="1"/>
    </row>
    <row r="504" spans="1:12" ht="15.75" customHeight="1">
      <c r="A504" s="2"/>
      <c r="B504" s="1"/>
      <c r="C504" s="1"/>
      <c r="D504" s="1"/>
      <c r="E504" s="1"/>
      <c r="F504" s="1"/>
      <c r="G504" s="1"/>
      <c r="H504" s="1"/>
      <c r="I504" s="61"/>
      <c r="J504" s="1"/>
      <c r="K504" s="1"/>
      <c r="L504" s="1"/>
    </row>
    <row r="505" spans="1:12" ht="15.75" customHeight="1">
      <c r="A505" s="2"/>
      <c r="B505" s="1"/>
      <c r="C505" s="1"/>
      <c r="D505" s="1"/>
      <c r="E505" s="1"/>
      <c r="F505" s="1"/>
      <c r="G505" s="1"/>
      <c r="H505" s="1"/>
      <c r="I505" s="61"/>
      <c r="J505" s="1"/>
      <c r="K505" s="1"/>
      <c r="L505" s="1"/>
    </row>
    <row r="506" spans="1:12" ht="15.75" customHeight="1">
      <c r="A506" s="2"/>
      <c r="B506" s="1"/>
      <c r="C506" s="1"/>
      <c r="D506" s="1"/>
      <c r="E506" s="1"/>
      <c r="F506" s="1"/>
      <c r="G506" s="1"/>
      <c r="H506" s="1"/>
      <c r="I506" s="61"/>
      <c r="J506" s="1"/>
      <c r="K506" s="1"/>
      <c r="L506" s="1"/>
    </row>
    <row r="507" spans="1:12" ht="15.75" customHeight="1">
      <c r="A507" s="2"/>
      <c r="B507" s="1"/>
      <c r="C507" s="1"/>
      <c r="D507" s="1"/>
      <c r="E507" s="1"/>
      <c r="F507" s="1"/>
      <c r="G507" s="1"/>
      <c r="H507" s="1"/>
      <c r="I507" s="61"/>
      <c r="J507" s="1"/>
      <c r="K507" s="1"/>
      <c r="L507" s="1"/>
    </row>
    <row r="508" spans="1:12" ht="15.75" customHeight="1">
      <c r="A508" s="2"/>
      <c r="B508" s="1"/>
      <c r="C508" s="1"/>
      <c r="D508" s="1"/>
      <c r="E508" s="1"/>
      <c r="F508" s="1"/>
      <c r="G508" s="1"/>
      <c r="H508" s="1"/>
      <c r="I508" s="61"/>
      <c r="J508" s="1"/>
      <c r="K508" s="1"/>
      <c r="L508" s="1"/>
    </row>
    <row r="509" spans="1:12" ht="15.75" customHeight="1">
      <c r="A509" s="2"/>
      <c r="B509" s="1"/>
      <c r="C509" s="1"/>
      <c r="D509" s="1"/>
      <c r="E509" s="1"/>
      <c r="F509" s="1"/>
      <c r="G509" s="1"/>
      <c r="H509" s="1"/>
      <c r="I509" s="61"/>
      <c r="J509" s="1"/>
      <c r="K509" s="1"/>
      <c r="L509" s="1"/>
    </row>
    <row r="510" spans="1:12" ht="15.75" customHeight="1">
      <c r="A510" s="2"/>
      <c r="B510" s="1"/>
      <c r="C510" s="1"/>
      <c r="D510" s="1"/>
      <c r="E510" s="1"/>
      <c r="F510" s="1"/>
      <c r="G510" s="1"/>
      <c r="H510" s="1"/>
      <c r="I510" s="61"/>
      <c r="J510" s="1"/>
      <c r="K510" s="1"/>
      <c r="L510" s="1"/>
    </row>
    <row r="511" spans="1:12" ht="15.75" customHeight="1">
      <c r="A511" s="2"/>
      <c r="B511" s="1"/>
      <c r="C511" s="1"/>
      <c r="D511" s="1"/>
      <c r="E511" s="1"/>
      <c r="F511" s="1"/>
      <c r="G511" s="1"/>
      <c r="H511" s="1"/>
      <c r="I511" s="61"/>
      <c r="J511" s="1"/>
      <c r="K511" s="1"/>
      <c r="L511" s="1"/>
    </row>
    <row r="512" spans="1:12" ht="15.75" customHeight="1">
      <c r="A512" s="2"/>
      <c r="B512" s="1"/>
      <c r="C512" s="1"/>
      <c r="D512" s="1"/>
      <c r="E512" s="1"/>
      <c r="F512" s="1"/>
      <c r="G512" s="1"/>
      <c r="H512" s="1"/>
      <c r="I512" s="61"/>
      <c r="J512" s="1"/>
      <c r="K512" s="1"/>
      <c r="L512" s="1"/>
    </row>
    <row r="513" spans="1:12" ht="15.75" customHeight="1">
      <c r="A513" s="2"/>
      <c r="B513" s="1"/>
      <c r="C513" s="1"/>
      <c r="D513" s="1"/>
      <c r="E513" s="1"/>
      <c r="F513" s="1"/>
      <c r="G513" s="1"/>
      <c r="H513" s="1"/>
      <c r="I513" s="61"/>
      <c r="J513" s="1"/>
      <c r="K513" s="1"/>
      <c r="L513" s="1"/>
    </row>
    <row r="514" spans="1:12" ht="15.75" customHeight="1">
      <c r="A514" s="2"/>
      <c r="B514" s="1"/>
      <c r="C514" s="1"/>
      <c r="D514" s="1"/>
      <c r="E514" s="1"/>
      <c r="F514" s="1"/>
      <c r="G514" s="1"/>
      <c r="H514" s="1"/>
      <c r="I514" s="61"/>
      <c r="J514" s="1"/>
      <c r="K514" s="1"/>
      <c r="L514" s="1"/>
    </row>
    <row r="515" spans="1:12" ht="15.75" customHeight="1">
      <c r="A515" s="2"/>
      <c r="B515" s="1"/>
      <c r="C515" s="1"/>
      <c r="D515" s="1"/>
      <c r="E515" s="1"/>
      <c r="F515" s="1"/>
      <c r="G515" s="1"/>
      <c r="H515" s="1"/>
      <c r="I515" s="61"/>
      <c r="J515" s="1"/>
      <c r="K515" s="1"/>
      <c r="L515" s="1"/>
    </row>
    <row r="516" spans="1:12" ht="15.75" customHeight="1">
      <c r="A516" s="2"/>
      <c r="B516" s="1"/>
      <c r="C516" s="1"/>
      <c r="D516" s="1"/>
      <c r="E516" s="1"/>
      <c r="F516" s="1"/>
      <c r="G516" s="1"/>
      <c r="H516" s="1"/>
      <c r="I516" s="61"/>
      <c r="J516" s="1"/>
      <c r="K516" s="1"/>
      <c r="L516" s="1"/>
    </row>
    <row r="517" spans="1:12" ht="15.75" customHeight="1">
      <c r="A517" s="2"/>
      <c r="B517" s="1"/>
      <c r="C517" s="1"/>
      <c r="D517" s="1"/>
      <c r="E517" s="1"/>
      <c r="F517" s="1"/>
      <c r="G517" s="1"/>
      <c r="H517" s="1"/>
      <c r="I517" s="61"/>
      <c r="J517" s="1"/>
      <c r="K517" s="1"/>
      <c r="L517" s="1"/>
    </row>
    <row r="518" spans="1:12" ht="15.75" customHeight="1">
      <c r="A518" s="2"/>
      <c r="B518" s="1"/>
      <c r="C518" s="1"/>
      <c r="D518" s="1"/>
      <c r="E518" s="1"/>
      <c r="F518" s="1"/>
      <c r="G518" s="1"/>
      <c r="H518" s="1"/>
      <c r="I518" s="61"/>
      <c r="J518" s="1"/>
      <c r="K518" s="1"/>
      <c r="L518" s="1"/>
    </row>
    <row r="519" spans="1:12" ht="15.75" customHeight="1">
      <c r="A519" s="2"/>
      <c r="B519" s="1"/>
      <c r="C519" s="1"/>
      <c r="D519" s="1"/>
      <c r="E519" s="1"/>
      <c r="F519" s="1"/>
      <c r="G519" s="1"/>
      <c r="H519" s="1"/>
      <c r="I519" s="61"/>
      <c r="J519" s="1"/>
      <c r="K519" s="1"/>
      <c r="L519" s="1"/>
    </row>
    <row r="520" spans="1:12" ht="15.75" customHeight="1">
      <c r="A520" s="2"/>
      <c r="B520" s="1"/>
      <c r="C520" s="1"/>
      <c r="D520" s="1"/>
      <c r="E520" s="1"/>
      <c r="F520" s="1"/>
      <c r="G520" s="1"/>
      <c r="H520" s="1"/>
      <c r="I520" s="61"/>
      <c r="J520" s="1"/>
      <c r="K520" s="1"/>
      <c r="L520" s="1"/>
    </row>
    <row r="521" spans="1:12" ht="15.75" customHeight="1">
      <c r="A521" s="2"/>
      <c r="B521" s="1"/>
      <c r="C521" s="1"/>
      <c r="D521" s="1"/>
      <c r="E521" s="1"/>
      <c r="F521" s="1"/>
      <c r="G521" s="1"/>
      <c r="H521" s="1"/>
      <c r="I521" s="61"/>
      <c r="J521" s="1"/>
      <c r="K521" s="1"/>
      <c r="L521" s="1"/>
    </row>
    <row r="522" spans="1:12" ht="15.75" customHeight="1">
      <c r="A522" s="2"/>
      <c r="B522" s="1"/>
      <c r="C522" s="1"/>
      <c r="D522" s="1"/>
      <c r="E522" s="1"/>
      <c r="F522" s="1"/>
      <c r="G522" s="1"/>
      <c r="H522" s="1"/>
      <c r="I522" s="61"/>
      <c r="J522" s="1"/>
      <c r="K522" s="1"/>
      <c r="L522" s="1"/>
    </row>
    <row r="523" spans="1:12" ht="15.75" customHeight="1">
      <c r="A523" s="2"/>
      <c r="B523" s="1"/>
      <c r="C523" s="1"/>
      <c r="D523" s="1"/>
      <c r="E523" s="1"/>
      <c r="F523" s="1"/>
      <c r="G523" s="1"/>
      <c r="H523" s="1"/>
      <c r="I523" s="61"/>
      <c r="J523" s="1"/>
      <c r="K523" s="1"/>
      <c r="L523" s="1"/>
    </row>
    <row r="524" spans="1:12" ht="15.75" customHeight="1">
      <c r="A524" s="2"/>
      <c r="B524" s="1"/>
      <c r="C524" s="1"/>
      <c r="D524" s="1"/>
      <c r="E524" s="1"/>
      <c r="F524" s="1"/>
      <c r="G524" s="1"/>
      <c r="H524" s="1"/>
      <c r="I524" s="61"/>
      <c r="J524" s="1"/>
      <c r="K524" s="1"/>
      <c r="L524" s="1"/>
    </row>
    <row r="525" spans="1:12" ht="15.75" customHeight="1">
      <c r="A525" s="2"/>
      <c r="B525" s="1"/>
      <c r="C525" s="1"/>
      <c r="D525" s="1"/>
      <c r="E525" s="1"/>
      <c r="F525" s="1"/>
      <c r="G525" s="1"/>
      <c r="H525" s="1"/>
      <c r="I525" s="61"/>
      <c r="J525" s="1"/>
      <c r="K525" s="1"/>
      <c r="L525" s="1"/>
    </row>
    <row r="526" spans="1:12" ht="15.75" customHeight="1">
      <c r="A526" s="2"/>
      <c r="B526" s="1"/>
      <c r="C526" s="1"/>
      <c r="D526" s="1"/>
      <c r="E526" s="1"/>
      <c r="F526" s="1"/>
      <c r="G526" s="1"/>
      <c r="H526" s="1"/>
      <c r="I526" s="61"/>
      <c r="J526" s="1"/>
      <c r="K526" s="1"/>
      <c r="L526" s="1"/>
    </row>
    <row r="527" spans="1:12" ht="15.75" customHeight="1">
      <c r="A527" s="2"/>
      <c r="B527" s="1"/>
      <c r="C527" s="1"/>
      <c r="D527" s="1"/>
      <c r="E527" s="1"/>
      <c r="F527" s="1"/>
      <c r="G527" s="1"/>
      <c r="H527" s="1"/>
      <c r="I527" s="61"/>
      <c r="J527" s="1"/>
      <c r="K527" s="1"/>
      <c r="L527" s="1"/>
    </row>
    <row r="528" spans="1:12" ht="15.75" customHeight="1">
      <c r="A528" s="2"/>
      <c r="B528" s="1"/>
      <c r="C528" s="1"/>
      <c r="D528" s="1"/>
      <c r="E528" s="1"/>
      <c r="F528" s="1"/>
      <c r="G528" s="1"/>
      <c r="H528" s="1"/>
      <c r="I528" s="61"/>
      <c r="J528" s="1"/>
      <c r="K528" s="1"/>
      <c r="L528" s="1"/>
    </row>
    <row r="529" spans="1:12" ht="15.75" customHeight="1">
      <c r="A529" s="2"/>
      <c r="B529" s="1"/>
      <c r="C529" s="1"/>
      <c r="D529" s="1"/>
      <c r="E529" s="1"/>
      <c r="F529" s="1"/>
      <c r="G529" s="1"/>
      <c r="H529" s="1"/>
      <c r="I529" s="61"/>
      <c r="J529" s="1"/>
      <c r="K529" s="1"/>
      <c r="L529" s="1"/>
    </row>
    <row r="530" spans="1:12" ht="15.75" customHeight="1">
      <c r="A530" s="2"/>
      <c r="B530" s="1"/>
      <c r="C530" s="1"/>
      <c r="D530" s="1"/>
      <c r="E530" s="1"/>
      <c r="F530" s="1"/>
      <c r="G530" s="1"/>
      <c r="H530" s="1"/>
      <c r="I530" s="61"/>
      <c r="J530" s="1"/>
      <c r="K530" s="1"/>
      <c r="L530" s="1"/>
    </row>
    <row r="531" spans="1:12" ht="15.75" customHeight="1">
      <c r="A531" s="2"/>
      <c r="B531" s="1"/>
      <c r="C531" s="1"/>
      <c r="D531" s="1"/>
      <c r="E531" s="1"/>
      <c r="F531" s="1"/>
      <c r="G531" s="1"/>
      <c r="H531" s="1"/>
      <c r="I531" s="61"/>
      <c r="J531" s="1"/>
      <c r="K531" s="1"/>
      <c r="L531" s="1"/>
    </row>
    <row r="532" spans="1:12" ht="15.75" customHeight="1">
      <c r="A532" s="2"/>
      <c r="B532" s="1"/>
      <c r="C532" s="1"/>
      <c r="D532" s="1"/>
      <c r="E532" s="1"/>
      <c r="F532" s="1"/>
      <c r="G532" s="1"/>
      <c r="H532" s="1"/>
      <c r="I532" s="61"/>
      <c r="J532" s="1"/>
      <c r="K532" s="1"/>
      <c r="L532" s="1"/>
    </row>
    <row r="533" spans="1:12" ht="15.75" customHeight="1">
      <c r="A533" s="2"/>
      <c r="B533" s="1"/>
      <c r="C533" s="1"/>
      <c r="D533" s="1"/>
      <c r="E533" s="1"/>
      <c r="F533" s="1"/>
      <c r="G533" s="1"/>
      <c r="H533" s="1"/>
      <c r="I533" s="61"/>
      <c r="J533" s="1"/>
      <c r="K533" s="1"/>
      <c r="L533" s="1"/>
    </row>
    <row r="534" spans="1:12" ht="15.75" customHeight="1">
      <c r="A534" s="2"/>
      <c r="B534" s="1"/>
      <c r="C534" s="1"/>
      <c r="D534" s="1"/>
      <c r="E534" s="1"/>
      <c r="F534" s="1"/>
      <c r="G534" s="1"/>
      <c r="H534" s="1"/>
      <c r="I534" s="61"/>
      <c r="J534" s="1"/>
      <c r="K534" s="1"/>
      <c r="L534" s="1"/>
    </row>
    <row r="535" spans="1:12" ht="15.75" customHeight="1">
      <c r="A535" s="2"/>
      <c r="B535" s="1"/>
      <c r="C535" s="1"/>
      <c r="D535" s="1"/>
      <c r="E535" s="1"/>
      <c r="F535" s="1"/>
      <c r="G535" s="1"/>
      <c r="H535" s="1"/>
      <c r="I535" s="61"/>
      <c r="J535" s="1"/>
      <c r="K535" s="1"/>
      <c r="L535" s="1"/>
    </row>
    <row r="536" spans="1:12" ht="15.75" customHeight="1">
      <c r="A536" s="2"/>
      <c r="B536" s="1"/>
      <c r="C536" s="1"/>
      <c r="D536" s="1"/>
      <c r="E536" s="1"/>
      <c r="F536" s="1"/>
      <c r="G536" s="1"/>
      <c r="H536" s="1"/>
      <c r="I536" s="61"/>
      <c r="J536" s="1"/>
      <c r="K536" s="1"/>
      <c r="L536" s="1"/>
    </row>
    <row r="537" spans="1:12" ht="15.75" customHeight="1">
      <c r="A537" s="2"/>
      <c r="B537" s="1"/>
      <c r="C537" s="1"/>
      <c r="D537" s="1"/>
      <c r="E537" s="1"/>
      <c r="F537" s="1"/>
      <c r="G537" s="1"/>
      <c r="H537" s="1"/>
      <c r="I537" s="61"/>
      <c r="J537" s="1"/>
      <c r="K537" s="1"/>
      <c r="L537" s="1"/>
    </row>
    <row r="538" spans="1:12" ht="15.75" customHeight="1">
      <c r="A538" s="2"/>
      <c r="B538" s="1"/>
      <c r="C538" s="1"/>
      <c r="D538" s="1"/>
      <c r="E538" s="1"/>
      <c r="F538" s="1"/>
      <c r="G538" s="1"/>
      <c r="H538" s="1"/>
      <c r="I538" s="61"/>
      <c r="J538" s="1"/>
      <c r="K538" s="1"/>
      <c r="L538" s="1"/>
    </row>
    <row r="539" spans="1:12" ht="15.75" customHeight="1">
      <c r="A539" s="2"/>
      <c r="B539" s="1"/>
      <c r="C539" s="1"/>
      <c r="D539" s="1"/>
      <c r="E539" s="1"/>
      <c r="F539" s="1"/>
      <c r="G539" s="1"/>
      <c r="H539" s="1"/>
      <c r="I539" s="61"/>
      <c r="J539" s="1"/>
      <c r="K539" s="1"/>
      <c r="L539" s="1"/>
    </row>
    <row r="540" spans="1:12" ht="15.75" customHeight="1">
      <c r="A540" s="2"/>
      <c r="B540" s="1"/>
      <c r="C540" s="1"/>
      <c r="D540" s="1"/>
      <c r="E540" s="1"/>
      <c r="F540" s="1"/>
      <c r="G540" s="1"/>
      <c r="H540" s="1"/>
      <c r="I540" s="61"/>
      <c r="J540" s="1"/>
      <c r="K540" s="1"/>
      <c r="L540" s="1"/>
    </row>
    <row r="541" spans="1:12" ht="15.75" customHeight="1">
      <c r="A541" s="2"/>
      <c r="B541" s="1"/>
      <c r="C541" s="1"/>
      <c r="D541" s="1"/>
      <c r="E541" s="1"/>
      <c r="F541" s="1"/>
      <c r="G541" s="1"/>
      <c r="H541" s="1"/>
      <c r="I541" s="61"/>
      <c r="J541" s="1"/>
      <c r="K541" s="1"/>
      <c r="L541" s="1"/>
    </row>
    <row r="542" spans="1:12" ht="15.75" customHeight="1">
      <c r="A542" s="2"/>
      <c r="B542" s="1"/>
      <c r="C542" s="1"/>
      <c r="D542" s="1"/>
      <c r="E542" s="1"/>
      <c r="F542" s="1"/>
      <c r="G542" s="1"/>
      <c r="H542" s="1"/>
      <c r="I542" s="61"/>
      <c r="J542" s="1"/>
      <c r="K542" s="1"/>
      <c r="L542" s="1"/>
    </row>
    <row r="543" spans="1:12" ht="15.75" customHeight="1">
      <c r="A543" s="2"/>
      <c r="B543" s="1"/>
      <c r="C543" s="1"/>
      <c r="D543" s="1"/>
      <c r="E543" s="1"/>
      <c r="F543" s="1"/>
      <c r="G543" s="1"/>
      <c r="H543" s="1"/>
      <c r="I543" s="61"/>
      <c r="J543" s="1"/>
      <c r="K543" s="1"/>
      <c r="L543" s="1"/>
    </row>
    <row r="544" spans="1:12" ht="15.75" customHeight="1">
      <c r="A544" s="2"/>
      <c r="B544" s="1"/>
      <c r="C544" s="1"/>
      <c r="D544" s="1"/>
      <c r="E544" s="1"/>
      <c r="F544" s="1"/>
      <c r="G544" s="1"/>
      <c r="H544" s="1"/>
      <c r="I544" s="61"/>
      <c r="J544" s="1"/>
      <c r="K544" s="1"/>
      <c r="L544" s="1"/>
    </row>
    <row r="545" spans="1:12" ht="15.75" customHeight="1">
      <c r="A545" s="2"/>
      <c r="B545" s="1"/>
      <c r="C545" s="1"/>
      <c r="D545" s="1"/>
      <c r="E545" s="1"/>
      <c r="F545" s="1"/>
      <c r="G545" s="1"/>
      <c r="H545" s="1"/>
      <c r="I545" s="61"/>
      <c r="J545" s="1"/>
      <c r="K545" s="1"/>
      <c r="L545" s="1"/>
    </row>
    <row r="546" spans="1:12" ht="15.75" customHeight="1">
      <c r="A546" s="2"/>
      <c r="B546" s="1"/>
      <c r="C546" s="1"/>
      <c r="D546" s="1"/>
      <c r="E546" s="1"/>
      <c r="F546" s="1"/>
      <c r="G546" s="1"/>
      <c r="H546" s="1"/>
      <c r="I546" s="61"/>
      <c r="J546" s="1"/>
      <c r="K546" s="1"/>
      <c r="L546" s="1"/>
    </row>
    <row r="547" spans="1:12" ht="15.75" customHeight="1">
      <c r="A547" s="2"/>
      <c r="B547" s="1"/>
      <c r="C547" s="1"/>
      <c r="D547" s="1"/>
      <c r="E547" s="1"/>
      <c r="F547" s="1"/>
      <c r="G547" s="1"/>
      <c r="H547" s="1"/>
      <c r="I547" s="61"/>
      <c r="J547" s="1"/>
      <c r="K547" s="1"/>
      <c r="L547" s="1"/>
    </row>
    <row r="548" spans="1:12" ht="15.75" customHeight="1">
      <c r="A548" s="2"/>
      <c r="B548" s="1"/>
      <c r="C548" s="1"/>
      <c r="D548" s="1"/>
      <c r="E548" s="1"/>
      <c r="F548" s="1"/>
      <c r="G548" s="1"/>
      <c r="H548" s="1"/>
      <c r="I548" s="61"/>
      <c r="J548" s="1"/>
      <c r="K548" s="1"/>
      <c r="L548" s="1"/>
    </row>
    <row r="549" spans="1:12" ht="15.75" customHeight="1">
      <c r="A549" s="2"/>
      <c r="B549" s="1"/>
      <c r="C549" s="1"/>
      <c r="D549" s="1"/>
      <c r="E549" s="1"/>
      <c r="F549" s="1"/>
      <c r="G549" s="1"/>
      <c r="H549" s="1"/>
      <c r="I549" s="61"/>
      <c r="J549" s="1"/>
      <c r="K549" s="1"/>
      <c r="L549" s="1"/>
    </row>
    <row r="550" spans="1:12" ht="15.75" customHeight="1">
      <c r="A550" s="2"/>
      <c r="B550" s="1"/>
      <c r="C550" s="1"/>
      <c r="D550" s="1"/>
      <c r="E550" s="1"/>
      <c r="F550" s="1"/>
      <c r="G550" s="1"/>
      <c r="H550" s="1"/>
      <c r="I550" s="61"/>
      <c r="J550" s="1"/>
      <c r="K550" s="1"/>
      <c r="L550" s="1"/>
    </row>
    <row r="551" spans="1:12" ht="15.75" customHeight="1">
      <c r="A551" s="2"/>
      <c r="B551" s="1"/>
      <c r="C551" s="1"/>
      <c r="D551" s="1"/>
      <c r="E551" s="1"/>
      <c r="F551" s="1"/>
      <c r="G551" s="1"/>
      <c r="H551" s="1"/>
      <c r="I551" s="61"/>
      <c r="J551" s="1"/>
      <c r="K551" s="1"/>
      <c r="L551" s="1"/>
    </row>
    <row r="552" spans="1:12" ht="15.75" customHeight="1">
      <c r="A552" s="2"/>
      <c r="B552" s="1"/>
      <c r="C552" s="1"/>
      <c r="D552" s="1"/>
      <c r="E552" s="1"/>
      <c r="F552" s="1"/>
      <c r="G552" s="1"/>
      <c r="H552" s="1"/>
      <c r="I552" s="61"/>
      <c r="J552" s="1"/>
      <c r="K552" s="1"/>
      <c r="L552" s="1"/>
    </row>
    <row r="553" spans="1:12" ht="15.75" customHeight="1">
      <c r="A553" s="2"/>
      <c r="B553" s="1"/>
      <c r="C553" s="1"/>
      <c r="D553" s="1"/>
      <c r="E553" s="1"/>
      <c r="F553" s="1"/>
      <c r="G553" s="1"/>
      <c r="H553" s="1"/>
      <c r="I553" s="61"/>
      <c r="J553" s="1"/>
      <c r="K553" s="1"/>
      <c r="L553" s="1"/>
    </row>
    <row r="554" spans="1:12" ht="15.75" customHeight="1">
      <c r="A554" s="2"/>
      <c r="B554" s="1"/>
      <c r="C554" s="1"/>
      <c r="D554" s="1"/>
      <c r="E554" s="1"/>
      <c r="F554" s="1"/>
      <c r="G554" s="1"/>
      <c r="H554" s="1"/>
      <c r="I554" s="61"/>
      <c r="J554" s="1"/>
      <c r="K554" s="1"/>
      <c r="L554" s="1"/>
    </row>
    <row r="555" spans="1:12" ht="15.75" customHeight="1">
      <c r="A555" s="2"/>
      <c r="B555" s="1"/>
      <c r="C555" s="1"/>
      <c r="D555" s="1"/>
      <c r="E555" s="1"/>
      <c r="F555" s="1"/>
      <c r="G555" s="1"/>
      <c r="H555" s="1"/>
      <c r="I555" s="61"/>
      <c r="J555" s="1"/>
      <c r="K555" s="1"/>
      <c r="L555" s="1"/>
    </row>
    <row r="556" spans="1:12" ht="15.75" customHeight="1">
      <c r="A556" s="2"/>
      <c r="B556" s="1"/>
      <c r="C556" s="1"/>
      <c r="D556" s="1"/>
      <c r="E556" s="1"/>
      <c r="F556" s="1"/>
      <c r="G556" s="1"/>
      <c r="H556" s="1"/>
      <c r="I556" s="61"/>
      <c r="J556" s="1"/>
      <c r="K556" s="1"/>
      <c r="L556" s="1"/>
    </row>
    <row r="557" spans="1:12" ht="15.75" customHeight="1">
      <c r="A557" s="2"/>
      <c r="B557" s="1"/>
      <c r="C557" s="1"/>
      <c r="D557" s="1"/>
      <c r="E557" s="1"/>
      <c r="F557" s="1"/>
      <c r="G557" s="1"/>
      <c r="H557" s="1"/>
      <c r="I557" s="61"/>
      <c r="J557" s="1"/>
      <c r="K557" s="1"/>
      <c r="L557" s="1"/>
    </row>
    <row r="558" spans="1:12" ht="15.75" customHeight="1">
      <c r="A558" s="2"/>
      <c r="B558" s="1"/>
      <c r="C558" s="1"/>
      <c r="D558" s="1"/>
      <c r="E558" s="1"/>
      <c r="F558" s="1"/>
      <c r="G558" s="1"/>
      <c r="H558" s="1"/>
      <c r="I558" s="61"/>
      <c r="J558" s="1"/>
      <c r="K558" s="1"/>
      <c r="L558" s="1"/>
    </row>
    <row r="559" spans="1:12" ht="15.75" customHeight="1">
      <c r="A559" s="2"/>
      <c r="B559" s="1"/>
      <c r="C559" s="1"/>
      <c r="D559" s="1"/>
      <c r="E559" s="1"/>
      <c r="F559" s="1"/>
      <c r="G559" s="1"/>
      <c r="H559" s="1"/>
      <c r="I559" s="61"/>
      <c r="J559" s="1"/>
      <c r="K559" s="1"/>
      <c r="L559" s="1"/>
    </row>
    <row r="560" spans="1:12" ht="15.75" customHeight="1">
      <c r="A560" s="2"/>
      <c r="B560" s="1"/>
      <c r="C560" s="1"/>
      <c r="D560" s="1"/>
      <c r="E560" s="1"/>
      <c r="F560" s="1"/>
      <c r="G560" s="1"/>
      <c r="H560" s="1"/>
      <c r="I560" s="61"/>
      <c r="J560" s="1"/>
      <c r="K560" s="1"/>
      <c r="L560" s="1"/>
    </row>
    <row r="561" spans="1:12" ht="15.75" customHeight="1">
      <c r="A561" s="2"/>
      <c r="B561" s="1"/>
      <c r="C561" s="1"/>
      <c r="D561" s="1"/>
      <c r="E561" s="1"/>
      <c r="F561" s="1"/>
      <c r="G561" s="1"/>
      <c r="H561" s="1"/>
      <c r="I561" s="61"/>
      <c r="J561" s="1"/>
      <c r="K561" s="1"/>
      <c r="L561" s="1"/>
    </row>
    <row r="562" spans="1:12" ht="15.75" customHeight="1">
      <c r="A562" s="2"/>
      <c r="B562" s="1"/>
      <c r="C562" s="1"/>
      <c r="D562" s="1"/>
      <c r="E562" s="1"/>
      <c r="F562" s="1"/>
      <c r="G562" s="1"/>
      <c r="H562" s="1"/>
      <c r="I562" s="61"/>
      <c r="J562" s="1"/>
      <c r="K562" s="1"/>
      <c r="L562" s="1"/>
    </row>
    <row r="563" spans="1:12" ht="15.75" customHeight="1">
      <c r="A563" s="2"/>
      <c r="B563" s="1"/>
      <c r="C563" s="1"/>
      <c r="D563" s="1"/>
      <c r="E563" s="1"/>
      <c r="F563" s="1"/>
      <c r="G563" s="1"/>
      <c r="H563" s="1"/>
      <c r="I563" s="61"/>
      <c r="J563" s="1"/>
      <c r="K563" s="1"/>
      <c r="L563" s="1"/>
    </row>
    <row r="564" spans="1:12" ht="15.75" customHeight="1">
      <c r="A564" s="2"/>
      <c r="B564" s="1"/>
      <c r="C564" s="1"/>
      <c r="D564" s="1"/>
      <c r="E564" s="1"/>
      <c r="F564" s="1"/>
      <c r="G564" s="1"/>
      <c r="H564" s="1"/>
      <c r="I564" s="61"/>
      <c r="J564" s="1"/>
      <c r="K564" s="1"/>
      <c r="L564" s="1"/>
    </row>
    <row r="565" spans="1:12" ht="15.75" customHeight="1">
      <c r="A565" s="2"/>
      <c r="B565" s="1"/>
      <c r="C565" s="1"/>
      <c r="D565" s="1"/>
      <c r="E565" s="1"/>
      <c r="F565" s="1"/>
      <c r="G565" s="1"/>
      <c r="H565" s="1"/>
      <c r="I565" s="61"/>
      <c r="J565" s="1"/>
      <c r="K565" s="1"/>
      <c r="L565" s="1"/>
    </row>
    <row r="566" spans="1:12" ht="15.75" customHeight="1">
      <c r="A566" s="2"/>
      <c r="B566" s="1"/>
      <c r="C566" s="1"/>
      <c r="D566" s="1"/>
      <c r="E566" s="1"/>
      <c r="F566" s="1"/>
      <c r="G566" s="1"/>
      <c r="H566" s="1"/>
      <c r="I566" s="61"/>
      <c r="J566" s="1"/>
      <c r="K566" s="1"/>
      <c r="L566" s="1"/>
    </row>
    <row r="567" spans="1:12" ht="15.75" customHeight="1">
      <c r="A567" s="2"/>
      <c r="B567" s="1"/>
      <c r="C567" s="1"/>
      <c r="D567" s="1"/>
      <c r="E567" s="1"/>
      <c r="F567" s="1"/>
      <c r="G567" s="1"/>
      <c r="H567" s="1"/>
      <c r="I567" s="61"/>
      <c r="J567" s="1"/>
      <c r="K567" s="1"/>
      <c r="L567" s="1"/>
    </row>
    <row r="568" spans="1:12" ht="15.75" customHeight="1">
      <c r="A568" s="2"/>
      <c r="B568" s="1"/>
      <c r="C568" s="1"/>
      <c r="D568" s="1"/>
      <c r="E568" s="1"/>
      <c r="F568" s="1"/>
      <c r="G568" s="1"/>
      <c r="H568" s="1"/>
      <c r="I568" s="61"/>
      <c r="J568" s="1"/>
      <c r="K568" s="1"/>
      <c r="L568" s="1"/>
    </row>
    <row r="569" spans="1:12" ht="15.75" customHeight="1">
      <c r="A569" s="2"/>
      <c r="B569" s="1"/>
      <c r="C569" s="1"/>
      <c r="D569" s="1"/>
      <c r="E569" s="1"/>
      <c r="F569" s="1"/>
      <c r="G569" s="1"/>
      <c r="H569" s="1"/>
      <c r="I569" s="61"/>
      <c r="J569" s="1"/>
      <c r="K569" s="1"/>
      <c r="L569" s="1"/>
    </row>
    <row r="570" spans="1:12" ht="15.75" customHeight="1">
      <c r="A570" s="2"/>
      <c r="B570" s="1"/>
      <c r="C570" s="1"/>
      <c r="D570" s="1"/>
      <c r="E570" s="1"/>
      <c r="F570" s="1"/>
      <c r="G570" s="1"/>
      <c r="H570" s="1"/>
      <c r="I570" s="61"/>
      <c r="J570" s="1"/>
      <c r="K570" s="1"/>
      <c r="L570" s="1"/>
    </row>
    <row r="571" spans="1:12" ht="15.75" customHeight="1">
      <c r="A571" s="2"/>
      <c r="B571" s="1"/>
      <c r="C571" s="1"/>
      <c r="D571" s="1"/>
      <c r="E571" s="1"/>
      <c r="F571" s="1"/>
      <c r="G571" s="1"/>
      <c r="H571" s="1"/>
      <c r="I571" s="61"/>
      <c r="J571" s="1"/>
      <c r="K571" s="1"/>
      <c r="L571" s="1"/>
    </row>
    <row r="572" spans="1:12" ht="15.75" customHeight="1">
      <c r="A572" s="2"/>
      <c r="B572" s="1"/>
      <c r="C572" s="1"/>
      <c r="D572" s="1"/>
      <c r="E572" s="1"/>
      <c r="F572" s="1"/>
      <c r="G572" s="1"/>
      <c r="H572" s="1"/>
      <c r="I572" s="61"/>
      <c r="J572" s="1"/>
      <c r="K572" s="1"/>
      <c r="L572" s="1"/>
    </row>
    <row r="573" spans="1:12" ht="15.75" customHeight="1">
      <c r="A573" s="2"/>
      <c r="B573" s="1"/>
      <c r="C573" s="1"/>
      <c r="D573" s="1"/>
      <c r="E573" s="1"/>
      <c r="F573" s="1"/>
      <c r="G573" s="1"/>
      <c r="H573" s="1"/>
      <c r="I573" s="61"/>
      <c r="J573" s="1"/>
      <c r="K573" s="1"/>
      <c r="L573" s="1"/>
    </row>
    <row r="574" spans="1:12" ht="15.75" customHeight="1">
      <c r="A574" s="2"/>
      <c r="B574" s="1"/>
      <c r="C574" s="1"/>
      <c r="D574" s="1"/>
      <c r="E574" s="1"/>
      <c r="F574" s="1"/>
      <c r="G574" s="1"/>
      <c r="H574" s="1"/>
      <c r="I574" s="61"/>
      <c r="J574" s="1"/>
      <c r="K574" s="1"/>
      <c r="L574" s="1"/>
    </row>
    <row r="575" spans="1:12" ht="15.75" customHeight="1">
      <c r="A575" s="2"/>
      <c r="B575" s="1"/>
      <c r="C575" s="1"/>
      <c r="D575" s="1"/>
      <c r="E575" s="1"/>
      <c r="F575" s="1"/>
      <c r="G575" s="1"/>
      <c r="H575" s="1"/>
      <c r="I575" s="61"/>
      <c r="J575" s="1"/>
      <c r="K575" s="1"/>
      <c r="L575" s="1"/>
    </row>
    <row r="576" spans="1:12" ht="15.75" customHeight="1">
      <c r="A576" s="2"/>
      <c r="B576" s="1"/>
      <c r="C576" s="1"/>
      <c r="D576" s="1"/>
      <c r="E576" s="1"/>
      <c r="F576" s="1"/>
      <c r="G576" s="1"/>
      <c r="H576" s="1"/>
      <c r="I576" s="61"/>
      <c r="J576" s="1"/>
      <c r="K576" s="1"/>
      <c r="L576" s="1"/>
    </row>
    <row r="577" spans="1:12" ht="15.75" customHeight="1">
      <c r="A577" s="2"/>
      <c r="B577" s="1"/>
      <c r="C577" s="1"/>
      <c r="D577" s="1"/>
      <c r="E577" s="1"/>
      <c r="F577" s="1"/>
      <c r="G577" s="1"/>
      <c r="H577" s="1"/>
      <c r="I577" s="61"/>
      <c r="J577" s="1"/>
      <c r="K577" s="1"/>
      <c r="L577" s="1"/>
    </row>
    <row r="578" spans="1:12" ht="15.75" customHeight="1">
      <c r="A578" s="2"/>
      <c r="B578" s="1"/>
      <c r="C578" s="1"/>
      <c r="D578" s="1"/>
      <c r="E578" s="1"/>
      <c r="F578" s="1"/>
      <c r="G578" s="1"/>
      <c r="H578" s="1"/>
      <c r="I578" s="61"/>
      <c r="J578" s="1"/>
      <c r="K578" s="1"/>
      <c r="L578" s="1"/>
    </row>
    <row r="579" spans="1:12" ht="15.75" customHeight="1">
      <c r="A579" s="2"/>
      <c r="B579" s="1"/>
      <c r="C579" s="1"/>
      <c r="D579" s="1"/>
      <c r="E579" s="1"/>
      <c r="F579" s="1"/>
      <c r="G579" s="1"/>
      <c r="H579" s="1"/>
      <c r="I579" s="61"/>
      <c r="J579" s="1"/>
      <c r="K579" s="1"/>
      <c r="L579" s="1"/>
    </row>
    <row r="580" spans="1:12" ht="15.75" customHeight="1">
      <c r="A580" s="2"/>
      <c r="B580" s="1"/>
      <c r="C580" s="1"/>
      <c r="D580" s="1"/>
      <c r="E580" s="1"/>
      <c r="F580" s="1"/>
      <c r="G580" s="1"/>
      <c r="H580" s="1"/>
      <c r="I580" s="61"/>
      <c r="J580" s="1"/>
      <c r="K580" s="1"/>
      <c r="L580" s="1"/>
    </row>
    <row r="581" spans="1:12" ht="15.75" customHeight="1">
      <c r="A581" s="2"/>
      <c r="B581" s="1"/>
      <c r="C581" s="1"/>
      <c r="D581" s="1"/>
      <c r="E581" s="1"/>
      <c r="F581" s="1"/>
      <c r="G581" s="1"/>
      <c r="H581" s="1"/>
      <c r="I581" s="61"/>
      <c r="J581" s="1"/>
      <c r="K581" s="1"/>
      <c r="L581" s="1"/>
    </row>
    <row r="582" spans="1:12" ht="15.75" customHeight="1">
      <c r="A582" s="2"/>
      <c r="B582" s="1"/>
      <c r="C582" s="1"/>
      <c r="D582" s="1"/>
      <c r="E582" s="1"/>
      <c r="F582" s="1"/>
      <c r="G582" s="1"/>
      <c r="H582" s="1"/>
      <c r="I582" s="61"/>
      <c r="J582" s="1"/>
      <c r="K582" s="1"/>
      <c r="L582" s="1"/>
    </row>
    <row r="583" spans="1:12" ht="15.75" customHeight="1">
      <c r="A583" s="2"/>
      <c r="B583" s="1"/>
      <c r="C583" s="1"/>
      <c r="D583" s="1"/>
      <c r="E583" s="1"/>
      <c r="F583" s="1"/>
      <c r="G583" s="1"/>
      <c r="H583" s="1"/>
      <c r="I583" s="61"/>
      <c r="J583" s="1"/>
      <c r="K583" s="1"/>
      <c r="L583" s="1"/>
    </row>
    <row r="584" spans="1:12" ht="15.75" customHeight="1">
      <c r="A584" s="2"/>
      <c r="B584" s="1"/>
      <c r="C584" s="1"/>
      <c r="D584" s="1"/>
      <c r="E584" s="1"/>
      <c r="F584" s="1"/>
      <c r="G584" s="1"/>
      <c r="H584" s="1"/>
      <c r="I584" s="61"/>
      <c r="J584" s="1"/>
      <c r="K584" s="1"/>
      <c r="L584" s="1"/>
    </row>
    <row r="585" spans="1:12" ht="15.75" customHeight="1">
      <c r="A585" s="2"/>
      <c r="B585" s="1"/>
      <c r="C585" s="1"/>
      <c r="D585" s="1"/>
      <c r="E585" s="1"/>
      <c r="F585" s="1"/>
      <c r="G585" s="1"/>
      <c r="H585" s="1"/>
      <c r="I585" s="61"/>
      <c r="J585" s="1"/>
      <c r="K585" s="1"/>
      <c r="L585" s="1"/>
    </row>
    <row r="586" spans="1:12" ht="15.75" customHeight="1">
      <c r="A586" s="2"/>
      <c r="B586" s="1"/>
      <c r="C586" s="1"/>
      <c r="D586" s="1"/>
      <c r="E586" s="1"/>
      <c r="F586" s="1"/>
      <c r="G586" s="1"/>
      <c r="H586" s="1"/>
      <c r="I586" s="61"/>
      <c r="J586" s="1"/>
      <c r="K586" s="1"/>
      <c r="L586" s="1"/>
    </row>
    <row r="587" spans="1:12" ht="15.75" customHeight="1">
      <c r="A587" s="2"/>
      <c r="B587" s="1"/>
      <c r="C587" s="1"/>
      <c r="D587" s="1"/>
      <c r="E587" s="1"/>
      <c r="F587" s="1"/>
      <c r="G587" s="1"/>
      <c r="H587" s="1"/>
      <c r="I587" s="61"/>
      <c r="J587" s="1"/>
      <c r="K587" s="1"/>
      <c r="L587" s="1"/>
    </row>
    <row r="588" spans="1:12" ht="15.75" customHeight="1">
      <c r="A588" s="2"/>
      <c r="B588" s="1"/>
      <c r="C588" s="1"/>
      <c r="D588" s="1"/>
      <c r="E588" s="1"/>
      <c r="F588" s="1"/>
      <c r="G588" s="1"/>
      <c r="H588" s="1"/>
      <c r="I588" s="61"/>
      <c r="J588" s="1"/>
      <c r="K588" s="1"/>
      <c r="L588" s="1"/>
    </row>
    <row r="589" spans="1:12" ht="15.75" customHeight="1">
      <c r="A589" s="2"/>
      <c r="B589" s="1"/>
      <c r="C589" s="1"/>
      <c r="D589" s="1"/>
      <c r="E589" s="1"/>
      <c r="F589" s="1"/>
      <c r="G589" s="1"/>
      <c r="H589" s="1"/>
      <c r="I589" s="61"/>
      <c r="J589" s="1"/>
      <c r="K589" s="1"/>
      <c r="L589" s="1"/>
    </row>
    <row r="590" spans="1:12" ht="15.75" customHeight="1">
      <c r="A590" s="2"/>
      <c r="B590" s="1"/>
      <c r="C590" s="1"/>
      <c r="D590" s="1"/>
      <c r="E590" s="1"/>
      <c r="F590" s="1"/>
      <c r="G590" s="1"/>
      <c r="H590" s="1"/>
      <c r="I590" s="61"/>
      <c r="J590" s="1"/>
      <c r="K590" s="1"/>
      <c r="L590" s="1"/>
    </row>
    <row r="591" spans="1:12" ht="15.75" customHeight="1">
      <c r="A591" s="2"/>
      <c r="B591" s="1"/>
      <c r="C591" s="1"/>
      <c r="D591" s="1"/>
      <c r="E591" s="1"/>
      <c r="F591" s="1"/>
      <c r="G591" s="1"/>
      <c r="H591" s="1"/>
      <c r="I591" s="61"/>
      <c r="J591" s="1"/>
      <c r="K591" s="1"/>
      <c r="L591" s="1"/>
    </row>
    <row r="592" spans="1:12" ht="15.75" customHeight="1">
      <c r="A592" s="2"/>
      <c r="B592" s="1"/>
      <c r="C592" s="1"/>
      <c r="D592" s="1"/>
      <c r="E592" s="1"/>
      <c r="F592" s="1"/>
      <c r="G592" s="1"/>
      <c r="H592" s="1"/>
      <c r="I592" s="61"/>
      <c r="J592" s="1"/>
      <c r="K592" s="1"/>
      <c r="L592" s="1"/>
    </row>
    <row r="593" spans="1:12" ht="15.75" customHeight="1">
      <c r="A593" s="2"/>
      <c r="B593" s="1"/>
      <c r="C593" s="1"/>
      <c r="D593" s="1"/>
      <c r="E593" s="1"/>
      <c r="F593" s="1"/>
      <c r="G593" s="1"/>
      <c r="H593" s="1"/>
      <c r="I593" s="61"/>
      <c r="J593" s="1"/>
      <c r="K593" s="1"/>
      <c r="L593" s="1"/>
    </row>
    <row r="594" spans="1:12" ht="15.75" customHeight="1">
      <c r="A594" s="2"/>
      <c r="B594" s="1"/>
      <c r="C594" s="1"/>
      <c r="D594" s="1"/>
      <c r="E594" s="1"/>
      <c r="F594" s="1"/>
      <c r="G594" s="1"/>
      <c r="H594" s="1"/>
      <c r="I594" s="61"/>
      <c r="J594" s="1"/>
      <c r="K594" s="1"/>
      <c r="L594" s="1"/>
    </row>
    <row r="595" spans="1:12" ht="15.75" customHeight="1">
      <c r="A595" s="2"/>
      <c r="B595" s="1"/>
      <c r="C595" s="1"/>
      <c r="D595" s="1"/>
      <c r="E595" s="1"/>
      <c r="F595" s="1"/>
      <c r="G595" s="1"/>
      <c r="H595" s="1"/>
      <c r="I595" s="61"/>
      <c r="J595" s="1"/>
      <c r="K595" s="1"/>
      <c r="L595" s="1"/>
    </row>
    <row r="596" spans="1:12" ht="15.75" customHeight="1">
      <c r="A596" s="2"/>
      <c r="B596" s="1"/>
      <c r="C596" s="1"/>
      <c r="D596" s="1"/>
      <c r="E596" s="1"/>
      <c r="F596" s="1"/>
      <c r="G596" s="1"/>
      <c r="H596" s="1"/>
      <c r="I596" s="61"/>
      <c r="J596" s="1"/>
      <c r="K596" s="1"/>
      <c r="L596" s="1"/>
    </row>
    <row r="597" spans="1:12" ht="15.75" customHeight="1">
      <c r="A597" s="2"/>
      <c r="B597" s="1"/>
      <c r="C597" s="1"/>
      <c r="D597" s="1"/>
      <c r="E597" s="1"/>
      <c r="F597" s="1"/>
      <c r="G597" s="1"/>
      <c r="H597" s="1"/>
      <c r="I597" s="61"/>
      <c r="J597" s="1"/>
      <c r="K597" s="1"/>
      <c r="L597" s="1"/>
    </row>
    <row r="598" spans="1:12" ht="15.75" customHeight="1">
      <c r="A598" s="2"/>
      <c r="B598" s="1"/>
      <c r="C598" s="1"/>
      <c r="D598" s="1"/>
      <c r="E598" s="1"/>
      <c r="F598" s="1"/>
      <c r="G598" s="1"/>
      <c r="H598" s="1"/>
      <c r="I598" s="61"/>
      <c r="J598" s="1"/>
      <c r="K598" s="1"/>
      <c r="L598" s="1"/>
    </row>
    <row r="599" spans="1:12" ht="15.75" customHeight="1">
      <c r="A599" s="2"/>
      <c r="B599" s="1"/>
      <c r="C599" s="1"/>
      <c r="D599" s="1"/>
      <c r="E599" s="1"/>
      <c r="F599" s="1"/>
      <c r="G599" s="1"/>
      <c r="H599" s="1"/>
      <c r="I599" s="61"/>
      <c r="J599" s="1"/>
      <c r="K599" s="1"/>
      <c r="L599" s="1"/>
    </row>
    <row r="600" spans="1:12" ht="15.75" customHeight="1">
      <c r="A600" s="2"/>
      <c r="B600" s="1"/>
      <c r="C600" s="1"/>
      <c r="D600" s="1"/>
      <c r="E600" s="1"/>
      <c r="F600" s="1"/>
      <c r="G600" s="1"/>
      <c r="H600" s="1"/>
      <c r="I600" s="61"/>
      <c r="J600" s="1"/>
      <c r="K600" s="1"/>
      <c r="L600" s="1"/>
    </row>
    <row r="601" spans="1:12" ht="15.75" customHeight="1">
      <c r="A601" s="2"/>
      <c r="B601" s="1"/>
      <c r="C601" s="1"/>
      <c r="D601" s="1"/>
      <c r="E601" s="1"/>
      <c r="F601" s="1"/>
      <c r="G601" s="1"/>
      <c r="H601" s="1"/>
      <c r="I601" s="61"/>
      <c r="J601" s="1"/>
      <c r="K601" s="1"/>
      <c r="L601" s="1"/>
    </row>
    <row r="602" spans="1:12" ht="15.75" customHeight="1">
      <c r="A602" s="2"/>
      <c r="B602" s="1"/>
      <c r="C602" s="1"/>
      <c r="D602" s="1"/>
      <c r="E602" s="1"/>
      <c r="F602" s="1"/>
      <c r="G602" s="1"/>
      <c r="H602" s="1"/>
      <c r="I602" s="61"/>
      <c r="J602" s="1"/>
      <c r="K602" s="1"/>
      <c r="L602" s="1"/>
    </row>
    <row r="603" spans="1:12" ht="15.75" customHeight="1">
      <c r="A603" s="2"/>
      <c r="B603" s="1"/>
      <c r="C603" s="1"/>
      <c r="D603" s="1"/>
      <c r="E603" s="1"/>
      <c r="F603" s="1"/>
      <c r="G603" s="1"/>
      <c r="H603" s="1"/>
      <c r="I603" s="61"/>
      <c r="J603" s="1"/>
      <c r="K603" s="1"/>
      <c r="L603" s="1"/>
    </row>
    <row r="604" spans="1:12" ht="15.75" customHeight="1">
      <c r="A604" s="2"/>
      <c r="B604" s="1"/>
      <c r="C604" s="1"/>
      <c r="D604" s="1"/>
      <c r="E604" s="1"/>
      <c r="F604" s="1"/>
      <c r="G604" s="1"/>
      <c r="H604" s="1"/>
      <c r="I604" s="61"/>
      <c r="J604" s="1"/>
      <c r="K604" s="1"/>
      <c r="L604" s="1"/>
    </row>
    <row r="605" spans="1:12" ht="15.75" customHeight="1">
      <c r="A605" s="2"/>
      <c r="B605" s="1"/>
      <c r="C605" s="1"/>
      <c r="D605" s="1"/>
      <c r="E605" s="1"/>
      <c r="F605" s="1"/>
      <c r="G605" s="1"/>
      <c r="H605" s="1"/>
      <c r="I605" s="61"/>
      <c r="J605" s="1"/>
      <c r="K605" s="1"/>
      <c r="L605" s="1"/>
    </row>
    <row r="606" spans="1:12" ht="15.75" customHeight="1">
      <c r="A606" s="2"/>
      <c r="B606" s="1"/>
      <c r="C606" s="1"/>
      <c r="D606" s="1"/>
      <c r="E606" s="1"/>
      <c r="F606" s="1"/>
      <c r="G606" s="1"/>
      <c r="H606" s="1"/>
      <c r="I606" s="61"/>
      <c r="J606" s="1"/>
      <c r="K606" s="1"/>
      <c r="L606" s="1"/>
    </row>
    <row r="607" spans="1:12" ht="15.75" customHeight="1">
      <c r="A607" s="2"/>
      <c r="B607" s="1"/>
      <c r="C607" s="1"/>
      <c r="D607" s="1"/>
      <c r="E607" s="1"/>
      <c r="F607" s="1"/>
      <c r="G607" s="1"/>
      <c r="H607" s="1"/>
      <c r="I607" s="61"/>
      <c r="J607" s="1"/>
      <c r="K607" s="1"/>
      <c r="L607" s="1"/>
    </row>
    <row r="608" spans="1:12" ht="15.75" customHeight="1">
      <c r="A608" s="2"/>
      <c r="B608" s="1"/>
      <c r="C608" s="1"/>
      <c r="D608" s="1"/>
      <c r="E608" s="1"/>
      <c r="F608" s="1"/>
      <c r="G608" s="1"/>
      <c r="H608" s="1"/>
      <c r="I608" s="61"/>
      <c r="J608" s="1"/>
      <c r="K608" s="1"/>
      <c r="L608" s="1"/>
    </row>
    <row r="609" spans="1:12" ht="15.75" customHeight="1">
      <c r="A609" s="2"/>
      <c r="B609" s="1"/>
      <c r="C609" s="1"/>
      <c r="D609" s="1"/>
      <c r="E609" s="1"/>
      <c r="F609" s="1"/>
      <c r="G609" s="1"/>
      <c r="H609" s="1"/>
      <c r="I609" s="61"/>
      <c r="J609" s="1"/>
      <c r="K609" s="1"/>
      <c r="L609" s="1"/>
    </row>
    <row r="610" spans="1:12" ht="15.75" customHeight="1">
      <c r="A610" s="2"/>
      <c r="B610" s="1"/>
      <c r="C610" s="1"/>
      <c r="D610" s="1"/>
      <c r="E610" s="1"/>
      <c r="F610" s="1"/>
      <c r="G610" s="1"/>
      <c r="H610" s="1"/>
      <c r="I610" s="61"/>
      <c r="J610" s="1"/>
      <c r="K610" s="1"/>
      <c r="L610" s="1"/>
    </row>
    <row r="611" spans="1:12" ht="15.75" customHeight="1">
      <c r="A611" s="2"/>
      <c r="B611" s="1"/>
      <c r="C611" s="1"/>
      <c r="D611" s="1"/>
      <c r="E611" s="1"/>
      <c r="F611" s="1"/>
      <c r="G611" s="1"/>
      <c r="H611" s="1"/>
      <c r="I611" s="61"/>
      <c r="J611" s="1"/>
      <c r="K611" s="1"/>
      <c r="L611" s="1"/>
    </row>
    <row r="612" spans="1:12" ht="15.75" customHeight="1">
      <c r="A612" s="2"/>
      <c r="B612" s="1"/>
      <c r="C612" s="1"/>
      <c r="D612" s="1"/>
      <c r="E612" s="1"/>
      <c r="F612" s="1"/>
      <c r="G612" s="1"/>
      <c r="H612" s="1"/>
      <c r="I612" s="61"/>
      <c r="J612" s="1"/>
      <c r="K612" s="1"/>
      <c r="L612" s="1"/>
    </row>
    <row r="613" spans="1:12" ht="15.75" customHeight="1">
      <c r="A613" s="2"/>
      <c r="B613" s="1"/>
      <c r="C613" s="1"/>
      <c r="D613" s="1"/>
      <c r="E613" s="1"/>
      <c r="F613" s="1"/>
      <c r="G613" s="1"/>
      <c r="H613" s="1"/>
      <c r="I613" s="61"/>
      <c r="J613" s="1"/>
      <c r="K613" s="1"/>
      <c r="L613" s="1"/>
    </row>
    <row r="614" spans="1:12" ht="15.75" customHeight="1">
      <c r="A614" s="2"/>
      <c r="B614" s="1"/>
      <c r="C614" s="1"/>
      <c r="D614" s="1"/>
      <c r="E614" s="1"/>
      <c r="F614" s="1"/>
      <c r="G614" s="1"/>
      <c r="H614" s="1"/>
      <c r="I614" s="61"/>
      <c r="J614" s="1"/>
      <c r="K614" s="1"/>
      <c r="L614" s="1"/>
    </row>
    <row r="615" spans="1:12" ht="15.75" customHeight="1">
      <c r="A615" s="2"/>
      <c r="B615" s="1"/>
      <c r="C615" s="1"/>
      <c r="D615" s="1"/>
      <c r="E615" s="1"/>
      <c r="F615" s="1"/>
      <c r="G615" s="1"/>
      <c r="H615" s="1"/>
      <c r="I615" s="61"/>
      <c r="J615" s="1"/>
      <c r="K615" s="1"/>
      <c r="L615" s="1"/>
    </row>
    <row r="616" spans="1:12" ht="15.75" customHeight="1">
      <c r="A616" s="2"/>
      <c r="B616" s="1"/>
      <c r="C616" s="1"/>
      <c r="D616" s="1"/>
      <c r="E616" s="1"/>
      <c r="F616" s="1"/>
      <c r="G616" s="1"/>
      <c r="H616" s="1"/>
      <c r="I616" s="61"/>
      <c r="J616" s="1"/>
      <c r="K616" s="1"/>
      <c r="L616" s="1"/>
    </row>
    <row r="617" spans="1:12" ht="15.75" customHeight="1">
      <c r="A617" s="2"/>
      <c r="B617" s="1"/>
      <c r="C617" s="1"/>
      <c r="D617" s="1"/>
      <c r="E617" s="1"/>
      <c r="F617" s="1"/>
      <c r="G617" s="1"/>
      <c r="H617" s="1"/>
      <c r="I617" s="61"/>
      <c r="J617" s="1"/>
      <c r="K617" s="1"/>
      <c r="L617" s="1"/>
    </row>
    <row r="618" spans="1:12" ht="15.75" customHeight="1">
      <c r="A618" s="2"/>
      <c r="B618" s="1"/>
      <c r="C618" s="1"/>
      <c r="D618" s="1"/>
      <c r="E618" s="1"/>
      <c r="F618" s="1"/>
      <c r="G618" s="1"/>
      <c r="H618" s="1"/>
      <c r="I618" s="61"/>
      <c r="J618" s="1"/>
      <c r="K618" s="1"/>
      <c r="L618" s="1"/>
    </row>
    <row r="619" spans="1:12" ht="15.75" customHeight="1">
      <c r="A619" s="2"/>
      <c r="B619" s="1"/>
      <c r="C619" s="1"/>
      <c r="D619" s="1"/>
      <c r="E619" s="1"/>
      <c r="F619" s="1"/>
      <c r="G619" s="1"/>
      <c r="H619" s="1"/>
      <c r="I619" s="61"/>
      <c r="J619" s="1"/>
      <c r="K619" s="1"/>
      <c r="L619" s="1"/>
    </row>
    <row r="620" spans="1:12" ht="15.75" customHeight="1">
      <c r="A620" s="2"/>
      <c r="B620" s="1"/>
      <c r="C620" s="1"/>
      <c r="D620" s="1"/>
      <c r="E620" s="1"/>
      <c r="F620" s="1"/>
      <c r="G620" s="1"/>
      <c r="H620" s="1"/>
      <c r="I620" s="61"/>
      <c r="J620" s="1"/>
      <c r="K620" s="1"/>
      <c r="L620" s="1"/>
    </row>
    <row r="621" spans="1:12" ht="15.75" customHeight="1">
      <c r="A621" s="2"/>
      <c r="B621" s="1"/>
      <c r="C621" s="1"/>
      <c r="D621" s="1"/>
      <c r="E621" s="1"/>
      <c r="F621" s="1"/>
      <c r="G621" s="1"/>
      <c r="H621" s="1"/>
      <c r="I621" s="61"/>
      <c r="J621" s="1"/>
      <c r="K621" s="1"/>
      <c r="L621" s="1"/>
    </row>
    <row r="622" spans="1:12" ht="15.75" customHeight="1">
      <c r="A622" s="2"/>
      <c r="B622" s="1"/>
      <c r="C622" s="1"/>
      <c r="D622" s="1"/>
      <c r="E622" s="1"/>
      <c r="F622" s="1"/>
      <c r="G622" s="1"/>
      <c r="H622" s="1"/>
      <c r="I622" s="61"/>
      <c r="J622" s="1"/>
      <c r="K622" s="1"/>
      <c r="L622" s="1"/>
    </row>
    <row r="623" spans="1:12" ht="15.75" customHeight="1">
      <c r="A623" s="2"/>
      <c r="B623" s="1"/>
      <c r="C623" s="1"/>
      <c r="D623" s="1"/>
      <c r="E623" s="1"/>
      <c r="F623" s="1"/>
      <c r="G623" s="1"/>
      <c r="H623" s="1"/>
      <c r="I623" s="61"/>
      <c r="J623" s="1"/>
      <c r="K623" s="1"/>
      <c r="L623" s="1"/>
    </row>
    <row r="624" spans="1:12" ht="15.75" customHeight="1">
      <c r="A624" s="2"/>
      <c r="B624" s="1"/>
      <c r="C624" s="1"/>
      <c r="D624" s="1"/>
      <c r="E624" s="1"/>
      <c r="F624" s="1"/>
      <c r="G624" s="1"/>
      <c r="H624" s="1"/>
      <c r="I624" s="61"/>
      <c r="J624" s="1"/>
      <c r="K624" s="1"/>
      <c r="L624" s="1"/>
    </row>
    <row r="625" spans="1:12" ht="15.75" customHeight="1">
      <c r="A625" s="2"/>
      <c r="B625" s="1"/>
      <c r="C625" s="1"/>
      <c r="D625" s="1"/>
      <c r="E625" s="1"/>
      <c r="F625" s="1"/>
      <c r="G625" s="1"/>
      <c r="H625" s="1"/>
      <c r="I625" s="61"/>
      <c r="J625" s="1"/>
      <c r="K625" s="1"/>
      <c r="L625" s="1"/>
    </row>
    <row r="626" spans="1:12" ht="15.75" customHeight="1">
      <c r="A626" s="2"/>
      <c r="B626" s="1"/>
      <c r="C626" s="1"/>
      <c r="D626" s="1"/>
      <c r="E626" s="1"/>
      <c r="F626" s="1"/>
      <c r="G626" s="1"/>
      <c r="H626" s="1"/>
      <c r="I626" s="61"/>
      <c r="J626" s="1"/>
      <c r="K626" s="1"/>
      <c r="L626" s="1"/>
    </row>
    <row r="627" spans="1:12" ht="15.75" customHeight="1">
      <c r="A627" s="2"/>
      <c r="B627" s="1"/>
      <c r="C627" s="1"/>
      <c r="D627" s="1"/>
      <c r="E627" s="1"/>
      <c r="F627" s="1"/>
      <c r="G627" s="1"/>
      <c r="H627" s="1"/>
      <c r="I627" s="61"/>
      <c r="J627" s="1"/>
      <c r="K627" s="1"/>
      <c r="L627" s="1"/>
    </row>
    <row r="628" spans="1:12" ht="15.75" customHeight="1">
      <c r="A628" s="2"/>
      <c r="B628" s="1"/>
      <c r="C628" s="1"/>
      <c r="D628" s="1"/>
      <c r="E628" s="1"/>
      <c r="F628" s="1"/>
      <c r="G628" s="1"/>
      <c r="H628" s="1"/>
      <c r="I628" s="61"/>
      <c r="J628" s="1"/>
      <c r="K628" s="1"/>
      <c r="L628" s="1"/>
    </row>
    <row r="629" spans="1:12" ht="15.75" customHeight="1">
      <c r="A629" s="2"/>
      <c r="B629" s="1"/>
      <c r="C629" s="1"/>
      <c r="D629" s="1"/>
      <c r="E629" s="1"/>
      <c r="F629" s="1"/>
      <c r="G629" s="1"/>
      <c r="H629" s="1"/>
      <c r="I629" s="61"/>
      <c r="J629" s="1"/>
      <c r="K629" s="1"/>
      <c r="L629" s="1"/>
    </row>
    <row r="630" spans="1:12" ht="15.75" customHeight="1">
      <c r="A630" s="2"/>
      <c r="B630" s="1"/>
      <c r="C630" s="1"/>
      <c r="D630" s="1"/>
      <c r="E630" s="1"/>
      <c r="F630" s="1"/>
      <c r="G630" s="1"/>
      <c r="H630" s="1"/>
      <c r="I630" s="61"/>
      <c r="J630" s="1"/>
      <c r="K630" s="1"/>
      <c r="L630" s="1"/>
    </row>
    <row r="631" spans="1:12" ht="15.75" customHeight="1">
      <c r="A631" s="2"/>
      <c r="B631" s="1"/>
      <c r="C631" s="1"/>
      <c r="D631" s="1"/>
      <c r="E631" s="1"/>
      <c r="F631" s="1"/>
      <c r="G631" s="1"/>
      <c r="H631" s="1"/>
      <c r="I631" s="61"/>
      <c r="J631" s="1"/>
      <c r="K631" s="1"/>
      <c r="L631" s="1"/>
    </row>
    <row r="632" spans="1:12" ht="15.75" customHeight="1">
      <c r="A632" s="2"/>
      <c r="B632" s="1"/>
      <c r="C632" s="1"/>
      <c r="D632" s="1"/>
      <c r="E632" s="1"/>
      <c r="F632" s="1"/>
      <c r="G632" s="1"/>
      <c r="H632" s="1"/>
      <c r="I632" s="61"/>
      <c r="J632" s="1"/>
      <c r="K632" s="1"/>
      <c r="L632" s="1"/>
    </row>
    <row r="633" spans="1:12" ht="15.75" customHeight="1">
      <c r="A633" s="2"/>
      <c r="B633" s="1"/>
      <c r="C633" s="1"/>
      <c r="D633" s="1"/>
      <c r="E633" s="1"/>
      <c r="F633" s="1"/>
      <c r="G633" s="1"/>
      <c r="H633" s="1"/>
      <c r="I633" s="61"/>
      <c r="J633" s="1"/>
      <c r="K633" s="1"/>
      <c r="L633" s="1"/>
    </row>
    <row r="634" spans="1:12" ht="15.75" customHeight="1">
      <c r="A634" s="2"/>
      <c r="B634" s="1"/>
      <c r="C634" s="1"/>
      <c r="D634" s="1"/>
      <c r="E634" s="1"/>
      <c r="F634" s="1"/>
      <c r="G634" s="1"/>
      <c r="H634" s="1"/>
      <c r="I634" s="61"/>
      <c r="J634" s="1"/>
      <c r="K634" s="1"/>
      <c r="L634" s="1"/>
    </row>
    <row r="635" spans="1:12" ht="15.75" customHeight="1">
      <c r="A635" s="2"/>
      <c r="B635" s="1"/>
      <c r="C635" s="1"/>
      <c r="D635" s="1"/>
      <c r="E635" s="1"/>
      <c r="F635" s="1"/>
      <c r="G635" s="1"/>
      <c r="H635" s="1"/>
      <c r="I635" s="61"/>
      <c r="J635" s="1"/>
      <c r="K635" s="1"/>
      <c r="L635" s="1"/>
    </row>
    <row r="636" spans="1:12" ht="15.75" customHeight="1">
      <c r="A636" s="2"/>
      <c r="B636" s="1"/>
      <c r="C636" s="1"/>
      <c r="D636" s="1"/>
      <c r="E636" s="1"/>
      <c r="F636" s="1"/>
      <c r="G636" s="1"/>
      <c r="H636" s="1"/>
      <c r="I636" s="61"/>
      <c r="J636" s="1"/>
      <c r="K636" s="1"/>
      <c r="L636" s="1"/>
    </row>
    <row r="637" spans="1:12" ht="15.75" customHeight="1">
      <c r="A637" s="2"/>
      <c r="B637" s="1"/>
      <c r="C637" s="1"/>
      <c r="D637" s="1"/>
      <c r="E637" s="1"/>
      <c r="F637" s="1"/>
      <c r="G637" s="1"/>
      <c r="H637" s="1"/>
      <c r="I637" s="61"/>
      <c r="J637" s="1"/>
      <c r="K637" s="1"/>
      <c r="L637" s="1"/>
    </row>
    <row r="638" spans="1:12" ht="15.75" customHeight="1">
      <c r="A638" s="2"/>
      <c r="B638" s="1"/>
      <c r="C638" s="1"/>
      <c r="D638" s="1"/>
      <c r="E638" s="1"/>
      <c r="F638" s="1"/>
      <c r="G638" s="1"/>
      <c r="H638" s="1"/>
      <c r="I638" s="61"/>
      <c r="J638" s="1"/>
      <c r="K638" s="1"/>
      <c r="L638" s="1"/>
    </row>
    <row r="639" spans="1:12" ht="15.75" customHeight="1">
      <c r="A639" s="2"/>
      <c r="B639" s="1"/>
      <c r="C639" s="1"/>
      <c r="D639" s="1"/>
      <c r="E639" s="1"/>
      <c r="F639" s="1"/>
      <c r="G639" s="1"/>
      <c r="H639" s="1"/>
      <c r="I639" s="61"/>
      <c r="J639" s="1"/>
      <c r="K639" s="1"/>
      <c r="L639" s="1"/>
    </row>
    <row r="640" spans="1:12" ht="15.75" customHeight="1">
      <c r="A640" s="2"/>
      <c r="B640" s="1"/>
      <c r="C640" s="1"/>
      <c r="D640" s="1"/>
      <c r="E640" s="1"/>
      <c r="F640" s="1"/>
      <c r="G640" s="1"/>
      <c r="H640" s="1"/>
      <c r="I640" s="61"/>
      <c r="J640" s="1"/>
      <c r="K640" s="1"/>
      <c r="L640" s="1"/>
    </row>
    <row r="641" spans="1:12" ht="15.75" customHeight="1">
      <c r="A641" s="2"/>
      <c r="B641" s="1"/>
      <c r="C641" s="1"/>
      <c r="D641" s="1"/>
      <c r="E641" s="1"/>
      <c r="F641" s="1"/>
      <c r="G641" s="1"/>
      <c r="H641" s="1"/>
      <c r="I641" s="61"/>
      <c r="J641" s="1"/>
      <c r="K641" s="1"/>
      <c r="L641" s="1"/>
    </row>
    <row r="642" spans="1:12" ht="15.75" customHeight="1">
      <c r="A642" s="2"/>
      <c r="B642" s="1"/>
      <c r="C642" s="1"/>
      <c r="D642" s="1"/>
      <c r="E642" s="1"/>
      <c r="F642" s="1"/>
      <c r="G642" s="1"/>
      <c r="H642" s="1"/>
      <c r="I642" s="61"/>
      <c r="J642" s="1"/>
      <c r="K642" s="1"/>
      <c r="L642" s="1"/>
    </row>
    <row r="643" spans="1:12" ht="15.75" customHeight="1">
      <c r="A643" s="2"/>
      <c r="B643" s="1"/>
      <c r="C643" s="1"/>
      <c r="D643" s="1"/>
      <c r="E643" s="1"/>
      <c r="F643" s="1"/>
      <c r="G643" s="1"/>
      <c r="H643" s="1"/>
      <c r="I643" s="61"/>
      <c r="J643" s="1"/>
      <c r="K643" s="1"/>
      <c r="L643" s="1"/>
    </row>
    <row r="644" spans="1:12" ht="15.75" customHeight="1">
      <c r="A644" s="2"/>
      <c r="B644" s="1"/>
      <c r="C644" s="1"/>
      <c r="D644" s="1"/>
      <c r="E644" s="1"/>
      <c r="F644" s="1"/>
      <c r="G644" s="1"/>
      <c r="H644" s="1"/>
      <c r="I644" s="61"/>
      <c r="J644" s="1"/>
      <c r="K644" s="1"/>
      <c r="L644" s="1"/>
    </row>
    <row r="645" spans="1:12" ht="15.75" customHeight="1">
      <c r="A645" s="2"/>
      <c r="B645" s="1"/>
      <c r="C645" s="1"/>
      <c r="D645" s="1"/>
      <c r="E645" s="1"/>
      <c r="F645" s="1"/>
      <c r="G645" s="1"/>
      <c r="H645" s="1"/>
      <c r="I645" s="61"/>
      <c r="J645" s="1"/>
      <c r="K645" s="1"/>
      <c r="L645" s="1"/>
    </row>
    <row r="646" spans="1:12" ht="15.75" customHeight="1">
      <c r="A646" s="2"/>
      <c r="B646" s="1"/>
      <c r="C646" s="1"/>
      <c r="D646" s="1"/>
      <c r="E646" s="1"/>
      <c r="F646" s="1"/>
      <c r="G646" s="1"/>
      <c r="H646" s="1"/>
      <c r="I646" s="61"/>
      <c r="J646" s="1"/>
      <c r="K646" s="1"/>
      <c r="L646" s="1"/>
    </row>
    <row r="647" spans="1:12" ht="15.75" customHeight="1">
      <c r="A647" s="2"/>
      <c r="B647" s="1"/>
      <c r="C647" s="1"/>
      <c r="D647" s="1"/>
      <c r="E647" s="1"/>
      <c r="F647" s="1"/>
      <c r="G647" s="1"/>
      <c r="H647" s="1"/>
      <c r="I647" s="61"/>
      <c r="J647" s="1"/>
      <c r="K647" s="1"/>
      <c r="L647" s="1"/>
    </row>
    <row r="648" spans="1:12" ht="15.75" customHeight="1">
      <c r="A648" s="2"/>
      <c r="B648" s="1"/>
      <c r="C648" s="1"/>
      <c r="D648" s="1"/>
      <c r="E648" s="1"/>
      <c r="F648" s="1"/>
      <c r="G648" s="1"/>
      <c r="H648" s="1"/>
      <c r="I648" s="61"/>
      <c r="J648" s="1"/>
      <c r="K648" s="1"/>
      <c r="L648" s="1"/>
    </row>
    <row r="649" spans="1:12" ht="15.75" customHeight="1">
      <c r="A649" s="2"/>
      <c r="B649" s="1"/>
      <c r="C649" s="1"/>
      <c r="D649" s="1"/>
      <c r="E649" s="1"/>
      <c r="F649" s="1"/>
      <c r="G649" s="1"/>
      <c r="H649" s="1"/>
      <c r="I649" s="61"/>
      <c r="J649" s="1"/>
      <c r="K649" s="1"/>
      <c r="L649" s="1"/>
    </row>
    <row r="650" spans="1:12" ht="15.75" customHeight="1">
      <c r="A650" s="2"/>
      <c r="B650" s="1"/>
      <c r="C650" s="1"/>
      <c r="D650" s="1"/>
      <c r="E650" s="1"/>
      <c r="F650" s="1"/>
      <c r="G650" s="1"/>
      <c r="H650" s="1"/>
      <c r="I650" s="61"/>
      <c r="J650" s="1"/>
      <c r="K650" s="1"/>
      <c r="L650" s="1"/>
    </row>
    <row r="651" spans="1:12" ht="15.75" customHeight="1">
      <c r="A651" s="2"/>
      <c r="B651" s="1"/>
      <c r="C651" s="1"/>
      <c r="D651" s="1"/>
      <c r="E651" s="1"/>
      <c r="F651" s="1"/>
      <c r="G651" s="1"/>
      <c r="H651" s="1"/>
      <c r="I651" s="61"/>
      <c r="J651" s="1"/>
      <c r="K651" s="1"/>
      <c r="L651" s="1"/>
    </row>
    <row r="652" spans="1:12" ht="15.75" customHeight="1">
      <c r="A652" s="2"/>
      <c r="B652" s="1"/>
      <c r="C652" s="1"/>
      <c r="D652" s="1"/>
      <c r="E652" s="1"/>
      <c r="F652" s="1"/>
      <c r="G652" s="1"/>
      <c r="H652" s="1"/>
      <c r="I652" s="61"/>
      <c r="J652" s="1"/>
      <c r="K652" s="1"/>
      <c r="L652" s="1"/>
    </row>
    <row r="653" spans="1:12" ht="15.75" customHeight="1">
      <c r="A653" s="2"/>
      <c r="B653" s="1"/>
      <c r="C653" s="1"/>
      <c r="D653" s="1"/>
      <c r="E653" s="1"/>
      <c r="F653" s="1"/>
      <c r="G653" s="1"/>
      <c r="H653" s="1"/>
      <c r="I653" s="61"/>
      <c r="J653" s="1"/>
      <c r="K653" s="1"/>
      <c r="L653" s="1"/>
    </row>
    <row r="654" spans="1:12" ht="15.75" customHeight="1">
      <c r="A654" s="2"/>
      <c r="B654" s="1"/>
      <c r="C654" s="1"/>
      <c r="D654" s="1"/>
      <c r="E654" s="1"/>
      <c r="F654" s="1"/>
      <c r="G654" s="1"/>
      <c r="H654" s="1"/>
      <c r="I654" s="61"/>
      <c r="J654" s="1"/>
      <c r="K654" s="1"/>
      <c r="L654" s="1"/>
    </row>
    <row r="655" spans="1:12" ht="15.75" customHeight="1">
      <c r="A655" s="2"/>
      <c r="B655" s="1"/>
      <c r="C655" s="1"/>
      <c r="D655" s="1"/>
      <c r="E655" s="1"/>
      <c r="F655" s="1"/>
      <c r="G655" s="1"/>
      <c r="H655" s="1"/>
      <c r="I655" s="61"/>
      <c r="J655" s="1"/>
      <c r="K655" s="1"/>
      <c r="L655" s="1"/>
    </row>
    <row r="656" spans="1:12" ht="15.75" customHeight="1">
      <c r="A656" s="2"/>
      <c r="B656" s="1"/>
      <c r="C656" s="1"/>
      <c r="D656" s="1"/>
      <c r="E656" s="1"/>
      <c r="F656" s="1"/>
      <c r="G656" s="1"/>
      <c r="H656" s="1"/>
      <c r="I656" s="61"/>
      <c r="J656" s="1"/>
      <c r="K656" s="1"/>
      <c r="L656" s="1"/>
    </row>
    <row r="657" spans="1:12" ht="15.75" customHeight="1">
      <c r="A657" s="2"/>
      <c r="B657" s="1"/>
      <c r="C657" s="1"/>
      <c r="D657" s="1"/>
      <c r="E657" s="1"/>
      <c r="F657" s="1"/>
      <c r="G657" s="1"/>
      <c r="H657" s="1"/>
      <c r="I657" s="61"/>
      <c r="J657" s="1"/>
      <c r="K657" s="1"/>
      <c r="L657" s="1"/>
    </row>
    <row r="658" spans="1:12" ht="15.75" customHeight="1">
      <c r="A658" s="2"/>
      <c r="B658" s="1"/>
      <c r="C658" s="1"/>
      <c r="D658" s="1"/>
      <c r="E658" s="1"/>
      <c r="F658" s="1"/>
      <c r="G658" s="1"/>
      <c r="H658" s="1"/>
      <c r="I658" s="61"/>
      <c r="J658" s="1"/>
      <c r="K658" s="1"/>
      <c r="L658" s="1"/>
    </row>
    <row r="659" spans="1:12" ht="15.75" customHeight="1">
      <c r="A659" s="2"/>
      <c r="B659" s="1"/>
      <c r="C659" s="1"/>
      <c r="D659" s="1"/>
      <c r="E659" s="1"/>
      <c r="F659" s="1"/>
      <c r="G659" s="1"/>
      <c r="H659" s="1"/>
      <c r="I659" s="61"/>
      <c r="J659" s="1"/>
      <c r="K659" s="1"/>
      <c r="L659" s="1"/>
    </row>
    <row r="660" spans="1:12" ht="15.75" customHeight="1">
      <c r="A660" s="2"/>
      <c r="B660" s="1"/>
      <c r="C660" s="1"/>
      <c r="D660" s="1"/>
      <c r="E660" s="1"/>
      <c r="F660" s="1"/>
      <c r="G660" s="1"/>
      <c r="H660" s="1"/>
      <c r="I660" s="61"/>
      <c r="J660" s="1"/>
      <c r="K660" s="1"/>
      <c r="L660" s="1"/>
    </row>
    <row r="661" spans="1:12" ht="15.75" customHeight="1">
      <c r="A661" s="2"/>
      <c r="B661" s="1"/>
      <c r="C661" s="1"/>
      <c r="D661" s="1"/>
      <c r="E661" s="1"/>
      <c r="F661" s="1"/>
      <c r="G661" s="1"/>
      <c r="H661" s="1"/>
      <c r="I661" s="61"/>
      <c r="J661" s="1"/>
      <c r="K661" s="1"/>
      <c r="L661" s="1"/>
    </row>
    <row r="662" spans="1:12" ht="15.75" customHeight="1">
      <c r="A662" s="2"/>
      <c r="B662" s="1"/>
      <c r="C662" s="1"/>
      <c r="D662" s="1"/>
      <c r="E662" s="1"/>
      <c r="F662" s="1"/>
      <c r="G662" s="1"/>
      <c r="H662" s="1"/>
      <c r="I662" s="61"/>
      <c r="J662" s="1"/>
      <c r="K662" s="1"/>
      <c r="L662" s="1"/>
    </row>
    <row r="663" spans="1:12" ht="15.75" customHeight="1">
      <c r="A663" s="2"/>
      <c r="B663" s="1"/>
      <c r="C663" s="1"/>
      <c r="D663" s="1"/>
      <c r="E663" s="1"/>
      <c r="F663" s="1"/>
      <c r="G663" s="1"/>
      <c r="H663" s="1"/>
      <c r="I663" s="61"/>
      <c r="J663" s="1"/>
      <c r="K663" s="1"/>
      <c r="L663" s="1"/>
    </row>
    <row r="664" spans="1:12" ht="15.75" customHeight="1">
      <c r="A664" s="2"/>
      <c r="B664" s="1"/>
      <c r="C664" s="1"/>
      <c r="D664" s="1"/>
      <c r="E664" s="1"/>
      <c r="F664" s="1"/>
      <c r="G664" s="1"/>
      <c r="H664" s="1"/>
      <c r="I664" s="61"/>
      <c r="J664" s="1"/>
      <c r="K664" s="1"/>
      <c r="L664" s="1"/>
    </row>
    <row r="665" spans="1:12" ht="15.75" customHeight="1">
      <c r="A665" s="2"/>
      <c r="B665" s="1"/>
      <c r="C665" s="1"/>
      <c r="D665" s="1"/>
      <c r="E665" s="1"/>
      <c r="F665" s="1"/>
      <c r="G665" s="1"/>
      <c r="H665" s="1"/>
      <c r="I665" s="61"/>
      <c r="J665" s="1"/>
      <c r="K665" s="1"/>
      <c r="L665" s="1"/>
    </row>
    <row r="666" spans="1:12" ht="15.75" customHeight="1">
      <c r="A666" s="2"/>
      <c r="B666" s="1"/>
      <c r="C666" s="1"/>
      <c r="D666" s="1"/>
      <c r="E666" s="1"/>
      <c r="F666" s="1"/>
      <c r="G666" s="1"/>
      <c r="H666" s="1"/>
      <c r="I666" s="61"/>
      <c r="J666" s="1"/>
      <c r="K666" s="1"/>
      <c r="L666" s="1"/>
    </row>
    <row r="667" spans="1:12" ht="15.75" customHeight="1">
      <c r="A667" s="2"/>
      <c r="B667" s="1"/>
      <c r="C667" s="1"/>
      <c r="D667" s="1"/>
      <c r="E667" s="1"/>
      <c r="F667" s="1"/>
      <c r="G667" s="1"/>
      <c r="H667" s="1"/>
      <c r="I667" s="61"/>
      <c r="J667" s="1"/>
      <c r="K667" s="1"/>
      <c r="L667" s="1"/>
    </row>
    <row r="668" spans="1:12" ht="15.75" customHeight="1">
      <c r="A668" s="2"/>
      <c r="B668" s="1"/>
      <c r="C668" s="1"/>
      <c r="D668" s="1"/>
      <c r="E668" s="1"/>
      <c r="F668" s="1"/>
      <c r="G668" s="1"/>
      <c r="H668" s="1"/>
      <c r="I668" s="61"/>
      <c r="J668" s="1"/>
      <c r="K668" s="1"/>
      <c r="L668" s="1"/>
    </row>
    <row r="669" spans="1:12" ht="15.75" customHeight="1">
      <c r="A669" s="2"/>
      <c r="B669" s="1"/>
      <c r="C669" s="1"/>
      <c r="D669" s="1"/>
      <c r="E669" s="1"/>
      <c r="F669" s="1"/>
      <c r="G669" s="1"/>
      <c r="H669" s="1"/>
      <c r="I669" s="61"/>
      <c r="J669" s="1"/>
      <c r="K669" s="1"/>
      <c r="L669" s="1"/>
    </row>
    <row r="670" spans="1:12" ht="15.75" customHeight="1">
      <c r="A670" s="2"/>
      <c r="B670" s="1"/>
      <c r="C670" s="1"/>
      <c r="D670" s="1"/>
      <c r="E670" s="1"/>
      <c r="F670" s="1"/>
      <c r="G670" s="1"/>
      <c r="H670" s="1"/>
      <c r="I670" s="61"/>
      <c r="J670" s="1"/>
      <c r="K670" s="1"/>
      <c r="L670" s="1"/>
    </row>
    <row r="671" spans="1:12" ht="15.75" customHeight="1">
      <c r="A671" s="2"/>
      <c r="B671" s="1"/>
      <c r="C671" s="1"/>
      <c r="D671" s="1"/>
      <c r="E671" s="1"/>
      <c r="F671" s="1"/>
      <c r="G671" s="1"/>
      <c r="H671" s="1"/>
      <c r="I671" s="61"/>
      <c r="J671" s="1"/>
      <c r="K671" s="1"/>
      <c r="L671" s="1"/>
    </row>
    <row r="672" spans="1:12" ht="15.75" customHeight="1">
      <c r="A672" s="2"/>
      <c r="B672" s="1"/>
      <c r="C672" s="1"/>
      <c r="D672" s="1"/>
      <c r="E672" s="1"/>
      <c r="F672" s="1"/>
      <c r="G672" s="1"/>
      <c r="H672" s="1"/>
      <c r="I672" s="61"/>
      <c r="J672" s="1"/>
      <c r="K672" s="1"/>
      <c r="L672" s="1"/>
    </row>
    <row r="673" spans="1:12" ht="15.75" customHeight="1">
      <c r="A673" s="2"/>
      <c r="B673" s="1"/>
      <c r="C673" s="1"/>
      <c r="D673" s="1"/>
      <c r="E673" s="1"/>
      <c r="F673" s="1"/>
      <c r="G673" s="1"/>
      <c r="H673" s="1"/>
      <c r="I673" s="61"/>
      <c r="J673" s="1"/>
      <c r="K673" s="1"/>
      <c r="L673" s="1"/>
    </row>
    <row r="674" spans="1:12" ht="15.75" customHeight="1">
      <c r="A674" s="2"/>
      <c r="B674" s="1"/>
      <c r="C674" s="1"/>
      <c r="D674" s="1"/>
      <c r="E674" s="1"/>
      <c r="F674" s="1"/>
      <c r="G674" s="1"/>
      <c r="H674" s="1"/>
      <c r="I674" s="61"/>
      <c r="J674" s="1"/>
      <c r="K674" s="1"/>
      <c r="L674" s="1"/>
    </row>
    <row r="675" spans="1:12" ht="15.75" customHeight="1">
      <c r="A675" s="2"/>
      <c r="B675" s="1"/>
      <c r="C675" s="1"/>
      <c r="D675" s="1"/>
      <c r="E675" s="1"/>
      <c r="F675" s="1"/>
      <c r="G675" s="1"/>
      <c r="H675" s="1"/>
      <c r="I675" s="61"/>
      <c r="J675" s="1"/>
      <c r="K675" s="1"/>
      <c r="L675" s="1"/>
    </row>
    <row r="676" spans="1:12" ht="15.75" customHeight="1">
      <c r="A676" s="2"/>
      <c r="B676" s="1"/>
      <c r="C676" s="1"/>
      <c r="D676" s="1"/>
      <c r="E676" s="1"/>
      <c r="F676" s="1"/>
      <c r="G676" s="1"/>
      <c r="H676" s="1"/>
      <c r="I676" s="61"/>
      <c r="J676" s="1"/>
      <c r="K676" s="1"/>
      <c r="L676" s="1"/>
    </row>
    <row r="677" spans="1:12" ht="15.75" customHeight="1">
      <c r="A677" s="2"/>
      <c r="B677" s="1"/>
      <c r="C677" s="1"/>
      <c r="D677" s="1"/>
      <c r="E677" s="1"/>
      <c r="F677" s="1"/>
      <c r="G677" s="1"/>
      <c r="H677" s="1"/>
      <c r="I677" s="61"/>
      <c r="J677" s="1"/>
      <c r="K677" s="1"/>
      <c r="L677" s="1"/>
    </row>
    <row r="678" spans="1:12" ht="15.75" customHeight="1">
      <c r="A678" s="2"/>
      <c r="B678" s="1"/>
      <c r="C678" s="1"/>
      <c r="D678" s="1"/>
      <c r="E678" s="1"/>
      <c r="F678" s="1"/>
      <c r="G678" s="1"/>
      <c r="H678" s="1"/>
      <c r="I678" s="61"/>
      <c r="J678" s="1"/>
      <c r="K678" s="1"/>
      <c r="L678" s="1"/>
    </row>
    <row r="679" spans="1:12" ht="15.75" customHeight="1">
      <c r="A679" s="2"/>
      <c r="B679" s="1"/>
      <c r="C679" s="1"/>
      <c r="D679" s="1"/>
      <c r="E679" s="1"/>
      <c r="F679" s="1"/>
      <c r="G679" s="1"/>
      <c r="H679" s="1"/>
      <c r="I679" s="61"/>
      <c r="J679" s="1"/>
      <c r="K679" s="1"/>
      <c r="L679" s="1"/>
    </row>
    <row r="680" spans="1:12" ht="15.75" customHeight="1">
      <c r="A680" s="2"/>
      <c r="B680" s="1"/>
      <c r="C680" s="1"/>
      <c r="D680" s="1"/>
      <c r="E680" s="1"/>
      <c r="F680" s="1"/>
      <c r="G680" s="1"/>
      <c r="H680" s="1"/>
      <c r="I680" s="61"/>
      <c r="J680" s="1"/>
      <c r="K680" s="1"/>
      <c r="L680" s="1"/>
    </row>
    <row r="681" spans="1:12" ht="15.75" customHeight="1">
      <c r="A681" s="2"/>
      <c r="B681" s="1"/>
      <c r="C681" s="1"/>
      <c r="D681" s="1"/>
      <c r="E681" s="1"/>
      <c r="F681" s="1"/>
      <c r="G681" s="1"/>
      <c r="H681" s="1"/>
      <c r="I681" s="61"/>
      <c r="J681" s="1"/>
      <c r="K681" s="1"/>
      <c r="L681" s="1"/>
    </row>
    <row r="682" spans="1:12" ht="15.75" customHeight="1">
      <c r="A682" s="2"/>
      <c r="B682" s="1"/>
      <c r="C682" s="1"/>
      <c r="D682" s="1"/>
      <c r="E682" s="1"/>
      <c r="F682" s="1"/>
      <c r="G682" s="1"/>
      <c r="H682" s="1"/>
      <c r="I682" s="61"/>
      <c r="J682" s="1"/>
      <c r="K682" s="1"/>
      <c r="L682" s="1"/>
    </row>
    <row r="683" spans="1:12" ht="15.75" customHeight="1">
      <c r="A683" s="2"/>
      <c r="B683" s="1"/>
      <c r="C683" s="1"/>
      <c r="D683" s="1"/>
      <c r="E683" s="1"/>
      <c r="F683" s="1"/>
      <c r="G683" s="1"/>
      <c r="H683" s="1"/>
      <c r="I683" s="61"/>
      <c r="J683" s="1"/>
      <c r="K683" s="1"/>
      <c r="L683" s="1"/>
    </row>
    <row r="684" spans="1:12" ht="15.75" customHeight="1">
      <c r="A684" s="2"/>
      <c r="B684" s="1"/>
      <c r="C684" s="1"/>
      <c r="D684" s="1"/>
      <c r="E684" s="1"/>
      <c r="F684" s="1"/>
      <c r="G684" s="1"/>
      <c r="H684" s="1"/>
      <c r="I684" s="61"/>
      <c r="J684" s="1"/>
      <c r="K684" s="1"/>
      <c r="L684" s="1"/>
    </row>
    <row r="685" spans="1:12" ht="15.75" customHeight="1">
      <c r="A685" s="2"/>
      <c r="B685" s="1"/>
      <c r="C685" s="1"/>
      <c r="D685" s="1"/>
      <c r="E685" s="1"/>
      <c r="F685" s="1"/>
      <c r="G685" s="1"/>
      <c r="H685" s="1"/>
      <c r="I685" s="61"/>
      <c r="J685" s="1"/>
      <c r="K685" s="1"/>
      <c r="L685" s="1"/>
    </row>
    <row r="686" spans="1:12" ht="15.75" customHeight="1">
      <c r="A686" s="2"/>
      <c r="B686" s="1"/>
      <c r="C686" s="1"/>
      <c r="D686" s="1"/>
      <c r="E686" s="1"/>
      <c r="F686" s="1"/>
      <c r="G686" s="1"/>
      <c r="H686" s="1"/>
      <c r="I686" s="61"/>
      <c r="J686" s="1"/>
      <c r="K686" s="1"/>
      <c r="L686" s="1"/>
    </row>
    <row r="687" spans="1:12" ht="15.75" customHeight="1">
      <c r="A687" s="2"/>
      <c r="B687" s="1"/>
      <c r="C687" s="1"/>
      <c r="D687" s="1"/>
      <c r="E687" s="1"/>
      <c r="F687" s="1"/>
      <c r="G687" s="1"/>
      <c r="H687" s="1"/>
      <c r="I687" s="61"/>
      <c r="J687" s="1"/>
      <c r="K687" s="1"/>
      <c r="L687" s="1"/>
    </row>
    <row r="688" spans="1:12" ht="15.75" customHeight="1">
      <c r="A688" s="2"/>
      <c r="B688" s="1"/>
      <c r="C688" s="1"/>
      <c r="D688" s="1"/>
      <c r="E688" s="1"/>
      <c r="F688" s="1"/>
      <c r="G688" s="1"/>
      <c r="H688" s="1"/>
      <c r="I688" s="61"/>
      <c r="J688" s="1"/>
      <c r="K688" s="1"/>
      <c r="L688" s="1"/>
    </row>
    <row r="689" spans="1:12" ht="15.75" customHeight="1">
      <c r="A689" s="2"/>
      <c r="B689" s="1"/>
      <c r="C689" s="1"/>
      <c r="D689" s="1"/>
      <c r="E689" s="1"/>
      <c r="F689" s="1"/>
      <c r="G689" s="1"/>
      <c r="H689" s="1"/>
      <c r="I689" s="61"/>
      <c r="J689" s="1"/>
      <c r="K689" s="1"/>
      <c r="L689" s="1"/>
    </row>
    <row r="690" spans="1:12" ht="15.75" customHeight="1">
      <c r="A690" s="2"/>
      <c r="B690" s="1"/>
      <c r="C690" s="1"/>
      <c r="D690" s="1"/>
      <c r="E690" s="1"/>
      <c r="F690" s="1"/>
      <c r="G690" s="1"/>
      <c r="H690" s="1"/>
      <c r="I690" s="61"/>
      <c r="J690" s="1"/>
      <c r="K690" s="1"/>
      <c r="L690" s="1"/>
    </row>
    <row r="691" spans="1:12" ht="15.75" customHeight="1">
      <c r="A691" s="2"/>
      <c r="B691" s="1"/>
      <c r="C691" s="1"/>
      <c r="D691" s="1"/>
      <c r="E691" s="1"/>
      <c r="F691" s="1"/>
      <c r="G691" s="1"/>
      <c r="H691" s="1"/>
      <c r="I691" s="61"/>
      <c r="J691" s="1"/>
      <c r="K691" s="1"/>
      <c r="L691" s="1"/>
    </row>
    <row r="692" spans="1:12" ht="15.75" customHeight="1">
      <c r="A692" s="2"/>
      <c r="B692" s="1"/>
      <c r="C692" s="1"/>
      <c r="D692" s="1"/>
      <c r="E692" s="1"/>
      <c r="F692" s="1"/>
      <c r="G692" s="1"/>
      <c r="H692" s="1"/>
      <c r="I692" s="61"/>
      <c r="J692" s="1"/>
      <c r="K692" s="1"/>
      <c r="L692" s="1"/>
    </row>
    <row r="693" spans="1:12" ht="15.75" customHeight="1">
      <c r="A693" s="2"/>
      <c r="B693" s="1"/>
      <c r="C693" s="1"/>
      <c r="D693" s="1"/>
      <c r="E693" s="1"/>
      <c r="F693" s="1"/>
      <c r="G693" s="1"/>
      <c r="H693" s="1"/>
      <c r="I693" s="61"/>
      <c r="J693" s="1"/>
      <c r="K693" s="1"/>
      <c r="L693" s="1"/>
    </row>
    <row r="694" spans="1:12" ht="15.75" customHeight="1">
      <c r="A694" s="2"/>
      <c r="B694" s="1"/>
      <c r="C694" s="1"/>
      <c r="D694" s="1"/>
      <c r="E694" s="1"/>
      <c r="F694" s="1"/>
      <c r="G694" s="1"/>
      <c r="H694" s="1"/>
      <c r="I694" s="61"/>
      <c r="J694" s="1"/>
      <c r="K694" s="1"/>
      <c r="L694" s="1"/>
    </row>
    <row r="695" spans="1:12" ht="15.75" customHeight="1">
      <c r="A695" s="2"/>
      <c r="B695" s="1"/>
      <c r="C695" s="1"/>
      <c r="D695" s="1"/>
      <c r="E695" s="1"/>
      <c r="F695" s="1"/>
      <c r="G695" s="1"/>
      <c r="H695" s="1"/>
      <c r="I695" s="61"/>
      <c r="J695" s="1"/>
      <c r="K695" s="1"/>
      <c r="L695" s="1"/>
    </row>
    <row r="696" spans="1:12" ht="15.75" customHeight="1">
      <c r="A696" s="2"/>
      <c r="B696" s="1"/>
      <c r="C696" s="1"/>
      <c r="D696" s="1"/>
      <c r="E696" s="1"/>
      <c r="F696" s="1"/>
      <c r="G696" s="1"/>
      <c r="H696" s="1"/>
      <c r="I696" s="61"/>
      <c r="J696" s="1"/>
      <c r="K696" s="1"/>
      <c r="L696" s="1"/>
    </row>
    <row r="697" spans="1:12" ht="15.75" customHeight="1">
      <c r="A697" s="2"/>
      <c r="B697" s="1"/>
      <c r="C697" s="1"/>
      <c r="D697" s="1"/>
      <c r="E697" s="1"/>
      <c r="F697" s="1"/>
      <c r="G697" s="1"/>
      <c r="H697" s="1"/>
      <c r="I697" s="61"/>
      <c r="J697" s="1"/>
      <c r="K697" s="1"/>
      <c r="L697" s="1"/>
    </row>
    <row r="698" spans="1:12" ht="15.75" customHeight="1">
      <c r="A698" s="2"/>
      <c r="B698" s="1"/>
      <c r="C698" s="1"/>
      <c r="D698" s="1"/>
      <c r="E698" s="1"/>
      <c r="F698" s="1"/>
      <c r="G698" s="1"/>
      <c r="H698" s="1"/>
      <c r="I698" s="61"/>
      <c r="J698" s="1"/>
      <c r="K698" s="1"/>
      <c r="L698" s="1"/>
    </row>
    <row r="699" spans="1:12" ht="15.75" customHeight="1">
      <c r="A699" s="2"/>
      <c r="B699" s="1"/>
      <c r="C699" s="1"/>
      <c r="D699" s="1"/>
      <c r="E699" s="1"/>
      <c r="F699" s="1"/>
      <c r="G699" s="1"/>
      <c r="H699" s="1"/>
      <c r="I699" s="61"/>
      <c r="J699" s="1"/>
      <c r="K699" s="1"/>
      <c r="L699" s="1"/>
    </row>
    <row r="700" spans="1:12" ht="15.75" customHeight="1">
      <c r="A700" s="2"/>
      <c r="B700" s="1"/>
      <c r="C700" s="1"/>
      <c r="D700" s="1"/>
      <c r="E700" s="1"/>
      <c r="F700" s="1"/>
      <c r="G700" s="1"/>
      <c r="H700" s="1"/>
      <c r="I700" s="61"/>
      <c r="J700" s="1"/>
      <c r="K700" s="1"/>
      <c r="L700" s="1"/>
    </row>
    <row r="701" spans="1:12" ht="15.75" customHeight="1">
      <c r="A701" s="2"/>
      <c r="B701" s="1"/>
      <c r="C701" s="1"/>
      <c r="D701" s="1"/>
      <c r="E701" s="1"/>
      <c r="F701" s="1"/>
      <c r="G701" s="1"/>
      <c r="H701" s="1"/>
      <c r="I701" s="61"/>
      <c r="J701" s="1"/>
      <c r="K701" s="1"/>
      <c r="L701" s="1"/>
    </row>
    <row r="702" spans="1:12" ht="15.75" customHeight="1">
      <c r="A702" s="2"/>
      <c r="B702" s="1"/>
      <c r="C702" s="1"/>
      <c r="D702" s="1"/>
      <c r="E702" s="1"/>
      <c r="F702" s="1"/>
      <c r="G702" s="1"/>
      <c r="H702" s="1"/>
      <c r="I702" s="61"/>
      <c r="J702" s="1"/>
      <c r="K702" s="1"/>
      <c r="L702" s="1"/>
    </row>
    <row r="703" spans="1:12" ht="15.75" customHeight="1">
      <c r="A703" s="2"/>
      <c r="B703" s="1"/>
      <c r="C703" s="1"/>
      <c r="D703" s="1"/>
      <c r="E703" s="1"/>
      <c r="F703" s="1"/>
      <c r="G703" s="1"/>
      <c r="H703" s="1"/>
      <c r="I703" s="61"/>
      <c r="J703" s="1"/>
      <c r="K703" s="1"/>
      <c r="L703" s="1"/>
    </row>
    <row r="704" spans="1:12" ht="15.75" customHeight="1">
      <c r="A704" s="2"/>
      <c r="B704" s="1"/>
      <c r="C704" s="1"/>
      <c r="D704" s="1"/>
      <c r="E704" s="1"/>
      <c r="F704" s="1"/>
      <c r="G704" s="1"/>
      <c r="H704" s="1"/>
      <c r="I704" s="61"/>
      <c r="J704" s="1"/>
      <c r="K704" s="1"/>
      <c r="L704" s="1"/>
    </row>
    <row r="705" spans="1:12" ht="15.75" customHeight="1">
      <c r="A705" s="2"/>
      <c r="B705" s="1"/>
      <c r="C705" s="1"/>
      <c r="D705" s="1"/>
      <c r="E705" s="1"/>
      <c r="F705" s="1"/>
      <c r="G705" s="1"/>
      <c r="H705" s="1"/>
      <c r="I705" s="61"/>
      <c r="J705" s="1"/>
      <c r="K705" s="1"/>
      <c r="L705" s="1"/>
    </row>
    <row r="706" spans="1:12" ht="15.75" customHeight="1">
      <c r="A706" s="2"/>
      <c r="B706" s="1"/>
      <c r="C706" s="1"/>
      <c r="D706" s="1"/>
      <c r="E706" s="1"/>
      <c r="F706" s="1"/>
      <c r="G706" s="1"/>
      <c r="H706" s="1"/>
      <c r="I706" s="61"/>
      <c r="J706" s="1"/>
      <c r="K706" s="1"/>
      <c r="L706" s="1"/>
    </row>
    <row r="707" spans="1:12" ht="15.75" customHeight="1">
      <c r="A707" s="2"/>
      <c r="B707" s="1"/>
      <c r="C707" s="1"/>
      <c r="D707" s="1"/>
      <c r="E707" s="1"/>
      <c r="F707" s="1"/>
      <c r="G707" s="1"/>
      <c r="H707" s="1"/>
      <c r="I707" s="61"/>
      <c r="J707" s="1"/>
      <c r="K707" s="1"/>
      <c r="L707" s="1"/>
    </row>
    <row r="708" spans="1:12" ht="15.75" customHeight="1">
      <c r="A708" s="2"/>
      <c r="B708" s="1"/>
      <c r="C708" s="1"/>
      <c r="D708" s="1"/>
      <c r="E708" s="1"/>
      <c r="F708" s="1"/>
      <c r="G708" s="1"/>
      <c r="H708" s="1"/>
      <c r="I708" s="61"/>
      <c r="J708" s="1"/>
      <c r="K708" s="1"/>
      <c r="L708" s="1"/>
    </row>
    <row r="709" spans="1:12" ht="15.75" customHeight="1">
      <c r="A709" s="2"/>
      <c r="B709" s="1"/>
      <c r="C709" s="1"/>
      <c r="D709" s="1"/>
      <c r="E709" s="1"/>
      <c r="F709" s="1"/>
      <c r="G709" s="1"/>
      <c r="H709" s="1"/>
      <c r="I709" s="61"/>
      <c r="J709" s="1"/>
      <c r="K709" s="1"/>
      <c r="L709" s="1"/>
    </row>
    <row r="710" spans="1:12" ht="15.75" customHeight="1">
      <c r="A710" s="2"/>
      <c r="B710" s="1"/>
      <c r="C710" s="1"/>
      <c r="D710" s="1"/>
      <c r="E710" s="1"/>
      <c r="F710" s="1"/>
      <c r="G710" s="1"/>
      <c r="H710" s="1"/>
      <c r="I710" s="61"/>
      <c r="J710" s="1"/>
      <c r="K710" s="1"/>
      <c r="L710" s="1"/>
    </row>
    <row r="711" spans="1:12" ht="15.75" customHeight="1">
      <c r="A711" s="2"/>
      <c r="B711" s="1"/>
      <c r="C711" s="1"/>
      <c r="D711" s="1"/>
      <c r="E711" s="1"/>
      <c r="F711" s="1"/>
      <c r="G711" s="1"/>
      <c r="H711" s="1"/>
      <c r="I711" s="61"/>
      <c r="J711" s="1"/>
      <c r="K711" s="1"/>
      <c r="L711" s="1"/>
    </row>
    <row r="712" spans="1:12" ht="15.75" customHeight="1">
      <c r="A712" s="2"/>
      <c r="B712" s="1"/>
      <c r="C712" s="1"/>
      <c r="D712" s="1"/>
      <c r="E712" s="1"/>
      <c r="F712" s="1"/>
      <c r="G712" s="1"/>
      <c r="H712" s="1"/>
      <c r="I712" s="61"/>
      <c r="J712" s="1"/>
      <c r="K712" s="1"/>
      <c r="L712" s="1"/>
    </row>
    <row r="713" spans="1:12" ht="15.75" customHeight="1">
      <c r="A713" s="2"/>
      <c r="B713" s="1"/>
      <c r="C713" s="1"/>
      <c r="D713" s="1"/>
      <c r="E713" s="1"/>
      <c r="F713" s="1"/>
      <c r="G713" s="1"/>
      <c r="H713" s="1"/>
      <c r="I713" s="61"/>
      <c r="J713" s="1"/>
      <c r="K713" s="1"/>
      <c r="L713" s="1"/>
    </row>
    <row r="714" spans="1:12" ht="15.75" customHeight="1">
      <c r="A714" s="2"/>
      <c r="B714" s="1"/>
      <c r="C714" s="1"/>
      <c r="D714" s="1"/>
      <c r="E714" s="1"/>
      <c r="F714" s="1"/>
      <c r="G714" s="1"/>
      <c r="H714" s="1"/>
      <c r="I714" s="61"/>
      <c r="J714" s="1"/>
      <c r="K714" s="1"/>
      <c r="L714" s="1"/>
    </row>
    <row r="715" spans="1:12" ht="15.75" customHeight="1">
      <c r="A715" s="2"/>
      <c r="B715" s="1"/>
      <c r="C715" s="1"/>
      <c r="D715" s="1"/>
      <c r="E715" s="1"/>
      <c r="F715" s="1"/>
      <c r="G715" s="1"/>
      <c r="H715" s="1"/>
      <c r="I715" s="61"/>
      <c r="J715" s="1"/>
      <c r="K715" s="1"/>
      <c r="L715" s="1"/>
    </row>
    <row r="716" spans="1:12" ht="15.75" customHeight="1">
      <c r="A716" s="2"/>
      <c r="B716" s="1"/>
      <c r="C716" s="1"/>
      <c r="D716" s="1"/>
      <c r="E716" s="1"/>
      <c r="F716" s="1"/>
      <c r="G716" s="1"/>
      <c r="H716" s="1"/>
      <c r="I716" s="61"/>
      <c r="J716" s="1"/>
      <c r="K716" s="1"/>
      <c r="L716" s="1"/>
    </row>
    <row r="717" spans="1:12" ht="15.75" customHeight="1">
      <c r="A717" s="2"/>
      <c r="B717" s="1"/>
      <c r="C717" s="1"/>
      <c r="D717" s="1"/>
      <c r="E717" s="1"/>
      <c r="F717" s="1"/>
      <c r="G717" s="1"/>
      <c r="H717" s="1"/>
      <c r="I717" s="61"/>
      <c r="J717" s="1"/>
      <c r="K717" s="1"/>
      <c r="L717" s="1"/>
    </row>
    <row r="718" spans="1:12" ht="15.75" customHeight="1">
      <c r="A718" s="2"/>
      <c r="B718" s="1"/>
      <c r="C718" s="1"/>
      <c r="D718" s="1"/>
      <c r="E718" s="1"/>
      <c r="F718" s="1"/>
      <c r="G718" s="1"/>
      <c r="H718" s="1"/>
      <c r="I718" s="61"/>
      <c r="J718" s="1"/>
      <c r="K718" s="1"/>
      <c r="L718" s="1"/>
    </row>
    <row r="719" spans="1:12" ht="15.75" customHeight="1">
      <c r="A719" s="2"/>
      <c r="B719" s="1"/>
      <c r="C719" s="1"/>
      <c r="D719" s="1"/>
      <c r="E719" s="1"/>
      <c r="F719" s="1"/>
      <c r="G719" s="1"/>
      <c r="H719" s="1"/>
      <c r="I719" s="61"/>
      <c r="J719" s="1"/>
      <c r="K719" s="1"/>
      <c r="L719" s="1"/>
    </row>
    <row r="720" spans="1:12" ht="15.75" customHeight="1">
      <c r="A720" s="2"/>
      <c r="B720" s="1"/>
      <c r="C720" s="1"/>
      <c r="D720" s="1"/>
      <c r="E720" s="1"/>
      <c r="F720" s="1"/>
      <c r="G720" s="1"/>
      <c r="H720" s="1"/>
      <c r="I720" s="61"/>
      <c r="J720" s="1"/>
      <c r="K720" s="1"/>
      <c r="L720" s="1"/>
    </row>
    <row r="721" spans="1:12" ht="15.75" customHeight="1">
      <c r="A721" s="2"/>
      <c r="B721" s="1"/>
      <c r="C721" s="1"/>
      <c r="D721" s="1"/>
      <c r="E721" s="1"/>
      <c r="F721" s="1"/>
      <c r="G721" s="1"/>
      <c r="H721" s="1"/>
      <c r="I721" s="61"/>
      <c r="J721" s="1"/>
      <c r="K721" s="1"/>
      <c r="L721" s="1"/>
    </row>
    <row r="722" spans="1:12" ht="15.75" customHeight="1">
      <c r="A722" s="2"/>
      <c r="B722" s="1"/>
      <c r="C722" s="1"/>
      <c r="D722" s="1"/>
      <c r="E722" s="1"/>
      <c r="F722" s="1"/>
      <c r="G722" s="1"/>
      <c r="H722" s="1"/>
      <c r="I722" s="61"/>
      <c r="J722" s="1"/>
      <c r="K722" s="1"/>
      <c r="L722" s="1"/>
    </row>
    <row r="723" spans="1:12" ht="15.75" customHeight="1">
      <c r="A723" s="2"/>
      <c r="B723" s="1"/>
      <c r="C723" s="1"/>
      <c r="D723" s="1"/>
      <c r="E723" s="1"/>
      <c r="F723" s="1"/>
      <c r="G723" s="1"/>
      <c r="H723" s="1"/>
      <c r="I723" s="61"/>
      <c r="J723" s="1"/>
      <c r="K723" s="1"/>
      <c r="L723" s="1"/>
    </row>
    <row r="724" spans="1:12" ht="15.75" customHeight="1">
      <c r="A724" s="2"/>
      <c r="B724" s="1"/>
      <c r="C724" s="1"/>
      <c r="D724" s="1"/>
      <c r="E724" s="1"/>
      <c r="F724" s="1"/>
      <c r="G724" s="1"/>
      <c r="H724" s="1"/>
      <c r="I724" s="61"/>
      <c r="J724" s="1"/>
      <c r="K724" s="1"/>
      <c r="L724" s="1"/>
    </row>
    <row r="725" spans="1:12" ht="15.75" customHeight="1">
      <c r="A725" s="2"/>
      <c r="B725" s="1"/>
      <c r="C725" s="1"/>
      <c r="D725" s="1"/>
      <c r="E725" s="1"/>
      <c r="F725" s="1"/>
      <c r="G725" s="1"/>
      <c r="H725" s="1"/>
      <c r="I725" s="61"/>
      <c r="J725" s="1"/>
      <c r="K725" s="1"/>
      <c r="L725" s="1"/>
    </row>
    <row r="726" spans="1:12" ht="15.75" customHeight="1">
      <c r="A726" s="2"/>
      <c r="B726" s="1"/>
      <c r="C726" s="1"/>
      <c r="D726" s="1"/>
      <c r="E726" s="1"/>
      <c r="F726" s="1"/>
      <c r="G726" s="1"/>
      <c r="H726" s="1"/>
      <c r="I726" s="61"/>
      <c r="J726" s="1"/>
      <c r="K726" s="1"/>
      <c r="L726" s="1"/>
    </row>
    <row r="727" spans="1:12" ht="15.75" customHeight="1">
      <c r="A727" s="2"/>
      <c r="B727" s="1"/>
      <c r="C727" s="1"/>
      <c r="D727" s="1"/>
      <c r="E727" s="1"/>
      <c r="F727" s="1"/>
      <c r="G727" s="1"/>
      <c r="H727" s="1"/>
      <c r="I727" s="61"/>
      <c r="J727" s="1"/>
      <c r="K727" s="1"/>
      <c r="L727" s="1"/>
    </row>
    <row r="728" spans="1:12" ht="15.75" customHeight="1">
      <c r="A728" s="2"/>
      <c r="B728" s="1"/>
      <c r="C728" s="1"/>
      <c r="D728" s="1"/>
      <c r="E728" s="1"/>
      <c r="F728" s="1"/>
      <c r="G728" s="1"/>
      <c r="H728" s="1"/>
      <c r="I728" s="61"/>
      <c r="J728" s="1"/>
      <c r="K728" s="1"/>
      <c r="L728" s="1"/>
    </row>
    <row r="729" spans="1:12" ht="15.75" customHeight="1">
      <c r="A729" s="2"/>
      <c r="B729" s="1"/>
      <c r="C729" s="1"/>
      <c r="D729" s="1"/>
      <c r="E729" s="1"/>
      <c r="F729" s="1"/>
      <c r="G729" s="1"/>
      <c r="H729" s="1"/>
      <c r="I729" s="61"/>
      <c r="J729" s="1"/>
      <c r="K729" s="1"/>
      <c r="L729" s="1"/>
    </row>
    <row r="730" spans="1:12" ht="15.75" customHeight="1">
      <c r="A730" s="2"/>
      <c r="B730" s="1"/>
      <c r="C730" s="1"/>
      <c r="D730" s="1"/>
      <c r="E730" s="1"/>
      <c r="F730" s="1"/>
      <c r="G730" s="1"/>
      <c r="H730" s="1"/>
      <c r="I730" s="61"/>
      <c r="J730" s="1"/>
      <c r="K730" s="1"/>
      <c r="L730" s="1"/>
    </row>
    <row r="731" spans="1:12" ht="15.75" customHeight="1">
      <c r="A731" s="2"/>
      <c r="B731" s="1"/>
      <c r="C731" s="1"/>
      <c r="D731" s="1"/>
      <c r="E731" s="1"/>
      <c r="F731" s="1"/>
      <c r="G731" s="1"/>
      <c r="H731" s="1"/>
      <c r="I731" s="61"/>
      <c r="J731" s="1"/>
      <c r="K731" s="1"/>
      <c r="L731" s="1"/>
    </row>
    <row r="732" spans="1:12" ht="15.75" customHeight="1">
      <c r="A732" s="2"/>
      <c r="B732" s="1"/>
      <c r="C732" s="1"/>
      <c r="D732" s="1"/>
      <c r="E732" s="1"/>
      <c r="F732" s="1"/>
      <c r="G732" s="1"/>
      <c r="H732" s="1"/>
      <c r="I732" s="61"/>
      <c r="J732" s="1"/>
      <c r="K732" s="1"/>
      <c r="L732" s="1"/>
    </row>
    <row r="733" spans="1:12" ht="15.75" customHeight="1">
      <c r="A733" s="2"/>
      <c r="B733" s="1"/>
      <c r="C733" s="1"/>
      <c r="D733" s="1"/>
      <c r="E733" s="1"/>
      <c r="F733" s="1"/>
      <c r="G733" s="1"/>
      <c r="H733" s="1"/>
      <c r="I733" s="61"/>
      <c r="J733" s="1"/>
      <c r="K733" s="1"/>
      <c r="L733" s="1"/>
    </row>
    <row r="734" spans="1:12" ht="15.75" customHeight="1">
      <c r="A734" s="2"/>
      <c r="B734" s="1"/>
      <c r="C734" s="1"/>
      <c r="D734" s="1"/>
      <c r="E734" s="1"/>
      <c r="F734" s="1"/>
      <c r="G734" s="1"/>
      <c r="H734" s="1"/>
      <c r="I734" s="61"/>
      <c r="J734" s="1"/>
      <c r="K734" s="1"/>
      <c r="L734" s="1"/>
    </row>
    <row r="735" spans="1:12" ht="15.75" customHeight="1">
      <c r="A735" s="2"/>
      <c r="B735" s="1"/>
      <c r="C735" s="1"/>
      <c r="D735" s="1"/>
      <c r="E735" s="1"/>
      <c r="F735" s="1"/>
      <c r="G735" s="1"/>
      <c r="H735" s="1"/>
      <c r="I735" s="61"/>
      <c r="J735" s="1"/>
      <c r="K735" s="1"/>
      <c r="L735" s="1"/>
    </row>
    <row r="736" spans="1:12" ht="15.75" customHeight="1">
      <c r="A736" s="2"/>
      <c r="B736" s="1"/>
      <c r="C736" s="1"/>
      <c r="D736" s="1"/>
      <c r="E736" s="1"/>
      <c r="F736" s="1"/>
      <c r="G736" s="1"/>
      <c r="H736" s="1"/>
      <c r="I736" s="61"/>
      <c r="J736" s="1"/>
      <c r="K736" s="1"/>
      <c r="L736" s="1"/>
    </row>
    <row r="737" spans="1:12" ht="15.75" customHeight="1">
      <c r="A737" s="2"/>
      <c r="B737" s="1"/>
      <c r="C737" s="1"/>
      <c r="D737" s="1"/>
      <c r="E737" s="1"/>
      <c r="F737" s="1"/>
      <c r="G737" s="1"/>
      <c r="H737" s="1"/>
      <c r="I737" s="61"/>
      <c r="J737" s="1"/>
      <c r="K737" s="1"/>
      <c r="L737" s="1"/>
    </row>
    <row r="738" spans="1:12" ht="15.75" customHeight="1">
      <c r="A738" s="2"/>
      <c r="B738" s="1"/>
      <c r="C738" s="1"/>
      <c r="D738" s="1"/>
      <c r="E738" s="1"/>
      <c r="F738" s="1"/>
      <c r="G738" s="1"/>
      <c r="H738" s="1"/>
      <c r="I738" s="61"/>
      <c r="J738" s="1"/>
      <c r="K738" s="1"/>
      <c r="L738" s="1"/>
    </row>
    <row r="739" spans="1:12" ht="15.75" customHeight="1">
      <c r="A739" s="2"/>
      <c r="B739" s="1"/>
      <c r="C739" s="1"/>
      <c r="D739" s="1"/>
      <c r="E739" s="1"/>
      <c r="F739" s="1"/>
      <c r="G739" s="1"/>
      <c r="H739" s="1"/>
      <c r="I739" s="61"/>
      <c r="J739" s="1"/>
      <c r="K739" s="1"/>
      <c r="L739" s="1"/>
    </row>
    <row r="740" spans="1:12" ht="15.75" customHeight="1">
      <c r="A740" s="2"/>
      <c r="B740" s="1"/>
      <c r="C740" s="1"/>
      <c r="D740" s="1"/>
      <c r="E740" s="1"/>
      <c r="F740" s="1"/>
      <c r="G740" s="1"/>
      <c r="H740" s="1"/>
      <c r="I740" s="61"/>
      <c r="J740" s="1"/>
      <c r="K740" s="1"/>
      <c r="L740" s="1"/>
    </row>
    <row r="741" spans="1:12" ht="15.75" customHeight="1">
      <c r="A741" s="2"/>
      <c r="B741" s="1"/>
      <c r="C741" s="1"/>
      <c r="D741" s="1"/>
      <c r="E741" s="1"/>
      <c r="F741" s="1"/>
      <c r="G741" s="1"/>
      <c r="H741" s="1"/>
      <c r="I741" s="61"/>
      <c r="J741" s="1"/>
      <c r="K741" s="1"/>
      <c r="L741" s="1"/>
    </row>
    <row r="742" spans="1:12" ht="15.75" customHeight="1">
      <c r="A742" s="2"/>
      <c r="B742" s="1"/>
      <c r="C742" s="1"/>
      <c r="D742" s="1"/>
      <c r="E742" s="1"/>
      <c r="F742" s="1"/>
      <c r="G742" s="1"/>
      <c r="H742" s="1"/>
      <c r="I742" s="61"/>
      <c r="J742" s="1"/>
      <c r="K742" s="1"/>
      <c r="L742" s="1"/>
    </row>
    <row r="743" spans="1:12" ht="15.75" customHeight="1">
      <c r="A743" s="2"/>
      <c r="B743" s="1"/>
      <c r="C743" s="1"/>
      <c r="D743" s="1"/>
      <c r="E743" s="1"/>
      <c r="F743" s="1"/>
      <c r="G743" s="1"/>
      <c r="H743" s="1"/>
      <c r="I743" s="61"/>
      <c r="J743" s="1"/>
      <c r="K743" s="1"/>
      <c r="L743" s="1"/>
    </row>
    <row r="744" spans="1:12" ht="15.75" customHeight="1">
      <c r="A744" s="2"/>
      <c r="B744" s="1"/>
      <c r="C744" s="1"/>
      <c r="D744" s="1"/>
      <c r="E744" s="1"/>
      <c r="F744" s="1"/>
      <c r="G744" s="1"/>
      <c r="H744" s="1"/>
      <c r="I744" s="61"/>
      <c r="J744" s="1"/>
      <c r="K744" s="1"/>
      <c r="L744" s="1"/>
    </row>
    <row r="745" spans="1:12" ht="15.75" customHeight="1">
      <c r="A745" s="2"/>
      <c r="B745" s="1"/>
      <c r="C745" s="1"/>
      <c r="D745" s="1"/>
      <c r="E745" s="1"/>
      <c r="F745" s="1"/>
      <c r="G745" s="1"/>
      <c r="H745" s="1"/>
      <c r="I745" s="61"/>
      <c r="J745" s="1"/>
      <c r="K745" s="1"/>
      <c r="L745" s="1"/>
    </row>
    <row r="746" spans="1:12" ht="15.75" customHeight="1">
      <c r="A746" s="2"/>
      <c r="B746" s="1"/>
      <c r="C746" s="1"/>
      <c r="D746" s="1"/>
      <c r="E746" s="1"/>
      <c r="F746" s="1"/>
      <c r="G746" s="1"/>
      <c r="H746" s="1"/>
      <c r="I746" s="61"/>
      <c r="J746" s="1"/>
      <c r="K746" s="1"/>
      <c r="L746" s="1"/>
    </row>
    <row r="747" spans="1:12" ht="15.75" customHeight="1">
      <c r="A747" s="2"/>
      <c r="B747" s="1"/>
      <c r="C747" s="1"/>
      <c r="D747" s="1"/>
      <c r="E747" s="1"/>
      <c r="F747" s="1"/>
      <c r="G747" s="1"/>
      <c r="H747" s="1"/>
      <c r="I747" s="61"/>
      <c r="J747" s="1"/>
      <c r="K747" s="1"/>
      <c r="L747" s="1"/>
    </row>
    <row r="748" spans="1:12" ht="15.75" customHeight="1">
      <c r="A748" s="2"/>
      <c r="B748" s="1"/>
      <c r="C748" s="1"/>
      <c r="D748" s="1"/>
      <c r="E748" s="1"/>
      <c r="F748" s="1"/>
      <c r="G748" s="1"/>
      <c r="H748" s="1"/>
      <c r="I748" s="61"/>
      <c r="J748" s="1"/>
      <c r="K748" s="1"/>
      <c r="L748" s="1"/>
    </row>
    <row r="749" spans="1:12" ht="15.75" customHeight="1">
      <c r="A749" s="2"/>
      <c r="B749" s="1"/>
      <c r="C749" s="1"/>
      <c r="D749" s="1"/>
      <c r="E749" s="1"/>
      <c r="F749" s="1"/>
      <c r="G749" s="1"/>
      <c r="H749" s="1"/>
      <c r="I749" s="61"/>
      <c r="J749" s="1"/>
      <c r="K749" s="1"/>
      <c r="L749" s="1"/>
    </row>
    <row r="750" spans="1:12" ht="15.75" customHeight="1">
      <c r="A750" s="2"/>
      <c r="B750" s="1"/>
      <c r="C750" s="1"/>
      <c r="D750" s="1"/>
      <c r="E750" s="1"/>
      <c r="F750" s="1"/>
      <c r="G750" s="1"/>
      <c r="H750" s="1"/>
      <c r="I750" s="61"/>
      <c r="J750" s="1"/>
      <c r="K750" s="1"/>
      <c r="L750" s="1"/>
    </row>
    <row r="751" spans="1:12" ht="15.75" customHeight="1">
      <c r="A751" s="2"/>
      <c r="B751" s="1"/>
      <c r="C751" s="1"/>
      <c r="D751" s="1"/>
      <c r="E751" s="1"/>
      <c r="F751" s="1"/>
      <c r="G751" s="1"/>
      <c r="H751" s="1"/>
      <c r="I751" s="61"/>
      <c r="J751" s="1"/>
      <c r="K751" s="1"/>
      <c r="L751" s="1"/>
    </row>
    <row r="752" spans="1:12" ht="15.75" customHeight="1">
      <c r="A752" s="2"/>
      <c r="B752" s="1"/>
      <c r="C752" s="1"/>
      <c r="D752" s="1"/>
      <c r="E752" s="1"/>
      <c r="F752" s="1"/>
      <c r="G752" s="1"/>
      <c r="H752" s="1"/>
      <c r="I752" s="61"/>
      <c r="J752" s="1"/>
      <c r="K752" s="1"/>
      <c r="L752" s="1"/>
    </row>
    <row r="753" spans="1:12" ht="15.75" customHeight="1">
      <c r="A753" s="2"/>
      <c r="B753" s="1"/>
      <c r="C753" s="1"/>
      <c r="D753" s="1"/>
      <c r="E753" s="1"/>
      <c r="F753" s="1"/>
      <c r="G753" s="1"/>
      <c r="H753" s="1"/>
      <c r="I753" s="61"/>
      <c r="J753" s="1"/>
      <c r="K753" s="1"/>
      <c r="L753" s="1"/>
    </row>
    <row r="754" spans="1:12" ht="15.75" customHeight="1">
      <c r="A754" s="2"/>
      <c r="B754" s="1"/>
      <c r="C754" s="1"/>
      <c r="D754" s="1"/>
      <c r="E754" s="1"/>
      <c r="F754" s="1"/>
      <c r="G754" s="1"/>
      <c r="H754" s="1"/>
      <c r="I754" s="61"/>
      <c r="J754" s="1"/>
      <c r="K754" s="1"/>
      <c r="L754" s="1"/>
    </row>
    <row r="755" spans="1:12" ht="15.75" customHeight="1">
      <c r="A755" s="2"/>
      <c r="B755" s="1"/>
      <c r="C755" s="1"/>
      <c r="D755" s="1"/>
      <c r="E755" s="1"/>
      <c r="F755" s="1"/>
      <c r="G755" s="1"/>
      <c r="H755" s="1"/>
      <c r="I755" s="61"/>
      <c r="J755" s="1"/>
      <c r="K755" s="1"/>
      <c r="L755" s="1"/>
    </row>
    <row r="756" spans="1:12" ht="15.75" customHeight="1">
      <c r="A756" s="2"/>
      <c r="B756" s="1"/>
      <c r="C756" s="1"/>
      <c r="D756" s="1"/>
      <c r="E756" s="1"/>
      <c r="F756" s="1"/>
      <c r="G756" s="1"/>
      <c r="H756" s="1"/>
      <c r="I756" s="61"/>
      <c r="J756" s="1"/>
      <c r="K756" s="1"/>
      <c r="L756" s="1"/>
    </row>
    <row r="757" spans="1:12" ht="15.75" customHeight="1">
      <c r="A757" s="2"/>
      <c r="B757" s="1"/>
      <c r="C757" s="1"/>
      <c r="D757" s="1"/>
      <c r="E757" s="1"/>
      <c r="F757" s="1"/>
      <c r="G757" s="1"/>
      <c r="H757" s="1"/>
      <c r="I757" s="61"/>
      <c r="J757" s="1"/>
      <c r="K757" s="1"/>
      <c r="L757" s="1"/>
    </row>
    <row r="758" spans="1:12" ht="15.75" customHeight="1">
      <c r="A758" s="2"/>
      <c r="B758" s="1"/>
      <c r="C758" s="1"/>
      <c r="D758" s="1"/>
      <c r="E758" s="1"/>
      <c r="F758" s="1"/>
      <c r="G758" s="1"/>
      <c r="H758" s="1"/>
      <c r="I758" s="61"/>
      <c r="J758" s="1"/>
      <c r="K758" s="1"/>
      <c r="L758" s="1"/>
    </row>
    <row r="759" spans="1:12" ht="15.75" customHeight="1">
      <c r="A759" s="2"/>
      <c r="B759" s="1"/>
      <c r="C759" s="1"/>
      <c r="D759" s="1"/>
      <c r="E759" s="1"/>
      <c r="F759" s="1"/>
      <c r="G759" s="1"/>
      <c r="H759" s="1"/>
      <c r="I759" s="61"/>
      <c r="J759" s="1"/>
      <c r="K759" s="1"/>
      <c r="L759" s="1"/>
    </row>
    <row r="760" spans="1:12" ht="15.75" customHeight="1">
      <c r="A760" s="2"/>
      <c r="B760" s="1"/>
      <c r="C760" s="1"/>
      <c r="D760" s="1"/>
      <c r="E760" s="1"/>
      <c r="F760" s="1"/>
      <c r="G760" s="1"/>
      <c r="H760" s="1"/>
      <c r="I760" s="61"/>
      <c r="J760" s="1"/>
      <c r="K760" s="1"/>
      <c r="L760" s="1"/>
    </row>
    <row r="761" spans="1:12" ht="15.75" customHeight="1">
      <c r="A761" s="2"/>
      <c r="B761" s="1"/>
      <c r="C761" s="1"/>
      <c r="D761" s="1"/>
      <c r="E761" s="1"/>
      <c r="F761" s="1"/>
      <c r="G761" s="1"/>
      <c r="H761" s="1"/>
      <c r="I761" s="61"/>
      <c r="J761" s="1"/>
      <c r="K761" s="1"/>
      <c r="L761" s="1"/>
    </row>
    <row r="762" spans="1:12" ht="15.75" customHeight="1">
      <c r="A762" s="2"/>
      <c r="B762" s="1"/>
      <c r="C762" s="1"/>
      <c r="D762" s="1"/>
      <c r="E762" s="1"/>
      <c r="F762" s="1"/>
      <c r="G762" s="1"/>
      <c r="H762" s="1"/>
      <c r="I762" s="61"/>
      <c r="J762" s="1"/>
      <c r="K762" s="1"/>
      <c r="L762" s="1"/>
    </row>
    <row r="763" spans="1:12" ht="15.75" customHeight="1">
      <c r="A763" s="2"/>
      <c r="B763" s="1"/>
      <c r="C763" s="1"/>
      <c r="D763" s="1"/>
      <c r="E763" s="1"/>
      <c r="F763" s="1"/>
      <c r="G763" s="1"/>
      <c r="H763" s="1"/>
      <c r="I763" s="61"/>
      <c r="J763" s="1"/>
      <c r="K763" s="1"/>
      <c r="L763" s="1"/>
    </row>
    <row r="764" spans="1:12" ht="15.75" customHeight="1">
      <c r="A764" s="2"/>
      <c r="B764" s="1"/>
      <c r="C764" s="1"/>
      <c r="D764" s="1"/>
      <c r="E764" s="1"/>
      <c r="F764" s="1"/>
      <c r="G764" s="1"/>
      <c r="H764" s="1"/>
      <c r="I764" s="61"/>
      <c r="J764" s="1"/>
      <c r="K764" s="1"/>
      <c r="L764" s="1"/>
    </row>
    <row r="765" spans="1:12" ht="15.75" customHeight="1">
      <c r="A765" s="2"/>
      <c r="B765" s="1"/>
      <c r="C765" s="1"/>
      <c r="D765" s="1"/>
      <c r="E765" s="1"/>
      <c r="F765" s="1"/>
      <c r="G765" s="1"/>
      <c r="H765" s="1"/>
      <c r="I765" s="61"/>
      <c r="J765" s="1"/>
      <c r="K765" s="1"/>
      <c r="L765" s="1"/>
    </row>
    <row r="766" spans="1:12" ht="15.75" customHeight="1">
      <c r="A766" s="2"/>
      <c r="B766" s="1"/>
      <c r="C766" s="1"/>
      <c r="D766" s="1"/>
      <c r="E766" s="1"/>
      <c r="F766" s="1"/>
      <c r="G766" s="1"/>
      <c r="H766" s="1"/>
      <c r="I766" s="61"/>
      <c r="J766" s="1"/>
      <c r="K766" s="1"/>
      <c r="L766" s="1"/>
    </row>
    <row r="767" spans="1:12" ht="15.75" customHeight="1">
      <c r="A767" s="2"/>
      <c r="B767" s="1"/>
      <c r="C767" s="1"/>
      <c r="D767" s="1"/>
      <c r="E767" s="1"/>
      <c r="F767" s="1"/>
      <c r="G767" s="1"/>
      <c r="H767" s="1"/>
      <c r="I767" s="61"/>
      <c r="J767" s="1"/>
      <c r="K767" s="1"/>
      <c r="L767" s="1"/>
    </row>
    <row r="768" spans="1:12" ht="15.75" customHeight="1">
      <c r="A768" s="2"/>
      <c r="B768" s="1"/>
      <c r="C768" s="1"/>
      <c r="D768" s="1"/>
      <c r="E768" s="1"/>
      <c r="F768" s="1"/>
      <c r="G768" s="1"/>
      <c r="H768" s="1"/>
      <c r="I768" s="61"/>
      <c r="J768" s="1"/>
      <c r="K768" s="1"/>
      <c r="L768" s="1"/>
    </row>
    <row r="769" spans="1:12" ht="15.75" customHeight="1">
      <c r="A769" s="2"/>
      <c r="B769" s="1"/>
      <c r="C769" s="1"/>
      <c r="D769" s="1"/>
      <c r="E769" s="1"/>
      <c r="F769" s="1"/>
      <c r="G769" s="1"/>
      <c r="H769" s="1"/>
      <c r="I769" s="61"/>
      <c r="J769" s="1"/>
      <c r="K769" s="1"/>
      <c r="L769" s="1"/>
    </row>
    <row r="770" spans="1:12" ht="15.75" customHeight="1">
      <c r="A770" s="2"/>
      <c r="B770" s="1"/>
      <c r="C770" s="1"/>
      <c r="D770" s="1"/>
      <c r="E770" s="1"/>
      <c r="F770" s="1"/>
      <c r="G770" s="1"/>
      <c r="H770" s="1"/>
      <c r="I770" s="61"/>
      <c r="J770" s="1"/>
      <c r="K770" s="1"/>
      <c r="L770" s="1"/>
    </row>
    <row r="771" spans="1:12" ht="15.75" customHeight="1">
      <c r="A771" s="2"/>
      <c r="B771" s="1"/>
      <c r="C771" s="1"/>
      <c r="D771" s="1"/>
      <c r="E771" s="1"/>
      <c r="F771" s="1"/>
      <c r="G771" s="1"/>
      <c r="H771" s="1"/>
      <c r="I771" s="61"/>
      <c r="J771" s="1"/>
      <c r="K771" s="1"/>
      <c r="L771" s="1"/>
    </row>
    <row r="772" spans="1:12" ht="15.75" customHeight="1">
      <c r="A772" s="2"/>
      <c r="B772" s="1"/>
      <c r="C772" s="1"/>
      <c r="D772" s="1"/>
      <c r="E772" s="1"/>
      <c r="F772" s="1"/>
      <c r="G772" s="1"/>
      <c r="H772" s="1"/>
      <c r="I772" s="61"/>
      <c r="J772" s="1"/>
      <c r="K772" s="1"/>
      <c r="L772" s="1"/>
    </row>
    <row r="773" spans="1:12" ht="15.75" customHeight="1">
      <c r="A773" s="2"/>
      <c r="B773" s="1"/>
      <c r="C773" s="1"/>
      <c r="D773" s="1"/>
      <c r="E773" s="1"/>
      <c r="F773" s="1"/>
      <c r="G773" s="1"/>
      <c r="H773" s="1"/>
      <c r="I773" s="61"/>
      <c r="J773" s="1"/>
      <c r="K773" s="1"/>
      <c r="L773" s="1"/>
    </row>
    <row r="774" spans="1:12" ht="15.75" customHeight="1">
      <c r="A774" s="2"/>
      <c r="B774" s="1"/>
      <c r="C774" s="1"/>
      <c r="D774" s="1"/>
      <c r="E774" s="1"/>
      <c r="F774" s="1"/>
      <c r="G774" s="1"/>
      <c r="H774" s="1"/>
      <c r="I774" s="61"/>
      <c r="J774" s="1"/>
      <c r="K774" s="1"/>
      <c r="L774" s="1"/>
    </row>
    <row r="775" spans="1:12" ht="15.75" customHeight="1">
      <c r="A775" s="2"/>
      <c r="B775" s="1"/>
      <c r="C775" s="1"/>
      <c r="D775" s="1"/>
      <c r="E775" s="1"/>
      <c r="F775" s="1"/>
      <c r="G775" s="1"/>
      <c r="H775" s="1"/>
      <c r="I775" s="61"/>
      <c r="J775" s="1"/>
      <c r="K775" s="1"/>
      <c r="L775" s="1"/>
    </row>
    <row r="776" spans="1:12" ht="15.75" customHeight="1">
      <c r="A776" s="2"/>
      <c r="B776" s="1"/>
      <c r="C776" s="1"/>
      <c r="D776" s="1"/>
      <c r="E776" s="1"/>
      <c r="F776" s="1"/>
      <c r="G776" s="1"/>
      <c r="H776" s="1"/>
      <c r="I776" s="61"/>
      <c r="J776" s="1"/>
      <c r="K776" s="1"/>
      <c r="L776" s="1"/>
    </row>
    <row r="777" spans="1:12" ht="15.75" customHeight="1">
      <c r="A777" s="2"/>
      <c r="B777" s="1"/>
      <c r="C777" s="1"/>
      <c r="D777" s="1"/>
      <c r="E777" s="1"/>
      <c r="F777" s="1"/>
      <c r="G777" s="1"/>
      <c r="H777" s="1"/>
      <c r="I777" s="61"/>
      <c r="J777" s="1"/>
      <c r="K777" s="1"/>
      <c r="L777" s="1"/>
    </row>
    <row r="778" spans="1:12" ht="15.75" customHeight="1">
      <c r="A778" s="2"/>
      <c r="B778" s="1"/>
      <c r="C778" s="1"/>
      <c r="D778" s="1"/>
      <c r="E778" s="1"/>
      <c r="F778" s="1"/>
      <c r="G778" s="1"/>
      <c r="H778" s="1"/>
      <c r="I778" s="61"/>
      <c r="J778" s="1"/>
      <c r="K778" s="1"/>
      <c r="L778" s="1"/>
    </row>
    <row r="779" spans="1:12" ht="15.75" customHeight="1">
      <c r="A779" s="2"/>
      <c r="B779" s="1"/>
      <c r="C779" s="1"/>
      <c r="D779" s="1"/>
      <c r="E779" s="1"/>
      <c r="F779" s="1"/>
      <c r="G779" s="1"/>
      <c r="H779" s="1"/>
      <c r="I779" s="61"/>
      <c r="J779" s="1"/>
      <c r="K779" s="1"/>
      <c r="L779" s="1"/>
    </row>
    <row r="780" spans="1:12" ht="15.75" customHeight="1">
      <c r="A780" s="2"/>
      <c r="B780" s="1"/>
      <c r="C780" s="1"/>
      <c r="D780" s="1"/>
      <c r="E780" s="1"/>
      <c r="F780" s="1"/>
      <c r="G780" s="1"/>
      <c r="H780" s="1"/>
      <c r="I780" s="61"/>
      <c r="J780" s="1"/>
      <c r="K780" s="1"/>
      <c r="L780" s="1"/>
    </row>
    <row r="781" spans="1:12" ht="15.75" customHeight="1">
      <c r="A781" s="2"/>
      <c r="B781" s="1"/>
      <c r="C781" s="1"/>
      <c r="D781" s="1"/>
      <c r="E781" s="1"/>
      <c r="F781" s="1"/>
      <c r="G781" s="1"/>
      <c r="H781" s="1"/>
      <c r="I781" s="61"/>
      <c r="J781" s="1"/>
      <c r="K781" s="1"/>
      <c r="L781" s="1"/>
    </row>
    <row r="782" spans="1:12" ht="15.75" customHeight="1">
      <c r="A782" s="2"/>
      <c r="B782" s="1"/>
      <c r="C782" s="1"/>
      <c r="D782" s="1"/>
      <c r="E782" s="1"/>
      <c r="F782" s="1"/>
      <c r="G782" s="1"/>
      <c r="H782" s="1"/>
      <c r="I782" s="61"/>
      <c r="J782" s="1"/>
      <c r="K782" s="1"/>
      <c r="L782" s="1"/>
    </row>
    <row r="783" spans="1:12" ht="15.75" customHeight="1">
      <c r="A783" s="2"/>
      <c r="B783" s="1"/>
      <c r="C783" s="1"/>
      <c r="D783" s="1"/>
      <c r="E783" s="1"/>
      <c r="F783" s="1"/>
      <c r="G783" s="1"/>
      <c r="H783" s="1"/>
      <c r="I783" s="61"/>
      <c r="J783" s="1"/>
      <c r="K783" s="1"/>
      <c r="L783" s="1"/>
    </row>
    <row r="784" spans="1:12" ht="15.75" customHeight="1">
      <c r="A784" s="2"/>
      <c r="B784" s="1"/>
      <c r="C784" s="1"/>
      <c r="D784" s="1"/>
      <c r="E784" s="1"/>
      <c r="F784" s="1"/>
      <c r="G784" s="1"/>
      <c r="H784" s="1"/>
      <c r="I784" s="61"/>
      <c r="J784" s="1"/>
      <c r="K784" s="1"/>
      <c r="L784" s="1"/>
    </row>
    <row r="785" spans="1:12" ht="15.75" customHeight="1">
      <c r="A785" s="2"/>
      <c r="B785" s="1"/>
      <c r="C785" s="1"/>
      <c r="D785" s="1"/>
      <c r="E785" s="1"/>
      <c r="F785" s="1"/>
      <c r="G785" s="1"/>
      <c r="H785" s="1"/>
      <c r="I785" s="61"/>
      <c r="J785" s="1"/>
      <c r="K785" s="1"/>
      <c r="L785" s="1"/>
    </row>
    <row r="786" spans="1:12" ht="15.75" customHeight="1">
      <c r="A786" s="2"/>
      <c r="B786" s="1"/>
      <c r="C786" s="1"/>
      <c r="D786" s="1"/>
      <c r="E786" s="1"/>
      <c r="F786" s="1"/>
      <c r="G786" s="1"/>
      <c r="H786" s="1"/>
      <c r="I786" s="61"/>
      <c r="J786" s="1"/>
      <c r="K786" s="1"/>
      <c r="L786" s="1"/>
    </row>
    <row r="787" spans="1:12" ht="15.75" customHeight="1">
      <c r="A787" s="2"/>
      <c r="B787" s="1"/>
      <c r="C787" s="1"/>
      <c r="D787" s="1"/>
      <c r="E787" s="1"/>
      <c r="F787" s="1"/>
      <c r="G787" s="1"/>
      <c r="H787" s="1"/>
      <c r="I787" s="61"/>
      <c r="J787" s="1"/>
      <c r="K787" s="1"/>
      <c r="L787" s="1"/>
    </row>
    <row r="788" spans="1:12" ht="15.75" customHeight="1">
      <c r="A788" s="2"/>
      <c r="B788" s="1"/>
      <c r="C788" s="1"/>
      <c r="D788" s="1"/>
      <c r="E788" s="1"/>
      <c r="F788" s="1"/>
      <c r="G788" s="1"/>
      <c r="H788" s="1"/>
      <c r="I788" s="61"/>
      <c r="J788" s="1"/>
      <c r="K788" s="1"/>
      <c r="L788" s="1"/>
    </row>
    <row r="789" spans="1:12" ht="15.75" customHeight="1">
      <c r="A789" s="2"/>
      <c r="B789" s="1"/>
      <c r="C789" s="1"/>
      <c r="D789" s="1"/>
      <c r="E789" s="1"/>
      <c r="F789" s="1"/>
      <c r="G789" s="1"/>
      <c r="H789" s="1"/>
      <c r="I789" s="61"/>
      <c r="J789" s="1"/>
      <c r="K789" s="1"/>
      <c r="L789" s="1"/>
    </row>
    <row r="790" spans="1:12" ht="15.75" customHeight="1">
      <c r="A790" s="2"/>
      <c r="B790" s="1"/>
      <c r="C790" s="1"/>
      <c r="D790" s="1"/>
      <c r="E790" s="1"/>
      <c r="F790" s="1"/>
      <c r="G790" s="1"/>
      <c r="H790" s="1"/>
      <c r="I790" s="61"/>
      <c r="J790" s="1"/>
      <c r="K790" s="1"/>
      <c r="L790" s="1"/>
    </row>
    <row r="791" spans="1:12" ht="15.75" customHeight="1">
      <c r="A791" s="2"/>
      <c r="B791" s="1"/>
      <c r="C791" s="1"/>
      <c r="D791" s="1"/>
      <c r="E791" s="1"/>
      <c r="F791" s="1"/>
      <c r="G791" s="1"/>
      <c r="H791" s="1"/>
      <c r="I791" s="61"/>
      <c r="J791" s="1"/>
      <c r="K791" s="1"/>
      <c r="L791" s="1"/>
    </row>
    <row r="792" spans="1:12" ht="15.75" customHeight="1">
      <c r="A792" s="2"/>
      <c r="B792" s="1"/>
      <c r="C792" s="1"/>
      <c r="D792" s="1"/>
      <c r="E792" s="1"/>
      <c r="F792" s="1"/>
      <c r="G792" s="1"/>
      <c r="H792" s="1"/>
      <c r="I792" s="61"/>
      <c r="J792" s="1"/>
      <c r="K792" s="1"/>
      <c r="L792" s="1"/>
    </row>
    <row r="793" spans="1:12" ht="15.75" customHeight="1">
      <c r="A793" s="2"/>
      <c r="B793" s="1"/>
      <c r="C793" s="1"/>
      <c r="D793" s="1"/>
      <c r="E793" s="1"/>
      <c r="F793" s="1"/>
      <c r="G793" s="1"/>
      <c r="H793" s="1"/>
      <c r="I793" s="61"/>
      <c r="J793" s="1"/>
      <c r="K793" s="1"/>
      <c r="L793" s="1"/>
    </row>
    <row r="794" spans="1:12" ht="15.75" customHeight="1">
      <c r="A794" s="2"/>
      <c r="B794" s="1"/>
      <c r="C794" s="1"/>
      <c r="D794" s="1"/>
      <c r="E794" s="1"/>
      <c r="F794" s="1"/>
      <c r="G794" s="1"/>
      <c r="H794" s="1"/>
      <c r="I794" s="61"/>
      <c r="J794" s="1"/>
      <c r="K794" s="1"/>
      <c r="L794" s="1"/>
    </row>
    <row r="795" spans="1:12" ht="15.75" customHeight="1">
      <c r="A795" s="2"/>
      <c r="B795" s="1"/>
      <c r="C795" s="1"/>
      <c r="D795" s="1"/>
      <c r="E795" s="1"/>
      <c r="F795" s="1"/>
      <c r="G795" s="1"/>
      <c r="H795" s="1"/>
      <c r="I795" s="61"/>
      <c r="J795" s="1"/>
      <c r="K795" s="1"/>
      <c r="L795" s="1"/>
    </row>
    <row r="796" spans="1:12" ht="15.75" customHeight="1">
      <c r="A796" s="2"/>
      <c r="B796" s="1"/>
      <c r="C796" s="1"/>
      <c r="D796" s="1"/>
      <c r="E796" s="1"/>
      <c r="F796" s="1"/>
      <c r="G796" s="1"/>
      <c r="H796" s="1"/>
      <c r="I796" s="61"/>
      <c r="J796" s="1"/>
      <c r="K796" s="1"/>
      <c r="L796" s="1"/>
    </row>
    <row r="797" spans="1:12" ht="15.75" customHeight="1">
      <c r="A797" s="2"/>
      <c r="B797" s="1"/>
      <c r="C797" s="1"/>
      <c r="D797" s="1"/>
      <c r="E797" s="1"/>
      <c r="F797" s="1"/>
      <c r="G797" s="1"/>
      <c r="H797" s="1"/>
      <c r="I797" s="61"/>
      <c r="J797" s="1"/>
      <c r="K797" s="1"/>
      <c r="L797" s="1"/>
    </row>
    <row r="798" spans="1:12" ht="15.75" customHeight="1">
      <c r="A798" s="2"/>
      <c r="B798" s="1"/>
      <c r="C798" s="1"/>
      <c r="D798" s="1"/>
      <c r="E798" s="1"/>
      <c r="F798" s="1"/>
      <c r="G798" s="1"/>
      <c r="H798" s="1"/>
      <c r="I798" s="61"/>
      <c r="J798" s="1"/>
      <c r="K798" s="1"/>
      <c r="L798" s="1"/>
    </row>
    <row r="799" spans="1:12" ht="15.75" customHeight="1">
      <c r="A799" s="2"/>
      <c r="B799" s="1"/>
      <c r="C799" s="1"/>
      <c r="D799" s="1"/>
      <c r="E799" s="1"/>
      <c r="F799" s="1"/>
      <c r="G799" s="1"/>
      <c r="H799" s="1"/>
      <c r="I799" s="61"/>
      <c r="J799" s="1"/>
      <c r="K799" s="1"/>
      <c r="L799" s="1"/>
    </row>
    <row r="800" spans="1:12" ht="15.75" customHeight="1">
      <c r="A800" s="2"/>
      <c r="B800" s="1"/>
      <c r="C800" s="1"/>
      <c r="D800" s="1"/>
      <c r="E800" s="1"/>
      <c r="F800" s="1"/>
      <c r="G800" s="1"/>
      <c r="H800" s="1"/>
      <c r="I800" s="61"/>
      <c r="J800" s="1"/>
      <c r="K800" s="1"/>
      <c r="L800" s="1"/>
    </row>
    <row r="801" spans="1:12" ht="15.75" customHeight="1">
      <c r="A801" s="2"/>
      <c r="B801" s="1"/>
      <c r="C801" s="1"/>
      <c r="D801" s="1"/>
      <c r="E801" s="1"/>
      <c r="F801" s="1"/>
      <c r="G801" s="1"/>
      <c r="H801" s="1"/>
      <c r="I801" s="61"/>
      <c r="J801" s="1"/>
      <c r="K801" s="1"/>
      <c r="L801" s="1"/>
    </row>
    <row r="802" spans="1:12" ht="15.75" customHeight="1">
      <c r="A802" s="2"/>
      <c r="B802" s="1"/>
      <c r="C802" s="1"/>
      <c r="D802" s="1"/>
      <c r="E802" s="1"/>
      <c r="F802" s="1"/>
      <c r="G802" s="1"/>
      <c r="H802" s="1"/>
      <c r="I802" s="61"/>
      <c r="J802" s="1"/>
      <c r="K802" s="1"/>
      <c r="L802" s="1"/>
    </row>
    <row r="803" spans="1:12" ht="15.75" customHeight="1">
      <c r="A803" s="2"/>
      <c r="B803" s="1"/>
      <c r="C803" s="1"/>
      <c r="D803" s="1"/>
      <c r="E803" s="1"/>
      <c r="F803" s="1"/>
      <c r="G803" s="1"/>
      <c r="H803" s="1"/>
      <c r="I803" s="61"/>
      <c r="J803" s="1"/>
      <c r="K803" s="1"/>
      <c r="L803" s="1"/>
    </row>
    <row r="804" spans="1:12" ht="15.75" customHeight="1">
      <c r="A804" s="2"/>
      <c r="B804" s="1"/>
      <c r="C804" s="1"/>
      <c r="D804" s="1"/>
      <c r="E804" s="1"/>
      <c r="F804" s="1"/>
      <c r="G804" s="1"/>
      <c r="H804" s="1"/>
      <c r="I804" s="61"/>
      <c r="J804" s="1"/>
      <c r="K804" s="1"/>
      <c r="L804" s="1"/>
    </row>
    <row r="805" spans="1:12" ht="15.75" customHeight="1">
      <c r="A805" s="2"/>
      <c r="B805" s="1"/>
      <c r="C805" s="1"/>
      <c r="D805" s="1"/>
      <c r="E805" s="1"/>
      <c r="F805" s="1"/>
      <c r="G805" s="1"/>
      <c r="H805" s="1"/>
      <c r="I805" s="61"/>
      <c r="J805" s="1"/>
      <c r="K805" s="1"/>
      <c r="L805" s="1"/>
    </row>
    <row r="806" spans="1:12" ht="15.75" customHeight="1">
      <c r="A806" s="2"/>
      <c r="B806" s="1"/>
      <c r="C806" s="1"/>
      <c r="D806" s="1"/>
      <c r="E806" s="1"/>
      <c r="F806" s="1"/>
      <c r="G806" s="1"/>
      <c r="H806" s="1"/>
      <c r="I806" s="61"/>
      <c r="J806" s="1"/>
      <c r="K806" s="1"/>
      <c r="L806" s="1"/>
    </row>
    <row r="807" spans="1:12" ht="15.75" customHeight="1">
      <c r="A807" s="2"/>
      <c r="B807" s="1"/>
      <c r="C807" s="1"/>
      <c r="D807" s="1"/>
      <c r="E807" s="1"/>
      <c r="F807" s="1"/>
      <c r="G807" s="1"/>
      <c r="H807" s="1"/>
      <c r="I807" s="61"/>
      <c r="J807" s="1"/>
      <c r="K807" s="1"/>
      <c r="L807" s="1"/>
    </row>
    <row r="808" spans="1:12" ht="15.75" customHeight="1">
      <c r="A808" s="2"/>
      <c r="B808" s="1"/>
      <c r="C808" s="1"/>
      <c r="D808" s="1"/>
      <c r="E808" s="1"/>
      <c r="F808" s="1"/>
      <c r="G808" s="1"/>
      <c r="H808" s="1"/>
      <c r="I808" s="61"/>
      <c r="J808" s="1"/>
      <c r="K808" s="1"/>
      <c r="L808" s="1"/>
    </row>
    <row r="809" spans="1:12" ht="15.75" customHeight="1">
      <c r="A809" s="2"/>
      <c r="B809" s="1"/>
      <c r="C809" s="1"/>
      <c r="D809" s="1"/>
      <c r="E809" s="1"/>
      <c r="F809" s="1"/>
      <c r="G809" s="1"/>
      <c r="H809" s="1"/>
      <c r="I809" s="61"/>
      <c r="J809" s="1"/>
      <c r="K809" s="1"/>
      <c r="L809" s="1"/>
    </row>
    <row r="810" spans="1:12" ht="15.75" customHeight="1">
      <c r="A810" s="2"/>
      <c r="B810" s="1"/>
      <c r="C810" s="1"/>
      <c r="D810" s="1"/>
      <c r="E810" s="1"/>
      <c r="F810" s="1"/>
      <c r="G810" s="1"/>
      <c r="H810" s="1"/>
      <c r="I810" s="61"/>
      <c r="J810" s="1"/>
      <c r="K810" s="1"/>
      <c r="L810" s="1"/>
    </row>
    <row r="811" spans="1:12" ht="15.75" customHeight="1">
      <c r="A811" s="2"/>
      <c r="B811" s="1"/>
      <c r="C811" s="1"/>
      <c r="D811" s="1"/>
      <c r="E811" s="1"/>
      <c r="F811" s="1"/>
      <c r="G811" s="1"/>
      <c r="H811" s="1"/>
      <c r="I811" s="61"/>
      <c r="J811" s="1"/>
      <c r="K811" s="1"/>
      <c r="L811" s="1"/>
    </row>
    <row r="812" spans="1:12" ht="15.75" customHeight="1">
      <c r="A812" s="2"/>
      <c r="B812" s="1"/>
      <c r="C812" s="1"/>
      <c r="D812" s="1"/>
      <c r="E812" s="1"/>
      <c r="F812" s="1"/>
      <c r="G812" s="1"/>
      <c r="H812" s="1"/>
      <c r="I812" s="61"/>
      <c r="J812" s="1"/>
      <c r="K812" s="1"/>
      <c r="L812" s="1"/>
    </row>
    <row r="813" spans="1:12" ht="15.75" customHeight="1">
      <c r="A813" s="2"/>
      <c r="B813" s="1"/>
      <c r="C813" s="1"/>
      <c r="D813" s="1"/>
      <c r="E813" s="1"/>
      <c r="F813" s="1"/>
      <c r="G813" s="1"/>
      <c r="H813" s="1"/>
      <c r="I813" s="61"/>
      <c r="J813" s="1"/>
      <c r="K813" s="1"/>
      <c r="L813" s="1"/>
    </row>
    <row r="814" spans="1:12" ht="15.75" customHeight="1">
      <c r="A814" s="2"/>
      <c r="B814" s="1"/>
      <c r="C814" s="1"/>
      <c r="D814" s="1"/>
      <c r="E814" s="1"/>
      <c r="F814" s="1"/>
      <c r="G814" s="1"/>
      <c r="H814" s="1"/>
      <c r="I814" s="61"/>
      <c r="J814" s="1"/>
      <c r="K814" s="1"/>
      <c r="L814" s="1"/>
    </row>
    <row r="815" spans="1:12" ht="15.75" customHeight="1">
      <c r="A815" s="2"/>
      <c r="B815" s="1"/>
      <c r="C815" s="1"/>
      <c r="D815" s="1"/>
      <c r="E815" s="1"/>
      <c r="F815" s="1"/>
      <c r="G815" s="1"/>
      <c r="H815" s="1"/>
      <c r="I815" s="61"/>
      <c r="J815" s="1"/>
      <c r="K815" s="1"/>
      <c r="L815" s="1"/>
    </row>
    <row r="816" spans="1:12" ht="15.75" customHeight="1">
      <c r="A816" s="2"/>
      <c r="B816" s="1"/>
      <c r="C816" s="1"/>
      <c r="D816" s="1"/>
      <c r="E816" s="1"/>
      <c r="F816" s="1"/>
      <c r="G816" s="1"/>
      <c r="H816" s="1"/>
      <c r="I816" s="61"/>
      <c r="J816" s="1"/>
      <c r="K816" s="1"/>
      <c r="L816" s="1"/>
    </row>
    <row r="817" spans="1:12" ht="15.75" customHeight="1">
      <c r="A817" s="2"/>
      <c r="B817" s="1"/>
      <c r="C817" s="1"/>
      <c r="D817" s="1"/>
      <c r="E817" s="1"/>
      <c r="F817" s="1"/>
      <c r="G817" s="1"/>
      <c r="H817" s="1"/>
      <c r="I817" s="61"/>
      <c r="J817" s="1"/>
      <c r="K817" s="1"/>
      <c r="L817" s="1"/>
    </row>
    <row r="818" spans="1:12" ht="15.75" customHeight="1">
      <c r="A818" s="2"/>
      <c r="B818" s="1"/>
      <c r="C818" s="1"/>
      <c r="D818" s="1"/>
      <c r="E818" s="1"/>
      <c r="F818" s="1"/>
      <c r="G818" s="1"/>
      <c r="H818" s="1"/>
      <c r="I818" s="61"/>
      <c r="J818" s="1"/>
      <c r="K818" s="1"/>
      <c r="L818" s="1"/>
    </row>
    <row r="819" spans="1:12" ht="15.75" customHeight="1">
      <c r="A819" s="2"/>
      <c r="B819" s="1"/>
      <c r="C819" s="1"/>
      <c r="D819" s="1"/>
      <c r="E819" s="1"/>
      <c r="F819" s="1"/>
      <c r="G819" s="1"/>
      <c r="H819" s="1"/>
      <c r="I819" s="61"/>
      <c r="J819" s="1"/>
      <c r="K819" s="1"/>
      <c r="L819" s="1"/>
    </row>
    <row r="820" spans="1:12" ht="15.75" customHeight="1">
      <c r="A820" s="2"/>
      <c r="B820" s="1"/>
      <c r="C820" s="1"/>
      <c r="D820" s="1"/>
      <c r="E820" s="1"/>
      <c r="F820" s="1"/>
      <c r="G820" s="1"/>
      <c r="H820" s="1"/>
      <c r="I820" s="61"/>
      <c r="J820" s="1"/>
      <c r="K820" s="1"/>
      <c r="L820" s="1"/>
    </row>
    <row r="821" spans="1:12" ht="15.75" customHeight="1">
      <c r="A821" s="2"/>
      <c r="B821" s="1"/>
      <c r="C821" s="1"/>
      <c r="D821" s="1"/>
      <c r="E821" s="1"/>
      <c r="F821" s="1"/>
      <c r="G821" s="1"/>
      <c r="H821" s="1"/>
      <c r="I821" s="61"/>
      <c r="J821" s="1"/>
      <c r="K821" s="1"/>
      <c r="L821" s="1"/>
    </row>
    <row r="822" spans="1:12" ht="15.75" customHeight="1">
      <c r="A822" s="2"/>
      <c r="B822" s="1"/>
      <c r="C822" s="1"/>
      <c r="D822" s="1"/>
      <c r="E822" s="1"/>
      <c r="F822" s="1"/>
      <c r="G822" s="1"/>
      <c r="H822" s="1"/>
      <c r="I822" s="61"/>
      <c r="J822" s="1"/>
      <c r="K822" s="1"/>
      <c r="L822" s="1"/>
    </row>
    <row r="823" spans="1:12" ht="15.75" customHeight="1">
      <c r="A823" s="2"/>
      <c r="B823" s="1"/>
      <c r="C823" s="1"/>
      <c r="D823" s="1"/>
      <c r="E823" s="1"/>
      <c r="F823" s="1"/>
      <c r="G823" s="1"/>
      <c r="H823" s="1"/>
      <c r="I823" s="61"/>
      <c r="J823" s="1"/>
      <c r="K823" s="1"/>
      <c r="L823" s="1"/>
    </row>
    <row r="824" spans="1:12" ht="15.75" customHeight="1">
      <c r="A824" s="2"/>
      <c r="B824" s="1"/>
      <c r="C824" s="1"/>
      <c r="D824" s="1"/>
      <c r="E824" s="1"/>
      <c r="F824" s="1"/>
      <c r="G824" s="1"/>
      <c r="H824" s="1"/>
      <c r="I824" s="61"/>
      <c r="J824" s="1"/>
      <c r="K824" s="1"/>
      <c r="L824" s="1"/>
    </row>
    <row r="825" spans="1:12" ht="15.75" customHeight="1">
      <c r="A825" s="2"/>
      <c r="B825" s="1"/>
      <c r="C825" s="1"/>
      <c r="D825" s="1"/>
      <c r="E825" s="1"/>
      <c r="F825" s="1"/>
      <c r="G825" s="1"/>
      <c r="H825" s="1"/>
      <c r="I825" s="61"/>
      <c r="J825" s="1"/>
      <c r="K825" s="1"/>
      <c r="L825" s="1"/>
    </row>
    <row r="826" spans="1:12" ht="15.75" customHeight="1">
      <c r="A826" s="2"/>
      <c r="B826" s="1"/>
      <c r="C826" s="1"/>
      <c r="D826" s="1"/>
      <c r="E826" s="1"/>
      <c r="F826" s="1"/>
      <c r="G826" s="1"/>
      <c r="H826" s="1"/>
      <c r="I826" s="61"/>
      <c r="J826" s="1"/>
      <c r="K826" s="1"/>
      <c r="L826" s="1"/>
    </row>
    <row r="827" spans="1:12" ht="15.75" customHeight="1">
      <c r="A827" s="2"/>
      <c r="B827" s="1"/>
      <c r="C827" s="1"/>
      <c r="D827" s="1"/>
      <c r="E827" s="1"/>
      <c r="F827" s="1"/>
      <c r="G827" s="1"/>
      <c r="H827" s="1"/>
      <c r="I827" s="61"/>
      <c r="J827" s="1"/>
      <c r="K827" s="1"/>
      <c r="L827" s="1"/>
    </row>
    <row r="828" spans="1:12" ht="15.75" customHeight="1">
      <c r="A828" s="2"/>
      <c r="B828" s="1"/>
      <c r="C828" s="1"/>
      <c r="D828" s="1"/>
      <c r="E828" s="1"/>
      <c r="F828" s="1"/>
      <c r="G828" s="1"/>
      <c r="H828" s="1"/>
      <c r="I828" s="61"/>
      <c r="J828" s="1"/>
      <c r="K828" s="1"/>
      <c r="L828" s="1"/>
    </row>
    <row r="829" spans="1:12" ht="15.75" customHeight="1">
      <c r="A829" s="2"/>
      <c r="B829" s="1"/>
      <c r="C829" s="1"/>
      <c r="D829" s="1"/>
      <c r="E829" s="1"/>
      <c r="F829" s="1"/>
      <c r="G829" s="1"/>
      <c r="H829" s="1"/>
      <c r="I829" s="61"/>
      <c r="J829" s="1"/>
      <c r="K829" s="1"/>
      <c r="L829" s="1"/>
    </row>
    <row r="830" spans="1:12" ht="15.75" customHeight="1">
      <c r="A830" s="2"/>
      <c r="B830" s="1"/>
      <c r="C830" s="1"/>
      <c r="D830" s="1"/>
      <c r="E830" s="1"/>
      <c r="F830" s="1"/>
      <c r="G830" s="1"/>
      <c r="H830" s="1"/>
      <c r="I830" s="61"/>
      <c r="J830" s="1"/>
      <c r="K830" s="1"/>
      <c r="L830" s="1"/>
    </row>
    <row r="831" spans="1:12" ht="15.75" customHeight="1">
      <c r="A831" s="2"/>
      <c r="B831" s="1"/>
      <c r="C831" s="1"/>
      <c r="D831" s="1"/>
      <c r="E831" s="1"/>
      <c r="F831" s="1"/>
      <c r="G831" s="1"/>
      <c r="H831" s="1"/>
      <c r="I831" s="61"/>
      <c r="J831" s="1"/>
      <c r="K831" s="1"/>
      <c r="L831" s="1"/>
    </row>
    <row r="832" spans="1:12" ht="15.75" customHeight="1">
      <c r="A832" s="2"/>
      <c r="B832" s="1"/>
      <c r="C832" s="1"/>
      <c r="D832" s="1"/>
      <c r="E832" s="1"/>
      <c r="F832" s="1"/>
      <c r="G832" s="1"/>
      <c r="H832" s="1"/>
      <c r="I832" s="61"/>
      <c r="J832" s="1"/>
      <c r="K832" s="1"/>
      <c r="L832" s="1"/>
    </row>
    <row r="833" spans="1:12" ht="15.75" customHeight="1">
      <c r="A833" s="2"/>
      <c r="B833" s="1"/>
      <c r="C833" s="1"/>
      <c r="D833" s="1"/>
      <c r="E833" s="1"/>
      <c r="F833" s="1"/>
      <c r="G833" s="1"/>
      <c r="H833" s="1"/>
      <c r="I833" s="61"/>
      <c r="J833" s="1"/>
      <c r="K833" s="1"/>
      <c r="L833" s="1"/>
    </row>
    <row r="834" spans="1:12" ht="15.75" customHeight="1">
      <c r="A834" s="2"/>
      <c r="B834" s="1"/>
      <c r="C834" s="1"/>
      <c r="D834" s="1"/>
      <c r="E834" s="1"/>
      <c r="F834" s="1"/>
      <c r="G834" s="1"/>
      <c r="H834" s="1"/>
      <c r="I834" s="61"/>
      <c r="J834" s="1"/>
      <c r="K834" s="1"/>
      <c r="L834" s="1"/>
    </row>
    <row r="835" spans="1:12" ht="15.75" customHeight="1">
      <c r="A835" s="2"/>
      <c r="B835" s="1"/>
      <c r="C835" s="1"/>
      <c r="D835" s="1"/>
      <c r="E835" s="1"/>
      <c r="F835" s="1"/>
      <c r="G835" s="1"/>
      <c r="H835" s="1"/>
      <c r="I835" s="61"/>
      <c r="J835" s="1"/>
      <c r="K835" s="1"/>
      <c r="L835" s="1"/>
    </row>
    <row r="836" spans="1:12" ht="15.75" customHeight="1">
      <c r="A836" s="2"/>
      <c r="B836" s="1"/>
      <c r="C836" s="1"/>
      <c r="D836" s="1"/>
      <c r="E836" s="1"/>
      <c r="F836" s="1"/>
      <c r="G836" s="1"/>
      <c r="H836" s="1"/>
      <c r="I836" s="61"/>
      <c r="J836" s="1"/>
      <c r="K836" s="1"/>
      <c r="L836" s="1"/>
    </row>
    <row r="837" spans="1:12" ht="15.75" customHeight="1">
      <c r="A837" s="2"/>
      <c r="B837" s="1"/>
      <c r="C837" s="1"/>
      <c r="D837" s="1"/>
      <c r="E837" s="1"/>
      <c r="F837" s="1"/>
      <c r="G837" s="1"/>
      <c r="H837" s="1"/>
      <c r="I837" s="61"/>
      <c r="J837" s="1"/>
      <c r="K837" s="1"/>
      <c r="L837" s="1"/>
    </row>
    <row r="838" spans="1:12" ht="15.75" customHeight="1">
      <c r="A838" s="2"/>
      <c r="B838" s="1"/>
      <c r="C838" s="1"/>
      <c r="D838" s="1"/>
      <c r="E838" s="1"/>
      <c r="F838" s="1"/>
      <c r="G838" s="1"/>
      <c r="H838" s="1"/>
      <c r="I838" s="61"/>
      <c r="J838" s="1"/>
      <c r="K838" s="1"/>
      <c r="L838" s="1"/>
    </row>
    <row r="839" spans="1:12" ht="15.75" customHeight="1">
      <c r="A839" s="2"/>
      <c r="B839" s="1"/>
      <c r="C839" s="1"/>
      <c r="D839" s="1"/>
      <c r="E839" s="1"/>
      <c r="F839" s="1"/>
      <c r="G839" s="1"/>
      <c r="H839" s="1"/>
      <c r="I839" s="61"/>
      <c r="J839" s="1"/>
      <c r="K839" s="1"/>
      <c r="L839" s="1"/>
    </row>
    <row r="840" spans="1:12" ht="15.75" customHeight="1">
      <c r="A840" s="2"/>
      <c r="B840" s="1"/>
      <c r="C840" s="1"/>
      <c r="D840" s="1"/>
      <c r="E840" s="1"/>
      <c r="F840" s="1"/>
      <c r="G840" s="1"/>
      <c r="H840" s="1"/>
      <c r="I840" s="61"/>
      <c r="J840" s="1"/>
      <c r="K840" s="1"/>
      <c r="L840" s="1"/>
    </row>
    <row r="841" spans="1:12" ht="15.75" customHeight="1">
      <c r="A841" s="2"/>
      <c r="B841" s="1"/>
      <c r="C841" s="1"/>
      <c r="D841" s="1"/>
      <c r="E841" s="1"/>
      <c r="F841" s="1"/>
      <c r="G841" s="1"/>
      <c r="H841" s="1"/>
      <c r="I841" s="61"/>
      <c r="J841" s="1"/>
      <c r="K841" s="1"/>
      <c r="L841" s="1"/>
    </row>
    <row r="842" spans="1:12" ht="15.75" customHeight="1">
      <c r="A842" s="2"/>
      <c r="B842" s="1"/>
      <c r="C842" s="1"/>
      <c r="D842" s="1"/>
      <c r="E842" s="1"/>
      <c r="F842" s="1"/>
      <c r="G842" s="1"/>
      <c r="H842" s="1"/>
      <c r="I842" s="61"/>
      <c r="J842" s="1"/>
      <c r="K842" s="1"/>
      <c r="L842" s="1"/>
    </row>
    <row r="843" spans="1:12" ht="15.75" customHeight="1">
      <c r="A843" s="2"/>
      <c r="B843" s="1"/>
      <c r="C843" s="1"/>
      <c r="D843" s="1"/>
      <c r="E843" s="1"/>
      <c r="F843" s="1"/>
      <c r="G843" s="1"/>
      <c r="H843" s="1"/>
      <c r="I843" s="61"/>
      <c r="J843" s="1"/>
      <c r="K843" s="1"/>
      <c r="L843" s="1"/>
    </row>
    <row r="844" spans="1:12" ht="15.75" customHeight="1">
      <c r="A844" s="2"/>
      <c r="B844" s="1"/>
      <c r="C844" s="1"/>
      <c r="D844" s="1"/>
      <c r="E844" s="1"/>
      <c r="F844" s="1"/>
      <c r="G844" s="1"/>
      <c r="H844" s="1"/>
      <c r="I844" s="61"/>
      <c r="J844" s="1"/>
      <c r="K844" s="1"/>
      <c r="L844" s="1"/>
    </row>
    <row r="845" spans="1:12" ht="15.75" customHeight="1">
      <c r="A845" s="2"/>
      <c r="B845" s="1"/>
      <c r="C845" s="1"/>
      <c r="D845" s="1"/>
      <c r="E845" s="1"/>
      <c r="F845" s="1"/>
      <c r="G845" s="1"/>
      <c r="H845" s="1"/>
      <c r="I845" s="61"/>
      <c r="J845" s="1"/>
      <c r="K845" s="1"/>
      <c r="L845" s="1"/>
    </row>
    <row r="846" spans="1:12" ht="15.75" customHeight="1">
      <c r="A846" s="2"/>
      <c r="B846" s="1"/>
      <c r="C846" s="1"/>
      <c r="D846" s="1"/>
      <c r="E846" s="1"/>
      <c r="F846" s="1"/>
      <c r="G846" s="1"/>
      <c r="H846" s="1"/>
      <c r="I846" s="61"/>
      <c r="J846" s="1"/>
      <c r="K846" s="1"/>
      <c r="L846" s="1"/>
    </row>
    <row r="847" spans="1:12" ht="15.75" customHeight="1">
      <c r="A847" s="2"/>
      <c r="B847" s="1"/>
      <c r="C847" s="1"/>
      <c r="D847" s="1"/>
      <c r="E847" s="1"/>
      <c r="F847" s="1"/>
      <c r="G847" s="1"/>
      <c r="H847" s="1"/>
      <c r="I847" s="61"/>
      <c r="J847" s="1"/>
      <c r="K847" s="1"/>
      <c r="L847" s="1"/>
    </row>
    <row r="848" spans="1:12" ht="15.75" customHeight="1">
      <c r="A848" s="2"/>
      <c r="B848" s="1"/>
      <c r="C848" s="1"/>
      <c r="D848" s="1"/>
      <c r="E848" s="1"/>
      <c r="F848" s="1"/>
      <c r="G848" s="1"/>
      <c r="H848" s="1"/>
      <c r="I848" s="61"/>
      <c r="J848" s="1"/>
      <c r="K848" s="1"/>
      <c r="L848" s="1"/>
    </row>
    <row r="849" spans="1:12" ht="15.75" customHeight="1">
      <c r="A849" s="2"/>
      <c r="B849" s="1"/>
      <c r="C849" s="1"/>
      <c r="D849" s="1"/>
      <c r="E849" s="1"/>
      <c r="F849" s="1"/>
      <c r="G849" s="1"/>
      <c r="H849" s="1"/>
      <c r="I849" s="61"/>
      <c r="J849" s="1"/>
      <c r="K849" s="1"/>
      <c r="L849" s="1"/>
    </row>
    <row r="850" spans="1:12" ht="15.75" customHeight="1">
      <c r="A850" s="2"/>
      <c r="B850" s="1"/>
      <c r="C850" s="1"/>
      <c r="D850" s="1"/>
      <c r="E850" s="1"/>
      <c r="F850" s="1"/>
      <c r="G850" s="1"/>
      <c r="H850" s="1"/>
      <c r="I850" s="61"/>
      <c r="J850" s="1"/>
      <c r="K850" s="1"/>
      <c r="L850" s="1"/>
    </row>
    <row r="851" spans="1:12" ht="15.75" customHeight="1">
      <c r="A851" s="2"/>
      <c r="B851" s="1"/>
      <c r="C851" s="1"/>
      <c r="D851" s="1"/>
      <c r="E851" s="1"/>
      <c r="F851" s="1"/>
      <c r="G851" s="1"/>
      <c r="H851" s="1"/>
      <c r="I851" s="61"/>
      <c r="J851" s="1"/>
      <c r="K851" s="1"/>
      <c r="L851" s="1"/>
    </row>
    <row r="852" spans="1:12" ht="15.75" customHeight="1">
      <c r="A852" s="2"/>
      <c r="B852" s="1"/>
      <c r="C852" s="1"/>
      <c r="D852" s="1"/>
      <c r="E852" s="1"/>
      <c r="F852" s="1"/>
      <c r="G852" s="1"/>
      <c r="H852" s="1"/>
      <c r="I852" s="61"/>
      <c r="J852" s="1"/>
      <c r="K852" s="1"/>
      <c r="L852" s="1"/>
    </row>
    <row r="853" spans="1:12" ht="15.75" customHeight="1">
      <c r="A853" s="2"/>
      <c r="B853" s="1"/>
      <c r="C853" s="1"/>
      <c r="D853" s="1"/>
      <c r="E853" s="1"/>
      <c r="F853" s="1"/>
      <c r="G853" s="1"/>
      <c r="H853" s="1"/>
      <c r="I853" s="61"/>
      <c r="J853" s="1"/>
      <c r="K853" s="1"/>
      <c r="L853" s="1"/>
    </row>
    <row r="854" spans="1:12" ht="15.75" customHeight="1">
      <c r="A854" s="2"/>
      <c r="B854" s="1"/>
      <c r="C854" s="1"/>
      <c r="D854" s="1"/>
      <c r="E854" s="1"/>
      <c r="F854" s="1"/>
      <c r="G854" s="1"/>
      <c r="H854" s="1"/>
      <c r="I854" s="61"/>
      <c r="J854" s="1"/>
      <c r="K854" s="1"/>
      <c r="L854" s="1"/>
    </row>
    <row r="855" spans="1:12" ht="15.75" customHeight="1">
      <c r="A855" s="2"/>
      <c r="B855" s="1"/>
      <c r="C855" s="1"/>
      <c r="D855" s="1"/>
      <c r="E855" s="1"/>
      <c r="F855" s="1"/>
      <c r="G855" s="1"/>
      <c r="H855" s="1"/>
      <c r="I855" s="61"/>
      <c r="J855" s="1"/>
      <c r="K855" s="1"/>
      <c r="L855" s="1"/>
    </row>
    <row r="856" spans="1:12" ht="15.75" customHeight="1">
      <c r="A856" s="2"/>
      <c r="B856" s="1"/>
      <c r="C856" s="1"/>
      <c r="D856" s="1"/>
      <c r="E856" s="1"/>
      <c r="F856" s="1"/>
      <c r="G856" s="1"/>
      <c r="H856" s="1"/>
      <c r="I856" s="61"/>
      <c r="J856" s="1"/>
      <c r="K856" s="1"/>
      <c r="L856" s="1"/>
    </row>
    <row r="857" spans="1:12" ht="15.75" customHeight="1">
      <c r="A857" s="2"/>
      <c r="B857" s="1"/>
      <c r="C857" s="1"/>
      <c r="D857" s="1"/>
      <c r="E857" s="1"/>
      <c r="F857" s="1"/>
      <c r="G857" s="1"/>
      <c r="H857" s="1"/>
      <c r="I857" s="61"/>
      <c r="J857" s="1"/>
      <c r="K857" s="1"/>
      <c r="L857" s="1"/>
    </row>
    <row r="858" spans="1:12" ht="15.75" customHeight="1">
      <c r="A858" s="2"/>
      <c r="B858" s="1"/>
      <c r="C858" s="1"/>
      <c r="D858" s="1"/>
      <c r="E858" s="1"/>
      <c r="F858" s="1"/>
      <c r="G858" s="1"/>
      <c r="H858" s="1"/>
      <c r="I858" s="61"/>
      <c r="J858" s="1"/>
      <c r="K858" s="1"/>
      <c r="L858" s="1"/>
    </row>
    <row r="859" spans="1:12" ht="15.75" customHeight="1">
      <c r="A859" s="2"/>
      <c r="B859" s="1"/>
      <c r="C859" s="1"/>
      <c r="D859" s="1"/>
      <c r="E859" s="1"/>
      <c r="F859" s="1"/>
      <c r="G859" s="1"/>
      <c r="H859" s="1"/>
      <c r="I859" s="61"/>
      <c r="J859" s="1"/>
      <c r="K859" s="1"/>
      <c r="L859" s="1"/>
    </row>
    <row r="860" spans="1:12" ht="15.75" customHeight="1">
      <c r="A860" s="2"/>
      <c r="B860" s="1"/>
      <c r="C860" s="1"/>
      <c r="D860" s="1"/>
      <c r="E860" s="1"/>
      <c r="F860" s="1"/>
      <c r="G860" s="1"/>
      <c r="H860" s="1"/>
      <c r="I860" s="61"/>
      <c r="J860" s="1"/>
      <c r="K860" s="1"/>
      <c r="L860" s="1"/>
    </row>
    <row r="861" spans="1:12" ht="15.75" customHeight="1">
      <c r="A861" s="2"/>
      <c r="B861" s="1"/>
      <c r="C861" s="1"/>
      <c r="D861" s="1"/>
      <c r="E861" s="1"/>
      <c r="F861" s="1"/>
      <c r="G861" s="1"/>
      <c r="H861" s="1"/>
      <c r="I861" s="61"/>
      <c r="J861" s="1"/>
      <c r="K861" s="1"/>
      <c r="L861" s="1"/>
    </row>
    <row r="862" spans="1:12" ht="15.75" customHeight="1">
      <c r="A862" s="2"/>
      <c r="B862" s="1"/>
      <c r="C862" s="1"/>
      <c r="D862" s="1"/>
      <c r="E862" s="1"/>
      <c r="F862" s="1"/>
      <c r="G862" s="1"/>
      <c r="H862" s="1"/>
      <c r="I862" s="61"/>
      <c r="J862" s="1"/>
      <c r="K862" s="1"/>
      <c r="L862" s="1"/>
    </row>
    <row r="863" spans="1:12" ht="15.75" customHeight="1">
      <c r="A863" s="2"/>
      <c r="B863" s="1"/>
      <c r="C863" s="1"/>
      <c r="D863" s="1"/>
      <c r="E863" s="1"/>
      <c r="F863" s="1"/>
      <c r="G863" s="1"/>
      <c r="H863" s="1"/>
      <c r="I863" s="61"/>
      <c r="J863" s="1"/>
      <c r="K863" s="1"/>
      <c r="L863" s="1"/>
    </row>
    <row r="864" spans="1:12" ht="15.75" customHeight="1">
      <c r="A864" s="2"/>
      <c r="B864" s="1"/>
      <c r="C864" s="1"/>
      <c r="D864" s="1"/>
      <c r="E864" s="1"/>
      <c r="F864" s="1"/>
      <c r="G864" s="1"/>
      <c r="H864" s="1"/>
      <c r="I864" s="61"/>
      <c r="J864" s="1"/>
      <c r="K864" s="1"/>
      <c r="L864" s="1"/>
    </row>
    <row r="865" spans="1:12" ht="15.75" customHeight="1">
      <c r="A865" s="2"/>
      <c r="B865" s="1"/>
      <c r="C865" s="1"/>
      <c r="D865" s="1"/>
      <c r="E865" s="1"/>
      <c r="F865" s="1"/>
      <c r="G865" s="1"/>
      <c r="H865" s="1"/>
      <c r="I865" s="61"/>
      <c r="J865" s="1"/>
      <c r="K865" s="1"/>
      <c r="L865" s="1"/>
    </row>
    <row r="866" spans="1:12" ht="15.75" customHeight="1">
      <c r="A866" s="2"/>
      <c r="B866" s="1"/>
      <c r="C866" s="1"/>
      <c r="D866" s="1"/>
      <c r="E866" s="1"/>
      <c r="F866" s="1"/>
      <c r="G866" s="1"/>
      <c r="H866" s="1"/>
      <c r="I866" s="61"/>
      <c r="J866" s="1"/>
      <c r="K866" s="1"/>
      <c r="L866" s="1"/>
    </row>
    <row r="867" spans="1:12" ht="15.75" customHeight="1">
      <c r="A867" s="2"/>
      <c r="B867" s="1"/>
      <c r="C867" s="1"/>
      <c r="D867" s="1"/>
      <c r="E867" s="1"/>
      <c r="F867" s="1"/>
      <c r="G867" s="1"/>
      <c r="H867" s="1"/>
      <c r="I867" s="61"/>
      <c r="J867" s="1"/>
      <c r="K867" s="1"/>
      <c r="L867" s="1"/>
    </row>
    <row r="868" spans="1:12" ht="15.75" customHeight="1">
      <c r="A868" s="2"/>
      <c r="B868" s="1"/>
      <c r="C868" s="1"/>
      <c r="D868" s="1"/>
      <c r="E868" s="1"/>
      <c r="F868" s="1"/>
      <c r="G868" s="1"/>
      <c r="H868" s="1"/>
      <c r="I868" s="61"/>
      <c r="J868" s="1"/>
      <c r="K868" s="1"/>
      <c r="L868" s="1"/>
    </row>
    <row r="869" spans="1:12" ht="15.75" customHeight="1">
      <c r="A869" s="2"/>
      <c r="B869" s="1"/>
      <c r="C869" s="1"/>
      <c r="D869" s="1"/>
      <c r="E869" s="1"/>
      <c r="F869" s="1"/>
      <c r="G869" s="1"/>
      <c r="H869" s="1"/>
      <c r="I869" s="61"/>
      <c r="J869" s="1"/>
      <c r="K869" s="1"/>
      <c r="L869" s="1"/>
    </row>
    <row r="870" spans="1:12" ht="15.75" customHeight="1">
      <c r="A870" s="2"/>
      <c r="B870" s="1"/>
      <c r="C870" s="1"/>
      <c r="D870" s="1"/>
      <c r="E870" s="1"/>
      <c r="F870" s="1"/>
      <c r="G870" s="1"/>
      <c r="H870" s="1"/>
      <c r="I870" s="61"/>
      <c r="J870" s="1"/>
      <c r="K870" s="1"/>
      <c r="L870" s="1"/>
    </row>
    <row r="871" spans="1:12" ht="15.75" customHeight="1">
      <c r="A871" s="2"/>
      <c r="B871" s="1"/>
      <c r="C871" s="1"/>
      <c r="D871" s="1"/>
      <c r="E871" s="1"/>
      <c r="F871" s="1"/>
      <c r="G871" s="1"/>
      <c r="H871" s="1"/>
      <c r="I871" s="61"/>
      <c r="J871" s="1"/>
      <c r="K871" s="1"/>
      <c r="L871" s="1"/>
    </row>
    <row r="872" spans="1:12" ht="15.75" customHeight="1">
      <c r="A872" s="2"/>
      <c r="B872" s="1"/>
      <c r="C872" s="1"/>
      <c r="D872" s="1"/>
      <c r="E872" s="1"/>
      <c r="F872" s="1"/>
      <c r="G872" s="1"/>
      <c r="H872" s="1"/>
      <c r="I872" s="61"/>
      <c r="J872" s="1"/>
      <c r="K872" s="1"/>
      <c r="L872" s="1"/>
    </row>
    <row r="873" spans="1:12" ht="15.75" customHeight="1">
      <c r="A873" s="2"/>
      <c r="B873" s="1"/>
      <c r="C873" s="1"/>
      <c r="D873" s="1"/>
      <c r="E873" s="1"/>
      <c r="F873" s="1"/>
      <c r="G873" s="1"/>
      <c r="H873" s="1"/>
      <c r="I873" s="61"/>
      <c r="J873" s="1"/>
      <c r="K873" s="1"/>
      <c r="L873" s="1"/>
    </row>
    <row r="874" spans="1:12" ht="15.75" customHeight="1">
      <c r="A874" s="2"/>
      <c r="B874" s="1"/>
      <c r="C874" s="1"/>
      <c r="D874" s="1"/>
      <c r="E874" s="1"/>
      <c r="F874" s="1"/>
      <c r="G874" s="1"/>
      <c r="H874" s="1"/>
      <c r="I874" s="61"/>
      <c r="J874" s="1"/>
      <c r="K874" s="1"/>
      <c r="L874" s="1"/>
    </row>
    <row r="875" spans="1:12" ht="15.75" customHeight="1">
      <c r="A875" s="2"/>
      <c r="B875" s="1"/>
      <c r="C875" s="1"/>
      <c r="D875" s="1"/>
      <c r="E875" s="1"/>
      <c r="F875" s="1"/>
      <c r="G875" s="1"/>
      <c r="H875" s="1"/>
      <c r="I875" s="61"/>
      <c r="J875" s="1"/>
      <c r="K875" s="1"/>
      <c r="L875" s="1"/>
    </row>
    <row r="876" spans="1:12" ht="15.75" customHeight="1">
      <c r="A876" s="2"/>
      <c r="B876" s="1"/>
      <c r="C876" s="1"/>
      <c r="D876" s="1"/>
      <c r="E876" s="1"/>
      <c r="F876" s="1"/>
      <c r="G876" s="1"/>
      <c r="H876" s="1"/>
      <c r="I876" s="61"/>
      <c r="J876" s="1"/>
      <c r="K876" s="1"/>
      <c r="L876" s="1"/>
    </row>
    <row r="877" spans="1:12" ht="15.75" customHeight="1">
      <c r="A877" s="2"/>
      <c r="B877" s="1"/>
      <c r="C877" s="1"/>
      <c r="D877" s="1"/>
      <c r="E877" s="1"/>
      <c r="F877" s="1"/>
      <c r="G877" s="1"/>
      <c r="H877" s="1"/>
      <c r="I877" s="61"/>
      <c r="J877" s="1"/>
      <c r="K877" s="1"/>
      <c r="L877" s="1"/>
    </row>
    <row r="878" spans="1:12" ht="15.75" customHeight="1">
      <c r="A878" s="2"/>
      <c r="B878" s="1"/>
      <c r="C878" s="1"/>
      <c r="D878" s="1"/>
      <c r="E878" s="1"/>
      <c r="F878" s="1"/>
      <c r="G878" s="1"/>
      <c r="H878" s="1"/>
      <c r="I878" s="61"/>
      <c r="J878" s="1"/>
      <c r="K878" s="1"/>
      <c r="L878" s="1"/>
    </row>
    <row r="879" spans="1:12" ht="15.75" customHeight="1">
      <c r="A879" s="2"/>
      <c r="B879" s="1"/>
      <c r="C879" s="1"/>
      <c r="D879" s="1"/>
      <c r="E879" s="1"/>
      <c r="F879" s="1"/>
      <c r="G879" s="1"/>
      <c r="H879" s="1"/>
      <c r="I879" s="61"/>
      <c r="J879" s="1"/>
      <c r="K879" s="1"/>
      <c r="L879" s="1"/>
    </row>
    <row r="880" spans="1:12" ht="15.75" customHeight="1">
      <c r="A880" s="2"/>
      <c r="B880" s="1"/>
      <c r="C880" s="1"/>
      <c r="D880" s="1"/>
      <c r="E880" s="1"/>
      <c r="F880" s="1"/>
      <c r="G880" s="1"/>
      <c r="H880" s="1"/>
      <c r="I880" s="61"/>
      <c r="J880" s="1"/>
      <c r="K880" s="1"/>
      <c r="L880" s="1"/>
    </row>
    <row r="881" spans="1:12" ht="15.75" customHeight="1">
      <c r="A881" s="2"/>
      <c r="B881" s="1"/>
      <c r="C881" s="1"/>
      <c r="D881" s="1"/>
      <c r="E881" s="1"/>
      <c r="F881" s="1"/>
      <c r="G881" s="1"/>
      <c r="H881" s="1"/>
      <c r="I881" s="61"/>
      <c r="J881" s="1"/>
      <c r="K881" s="1"/>
      <c r="L881" s="1"/>
    </row>
    <row r="882" spans="1:12" ht="15.75" customHeight="1">
      <c r="A882" s="2"/>
      <c r="B882" s="1"/>
      <c r="C882" s="1"/>
      <c r="D882" s="1"/>
      <c r="E882" s="1"/>
      <c r="F882" s="1"/>
      <c r="G882" s="1"/>
      <c r="H882" s="1"/>
      <c r="I882" s="61"/>
      <c r="J882" s="1"/>
      <c r="K882" s="1"/>
      <c r="L882" s="1"/>
    </row>
    <row r="883" spans="1:12" ht="15.75" customHeight="1">
      <c r="A883" s="2"/>
      <c r="B883" s="1"/>
      <c r="C883" s="1"/>
      <c r="D883" s="1"/>
      <c r="E883" s="1"/>
      <c r="F883" s="1"/>
      <c r="G883" s="1"/>
      <c r="H883" s="1"/>
      <c r="I883" s="61"/>
      <c r="J883" s="1"/>
      <c r="K883" s="1"/>
      <c r="L883" s="1"/>
    </row>
    <row r="884" spans="1:12" ht="15.75" customHeight="1">
      <c r="A884" s="2"/>
      <c r="B884" s="1"/>
      <c r="C884" s="1"/>
      <c r="D884" s="1"/>
      <c r="E884" s="1"/>
      <c r="F884" s="1"/>
      <c r="G884" s="1"/>
      <c r="H884" s="1"/>
      <c r="I884" s="61"/>
      <c r="J884" s="1"/>
      <c r="K884" s="1"/>
      <c r="L884" s="1"/>
    </row>
    <row r="885" spans="1:12" ht="15.75" customHeight="1">
      <c r="A885" s="2"/>
      <c r="B885" s="1"/>
      <c r="C885" s="1"/>
      <c r="D885" s="1"/>
      <c r="E885" s="1"/>
      <c r="F885" s="1"/>
      <c r="G885" s="1"/>
      <c r="H885" s="1"/>
      <c r="I885" s="61"/>
      <c r="J885" s="1"/>
      <c r="K885" s="1"/>
      <c r="L885" s="1"/>
    </row>
    <row r="886" spans="1:12" ht="15.75" customHeight="1">
      <c r="A886" s="2"/>
      <c r="B886" s="1"/>
      <c r="C886" s="1"/>
      <c r="D886" s="1"/>
      <c r="E886" s="1"/>
      <c r="F886" s="1"/>
      <c r="G886" s="1"/>
      <c r="H886" s="1"/>
      <c r="I886" s="61"/>
      <c r="J886" s="1"/>
      <c r="K886" s="1"/>
      <c r="L886" s="1"/>
    </row>
    <row r="887" spans="1:12" ht="15.75" customHeight="1">
      <c r="A887" s="2"/>
      <c r="B887" s="1"/>
      <c r="C887" s="1"/>
      <c r="D887" s="1"/>
      <c r="E887" s="1"/>
      <c r="F887" s="1"/>
      <c r="G887" s="1"/>
      <c r="H887" s="1"/>
      <c r="I887" s="61"/>
      <c r="J887" s="1"/>
      <c r="K887" s="1"/>
      <c r="L887" s="1"/>
    </row>
    <row r="888" spans="1:12" ht="15.75" customHeight="1">
      <c r="A888" s="2"/>
      <c r="B888" s="1"/>
      <c r="C888" s="1"/>
      <c r="D888" s="1"/>
      <c r="E888" s="1"/>
      <c r="F888" s="1"/>
      <c r="G888" s="1"/>
      <c r="H888" s="1"/>
      <c r="I888" s="61"/>
      <c r="J888" s="1"/>
      <c r="K888" s="1"/>
      <c r="L888" s="1"/>
    </row>
    <row r="889" spans="1:12" ht="15.75" customHeight="1">
      <c r="A889" s="2"/>
      <c r="B889" s="1"/>
      <c r="C889" s="1"/>
      <c r="D889" s="1"/>
      <c r="E889" s="1"/>
      <c r="F889" s="1"/>
      <c r="G889" s="1"/>
      <c r="H889" s="1"/>
      <c r="I889" s="61"/>
      <c r="J889" s="1"/>
      <c r="K889" s="1"/>
      <c r="L889" s="1"/>
    </row>
    <row r="890" spans="1:12" ht="15.75" customHeight="1">
      <c r="A890" s="2"/>
      <c r="B890" s="1"/>
      <c r="C890" s="1"/>
      <c r="D890" s="1"/>
      <c r="E890" s="1"/>
      <c r="F890" s="1"/>
      <c r="G890" s="1"/>
      <c r="H890" s="1"/>
      <c r="I890" s="61"/>
      <c r="J890" s="1"/>
      <c r="K890" s="1"/>
      <c r="L890" s="1"/>
    </row>
    <row r="891" spans="1:12" ht="15.75" customHeight="1">
      <c r="A891" s="2"/>
      <c r="B891" s="1"/>
      <c r="C891" s="1"/>
      <c r="D891" s="1"/>
      <c r="E891" s="1"/>
      <c r="F891" s="1"/>
      <c r="G891" s="1"/>
      <c r="H891" s="1"/>
      <c r="I891" s="61"/>
      <c r="J891" s="1"/>
      <c r="K891" s="1"/>
      <c r="L891" s="1"/>
    </row>
    <row r="892" spans="1:12" ht="15.75" customHeight="1">
      <c r="A892" s="2"/>
      <c r="B892" s="1"/>
      <c r="C892" s="1"/>
      <c r="D892" s="1"/>
      <c r="E892" s="1"/>
      <c r="F892" s="1"/>
      <c r="G892" s="1"/>
      <c r="H892" s="1"/>
      <c r="I892" s="61"/>
      <c r="J892" s="1"/>
      <c r="K892" s="1"/>
      <c r="L892" s="1"/>
    </row>
    <row r="893" spans="1:12" ht="15.75" customHeight="1">
      <c r="A893" s="2"/>
      <c r="B893" s="1"/>
      <c r="C893" s="1"/>
      <c r="D893" s="1"/>
      <c r="E893" s="1"/>
      <c r="F893" s="1"/>
      <c r="G893" s="1"/>
      <c r="H893" s="1"/>
      <c r="I893" s="61"/>
      <c r="J893" s="1"/>
      <c r="K893" s="1"/>
      <c r="L893" s="1"/>
    </row>
    <row r="894" spans="1:12" ht="15.75" customHeight="1">
      <c r="A894" s="2"/>
      <c r="B894" s="1"/>
      <c r="C894" s="1"/>
      <c r="D894" s="1"/>
      <c r="E894" s="1"/>
      <c r="F894" s="1"/>
      <c r="G894" s="1"/>
      <c r="H894" s="1"/>
      <c r="I894" s="61"/>
      <c r="J894" s="1"/>
      <c r="K894" s="1"/>
      <c r="L894" s="1"/>
    </row>
    <row r="895" spans="1:12" ht="15.75" customHeight="1">
      <c r="A895" s="2"/>
      <c r="B895" s="1"/>
      <c r="C895" s="1"/>
      <c r="D895" s="1"/>
      <c r="E895" s="1"/>
      <c r="F895" s="1"/>
      <c r="G895" s="1"/>
      <c r="H895" s="1"/>
      <c r="I895" s="61"/>
      <c r="J895" s="1"/>
      <c r="K895" s="1"/>
      <c r="L895" s="1"/>
    </row>
    <row r="896" spans="1:12" ht="15.75" customHeight="1">
      <c r="A896" s="2"/>
      <c r="B896" s="1"/>
      <c r="C896" s="1"/>
      <c r="D896" s="1"/>
      <c r="E896" s="1"/>
      <c r="F896" s="1"/>
      <c r="G896" s="1"/>
      <c r="H896" s="1"/>
      <c r="I896" s="61"/>
      <c r="J896" s="1"/>
      <c r="K896" s="1"/>
      <c r="L896" s="1"/>
    </row>
    <row r="897" spans="1:12" ht="15.75" customHeight="1">
      <c r="A897" s="2"/>
      <c r="B897" s="1"/>
      <c r="C897" s="1"/>
      <c r="D897" s="1"/>
      <c r="E897" s="1"/>
      <c r="F897" s="1"/>
      <c r="G897" s="1"/>
      <c r="H897" s="1"/>
      <c r="I897" s="61"/>
      <c r="J897" s="1"/>
      <c r="K897" s="1"/>
      <c r="L897" s="1"/>
    </row>
    <row r="898" spans="1:12" ht="15.75" customHeight="1">
      <c r="A898" s="2"/>
      <c r="B898" s="1"/>
      <c r="C898" s="1"/>
      <c r="D898" s="1"/>
      <c r="E898" s="1"/>
      <c r="F898" s="1"/>
      <c r="G898" s="1"/>
      <c r="H898" s="1"/>
      <c r="I898" s="61"/>
      <c r="J898" s="1"/>
      <c r="K898" s="1"/>
      <c r="L898" s="1"/>
    </row>
    <row r="899" spans="1:12" ht="15.75" customHeight="1">
      <c r="A899" s="2"/>
      <c r="B899" s="1"/>
      <c r="C899" s="1"/>
      <c r="D899" s="1"/>
      <c r="E899" s="1"/>
      <c r="F899" s="1"/>
      <c r="G899" s="1"/>
      <c r="H899" s="1"/>
      <c r="I899" s="61"/>
      <c r="J899" s="1"/>
      <c r="K899" s="1"/>
      <c r="L899" s="1"/>
    </row>
    <row r="900" spans="1:12" ht="15.75" customHeight="1">
      <c r="A900" s="2"/>
      <c r="B900" s="1"/>
      <c r="C900" s="1"/>
      <c r="D900" s="1"/>
      <c r="E900" s="1"/>
      <c r="F900" s="1"/>
      <c r="G900" s="1"/>
      <c r="H900" s="1"/>
      <c r="I900" s="61"/>
      <c r="J900" s="1"/>
      <c r="K900" s="1"/>
      <c r="L900" s="1"/>
    </row>
    <row r="901" spans="1:12" ht="15.75" customHeight="1">
      <c r="A901" s="2"/>
      <c r="B901" s="1"/>
      <c r="C901" s="1"/>
      <c r="D901" s="1"/>
      <c r="E901" s="1"/>
      <c r="F901" s="1"/>
      <c r="G901" s="1"/>
      <c r="H901" s="1"/>
      <c r="I901" s="61"/>
      <c r="J901" s="1"/>
      <c r="K901" s="1"/>
      <c r="L901" s="1"/>
    </row>
    <row r="902" spans="1:12" ht="15.75" customHeight="1">
      <c r="A902" s="2"/>
      <c r="B902" s="1"/>
      <c r="C902" s="1"/>
      <c r="D902" s="1"/>
      <c r="E902" s="1"/>
      <c r="F902" s="1"/>
      <c r="G902" s="1"/>
      <c r="H902" s="1"/>
      <c r="I902" s="61"/>
      <c r="J902" s="1"/>
      <c r="K902" s="1"/>
      <c r="L902" s="1"/>
    </row>
    <row r="903" spans="1:12" ht="15.75" customHeight="1">
      <c r="A903" s="2"/>
      <c r="B903" s="1"/>
      <c r="C903" s="1"/>
      <c r="D903" s="1"/>
      <c r="E903" s="1"/>
      <c r="F903" s="1"/>
      <c r="G903" s="1"/>
      <c r="H903" s="1"/>
      <c r="I903" s="61"/>
      <c r="J903" s="1"/>
      <c r="K903" s="1"/>
      <c r="L903" s="1"/>
    </row>
    <row r="904" spans="1:12" ht="15.75" customHeight="1">
      <c r="A904" s="2"/>
      <c r="B904" s="1"/>
      <c r="C904" s="1"/>
      <c r="D904" s="1"/>
      <c r="E904" s="1"/>
      <c r="F904" s="1"/>
      <c r="G904" s="1"/>
      <c r="H904" s="1"/>
      <c r="I904" s="61"/>
      <c r="J904" s="1"/>
      <c r="K904" s="1"/>
      <c r="L904" s="1"/>
    </row>
    <row r="905" spans="1:12" ht="15.75" customHeight="1">
      <c r="A905" s="2"/>
      <c r="B905" s="1"/>
      <c r="C905" s="1"/>
      <c r="D905" s="1"/>
      <c r="E905" s="1"/>
      <c r="F905" s="1"/>
      <c r="G905" s="1"/>
      <c r="H905" s="1"/>
      <c r="I905" s="61"/>
      <c r="J905" s="1"/>
      <c r="K905" s="1"/>
      <c r="L905" s="1"/>
    </row>
    <row r="906" spans="1:12" ht="15.75" customHeight="1">
      <c r="A906" s="2"/>
      <c r="B906" s="1"/>
      <c r="C906" s="1"/>
      <c r="D906" s="1"/>
      <c r="E906" s="1"/>
      <c r="F906" s="1"/>
      <c r="G906" s="1"/>
      <c r="H906" s="1"/>
      <c r="I906" s="61"/>
      <c r="J906" s="1"/>
      <c r="K906" s="1"/>
      <c r="L906" s="1"/>
    </row>
    <row r="907" spans="1:12" ht="15.75" customHeight="1">
      <c r="A907" s="2"/>
      <c r="B907" s="1"/>
      <c r="C907" s="1"/>
      <c r="D907" s="1"/>
      <c r="E907" s="1"/>
      <c r="F907" s="1"/>
      <c r="G907" s="1"/>
      <c r="H907" s="1"/>
      <c r="I907" s="61"/>
      <c r="J907" s="1"/>
      <c r="K907" s="1"/>
      <c r="L907" s="1"/>
    </row>
    <row r="908" spans="1:12" ht="15.75" customHeight="1">
      <c r="A908" s="2"/>
      <c r="B908" s="1"/>
      <c r="C908" s="1"/>
      <c r="D908" s="1"/>
      <c r="E908" s="1"/>
      <c r="F908" s="1"/>
      <c r="G908" s="1"/>
      <c r="H908" s="1"/>
      <c r="I908" s="61"/>
      <c r="J908" s="1"/>
      <c r="K908" s="1"/>
      <c r="L908" s="1"/>
    </row>
    <row r="909" spans="1:12" ht="15.75" customHeight="1">
      <c r="A909" s="2"/>
      <c r="B909" s="1"/>
      <c r="C909" s="1"/>
      <c r="D909" s="1"/>
      <c r="E909" s="1"/>
      <c r="F909" s="1"/>
      <c r="G909" s="1"/>
      <c r="H909" s="1"/>
      <c r="I909" s="61"/>
      <c r="J909" s="1"/>
      <c r="K909" s="1"/>
      <c r="L909" s="1"/>
    </row>
    <row r="910" spans="1:12" ht="15.75" customHeight="1">
      <c r="A910" s="2"/>
      <c r="B910" s="1"/>
      <c r="C910" s="1"/>
      <c r="D910" s="1"/>
      <c r="E910" s="1"/>
      <c r="F910" s="1"/>
      <c r="G910" s="1"/>
      <c r="H910" s="1"/>
      <c r="I910" s="61"/>
      <c r="J910" s="1"/>
      <c r="K910" s="1"/>
      <c r="L910" s="1"/>
    </row>
    <row r="911" spans="1:12" ht="15.75" customHeight="1">
      <c r="A911" s="2"/>
      <c r="B911" s="1"/>
      <c r="C911" s="1"/>
      <c r="D911" s="1"/>
      <c r="E911" s="1"/>
      <c r="F911" s="1"/>
      <c r="G911" s="1"/>
      <c r="H911" s="1"/>
      <c r="I911" s="61"/>
      <c r="J911" s="1"/>
      <c r="K911" s="1"/>
      <c r="L911" s="1"/>
    </row>
    <row r="912" spans="1:12" ht="15.75" customHeight="1">
      <c r="A912" s="2"/>
      <c r="B912" s="1"/>
      <c r="C912" s="1"/>
      <c r="D912" s="1"/>
      <c r="E912" s="1"/>
      <c r="F912" s="1"/>
      <c r="G912" s="1"/>
      <c r="H912" s="1"/>
      <c r="I912" s="61"/>
      <c r="J912" s="1"/>
      <c r="K912" s="1"/>
      <c r="L912" s="1"/>
    </row>
    <row r="913" spans="1:12" ht="15.75" customHeight="1">
      <c r="A913" s="2"/>
      <c r="B913" s="1"/>
      <c r="C913" s="1"/>
      <c r="D913" s="1"/>
      <c r="E913" s="1"/>
      <c r="F913" s="1"/>
      <c r="G913" s="1"/>
      <c r="H913" s="1"/>
      <c r="I913" s="61"/>
      <c r="J913" s="1"/>
      <c r="K913" s="1"/>
      <c r="L913" s="1"/>
    </row>
    <row r="914" spans="1:12" ht="15.75" customHeight="1">
      <c r="A914" s="2"/>
      <c r="B914" s="1"/>
      <c r="C914" s="1"/>
      <c r="D914" s="1"/>
      <c r="E914" s="1"/>
      <c r="F914" s="1"/>
      <c r="G914" s="1"/>
      <c r="H914" s="1"/>
      <c r="I914" s="61"/>
      <c r="J914" s="1"/>
      <c r="K914" s="1"/>
      <c r="L914" s="1"/>
    </row>
    <row r="915" spans="1:12" ht="15.75" customHeight="1">
      <c r="A915" s="2"/>
      <c r="B915" s="1"/>
      <c r="C915" s="1"/>
      <c r="D915" s="1"/>
      <c r="E915" s="1"/>
      <c r="F915" s="1"/>
      <c r="G915" s="1"/>
      <c r="H915" s="1"/>
      <c r="I915" s="61"/>
      <c r="J915" s="1"/>
      <c r="K915" s="1"/>
      <c r="L915" s="1"/>
    </row>
    <row r="916" spans="1:12" ht="15.75" customHeight="1">
      <c r="A916" s="2"/>
      <c r="B916" s="1"/>
      <c r="C916" s="1"/>
      <c r="D916" s="1"/>
      <c r="E916" s="1"/>
      <c r="F916" s="1"/>
      <c r="G916" s="1"/>
      <c r="H916" s="1"/>
      <c r="I916" s="61"/>
      <c r="J916" s="1"/>
      <c r="K916" s="1"/>
      <c r="L916" s="1"/>
    </row>
    <row r="917" spans="1:12" ht="15.75" customHeight="1">
      <c r="A917" s="2"/>
      <c r="B917" s="1"/>
      <c r="C917" s="1"/>
      <c r="D917" s="1"/>
      <c r="E917" s="1"/>
      <c r="F917" s="1"/>
      <c r="G917" s="1"/>
      <c r="H917" s="1"/>
      <c r="I917" s="61"/>
      <c r="J917" s="1"/>
      <c r="K917" s="1"/>
      <c r="L917" s="1"/>
    </row>
    <row r="918" spans="1:12" ht="15.75" customHeight="1">
      <c r="A918" s="2"/>
      <c r="B918" s="1"/>
      <c r="C918" s="1"/>
      <c r="D918" s="1"/>
      <c r="E918" s="1"/>
      <c r="F918" s="1"/>
      <c r="G918" s="1"/>
      <c r="H918" s="1"/>
      <c r="I918" s="61"/>
      <c r="J918" s="1"/>
      <c r="K918" s="1"/>
      <c r="L918" s="1"/>
    </row>
    <row r="919" spans="1:12" ht="15.75" customHeight="1">
      <c r="A919" s="2"/>
      <c r="B919" s="1"/>
      <c r="C919" s="1"/>
      <c r="D919" s="1"/>
      <c r="E919" s="1"/>
      <c r="F919" s="1"/>
      <c r="G919" s="1"/>
      <c r="H919" s="1"/>
      <c r="I919" s="61"/>
      <c r="J919" s="1"/>
      <c r="K919" s="1"/>
      <c r="L919" s="1"/>
    </row>
    <row r="920" spans="1:12" ht="15.75" customHeight="1">
      <c r="A920" s="2"/>
      <c r="B920" s="1"/>
      <c r="C920" s="1"/>
      <c r="D920" s="1"/>
      <c r="E920" s="1"/>
      <c r="F920" s="1"/>
      <c r="G920" s="1"/>
      <c r="H920" s="1"/>
      <c r="I920" s="61"/>
      <c r="J920" s="1"/>
      <c r="K920" s="1"/>
      <c r="L920" s="1"/>
    </row>
    <row r="921" spans="1:12" ht="15.75" customHeight="1">
      <c r="A921" s="2"/>
      <c r="B921" s="1"/>
      <c r="C921" s="1"/>
      <c r="D921" s="1"/>
      <c r="E921" s="1"/>
      <c r="F921" s="1"/>
      <c r="G921" s="1"/>
      <c r="H921" s="1"/>
      <c r="I921" s="61"/>
      <c r="J921" s="1"/>
      <c r="K921" s="1"/>
      <c r="L921" s="1"/>
    </row>
    <row r="922" spans="1:12" ht="15.75" customHeight="1">
      <c r="A922" s="2"/>
      <c r="B922" s="1"/>
      <c r="C922" s="1"/>
      <c r="D922" s="1"/>
      <c r="E922" s="1"/>
      <c r="F922" s="1"/>
      <c r="G922" s="1"/>
      <c r="H922" s="1"/>
      <c r="I922" s="61"/>
      <c r="J922" s="1"/>
      <c r="K922" s="1"/>
      <c r="L922" s="1"/>
    </row>
    <row r="923" spans="1:12" ht="15.75" customHeight="1">
      <c r="A923" s="2"/>
      <c r="B923" s="1"/>
      <c r="C923" s="1"/>
      <c r="D923" s="1"/>
      <c r="E923" s="1"/>
      <c r="F923" s="1"/>
      <c r="G923" s="1"/>
      <c r="H923" s="1"/>
      <c r="I923" s="61"/>
      <c r="J923" s="1"/>
      <c r="K923" s="1"/>
      <c r="L923" s="1"/>
    </row>
    <row r="924" spans="1:12" ht="15.75" customHeight="1">
      <c r="A924" s="2"/>
      <c r="B924" s="1"/>
      <c r="C924" s="1"/>
      <c r="D924" s="1"/>
      <c r="E924" s="1"/>
      <c r="F924" s="1"/>
      <c r="G924" s="1"/>
      <c r="H924" s="1"/>
      <c r="I924" s="61"/>
      <c r="J924" s="1"/>
      <c r="K924" s="1"/>
      <c r="L924" s="1"/>
    </row>
    <row r="925" spans="1:12" ht="15.75" customHeight="1">
      <c r="A925" s="2"/>
      <c r="B925" s="1"/>
      <c r="C925" s="1"/>
      <c r="D925" s="1"/>
      <c r="E925" s="1"/>
      <c r="F925" s="1"/>
      <c r="G925" s="1"/>
      <c r="H925" s="1"/>
      <c r="I925" s="61"/>
      <c r="J925" s="1"/>
      <c r="K925" s="1"/>
      <c r="L925" s="1"/>
    </row>
    <row r="926" spans="1:12" ht="15.75" customHeight="1">
      <c r="A926" s="2"/>
      <c r="B926" s="1"/>
      <c r="C926" s="1"/>
      <c r="D926" s="1"/>
      <c r="E926" s="1"/>
      <c r="F926" s="1"/>
      <c r="G926" s="1"/>
      <c r="H926" s="1"/>
      <c r="I926" s="61"/>
      <c r="J926" s="1"/>
      <c r="K926" s="1"/>
      <c r="L926" s="1"/>
    </row>
    <row r="927" spans="1:12" ht="15.75" customHeight="1">
      <c r="A927" s="2"/>
      <c r="B927" s="1"/>
      <c r="C927" s="1"/>
      <c r="D927" s="1"/>
      <c r="E927" s="1"/>
      <c r="F927" s="1"/>
      <c r="G927" s="1"/>
      <c r="H927" s="1"/>
      <c r="I927" s="61"/>
      <c r="J927" s="1"/>
      <c r="K927" s="1"/>
      <c r="L927" s="1"/>
    </row>
    <row r="928" spans="1:12" ht="15.75" customHeight="1">
      <c r="A928" s="2"/>
      <c r="B928" s="1"/>
      <c r="C928" s="1"/>
      <c r="D928" s="1"/>
      <c r="E928" s="1"/>
      <c r="F928" s="1"/>
      <c r="G928" s="1"/>
      <c r="H928" s="1"/>
      <c r="I928" s="61"/>
      <c r="J928" s="1"/>
      <c r="K928" s="1"/>
      <c r="L928" s="1"/>
    </row>
    <row r="929" spans="1:12" ht="15.75" customHeight="1">
      <c r="A929" s="2"/>
      <c r="B929" s="1"/>
      <c r="C929" s="1"/>
      <c r="D929" s="1"/>
      <c r="E929" s="1"/>
      <c r="F929" s="1"/>
      <c r="G929" s="1"/>
      <c r="H929" s="1"/>
      <c r="I929" s="61"/>
      <c r="J929" s="1"/>
      <c r="K929" s="1"/>
      <c r="L929" s="1"/>
    </row>
    <row r="930" spans="1:12" ht="15.75" customHeight="1">
      <c r="A930" s="2"/>
      <c r="B930" s="1"/>
      <c r="C930" s="1"/>
      <c r="D930" s="1"/>
      <c r="E930" s="1"/>
      <c r="F930" s="1"/>
      <c r="G930" s="1"/>
      <c r="H930" s="1"/>
      <c r="I930" s="61"/>
      <c r="J930" s="1"/>
      <c r="K930" s="1"/>
      <c r="L930" s="1"/>
    </row>
    <row r="931" spans="1:12" ht="15.75" customHeight="1">
      <c r="A931" s="2"/>
      <c r="B931" s="1"/>
      <c r="C931" s="1"/>
      <c r="D931" s="1"/>
      <c r="E931" s="1"/>
      <c r="F931" s="1"/>
      <c r="G931" s="1"/>
      <c r="H931" s="1"/>
      <c r="I931" s="61"/>
      <c r="J931" s="1"/>
      <c r="K931" s="1"/>
      <c r="L931" s="1"/>
    </row>
    <row r="932" spans="1:12" ht="15.75" customHeight="1">
      <c r="A932" s="2"/>
      <c r="B932" s="1"/>
      <c r="C932" s="1"/>
      <c r="D932" s="1"/>
      <c r="E932" s="1"/>
      <c r="F932" s="1"/>
      <c r="G932" s="1"/>
      <c r="H932" s="1"/>
      <c r="I932" s="61"/>
      <c r="J932" s="1"/>
      <c r="K932" s="1"/>
      <c r="L932" s="1"/>
    </row>
    <row r="933" spans="1:12" ht="15.75" customHeight="1">
      <c r="A933" s="2"/>
      <c r="B933" s="1"/>
      <c r="C933" s="1"/>
      <c r="D933" s="1"/>
      <c r="E933" s="1"/>
      <c r="F933" s="1"/>
      <c r="G933" s="1"/>
      <c r="H933" s="1"/>
      <c r="I933" s="61"/>
      <c r="J933" s="1"/>
      <c r="K933" s="1"/>
      <c r="L933" s="1"/>
    </row>
    <row r="934" spans="1:12" ht="15.75" customHeight="1">
      <c r="A934" s="2"/>
      <c r="B934" s="1"/>
      <c r="C934" s="1"/>
      <c r="D934" s="1"/>
      <c r="E934" s="1"/>
      <c r="F934" s="1"/>
      <c r="G934" s="1"/>
      <c r="H934" s="1"/>
      <c r="I934" s="61"/>
      <c r="J934" s="1"/>
      <c r="K934" s="1"/>
      <c r="L934" s="1"/>
    </row>
    <row r="935" spans="1:12" ht="15.75" customHeight="1">
      <c r="A935" s="2"/>
      <c r="B935" s="1"/>
      <c r="C935" s="1"/>
      <c r="D935" s="1"/>
      <c r="E935" s="1"/>
      <c r="F935" s="1"/>
      <c r="G935" s="1"/>
      <c r="H935" s="1"/>
      <c r="I935" s="61"/>
      <c r="J935" s="1"/>
      <c r="K935" s="1"/>
      <c r="L935" s="1"/>
    </row>
    <row r="936" spans="1:12" ht="15.75" customHeight="1">
      <c r="A936" s="2"/>
      <c r="B936" s="1"/>
      <c r="C936" s="1"/>
      <c r="D936" s="1"/>
      <c r="E936" s="1"/>
      <c r="F936" s="1"/>
      <c r="G936" s="1"/>
      <c r="H936" s="1"/>
      <c r="I936" s="61"/>
      <c r="J936" s="1"/>
      <c r="K936" s="1"/>
      <c r="L936" s="1"/>
    </row>
    <row r="937" spans="1:12" ht="15.75" customHeight="1">
      <c r="A937" s="2"/>
      <c r="B937" s="1"/>
      <c r="C937" s="1"/>
      <c r="D937" s="1"/>
      <c r="E937" s="1"/>
      <c r="F937" s="1"/>
      <c r="G937" s="1"/>
      <c r="H937" s="1"/>
      <c r="I937" s="61"/>
      <c r="J937" s="1"/>
      <c r="K937" s="1"/>
      <c r="L937" s="1"/>
    </row>
    <row r="938" spans="1:12" ht="15.75" customHeight="1">
      <c r="A938" s="2"/>
      <c r="B938" s="1"/>
      <c r="C938" s="1"/>
      <c r="D938" s="1"/>
      <c r="E938" s="1"/>
      <c r="F938" s="1"/>
      <c r="G938" s="1"/>
      <c r="H938" s="1"/>
      <c r="I938" s="61"/>
      <c r="J938" s="1"/>
      <c r="K938" s="1"/>
      <c r="L938" s="1"/>
    </row>
    <row r="939" spans="1:12" ht="15.75" customHeight="1">
      <c r="A939" s="2"/>
      <c r="B939" s="1"/>
      <c r="C939" s="1"/>
      <c r="D939" s="1"/>
      <c r="E939" s="1"/>
      <c r="F939" s="1"/>
      <c r="G939" s="1"/>
      <c r="H939" s="1"/>
      <c r="I939" s="61"/>
      <c r="J939" s="1"/>
      <c r="K939" s="1"/>
      <c r="L939" s="1"/>
    </row>
    <row r="940" spans="1:12" ht="15.75" customHeight="1">
      <c r="A940" s="2"/>
      <c r="B940" s="1"/>
      <c r="C940" s="1"/>
      <c r="D940" s="1"/>
      <c r="E940" s="1"/>
      <c r="F940" s="1"/>
      <c r="G940" s="1"/>
      <c r="H940" s="1"/>
      <c r="I940" s="61"/>
      <c r="J940" s="1"/>
      <c r="K940" s="1"/>
      <c r="L940" s="1"/>
    </row>
    <row r="941" spans="1:12" ht="15.75" customHeight="1">
      <c r="A941" s="2"/>
      <c r="B941" s="1"/>
      <c r="C941" s="1"/>
      <c r="D941" s="1"/>
      <c r="E941" s="1"/>
      <c r="F941" s="1"/>
      <c r="G941" s="1"/>
      <c r="H941" s="1"/>
      <c r="I941" s="61"/>
      <c r="J941" s="1"/>
      <c r="K941" s="1"/>
      <c r="L941" s="1"/>
    </row>
    <row r="942" spans="1:12" ht="15.75" customHeight="1">
      <c r="A942" s="2"/>
      <c r="B942" s="1"/>
      <c r="C942" s="1"/>
      <c r="D942" s="1"/>
      <c r="E942" s="1"/>
      <c r="F942" s="1"/>
      <c r="G942" s="1"/>
      <c r="H942" s="1"/>
      <c r="I942" s="61"/>
      <c r="J942" s="1"/>
      <c r="K942" s="1"/>
      <c r="L942" s="1"/>
    </row>
    <row r="943" spans="1:12" ht="15.75" customHeight="1">
      <c r="A943" s="2"/>
      <c r="B943" s="1"/>
      <c r="C943" s="1"/>
      <c r="D943" s="1"/>
      <c r="E943" s="1"/>
      <c r="F943" s="1"/>
      <c r="G943" s="1"/>
      <c r="H943" s="1"/>
      <c r="I943" s="61"/>
      <c r="J943" s="1"/>
      <c r="K943" s="1"/>
      <c r="L943" s="1"/>
    </row>
    <row r="944" spans="1:12" ht="15.75" customHeight="1">
      <c r="A944" s="2"/>
      <c r="B944" s="1"/>
      <c r="C944" s="1"/>
      <c r="D944" s="1"/>
      <c r="E944" s="1"/>
      <c r="F944" s="1"/>
      <c r="G944" s="1"/>
      <c r="H944" s="1"/>
      <c r="I944" s="61"/>
      <c r="J944" s="1"/>
      <c r="K944" s="1"/>
      <c r="L944" s="1"/>
    </row>
    <row r="945" spans="1:12" ht="15.75" customHeight="1">
      <c r="A945" s="2"/>
      <c r="B945" s="1"/>
      <c r="C945" s="1"/>
      <c r="D945" s="1"/>
      <c r="E945" s="1"/>
      <c r="F945" s="1"/>
      <c r="G945" s="1"/>
      <c r="H945" s="1"/>
      <c r="I945" s="61"/>
      <c r="J945" s="1"/>
      <c r="K945" s="1"/>
      <c r="L945" s="1"/>
    </row>
    <row r="946" spans="1:12" ht="15.75" customHeight="1">
      <c r="A946" s="2"/>
      <c r="B946" s="1"/>
      <c r="C946" s="1"/>
      <c r="D946" s="1"/>
      <c r="E946" s="1"/>
      <c r="F946" s="1"/>
      <c r="G946" s="1"/>
      <c r="H946" s="1"/>
      <c r="I946" s="61"/>
      <c r="J946" s="1"/>
      <c r="K946" s="1"/>
      <c r="L946" s="1"/>
    </row>
    <row r="947" spans="1:12" ht="15.75" customHeight="1">
      <c r="A947" s="2"/>
      <c r="B947" s="1"/>
      <c r="C947" s="1"/>
      <c r="D947" s="1"/>
      <c r="E947" s="1"/>
      <c r="F947" s="1"/>
      <c r="G947" s="1"/>
      <c r="H947" s="1"/>
      <c r="I947" s="61"/>
      <c r="J947" s="1"/>
      <c r="K947" s="1"/>
      <c r="L947" s="1"/>
    </row>
    <row r="948" spans="1:12" ht="15.75" customHeight="1">
      <c r="A948" s="2"/>
      <c r="B948" s="1"/>
      <c r="C948" s="1"/>
      <c r="D948" s="1"/>
      <c r="E948" s="1"/>
      <c r="F948" s="1"/>
      <c r="G948" s="1"/>
      <c r="H948" s="1"/>
      <c r="I948" s="61"/>
      <c r="J948" s="1"/>
      <c r="K948" s="1"/>
      <c r="L948" s="1"/>
    </row>
    <row r="949" spans="1:12" ht="15.75" customHeight="1">
      <c r="A949" s="2"/>
      <c r="B949" s="1"/>
      <c r="C949" s="1"/>
      <c r="D949" s="1"/>
      <c r="E949" s="1"/>
      <c r="F949" s="1"/>
      <c r="G949" s="1"/>
      <c r="H949" s="1"/>
      <c r="I949" s="61"/>
      <c r="J949" s="1"/>
      <c r="K949" s="1"/>
      <c r="L949" s="1"/>
    </row>
    <row r="950" spans="1:12" ht="15.75" customHeight="1">
      <c r="A950" s="2"/>
      <c r="B950" s="1"/>
      <c r="C950" s="1"/>
      <c r="D950" s="1"/>
      <c r="E950" s="1"/>
      <c r="F950" s="1"/>
      <c r="G950" s="1"/>
      <c r="H950" s="1"/>
      <c r="I950" s="61"/>
      <c r="J950" s="1"/>
      <c r="K950" s="1"/>
      <c r="L950" s="1"/>
    </row>
    <row r="951" spans="1:12" ht="15.75" customHeight="1">
      <c r="A951" s="2"/>
      <c r="B951" s="1"/>
      <c r="C951" s="1"/>
      <c r="D951" s="1"/>
      <c r="E951" s="1"/>
      <c r="F951" s="1"/>
      <c r="G951" s="1"/>
      <c r="H951" s="1"/>
      <c r="I951" s="61"/>
      <c r="J951" s="1"/>
      <c r="K951" s="1"/>
      <c r="L951" s="1"/>
    </row>
    <row r="952" spans="1:12" ht="15.75" customHeight="1">
      <c r="A952" s="2"/>
      <c r="B952" s="1"/>
      <c r="C952" s="1"/>
      <c r="D952" s="1"/>
      <c r="E952" s="1"/>
      <c r="F952" s="1"/>
      <c r="G952" s="1"/>
      <c r="H952" s="1"/>
      <c r="I952" s="61"/>
      <c r="J952" s="1"/>
      <c r="K952" s="1"/>
      <c r="L952" s="1"/>
    </row>
    <row r="953" spans="1:12" ht="15.75" customHeight="1">
      <c r="A953" s="2"/>
      <c r="B953" s="1"/>
      <c r="C953" s="1"/>
      <c r="D953" s="1"/>
      <c r="E953" s="1"/>
      <c r="F953" s="1"/>
      <c r="G953" s="1"/>
      <c r="H953" s="1"/>
      <c r="I953" s="61"/>
      <c r="J953" s="1"/>
      <c r="K953" s="1"/>
      <c r="L953" s="1"/>
    </row>
    <row r="954" spans="1:12" ht="15.75" customHeight="1">
      <c r="A954" s="2"/>
      <c r="B954" s="1"/>
      <c r="C954" s="1"/>
      <c r="D954" s="1"/>
      <c r="E954" s="1"/>
      <c r="F954" s="1"/>
      <c r="G954" s="1"/>
      <c r="H954" s="1"/>
      <c r="I954" s="61"/>
      <c r="J954" s="1"/>
      <c r="K954" s="1"/>
      <c r="L954" s="1"/>
    </row>
    <row r="955" spans="1:12" ht="15.75" customHeight="1">
      <c r="A955" s="2"/>
      <c r="B955" s="1"/>
      <c r="C955" s="1"/>
      <c r="D955" s="1"/>
      <c r="E955" s="1"/>
      <c r="F955" s="1"/>
      <c r="G955" s="1"/>
      <c r="H955" s="1"/>
      <c r="I955" s="61"/>
      <c r="J955" s="1"/>
      <c r="K955" s="1"/>
      <c r="L955" s="1"/>
    </row>
    <row r="956" spans="1:12" ht="15.75" customHeight="1">
      <c r="A956" s="2"/>
      <c r="B956" s="1"/>
      <c r="C956" s="1"/>
      <c r="D956" s="1"/>
      <c r="E956" s="1"/>
      <c r="F956" s="1"/>
      <c r="G956" s="1"/>
      <c r="H956" s="1"/>
      <c r="I956" s="61"/>
      <c r="J956" s="1"/>
      <c r="K956" s="1"/>
      <c r="L956" s="1"/>
    </row>
    <row r="957" spans="1:12" ht="15.75" customHeight="1">
      <c r="A957" s="2"/>
      <c r="B957" s="1"/>
      <c r="C957" s="1"/>
      <c r="D957" s="1"/>
      <c r="E957" s="1"/>
      <c r="F957" s="1"/>
      <c r="G957" s="1"/>
      <c r="H957" s="1"/>
      <c r="I957" s="61"/>
      <c r="J957" s="1"/>
      <c r="K957" s="1"/>
      <c r="L957" s="1"/>
    </row>
    <row r="958" spans="1:12" ht="15.75" customHeight="1">
      <c r="A958" s="2"/>
      <c r="B958" s="1"/>
      <c r="C958" s="1"/>
      <c r="D958" s="1"/>
      <c r="E958" s="1"/>
      <c r="F958" s="1"/>
      <c r="G958" s="1"/>
      <c r="H958" s="1"/>
      <c r="I958" s="61"/>
      <c r="J958" s="1"/>
      <c r="K958" s="1"/>
      <c r="L958" s="1"/>
    </row>
    <row r="959" spans="1:12" ht="15.75" customHeight="1">
      <c r="A959" s="2"/>
      <c r="B959" s="1"/>
      <c r="C959" s="1"/>
      <c r="D959" s="1"/>
      <c r="E959" s="1"/>
      <c r="F959" s="1"/>
      <c r="G959" s="1"/>
      <c r="H959" s="1"/>
      <c r="I959" s="61"/>
      <c r="J959" s="1"/>
      <c r="K959" s="1"/>
      <c r="L959" s="1"/>
    </row>
    <row r="960" spans="1:12" ht="15.75" customHeight="1">
      <c r="A960" s="2"/>
      <c r="B960" s="1"/>
      <c r="C960" s="1"/>
      <c r="D960" s="1"/>
      <c r="E960" s="1"/>
      <c r="F960" s="1"/>
      <c r="G960" s="1"/>
      <c r="H960" s="1"/>
      <c r="I960" s="61"/>
      <c r="J960" s="1"/>
      <c r="K960" s="1"/>
      <c r="L960" s="1"/>
    </row>
    <row r="961" spans="1:12" ht="15.75" customHeight="1">
      <c r="A961" s="2"/>
      <c r="B961" s="1"/>
      <c r="C961" s="1"/>
      <c r="D961" s="1"/>
      <c r="E961" s="1"/>
      <c r="F961" s="1"/>
      <c r="G961" s="1"/>
      <c r="H961" s="1"/>
      <c r="I961" s="61"/>
      <c r="J961" s="1"/>
      <c r="K961" s="1"/>
      <c r="L961" s="1"/>
    </row>
    <row r="962" spans="1:12" ht="15.75" customHeight="1">
      <c r="A962" s="2"/>
      <c r="B962" s="1"/>
      <c r="C962" s="1"/>
      <c r="D962" s="1"/>
      <c r="E962" s="1"/>
      <c r="F962" s="1"/>
      <c r="G962" s="1"/>
      <c r="H962" s="1"/>
      <c r="I962" s="61"/>
      <c r="J962" s="1"/>
      <c r="K962" s="1"/>
      <c r="L962" s="1"/>
    </row>
    <row r="963" spans="1:12" ht="15.75" customHeight="1">
      <c r="A963" s="2"/>
      <c r="B963" s="1"/>
      <c r="C963" s="1"/>
      <c r="D963" s="1"/>
      <c r="E963" s="1"/>
      <c r="F963" s="1"/>
      <c r="G963" s="1"/>
      <c r="H963" s="1"/>
      <c r="I963" s="61"/>
      <c r="J963" s="1"/>
      <c r="K963" s="1"/>
      <c r="L963" s="1"/>
    </row>
    <row r="964" spans="1:12" ht="15.75" customHeight="1">
      <c r="A964" s="2"/>
      <c r="B964" s="1"/>
      <c r="C964" s="1"/>
      <c r="D964" s="1"/>
      <c r="E964" s="1"/>
      <c r="F964" s="1"/>
      <c r="G964" s="1"/>
      <c r="H964" s="1"/>
      <c r="I964" s="61"/>
      <c r="J964" s="1"/>
      <c r="K964" s="1"/>
      <c r="L964" s="1"/>
    </row>
    <row r="965" spans="1:12" ht="15.75" customHeight="1">
      <c r="A965" s="2"/>
      <c r="B965" s="1"/>
      <c r="C965" s="1"/>
      <c r="D965" s="1"/>
      <c r="E965" s="1"/>
      <c r="F965" s="1"/>
      <c r="G965" s="1"/>
      <c r="H965" s="1"/>
      <c r="I965" s="61"/>
      <c r="J965" s="1"/>
      <c r="K965" s="1"/>
      <c r="L965" s="1"/>
    </row>
    <row r="966" spans="1:12" ht="15.75" customHeight="1">
      <c r="A966" s="2"/>
      <c r="B966" s="1"/>
      <c r="C966" s="1"/>
      <c r="D966" s="1"/>
      <c r="E966" s="1"/>
      <c r="F966" s="1"/>
      <c r="G966" s="1"/>
      <c r="H966" s="1"/>
      <c r="I966" s="61"/>
      <c r="J966" s="1"/>
      <c r="K966" s="1"/>
      <c r="L966" s="1"/>
    </row>
    <row r="967" spans="1:12" ht="15.75" customHeight="1">
      <c r="A967" s="2"/>
      <c r="B967" s="1"/>
      <c r="C967" s="1"/>
      <c r="D967" s="1"/>
      <c r="E967" s="1"/>
      <c r="F967" s="1"/>
      <c r="G967" s="1"/>
      <c r="H967" s="1"/>
      <c r="I967" s="61"/>
      <c r="J967" s="1"/>
      <c r="K967" s="1"/>
      <c r="L967" s="1"/>
    </row>
    <row r="968" spans="1:12" ht="15.75" customHeight="1">
      <c r="A968" s="2"/>
      <c r="B968" s="1"/>
      <c r="C968" s="1"/>
      <c r="D968" s="1"/>
      <c r="E968" s="1"/>
      <c r="F968" s="1"/>
      <c r="G968" s="1"/>
      <c r="H968" s="1"/>
      <c r="I968" s="61"/>
      <c r="J968" s="1"/>
      <c r="K968" s="1"/>
      <c r="L968" s="1"/>
    </row>
    <row r="969" spans="1:12" ht="15.75" customHeight="1">
      <c r="A969" s="2"/>
      <c r="B969" s="1"/>
      <c r="C969" s="1"/>
      <c r="D969" s="1"/>
      <c r="E969" s="1"/>
      <c r="F969" s="1"/>
      <c r="G969" s="1"/>
      <c r="H969" s="1"/>
      <c r="I969" s="61"/>
      <c r="J969" s="1"/>
      <c r="K969" s="1"/>
      <c r="L969" s="1"/>
    </row>
    <row r="970" spans="1:12" ht="15.75" customHeight="1">
      <c r="A970" s="2"/>
      <c r="B970" s="1"/>
      <c r="C970" s="1"/>
      <c r="D970" s="1"/>
      <c r="E970" s="1"/>
      <c r="F970" s="1"/>
      <c r="G970" s="1"/>
      <c r="H970" s="1"/>
      <c r="I970" s="61"/>
      <c r="J970" s="1"/>
      <c r="K970" s="1"/>
      <c r="L970" s="1"/>
    </row>
    <row r="971" spans="1:12" ht="15.75" customHeight="1">
      <c r="A971" s="2"/>
      <c r="B971" s="1"/>
      <c r="C971" s="1"/>
      <c r="D971" s="1"/>
      <c r="E971" s="1"/>
      <c r="F971" s="1"/>
      <c r="G971" s="1"/>
      <c r="H971" s="1"/>
      <c r="I971" s="61"/>
      <c r="J971" s="1"/>
      <c r="K971" s="1"/>
      <c r="L971" s="1"/>
    </row>
    <row r="972" spans="1:12" ht="15.75" customHeight="1">
      <c r="A972" s="2"/>
      <c r="B972" s="1"/>
      <c r="C972" s="1"/>
      <c r="D972" s="1"/>
      <c r="E972" s="1"/>
      <c r="F972" s="1"/>
      <c r="G972" s="1"/>
      <c r="H972" s="1"/>
      <c r="I972" s="61"/>
      <c r="J972" s="1"/>
      <c r="K972" s="1"/>
      <c r="L972" s="1"/>
    </row>
    <row r="973" spans="1:12" ht="15.75" customHeight="1">
      <c r="A973" s="2"/>
      <c r="B973" s="1"/>
      <c r="C973" s="1"/>
      <c r="D973" s="1"/>
      <c r="E973" s="1"/>
      <c r="F973" s="1"/>
      <c r="G973" s="1"/>
      <c r="H973" s="1"/>
      <c r="I973" s="61"/>
      <c r="J973" s="1"/>
      <c r="K973" s="1"/>
      <c r="L973" s="1"/>
    </row>
    <row r="974" spans="1:12" ht="15.75" customHeight="1">
      <c r="A974" s="2"/>
      <c r="B974" s="1"/>
      <c r="C974" s="1"/>
      <c r="D974" s="1"/>
      <c r="E974" s="1"/>
      <c r="F974" s="1"/>
      <c r="G974" s="1"/>
      <c r="H974" s="1"/>
      <c r="I974" s="61"/>
      <c r="J974" s="1"/>
      <c r="K974" s="1"/>
      <c r="L974" s="1"/>
    </row>
    <row r="975" spans="1:12" ht="15.75" customHeight="1">
      <c r="A975" s="2"/>
      <c r="B975" s="1"/>
      <c r="C975" s="1"/>
      <c r="D975" s="1"/>
      <c r="E975" s="1"/>
      <c r="F975" s="1"/>
      <c r="G975" s="1"/>
      <c r="H975" s="1"/>
      <c r="I975" s="61"/>
      <c r="J975" s="1"/>
      <c r="K975" s="1"/>
      <c r="L975" s="1"/>
    </row>
    <row r="976" spans="1:12" ht="15.75" customHeight="1">
      <c r="A976" s="2"/>
      <c r="B976" s="1"/>
      <c r="C976" s="1"/>
      <c r="D976" s="1"/>
      <c r="E976" s="1"/>
      <c r="F976" s="1"/>
      <c r="G976" s="1"/>
      <c r="H976" s="1"/>
      <c r="I976" s="61"/>
      <c r="J976" s="1"/>
      <c r="K976" s="1"/>
      <c r="L976" s="1"/>
    </row>
    <row r="977" spans="1:12" ht="15.75" customHeight="1">
      <c r="A977" s="2"/>
      <c r="B977" s="1"/>
      <c r="C977" s="1"/>
      <c r="D977" s="1"/>
      <c r="E977" s="1"/>
      <c r="F977" s="1"/>
      <c r="G977" s="1"/>
      <c r="H977" s="1"/>
      <c r="I977" s="61"/>
      <c r="J977" s="1"/>
      <c r="K977" s="1"/>
      <c r="L977" s="1"/>
    </row>
    <row r="978" spans="1:12" ht="15.75" customHeight="1">
      <c r="A978" s="2"/>
      <c r="B978" s="1"/>
      <c r="C978" s="1"/>
      <c r="D978" s="1"/>
      <c r="E978" s="1"/>
      <c r="F978" s="1"/>
      <c r="G978" s="1"/>
      <c r="H978" s="1"/>
      <c r="I978" s="61"/>
      <c r="J978" s="1"/>
      <c r="K978" s="1"/>
      <c r="L978" s="1"/>
    </row>
    <row r="979" spans="1:12" ht="15.75" customHeight="1">
      <c r="A979" s="2"/>
      <c r="B979" s="1"/>
      <c r="C979" s="1"/>
      <c r="D979" s="1"/>
      <c r="E979" s="1"/>
      <c r="F979" s="1"/>
      <c r="G979" s="1"/>
      <c r="H979" s="1"/>
      <c r="I979" s="61"/>
      <c r="J979" s="1"/>
      <c r="K979" s="1"/>
      <c r="L979" s="1"/>
    </row>
    <row r="980" spans="1:12" ht="15.75" customHeight="1">
      <c r="A980" s="2"/>
      <c r="B980" s="1"/>
      <c r="C980" s="1"/>
      <c r="D980" s="1"/>
      <c r="E980" s="1"/>
      <c r="F980" s="1"/>
      <c r="G980" s="1"/>
      <c r="H980" s="1"/>
      <c r="I980" s="61"/>
      <c r="J980" s="1"/>
      <c r="K980" s="1"/>
      <c r="L980" s="1"/>
    </row>
    <row r="981" spans="1:12" ht="15.75" customHeight="1">
      <c r="A981" s="2"/>
      <c r="B981" s="1"/>
      <c r="C981" s="1"/>
      <c r="D981" s="1"/>
      <c r="E981" s="1"/>
      <c r="F981" s="1"/>
      <c r="G981" s="1"/>
      <c r="H981" s="1"/>
      <c r="I981" s="61"/>
      <c r="J981" s="1"/>
      <c r="K981" s="1"/>
      <c r="L981" s="1"/>
    </row>
    <row r="982" spans="1:12" ht="15.75" customHeight="1">
      <c r="A982" s="2"/>
      <c r="B982" s="1"/>
      <c r="C982" s="1"/>
      <c r="D982" s="1"/>
      <c r="E982" s="1"/>
      <c r="F982" s="1"/>
      <c r="G982" s="1"/>
      <c r="H982" s="1"/>
      <c r="I982" s="61"/>
      <c r="J982" s="1"/>
      <c r="K982" s="1"/>
      <c r="L982" s="1"/>
    </row>
    <row r="983" spans="1:12" ht="15.75" customHeight="1">
      <c r="A983" s="2"/>
      <c r="B983" s="1"/>
      <c r="C983" s="1"/>
      <c r="D983" s="1"/>
      <c r="E983" s="1"/>
      <c r="F983" s="1"/>
      <c r="G983" s="1"/>
      <c r="H983" s="1"/>
      <c r="I983" s="61"/>
      <c r="J983" s="1"/>
      <c r="K983" s="1"/>
      <c r="L983" s="1"/>
    </row>
    <row r="984" spans="1:12" ht="15.75" customHeight="1">
      <c r="A984" s="2"/>
      <c r="B984" s="1"/>
      <c r="C984" s="1"/>
      <c r="D984" s="1"/>
      <c r="E984" s="1"/>
      <c r="F984" s="1"/>
      <c r="G984" s="1"/>
      <c r="H984" s="1"/>
      <c r="I984" s="61"/>
      <c r="J984" s="1"/>
      <c r="K984" s="1"/>
      <c r="L984" s="1"/>
    </row>
    <row r="985" spans="1:12" ht="15.75" customHeight="1">
      <c r="A985" s="2"/>
      <c r="B985" s="1"/>
      <c r="C985" s="1"/>
      <c r="D985" s="1"/>
      <c r="E985" s="1"/>
      <c r="F985" s="1"/>
      <c r="G985" s="1"/>
      <c r="H985" s="1"/>
      <c r="I985" s="61"/>
      <c r="J985" s="1"/>
      <c r="K985" s="1"/>
      <c r="L985" s="1"/>
    </row>
    <row r="986" spans="1:12" ht="15.75" customHeight="1">
      <c r="A986" s="2"/>
      <c r="B986" s="1"/>
      <c r="C986" s="1"/>
      <c r="D986" s="1"/>
      <c r="E986" s="1"/>
      <c r="F986" s="1"/>
      <c r="G986" s="1"/>
      <c r="H986" s="1"/>
      <c r="I986" s="61"/>
      <c r="J986" s="1"/>
      <c r="K986" s="1"/>
      <c r="L986" s="1"/>
    </row>
    <row r="987" spans="1:12" ht="15.75" customHeight="1">
      <c r="A987" s="2"/>
      <c r="B987" s="1"/>
      <c r="C987" s="1"/>
      <c r="D987" s="1"/>
      <c r="E987" s="1"/>
      <c r="F987" s="1"/>
      <c r="G987" s="1"/>
      <c r="H987" s="1"/>
      <c r="I987" s="61"/>
      <c r="J987" s="1"/>
      <c r="K987" s="1"/>
      <c r="L987" s="1"/>
    </row>
    <row r="988" spans="1:12" ht="15.75" customHeight="1">
      <c r="A988" s="2"/>
      <c r="B988" s="1"/>
      <c r="C988" s="1"/>
      <c r="D988" s="1"/>
      <c r="E988" s="1"/>
      <c r="F988" s="1"/>
      <c r="G988" s="1"/>
      <c r="H988" s="1"/>
      <c r="I988" s="61"/>
      <c r="J988" s="1"/>
      <c r="K988" s="1"/>
      <c r="L988" s="1"/>
    </row>
    <row r="989" spans="1:12" ht="15.75" customHeight="1">
      <c r="A989" s="2"/>
      <c r="B989" s="1"/>
      <c r="C989" s="1"/>
      <c r="D989" s="1"/>
      <c r="E989" s="1"/>
      <c r="F989" s="1"/>
      <c r="G989" s="1"/>
      <c r="H989" s="1"/>
      <c r="I989" s="61"/>
      <c r="J989" s="1"/>
      <c r="K989" s="1"/>
      <c r="L989" s="1"/>
    </row>
    <row r="990" spans="1:12" ht="15.75" customHeight="1">
      <c r="A990" s="2"/>
      <c r="B990" s="1"/>
      <c r="C990" s="1"/>
      <c r="D990" s="1"/>
      <c r="E990" s="1"/>
      <c r="F990" s="1"/>
      <c r="G990" s="1"/>
      <c r="H990" s="1"/>
      <c r="I990" s="61"/>
      <c r="J990" s="1"/>
      <c r="K990" s="1"/>
      <c r="L990" s="1"/>
    </row>
    <row r="991" spans="1:12" ht="15.75" customHeight="1">
      <c r="A991" s="2"/>
      <c r="B991" s="1"/>
      <c r="C991" s="1"/>
      <c r="D991" s="1"/>
      <c r="E991" s="1"/>
      <c r="F991" s="1"/>
      <c r="G991" s="1"/>
      <c r="H991" s="1"/>
      <c r="I991" s="61"/>
      <c r="J991" s="1"/>
      <c r="K991" s="1"/>
      <c r="L991" s="1"/>
    </row>
    <row r="992" spans="1:12" ht="15.75" customHeight="1">
      <c r="A992" s="2"/>
      <c r="B992" s="1"/>
      <c r="C992" s="1"/>
      <c r="D992" s="1"/>
      <c r="E992" s="1"/>
      <c r="F992" s="1"/>
      <c r="G992" s="1"/>
      <c r="H992" s="1"/>
      <c r="I992" s="61"/>
      <c r="J992" s="1"/>
      <c r="K992" s="1"/>
      <c r="L992" s="1"/>
    </row>
    <row r="993" spans="1:12" ht="15.75" customHeight="1">
      <c r="A993" s="2"/>
      <c r="B993" s="1"/>
      <c r="C993" s="1"/>
      <c r="D993" s="1"/>
      <c r="E993" s="1"/>
      <c r="F993" s="1"/>
      <c r="G993" s="1"/>
      <c r="H993" s="1"/>
      <c r="I993" s="61"/>
      <c r="J993" s="1"/>
      <c r="K993" s="1"/>
      <c r="L993" s="1"/>
    </row>
    <row r="994" spans="1:12" ht="15.75" customHeight="1">
      <c r="A994" s="2"/>
      <c r="B994" s="1"/>
      <c r="C994" s="1"/>
      <c r="D994" s="1"/>
      <c r="E994" s="1"/>
      <c r="F994" s="1"/>
      <c r="G994" s="1"/>
      <c r="H994" s="1"/>
      <c r="I994" s="61"/>
      <c r="J994" s="1"/>
      <c r="K994" s="1"/>
      <c r="L994" s="1"/>
    </row>
    <row r="995" spans="1:12" ht="15.75" customHeight="1">
      <c r="A995" s="2"/>
      <c r="B995" s="1"/>
      <c r="C995" s="1"/>
      <c r="D995" s="1"/>
      <c r="E995" s="1"/>
      <c r="F995" s="1"/>
      <c r="G995" s="1"/>
      <c r="H995" s="1"/>
      <c r="I995" s="61"/>
      <c r="J995" s="1"/>
      <c r="K995" s="1"/>
      <c r="L995" s="1"/>
    </row>
    <row r="996" spans="1:12" ht="15.75" customHeight="1">
      <c r="A996" s="2"/>
      <c r="B996" s="1"/>
      <c r="C996" s="1"/>
      <c r="D996" s="1"/>
      <c r="E996" s="1"/>
      <c r="F996" s="1"/>
      <c r="G996" s="1"/>
      <c r="H996" s="1"/>
      <c r="I996" s="61"/>
      <c r="J996" s="1"/>
      <c r="K996" s="1"/>
      <c r="L996" s="1"/>
    </row>
    <row r="997" spans="1:12" ht="15.75" customHeight="1">
      <c r="A997" s="2"/>
      <c r="B997" s="1"/>
      <c r="C997" s="1"/>
      <c r="D997" s="1"/>
      <c r="E997" s="1"/>
      <c r="F997" s="1"/>
      <c r="G997" s="1"/>
      <c r="H997" s="1"/>
      <c r="I997" s="61"/>
      <c r="J997" s="1"/>
      <c r="K997" s="1"/>
      <c r="L997" s="1"/>
    </row>
    <row r="998" spans="1:12" ht="15.75" customHeight="1">
      <c r="A998" s="2"/>
      <c r="B998" s="1"/>
      <c r="C998" s="1"/>
      <c r="D998" s="1"/>
      <c r="E998" s="1"/>
      <c r="F998" s="1"/>
      <c r="G998" s="1"/>
      <c r="H998" s="1"/>
      <c r="I998" s="61"/>
      <c r="J998" s="1"/>
      <c r="K998" s="1"/>
      <c r="L998" s="1"/>
    </row>
    <row r="999" spans="1:12" ht="15.75" customHeight="1">
      <c r="A999" s="2"/>
      <c r="B999" s="1"/>
      <c r="C999" s="1"/>
      <c r="D999" s="1"/>
      <c r="E999" s="1"/>
      <c r="F999" s="1"/>
      <c r="G999" s="1"/>
      <c r="H999" s="1"/>
      <c r="I999" s="61"/>
      <c r="J999" s="1"/>
      <c r="K999" s="1"/>
      <c r="L999" s="1"/>
    </row>
    <row r="1000" spans="1:12" ht="15.75" customHeight="1">
      <c r="A1000" s="2"/>
      <c r="B1000" s="1"/>
      <c r="C1000" s="1"/>
      <c r="D1000" s="1"/>
      <c r="E1000" s="1"/>
      <c r="F1000" s="1"/>
      <c r="G1000" s="1"/>
      <c r="H1000" s="1"/>
      <c r="I1000" s="61"/>
      <c r="J1000" s="1"/>
      <c r="K1000" s="1"/>
      <c r="L1000" s="1"/>
    </row>
  </sheetData>
  <mergeCells count="14">
    <mergeCell ref="E139:H139"/>
    <mergeCell ref="E140:H140"/>
    <mergeCell ref="A1:K1"/>
    <mergeCell ref="A2:K2"/>
    <mergeCell ref="J3:K3"/>
    <mergeCell ref="A6:B6"/>
    <mergeCell ref="J6:K6"/>
    <mergeCell ref="F7:H7"/>
    <mergeCell ref="A8:B8"/>
    <mergeCell ref="J7:K7"/>
    <mergeCell ref="O80:P80"/>
    <mergeCell ref="O83:P83"/>
    <mergeCell ref="O86:P86"/>
    <mergeCell ref="O89:P89"/>
  </mergeCells>
  <printOptions horizontalCentered="1"/>
  <pageMargins left="0.5" right="0.5" top="0.75" bottom="0.75" header="0" footer="0"/>
  <pageSetup paperSize="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P1000"/>
  <sheetViews>
    <sheetView workbookViewId="0"/>
  </sheetViews>
  <sheetFormatPr defaultColWidth="14.42578125" defaultRowHeight="15" customHeight="1"/>
  <cols>
    <col min="1" max="1" width="4.7109375" customWidth="1"/>
    <col min="2" max="2" width="22" customWidth="1"/>
    <col min="3" max="3" width="9.28515625" customWidth="1"/>
    <col min="4" max="4" width="15.7109375" customWidth="1"/>
    <col min="5" max="5" width="14.85546875" customWidth="1"/>
    <col min="6" max="6" width="16.140625" customWidth="1"/>
    <col min="7" max="7" width="21.85546875" customWidth="1"/>
    <col min="8" max="8" width="17.7109375" customWidth="1"/>
    <col min="9" max="9" width="16" customWidth="1"/>
    <col min="10" max="10" width="12.28515625" customWidth="1"/>
    <col min="11" max="11" width="8.28515625" customWidth="1"/>
    <col min="12" max="12" width="18.140625" customWidth="1"/>
    <col min="13" max="13" width="9.140625" customWidth="1"/>
    <col min="14" max="26" width="8.7109375" customWidth="1"/>
  </cols>
  <sheetData>
    <row r="1" spans="1:15" ht="23.25">
      <c r="A1" s="555" t="s">
        <v>0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  <c r="M1" s="1"/>
    </row>
    <row r="2" spans="1:15" ht="18">
      <c r="A2" s="556" t="s">
        <v>1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1"/>
    </row>
    <row r="3" spans="1:15">
      <c r="A3" s="2"/>
      <c r="B3" s="3"/>
      <c r="C3" s="71"/>
      <c r="D3" s="3"/>
      <c r="E3" s="3"/>
      <c r="F3" s="1"/>
      <c r="G3" s="3"/>
      <c r="H3" s="71"/>
      <c r="I3" s="45"/>
      <c r="J3" s="72"/>
      <c r="K3" s="557" t="s">
        <v>357</v>
      </c>
      <c r="L3" s="558"/>
      <c r="M3" s="1"/>
    </row>
    <row r="4" spans="1:15">
      <c r="A4" s="2"/>
      <c r="B4" s="3"/>
      <c r="C4" s="71"/>
      <c r="D4" s="3"/>
      <c r="E4" s="3"/>
      <c r="F4" s="1"/>
      <c r="G4" s="3"/>
      <c r="H4" s="71"/>
      <c r="I4" s="45"/>
      <c r="J4" s="72"/>
      <c r="K4" s="73" t="s">
        <v>358</v>
      </c>
      <c r="L4" s="74"/>
      <c r="M4" s="1"/>
    </row>
    <row r="5" spans="1:15">
      <c r="A5" s="2"/>
      <c r="B5" s="3"/>
      <c r="C5" s="71"/>
      <c r="D5" s="3"/>
      <c r="E5" s="3"/>
      <c r="F5" s="1"/>
      <c r="G5" s="3"/>
      <c r="H5" s="71"/>
      <c r="I5" s="45"/>
      <c r="J5" s="72"/>
      <c r="K5" s="73" t="s">
        <v>359</v>
      </c>
      <c r="L5" s="74"/>
      <c r="M5" s="1"/>
    </row>
    <row r="6" spans="1:15" ht="18">
      <c r="A6" s="567" t="s">
        <v>360</v>
      </c>
      <c r="B6" s="560"/>
      <c r="C6" s="75"/>
      <c r="D6" s="3"/>
      <c r="E6" s="10"/>
      <c r="F6" s="76"/>
      <c r="G6" s="3"/>
      <c r="H6" s="71"/>
      <c r="I6" s="45"/>
      <c r="J6" s="72"/>
      <c r="K6" s="77" t="s">
        <v>361</v>
      </c>
      <c r="L6" s="53"/>
      <c r="M6" s="1"/>
    </row>
    <row r="7" spans="1:15">
      <c r="A7" s="11"/>
      <c r="B7" s="12"/>
      <c r="C7" s="78" t="s">
        <v>362</v>
      </c>
      <c r="D7" s="14"/>
      <c r="E7" s="14"/>
      <c r="F7" s="79" t="s">
        <v>363</v>
      </c>
      <c r="G7" s="78" t="s">
        <v>364</v>
      </c>
      <c r="H7" s="563" t="s">
        <v>365</v>
      </c>
      <c r="I7" s="558"/>
      <c r="J7" s="80"/>
      <c r="K7" s="550" t="s">
        <v>8</v>
      </c>
      <c r="L7" s="551"/>
      <c r="M7" s="1"/>
    </row>
    <row r="8" spans="1:15">
      <c r="A8" s="565" t="s">
        <v>366</v>
      </c>
      <c r="B8" s="566"/>
      <c r="C8" s="79" t="s">
        <v>367</v>
      </c>
      <c r="D8" s="17" t="s">
        <v>11</v>
      </c>
      <c r="E8" s="18" t="s">
        <v>12</v>
      </c>
      <c r="F8" s="79" t="s">
        <v>368</v>
      </c>
      <c r="G8" s="81" t="s">
        <v>369</v>
      </c>
      <c r="H8" s="82"/>
      <c r="I8" s="83" t="s">
        <v>14</v>
      </c>
      <c r="J8" s="84" t="s">
        <v>15</v>
      </c>
      <c r="K8" s="24"/>
      <c r="L8" s="85"/>
      <c r="M8" s="1"/>
    </row>
    <row r="9" spans="1:15">
      <c r="A9" s="25"/>
      <c r="B9" s="26"/>
      <c r="C9" s="79" t="s">
        <v>370</v>
      </c>
      <c r="D9" s="27"/>
      <c r="E9" s="26"/>
      <c r="F9" s="79" t="s">
        <v>371</v>
      </c>
      <c r="G9" s="81" t="s">
        <v>372</v>
      </c>
      <c r="H9" s="86" t="s">
        <v>17</v>
      </c>
      <c r="I9" s="83" t="s">
        <v>18</v>
      </c>
      <c r="J9" s="87"/>
      <c r="K9" s="17" t="s">
        <v>19</v>
      </c>
      <c r="L9" s="17" t="s">
        <v>20</v>
      </c>
      <c r="M9" s="1"/>
    </row>
    <row r="10" spans="1:15">
      <c r="A10" s="30"/>
      <c r="B10" s="31"/>
      <c r="C10" s="88"/>
      <c r="D10" s="33"/>
      <c r="E10" s="33"/>
      <c r="F10" s="89" t="s">
        <v>373</v>
      </c>
      <c r="G10" s="38"/>
      <c r="H10" s="90"/>
      <c r="I10" s="91" t="s">
        <v>374</v>
      </c>
      <c r="J10" s="92"/>
      <c r="K10" s="34"/>
      <c r="L10" s="38" t="s">
        <v>22</v>
      </c>
      <c r="M10" s="1"/>
    </row>
    <row r="11" spans="1:15">
      <c r="A11" s="39" t="s">
        <v>23</v>
      </c>
      <c r="B11" s="57"/>
      <c r="C11" s="93"/>
      <c r="D11" s="57"/>
      <c r="E11" s="57"/>
      <c r="F11" s="40"/>
      <c r="G11" s="57"/>
      <c r="H11" s="93"/>
      <c r="I11" s="44"/>
      <c r="J11" s="94"/>
      <c r="K11" s="40"/>
      <c r="L11" s="40"/>
      <c r="M11" s="1"/>
    </row>
    <row r="12" spans="1:15">
      <c r="A12" s="95">
        <v>1</v>
      </c>
      <c r="B12" s="96" t="s">
        <v>375</v>
      </c>
      <c r="C12" s="97"/>
      <c r="D12" s="97"/>
      <c r="E12" s="98" t="s">
        <v>318</v>
      </c>
      <c r="F12" s="99" t="s">
        <v>376</v>
      </c>
      <c r="G12" s="97" t="s">
        <v>377</v>
      </c>
      <c r="H12" s="100" t="s">
        <v>29</v>
      </c>
      <c r="I12" s="101">
        <v>12600</v>
      </c>
      <c r="J12" s="102" t="s">
        <v>101</v>
      </c>
      <c r="K12" s="97"/>
      <c r="L12" s="103" t="s">
        <v>31</v>
      </c>
      <c r="M12" s="1"/>
    </row>
    <row r="13" spans="1:15">
      <c r="A13" s="569">
        <v>2</v>
      </c>
      <c r="B13" s="572" t="s">
        <v>378</v>
      </c>
      <c r="C13" s="573"/>
      <c r="D13" s="573"/>
      <c r="E13" s="569" t="s">
        <v>216</v>
      </c>
      <c r="F13" s="573"/>
      <c r="G13" s="572" t="s">
        <v>379</v>
      </c>
      <c r="H13" s="100" t="s">
        <v>29</v>
      </c>
      <c r="I13" s="101">
        <v>1500</v>
      </c>
      <c r="J13" s="102" t="s">
        <v>101</v>
      </c>
      <c r="K13" s="97"/>
      <c r="L13" s="103" t="s">
        <v>31</v>
      </c>
      <c r="M13" s="1"/>
      <c r="O13" s="65"/>
    </row>
    <row r="14" spans="1:15">
      <c r="A14" s="570"/>
      <c r="B14" s="570"/>
      <c r="C14" s="570"/>
      <c r="D14" s="570"/>
      <c r="E14" s="570"/>
      <c r="F14" s="570"/>
      <c r="G14" s="570"/>
      <c r="H14" s="100" t="s">
        <v>380</v>
      </c>
      <c r="I14" s="101">
        <v>120</v>
      </c>
      <c r="J14" s="102" t="s">
        <v>101</v>
      </c>
      <c r="K14" s="97"/>
      <c r="L14" s="103" t="s">
        <v>31</v>
      </c>
      <c r="M14" s="1"/>
    </row>
    <row r="15" spans="1:15">
      <c r="A15" s="571"/>
      <c r="B15" s="571"/>
      <c r="C15" s="571"/>
      <c r="D15" s="571"/>
      <c r="E15" s="571"/>
      <c r="F15" s="571"/>
      <c r="G15" s="571"/>
      <c r="H15" s="104" t="s">
        <v>72</v>
      </c>
      <c r="I15" s="101">
        <v>500</v>
      </c>
      <c r="J15" s="105" t="s">
        <v>101</v>
      </c>
      <c r="K15" s="97"/>
      <c r="L15" s="103" t="s">
        <v>31</v>
      </c>
      <c r="M15" s="1"/>
    </row>
    <row r="16" spans="1:15">
      <c r="A16" s="106">
        <v>7</v>
      </c>
      <c r="B16" s="107" t="s">
        <v>381</v>
      </c>
      <c r="C16" s="108"/>
      <c r="D16" s="108"/>
      <c r="E16" s="106" t="s">
        <v>150</v>
      </c>
      <c r="F16" s="109" t="s">
        <v>382</v>
      </c>
      <c r="G16" s="107" t="s">
        <v>383</v>
      </c>
      <c r="H16" s="104" t="s">
        <v>29</v>
      </c>
      <c r="I16" s="101">
        <v>4200</v>
      </c>
      <c r="J16" s="105" t="s">
        <v>101</v>
      </c>
      <c r="K16" s="97"/>
      <c r="L16" s="103" t="s">
        <v>31</v>
      </c>
      <c r="M16" s="46" t="s">
        <v>161</v>
      </c>
    </row>
    <row r="17" spans="1:16">
      <c r="A17" s="106">
        <v>10</v>
      </c>
      <c r="B17" s="107" t="s">
        <v>384</v>
      </c>
      <c r="C17" s="108"/>
      <c r="D17" s="108"/>
      <c r="E17" s="106" t="s">
        <v>385</v>
      </c>
      <c r="F17" s="108"/>
      <c r="G17" s="107" t="s">
        <v>386</v>
      </c>
      <c r="H17" s="104" t="s">
        <v>29</v>
      </c>
      <c r="I17" s="101">
        <v>40000</v>
      </c>
      <c r="J17" s="105" t="s">
        <v>101</v>
      </c>
      <c r="K17" s="97"/>
      <c r="L17" s="97" t="s">
        <v>31</v>
      </c>
      <c r="M17" s="1"/>
      <c r="O17" s="65"/>
    </row>
    <row r="18" spans="1:16">
      <c r="A18" s="106">
        <v>10</v>
      </c>
      <c r="B18" s="107" t="s">
        <v>378</v>
      </c>
      <c r="C18" s="108"/>
      <c r="D18" s="108"/>
      <c r="E18" s="106" t="s">
        <v>216</v>
      </c>
      <c r="F18" s="108"/>
      <c r="G18" s="107" t="s">
        <v>387</v>
      </c>
      <c r="H18" s="104" t="s">
        <v>29</v>
      </c>
      <c r="I18" s="101">
        <v>3000</v>
      </c>
      <c r="J18" s="105" t="s">
        <v>101</v>
      </c>
      <c r="K18" s="97"/>
      <c r="L18" s="97" t="s">
        <v>31</v>
      </c>
      <c r="M18" s="1"/>
    </row>
    <row r="19" spans="1:16">
      <c r="A19" s="106">
        <v>13</v>
      </c>
      <c r="B19" s="107" t="s">
        <v>388</v>
      </c>
      <c r="C19" s="108"/>
      <c r="D19" s="108"/>
      <c r="E19" s="106" t="s">
        <v>389</v>
      </c>
      <c r="F19" s="109" t="s">
        <v>390</v>
      </c>
      <c r="G19" s="107" t="s">
        <v>391</v>
      </c>
      <c r="H19" s="104" t="s">
        <v>29</v>
      </c>
      <c r="I19" s="101">
        <v>500</v>
      </c>
      <c r="J19" s="105" t="s">
        <v>101</v>
      </c>
      <c r="K19" s="97"/>
      <c r="L19" s="97" t="s">
        <v>31</v>
      </c>
      <c r="M19" s="1"/>
      <c r="O19" s="65"/>
    </row>
    <row r="20" spans="1:16">
      <c r="A20" s="106">
        <v>14</v>
      </c>
      <c r="B20" s="107" t="s">
        <v>392</v>
      </c>
      <c r="C20" s="108"/>
      <c r="D20" s="108" t="s">
        <v>393</v>
      </c>
      <c r="E20" s="106" t="s">
        <v>394</v>
      </c>
      <c r="F20" s="108"/>
      <c r="G20" s="107" t="s">
        <v>395</v>
      </c>
      <c r="H20" s="104" t="s">
        <v>29</v>
      </c>
      <c r="I20" s="101">
        <v>12800</v>
      </c>
      <c r="J20" s="105" t="s">
        <v>101</v>
      </c>
      <c r="K20" s="97"/>
      <c r="L20" s="97" t="s">
        <v>31</v>
      </c>
      <c r="M20" s="1" t="s">
        <v>161</v>
      </c>
    </row>
    <row r="21" spans="1:16" ht="15.75" customHeight="1">
      <c r="A21" s="106">
        <v>14</v>
      </c>
      <c r="B21" s="107" t="s">
        <v>396</v>
      </c>
      <c r="C21" s="108"/>
      <c r="D21" s="108"/>
      <c r="E21" s="106" t="s">
        <v>385</v>
      </c>
      <c r="F21" s="108"/>
      <c r="G21" s="107" t="s">
        <v>397</v>
      </c>
      <c r="H21" s="104" t="s">
        <v>72</v>
      </c>
      <c r="I21" s="101">
        <v>11000</v>
      </c>
      <c r="J21" s="105" t="s">
        <v>101</v>
      </c>
      <c r="K21" s="97"/>
      <c r="L21" s="97" t="s">
        <v>31</v>
      </c>
      <c r="M21" s="1"/>
      <c r="P21" s="65"/>
    </row>
    <row r="22" spans="1:16" ht="15.75" customHeight="1">
      <c r="A22" s="106">
        <v>14</v>
      </c>
      <c r="B22" s="107" t="s">
        <v>398</v>
      </c>
      <c r="C22" s="108"/>
      <c r="D22" s="108"/>
      <c r="E22" s="106" t="s">
        <v>319</v>
      </c>
      <c r="F22" s="109" t="s">
        <v>399</v>
      </c>
      <c r="G22" s="107" t="s">
        <v>400</v>
      </c>
      <c r="H22" s="104" t="s">
        <v>29</v>
      </c>
      <c r="I22" s="101">
        <v>10000</v>
      </c>
      <c r="J22" s="105" t="s">
        <v>101</v>
      </c>
      <c r="K22" s="97"/>
      <c r="L22" s="97" t="s">
        <v>31</v>
      </c>
      <c r="M22" s="1"/>
    </row>
    <row r="23" spans="1:16" ht="15.75" customHeight="1">
      <c r="A23" s="106"/>
      <c r="B23" s="107"/>
      <c r="C23" s="108"/>
      <c r="D23" s="108"/>
      <c r="E23" s="106"/>
      <c r="F23" s="108"/>
      <c r="G23" s="107"/>
      <c r="H23" s="104"/>
      <c r="I23" s="101"/>
      <c r="J23" s="105"/>
      <c r="K23" s="97"/>
      <c r="L23" s="97"/>
      <c r="M23" s="1"/>
      <c r="P23" s="65"/>
    </row>
    <row r="24" spans="1:16" ht="15.75" customHeight="1">
      <c r="A24" s="98"/>
      <c r="B24" s="97"/>
      <c r="C24" s="97"/>
      <c r="D24" s="97"/>
      <c r="E24" s="97"/>
      <c r="F24" s="97"/>
      <c r="G24" s="97"/>
      <c r="H24" s="110"/>
      <c r="I24" s="97"/>
      <c r="J24" s="97"/>
      <c r="K24" s="97"/>
      <c r="L24" s="97"/>
      <c r="M24" s="1"/>
    </row>
    <row r="25" spans="1:16" ht="15.75" customHeight="1">
      <c r="A25" s="1"/>
      <c r="B25" s="1"/>
      <c r="C25" s="1"/>
      <c r="D25" s="1"/>
      <c r="E25" s="1"/>
      <c r="F25" s="1"/>
      <c r="G25" s="1"/>
      <c r="H25" s="1"/>
      <c r="I25" s="111" t="s">
        <v>335</v>
      </c>
      <c r="J25" s="63"/>
      <c r="K25" s="1"/>
      <c r="L25" s="1"/>
      <c r="M25" s="1"/>
    </row>
    <row r="26" spans="1:16" ht="15.75" customHeight="1">
      <c r="A26" s="1"/>
      <c r="B26" s="1"/>
      <c r="C26" s="1"/>
      <c r="D26" s="1"/>
      <c r="E26" s="1"/>
      <c r="F26" s="1"/>
      <c r="G26" s="1"/>
      <c r="H26" s="1"/>
      <c r="I26" s="63" t="s">
        <v>338</v>
      </c>
      <c r="J26" s="64">
        <v>0</v>
      </c>
      <c r="K26" s="1"/>
      <c r="L26" s="65"/>
      <c r="M26" s="1"/>
      <c r="N26" s="65"/>
    </row>
    <row r="27" spans="1:16" ht="15.75" customHeight="1">
      <c r="A27" s="1"/>
      <c r="B27" s="1"/>
      <c r="C27" s="1"/>
      <c r="D27" s="1"/>
      <c r="E27" s="1"/>
      <c r="F27" s="1"/>
      <c r="G27" s="1"/>
      <c r="H27" s="1"/>
      <c r="I27" s="63" t="s">
        <v>340</v>
      </c>
      <c r="J27" s="64" t="s">
        <v>401</v>
      </c>
      <c r="K27" s="1"/>
      <c r="L27" s="1"/>
      <c r="M27" s="1"/>
      <c r="N27" s="65"/>
      <c r="O27" s="65"/>
    </row>
    <row r="28" spans="1:16" ht="15.75" customHeight="1">
      <c r="A28" s="1"/>
      <c r="B28" s="1"/>
      <c r="C28" s="1"/>
      <c r="D28" s="1"/>
      <c r="E28" s="1"/>
      <c r="F28" s="1"/>
      <c r="G28" s="1"/>
      <c r="H28" s="1"/>
      <c r="I28" s="63"/>
      <c r="J28" s="64" t="s">
        <v>402</v>
      </c>
      <c r="K28" s="112" t="s">
        <v>403</v>
      </c>
      <c r="L28" s="1"/>
      <c r="M28" s="1"/>
      <c r="N28" s="65"/>
    </row>
    <row r="29" spans="1:16" ht="15.75" customHeight="1">
      <c r="A29" s="1"/>
      <c r="B29" s="1" t="s">
        <v>336</v>
      </c>
      <c r="C29" s="1"/>
      <c r="D29" s="1"/>
      <c r="E29" s="1" t="s">
        <v>337</v>
      </c>
      <c r="F29" s="1"/>
      <c r="G29" s="1"/>
      <c r="H29" s="1"/>
      <c r="I29" s="63" t="s">
        <v>342</v>
      </c>
      <c r="J29" s="66">
        <v>0</v>
      </c>
      <c r="K29" s="1"/>
      <c r="L29" s="1"/>
      <c r="M29" s="1"/>
    </row>
    <row r="30" spans="1:16" ht="15.75" customHeight="1">
      <c r="A30" s="1"/>
      <c r="B30" s="1"/>
      <c r="C30" s="1"/>
      <c r="D30" s="1"/>
      <c r="E30" s="1"/>
      <c r="F30" s="1"/>
      <c r="G30" s="1"/>
      <c r="H30" s="1"/>
      <c r="I30" s="63" t="s">
        <v>404</v>
      </c>
      <c r="J30" s="66">
        <v>0</v>
      </c>
      <c r="K30" s="1"/>
      <c r="L30" s="1"/>
      <c r="M30" s="1"/>
    </row>
    <row r="31" spans="1:16" ht="15.75" customHeight="1">
      <c r="A31" s="1"/>
      <c r="B31" s="1"/>
      <c r="C31" s="1"/>
      <c r="D31" s="1"/>
      <c r="E31" s="1"/>
      <c r="F31" s="1"/>
      <c r="G31" s="1"/>
      <c r="H31" s="1"/>
      <c r="I31" s="63" t="s">
        <v>349</v>
      </c>
      <c r="J31" s="66" t="s">
        <v>405</v>
      </c>
      <c r="K31" s="1"/>
      <c r="L31" s="1"/>
      <c r="M31" s="1"/>
    </row>
    <row r="32" spans="1:16" ht="15.75" customHeight="1">
      <c r="A32" s="1"/>
      <c r="B32" s="70" t="s">
        <v>343</v>
      </c>
      <c r="C32" s="1"/>
      <c r="D32" s="1"/>
      <c r="E32" s="568" t="s">
        <v>344</v>
      </c>
      <c r="F32" s="553"/>
      <c r="G32" s="553"/>
      <c r="H32" s="553"/>
      <c r="I32" s="63" t="s">
        <v>406</v>
      </c>
      <c r="J32" s="66">
        <v>0</v>
      </c>
      <c r="K32" s="1"/>
      <c r="L32" s="1"/>
      <c r="M32" s="1"/>
    </row>
    <row r="33" spans="1:13" ht="15.75" customHeight="1">
      <c r="A33" s="1"/>
      <c r="B33" s="1" t="s">
        <v>347</v>
      </c>
      <c r="C33" s="1"/>
      <c r="D33" s="1"/>
      <c r="E33" s="552" t="s">
        <v>348</v>
      </c>
      <c r="F33" s="553"/>
      <c r="G33" s="553"/>
      <c r="H33" s="553"/>
      <c r="I33" s="63" t="s">
        <v>353</v>
      </c>
      <c r="J33" s="63"/>
      <c r="K33" s="1"/>
      <c r="L33" s="1"/>
      <c r="M33" s="1"/>
    </row>
    <row r="34" spans="1:13" ht="15.75" customHeight="1">
      <c r="A34" s="1"/>
      <c r="B34" s="1"/>
      <c r="C34" s="1"/>
      <c r="D34" s="1"/>
      <c r="E34" s="1"/>
      <c r="F34" s="1"/>
      <c r="G34" s="1"/>
      <c r="H34" s="1"/>
      <c r="I34" s="4" t="s">
        <v>407</v>
      </c>
      <c r="J34" s="64"/>
      <c r="K34" s="1"/>
      <c r="L34" s="1"/>
      <c r="M34" s="1"/>
    </row>
    <row r="35" spans="1:13" ht="15.75" customHeight="1">
      <c r="A35" s="1"/>
      <c r="B35" s="1"/>
      <c r="C35" s="1"/>
      <c r="D35" s="1"/>
      <c r="E35" s="1"/>
      <c r="F35" s="1"/>
      <c r="G35" s="1"/>
      <c r="H35" s="1"/>
      <c r="I35" s="4" t="s">
        <v>408</v>
      </c>
      <c r="J35" s="64"/>
      <c r="K35" s="1"/>
      <c r="L35" s="1"/>
      <c r="M35" s="1"/>
    </row>
    <row r="36" spans="1:13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1:13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1:13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1:1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1:13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1:13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1:13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1:13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1:13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1:13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1:13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1:1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1:13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3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1:13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1:13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1:13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1:13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1:13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1:13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1:1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1:13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1:13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1:13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1:13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1:13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1:13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1:13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1:13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1:13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1:13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1: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1:13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1:13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1:13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1:13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1:13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1:13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1:13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1:1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1:13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1:13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1:13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1:13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1:13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3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1:13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1:13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1:13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1:13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1:13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1:13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1:13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1:13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1:13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1:1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1:13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1:13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1:13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1:13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1:13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1:13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1:13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1:13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1:1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1:13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1:13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1:13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1:13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1:13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1:13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1:13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1:13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1:13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1:1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1:13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1:13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1:13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1:13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1:13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1:13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1:13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1:13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1:13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1:13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1:13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1:13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1:13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1:13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1:13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3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13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1:1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1:13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1:13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1:13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1:13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1:13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1:13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1:13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1:13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1:1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1:13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1:13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1:13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1:13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1:13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1:13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1:13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1:13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1:1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1:13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1:13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1:13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3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1:13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1:13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1:13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1:13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1:13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1: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1:13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1:13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1:13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1:13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1:1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1:13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1:13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1:13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1:13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1:13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1:13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1:13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1:13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1:1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1:13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1:13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1:13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1:13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1:13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1:1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1:13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1:13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1:13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1:13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1:13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1:13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1:13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1:1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1:13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1:13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3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1:13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1:13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1:13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1:13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1:13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13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1:1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1:13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1:13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1:13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1:13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1:13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1:13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1:13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1:13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1:13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1: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1:13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1:13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1:13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1:13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1:13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1:13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1:13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1:13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1:13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1:13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1:13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1:13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1:13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1:13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1:13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1:13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1:13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1:13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1:13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1:1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1:13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1:13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1:13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1:13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1:13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1:13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1:13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1:13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1:13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1:1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1:13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1:13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1:13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1:13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1:13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1:13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1:13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1:13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1:13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1:1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1:13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1:13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1:13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1:13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1:13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1:13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1:13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1:13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1:1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1:13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1:13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1:13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1:13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1:13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1:13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1:13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1:13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1:1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1:13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1:13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1:13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1:13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1:13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1:13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1:13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1:13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1:13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1:1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1:13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1:13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1:13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1:13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1:13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1:13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1:13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1:13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1:13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1:1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1:13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1:13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1:13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1:13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1:13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1:13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1:13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1:13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1:13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1: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1:13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1:13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1:13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1:13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1:13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1:13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1:13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1:13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1:13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1:1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1:13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1:13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1:13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1:13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1:13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1:13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1:13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1:13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1:13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1:1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1:13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1:13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1:13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1:13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1:13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1:13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1:13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1:1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1:13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1:13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1:13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1:13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1:13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1:13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1:13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1:13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13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1:1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1:13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1:13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1:13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1:13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1:13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1:13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1:13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1:13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1:13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1:1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1:13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1:13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1:13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1:13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1:13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1:13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1:13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1:13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1:13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1:1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1:13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1:13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1:13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1:13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1:13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1:13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1:13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1:13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1:1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1:13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1:13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1:13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1:13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1:13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1:13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1:13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1:13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1:13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1:1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1:13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1:13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1:13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1:13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1:13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1:13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1:13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1:13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1:13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1:1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1:13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1:13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1:13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1:13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1:13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1:13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1:13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1:13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1:13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1: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1:13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1:13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1:13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1:13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1:13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1:13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1:13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1:13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1:13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1:1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1:13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1:13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1:13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1:13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1:13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1:13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1:13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1:13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1:13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1:1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1:13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1:13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1:13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1:13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1:13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1:13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1:13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1:13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1:13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1:1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1:13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1:13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1:13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1:13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1:13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1:13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1:13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1:13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1:13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1:1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1:13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1:13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1:13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1:13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1:13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1:13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1:13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1:13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1:1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1:13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1:13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1:13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1:13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1:13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1:13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1:13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1:13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1:13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1:1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1:13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1:13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1:13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1:13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1:13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1:13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1:13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1:13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1:13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1:1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spans="1:13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1:13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1:13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1:13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1:13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1:13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spans="1:13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spans="1:13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spans="1:13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spans="1:1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spans="1:13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spans="1:13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spans="1:13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1:13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1:13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spans="1:13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spans="1:13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1:13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spans="1:13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1:1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spans="1:13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spans="1:13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1:13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spans="1:13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spans="1:13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spans="1:13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spans="1:13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spans="1:13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1:13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spans="1: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1:13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spans="1:13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1:13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spans="1:13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1:13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spans="1:13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1:13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spans="1:13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1:13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spans="1:1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1:13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spans="1:13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1:13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spans="1:13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1:13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spans="1:13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1:13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spans="1:13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1:13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spans="1:1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1:13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spans="1:13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spans="1:13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spans="1:13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spans="1:13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1:13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spans="1:13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spans="1:13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spans="1:13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spans="1:1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spans="1:13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spans="1:13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spans="1:13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spans="1:13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spans="1:13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spans="1:13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spans="1:13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spans="1:13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spans="1:13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1:1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spans="1:13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spans="1:13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spans="1:13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1:13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spans="1:13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1:13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spans="1:13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spans="1:13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1:13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spans="1:1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1:13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1:13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1:13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1:13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spans="1:13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1:13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spans="1:13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spans="1:13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spans="1:13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spans="1:1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spans="1:13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spans="1:13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spans="1:13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spans="1:13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spans="1:13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1:13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spans="1:13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spans="1:13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spans="1:13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1:1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spans="1:13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spans="1:13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spans="1:13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spans="1:13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spans="1:13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spans="1:13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spans="1:13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spans="1:13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1:13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1:1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1:13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1:13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1:13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spans="1:13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spans="1:13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spans="1:13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spans="1:13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mergeCells count="16">
    <mergeCell ref="A8:B8"/>
    <mergeCell ref="E32:H32"/>
    <mergeCell ref="E33:H33"/>
    <mergeCell ref="A13:A15"/>
    <mergeCell ref="B13:B15"/>
    <mergeCell ref="C13:C15"/>
    <mergeCell ref="D13:D15"/>
    <mergeCell ref="E13:E15"/>
    <mergeCell ref="F13:F15"/>
    <mergeCell ref="G13:G15"/>
    <mergeCell ref="A1:L1"/>
    <mergeCell ref="A2:L2"/>
    <mergeCell ref="K3:L3"/>
    <mergeCell ref="A6:B6"/>
    <mergeCell ref="H7:I7"/>
    <mergeCell ref="K7:L7"/>
  </mergeCells>
  <pageMargins left="0.7" right="0.7" top="0.75" bottom="0.75" header="0" footer="0"/>
  <pageSetup orientation="portrait"/>
  <rowBreaks count="1" manualBreakCount="1">
    <brk id="12" man="1"/>
  </rowBreaks>
  <colBreaks count="1" manualBreakCount="1">
    <brk id="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Z1000"/>
  <sheetViews>
    <sheetView workbookViewId="0"/>
  </sheetViews>
  <sheetFormatPr defaultColWidth="14.42578125" defaultRowHeight="15" customHeight="1"/>
  <cols>
    <col min="1" max="1" width="17.28515625" customWidth="1"/>
    <col min="2" max="2" width="24.28515625" customWidth="1"/>
    <col min="3" max="3" width="24.5703125" customWidth="1"/>
    <col min="4" max="4" width="29.28515625" customWidth="1"/>
    <col min="5" max="5" width="21.85546875" customWidth="1"/>
    <col min="6" max="6" width="17.28515625" customWidth="1"/>
    <col min="7" max="7" width="23.140625" customWidth="1"/>
    <col min="8" max="8" width="21.28515625" customWidth="1"/>
    <col min="9" max="9" width="22.7109375" customWidth="1"/>
    <col min="10" max="10" width="22.28515625" customWidth="1"/>
    <col min="11" max="11" width="21.140625" customWidth="1"/>
    <col min="12" max="12" width="23.140625" customWidth="1"/>
    <col min="13" max="13" width="22" customWidth="1"/>
    <col min="14" max="14" width="23.28515625" customWidth="1"/>
    <col min="15" max="15" width="21.42578125" customWidth="1"/>
    <col min="16" max="16" width="26.28515625" customWidth="1"/>
    <col min="17" max="17" width="18.42578125" customWidth="1"/>
    <col min="18" max="18" width="17.7109375" customWidth="1"/>
    <col min="19" max="19" width="26.7109375" customWidth="1"/>
    <col min="20" max="20" width="21.7109375" customWidth="1"/>
    <col min="21" max="21" width="20" customWidth="1"/>
    <col min="22" max="22" width="16.5703125" customWidth="1"/>
    <col min="23" max="26" width="8.7109375" customWidth="1"/>
  </cols>
  <sheetData>
    <row r="1" spans="1:26" ht="25.5">
      <c r="A1" s="574" t="s">
        <v>409</v>
      </c>
      <c r="B1" s="575"/>
      <c r="C1" s="575"/>
      <c r="D1" s="575"/>
      <c r="E1" s="575"/>
      <c r="F1" s="575"/>
      <c r="G1" s="575"/>
      <c r="H1" s="575"/>
      <c r="I1" s="575"/>
      <c r="J1" s="575"/>
      <c r="K1" s="575"/>
      <c r="L1" s="575"/>
      <c r="M1" s="575"/>
      <c r="N1" s="575"/>
      <c r="O1" s="575"/>
      <c r="P1" s="575"/>
      <c r="Q1" s="575"/>
      <c r="R1" s="575"/>
      <c r="S1" s="576"/>
    </row>
    <row r="3" spans="1:26" ht="30" customHeight="1">
      <c r="A3" s="577" t="s">
        <v>410</v>
      </c>
      <c r="B3" s="592" t="s">
        <v>411</v>
      </c>
      <c r="C3" s="579"/>
      <c r="D3" s="551"/>
      <c r="E3" s="578" t="s">
        <v>412</v>
      </c>
      <c r="F3" s="579"/>
      <c r="G3" s="551"/>
      <c r="H3" s="580" t="s">
        <v>413</v>
      </c>
      <c r="I3" s="579"/>
      <c r="J3" s="551"/>
      <c r="K3" s="581" t="s">
        <v>414</v>
      </c>
      <c r="L3" s="579"/>
      <c r="M3" s="551"/>
      <c r="N3" s="582" t="s">
        <v>415</v>
      </c>
      <c r="O3" s="575"/>
      <c r="P3" s="576"/>
      <c r="Q3" s="583" t="s">
        <v>416</v>
      </c>
      <c r="R3" s="584"/>
      <c r="S3" s="585"/>
    </row>
    <row r="4" spans="1:26" ht="17.25">
      <c r="A4" s="571"/>
      <c r="B4" s="113" t="s">
        <v>417</v>
      </c>
      <c r="C4" s="113" t="s">
        <v>418</v>
      </c>
      <c r="D4" s="114" t="s">
        <v>419</v>
      </c>
      <c r="E4" s="113" t="s">
        <v>420</v>
      </c>
      <c r="F4" s="113" t="s">
        <v>421</v>
      </c>
      <c r="G4" s="114" t="s">
        <v>419</v>
      </c>
      <c r="H4" s="113" t="s">
        <v>417</v>
      </c>
      <c r="I4" s="115" t="s">
        <v>418</v>
      </c>
      <c r="J4" s="114" t="s">
        <v>419</v>
      </c>
      <c r="K4" s="113" t="s">
        <v>417</v>
      </c>
      <c r="L4" s="115" t="s">
        <v>418</v>
      </c>
      <c r="M4" s="114" t="s">
        <v>419</v>
      </c>
      <c r="N4" s="113" t="s">
        <v>417</v>
      </c>
      <c r="O4" s="115" t="s">
        <v>418</v>
      </c>
      <c r="P4" s="114" t="s">
        <v>419</v>
      </c>
      <c r="Q4" s="113" t="s">
        <v>417</v>
      </c>
      <c r="R4" s="113" t="s">
        <v>418</v>
      </c>
      <c r="S4" s="114" t="s">
        <v>419</v>
      </c>
    </row>
    <row r="5" spans="1:26" ht="29.25" customHeight="1">
      <c r="A5" s="116" t="s">
        <v>422</v>
      </c>
      <c r="B5" s="117">
        <v>18650</v>
      </c>
      <c r="C5" s="117">
        <v>2650</v>
      </c>
      <c r="D5" s="118">
        <f t="shared" ref="D5:D83" si="0">SUM(B5:C5)</f>
        <v>21300</v>
      </c>
      <c r="E5" s="117">
        <v>30</v>
      </c>
      <c r="F5" s="117">
        <v>53</v>
      </c>
      <c r="G5" s="119">
        <f t="shared" ref="G5:G82" si="1">SUM(E5:F5)</f>
        <v>83</v>
      </c>
      <c r="H5" s="117">
        <v>1000</v>
      </c>
      <c r="I5" s="117">
        <v>0</v>
      </c>
      <c r="J5" s="118">
        <f t="shared" ref="J5:J83" si="2">SUM(H5:I5)</f>
        <v>1000</v>
      </c>
      <c r="K5" s="117">
        <v>0</v>
      </c>
      <c r="L5" s="117">
        <v>0</v>
      </c>
      <c r="M5" s="118">
        <f t="shared" ref="M5:M83" si="3">SUM(K5:L5)</f>
        <v>0</v>
      </c>
      <c r="N5" s="117">
        <v>0</v>
      </c>
      <c r="O5" s="117">
        <v>0</v>
      </c>
      <c r="P5" s="119">
        <f t="shared" ref="P5:P82" si="4">SUM(N5:O5)</f>
        <v>0</v>
      </c>
      <c r="Q5" s="120">
        <v>0</v>
      </c>
      <c r="R5" s="120">
        <v>0</v>
      </c>
      <c r="S5" s="121">
        <f t="shared" ref="S5:S82" si="5">Q5+R5</f>
        <v>0</v>
      </c>
    </row>
    <row r="6" spans="1:26" ht="29.25" customHeight="1">
      <c r="A6" s="116" t="s">
        <v>423</v>
      </c>
      <c r="B6" s="117">
        <v>32680</v>
      </c>
      <c r="C6" s="117">
        <v>3500</v>
      </c>
      <c r="D6" s="118">
        <f t="shared" si="0"/>
        <v>36180</v>
      </c>
      <c r="E6" s="117">
        <v>20</v>
      </c>
      <c r="F6" s="117">
        <v>0</v>
      </c>
      <c r="G6" s="119">
        <f t="shared" si="1"/>
        <v>20</v>
      </c>
      <c r="H6" s="117">
        <v>0</v>
      </c>
      <c r="I6" s="117">
        <v>0</v>
      </c>
      <c r="J6" s="118">
        <f t="shared" si="2"/>
        <v>0</v>
      </c>
      <c r="K6" s="117">
        <v>0</v>
      </c>
      <c r="L6" s="117">
        <v>0</v>
      </c>
      <c r="M6" s="118">
        <f t="shared" si="3"/>
        <v>0</v>
      </c>
      <c r="N6" s="117">
        <v>0</v>
      </c>
      <c r="O6" s="117">
        <v>0</v>
      </c>
      <c r="P6" s="119">
        <f t="shared" si="4"/>
        <v>0</v>
      </c>
      <c r="Q6" s="122"/>
      <c r="R6" s="122"/>
      <c r="S6" s="121">
        <f t="shared" si="5"/>
        <v>0</v>
      </c>
    </row>
    <row r="7" spans="1:26" ht="29.25" customHeight="1">
      <c r="A7" s="123" t="s">
        <v>424</v>
      </c>
      <c r="B7" s="117">
        <v>146850</v>
      </c>
      <c r="C7" s="117">
        <v>38300</v>
      </c>
      <c r="D7" s="118">
        <f t="shared" si="0"/>
        <v>185150</v>
      </c>
      <c r="E7" s="117">
        <v>2112</v>
      </c>
      <c r="F7" s="117">
        <v>0</v>
      </c>
      <c r="G7" s="119">
        <f t="shared" si="1"/>
        <v>2112</v>
      </c>
      <c r="H7" s="117">
        <v>0</v>
      </c>
      <c r="I7" s="117">
        <v>0</v>
      </c>
      <c r="J7" s="118">
        <f t="shared" si="2"/>
        <v>0</v>
      </c>
      <c r="K7" s="117">
        <v>0</v>
      </c>
      <c r="L7" s="117">
        <v>0</v>
      </c>
      <c r="M7" s="118">
        <f t="shared" si="3"/>
        <v>0</v>
      </c>
      <c r="N7" s="117">
        <v>0</v>
      </c>
      <c r="O7" s="117">
        <v>0</v>
      </c>
      <c r="P7" s="119">
        <f t="shared" si="4"/>
        <v>0</v>
      </c>
      <c r="Q7" s="122"/>
      <c r="R7" s="122"/>
      <c r="S7" s="121">
        <f t="shared" si="5"/>
        <v>0</v>
      </c>
    </row>
    <row r="8" spans="1:26" ht="29.25" customHeight="1">
      <c r="A8" s="124" t="s">
        <v>425</v>
      </c>
      <c r="B8" s="125">
        <v>114150</v>
      </c>
      <c r="C8" s="125">
        <v>0</v>
      </c>
      <c r="D8" s="126">
        <f t="shared" si="0"/>
        <v>114150</v>
      </c>
      <c r="E8" s="125">
        <v>295</v>
      </c>
      <c r="F8" s="125">
        <v>150</v>
      </c>
      <c r="G8" s="119">
        <f t="shared" si="1"/>
        <v>445</v>
      </c>
      <c r="H8" s="125">
        <v>6000</v>
      </c>
      <c r="I8" s="125">
        <v>0</v>
      </c>
      <c r="J8" s="126">
        <f t="shared" si="2"/>
        <v>6000</v>
      </c>
      <c r="K8" s="125">
        <v>0</v>
      </c>
      <c r="L8" s="125">
        <v>0</v>
      </c>
      <c r="M8" s="126">
        <f t="shared" si="3"/>
        <v>0</v>
      </c>
      <c r="N8" s="125">
        <v>0</v>
      </c>
      <c r="O8" s="125">
        <v>0</v>
      </c>
      <c r="P8" s="119">
        <f t="shared" si="4"/>
        <v>0</v>
      </c>
      <c r="Q8" s="127">
        <v>8000</v>
      </c>
      <c r="R8" s="127">
        <v>0</v>
      </c>
      <c r="S8" s="128">
        <f t="shared" si="5"/>
        <v>8000</v>
      </c>
    </row>
    <row r="9" spans="1:26" ht="29.25" customHeight="1">
      <c r="A9" s="124" t="s">
        <v>426</v>
      </c>
      <c r="B9" s="125">
        <v>26150</v>
      </c>
      <c r="C9" s="125">
        <v>0</v>
      </c>
      <c r="D9" s="126">
        <f t="shared" si="0"/>
        <v>26150</v>
      </c>
      <c r="E9" s="125">
        <v>360</v>
      </c>
      <c r="F9" s="125">
        <v>20</v>
      </c>
      <c r="G9" s="119">
        <f t="shared" si="1"/>
        <v>380</v>
      </c>
      <c r="H9" s="125">
        <v>0</v>
      </c>
      <c r="I9" s="125">
        <v>0</v>
      </c>
      <c r="J9" s="126">
        <f t="shared" si="2"/>
        <v>0</v>
      </c>
      <c r="K9" s="125">
        <v>0</v>
      </c>
      <c r="L9" s="125">
        <v>0</v>
      </c>
      <c r="M9" s="126">
        <f t="shared" si="3"/>
        <v>0</v>
      </c>
      <c r="N9" s="125">
        <v>0</v>
      </c>
      <c r="O9" s="125">
        <v>0</v>
      </c>
      <c r="P9" s="119">
        <f t="shared" si="4"/>
        <v>0</v>
      </c>
      <c r="Q9" s="127">
        <v>0</v>
      </c>
      <c r="R9" s="127">
        <v>0</v>
      </c>
      <c r="S9" s="128">
        <f t="shared" si="5"/>
        <v>0</v>
      </c>
    </row>
    <row r="10" spans="1:26" ht="29.25" customHeight="1">
      <c r="A10" s="124" t="s">
        <v>427</v>
      </c>
      <c r="B10" s="125">
        <v>0</v>
      </c>
      <c r="C10" s="125">
        <v>10000</v>
      </c>
      <c r="D10" s="126">
        <f t="shared" si="0"/>
        <v>10000</v>
      </c>
      <c r="E10" s="125">
        <v>0</v>
      </c>
      <c r="F10" s="125">
        <v>0</v>
      </c>
      <c r="G10" s="119">
        <f t="shared" si="1"/>
        <v>0</v>
      </c>
      <c r="H10" s="125">
        <v>0</v>
      </c>
      <c r="I10" s="125">
        <v>0</v>
      </c>
      <c r="J10" s="126">
        <f t="shared" si="2"/>
        <v>0</v>
      </c>
      <c r="K10" s="125">
        <v>0</v>
      </c>
      <c r="L10" s="125">
        <v>0</v>
      </c>
      <c r="M10" s="126">
        <f t="shared" si="3"/>
        <v>0</v>
      </c>
      <c r="N10" s="125">
        <v>0</v>
      </c>
      <c r="O10" s="125">
        <v>0</v>
      </c>
      <c r="P10" s="119">
        <f t="shared" si="4"/>
        <v>0</v>
      </c>
      <c r="Q10" s="127">
        <v>0</v>
      </c>
      <c r="R10" s="127">
        <v>405</v>
      </c>
      <c r="S10" s="128">
        <f t="shared" si="5"/>
        <v>405</v>
      </c>
    </row>
    <row r="11" spans="1:26" ht="29.25" customHeight="1">
      <c r="A11" s="129" t="s">
        <v>428</v>
      </c>
      <c r="B11" s="130">
        <v>52550</v>
      </c>
      <c r="C11" s="130">
        <v>0</v>
      </c>
      <c r="D11" s="131">
        <f t="shared" si="0"/>
        <v>52550</v>
      </c>
      <c r="E11" s="130">
        <v>0</v>
      </c>
      <c r="F11" s="130">
        <v>0</v>
      </c>
      <c r="G11" s="119">
        <f t="shared" si="1"/>
        <v>0</v>
      </c>
      <c r="H11" s="130">
        <v>1000</v>
      </c>
      <c r="I11" s="130">
        <v>0</v>
      </c>
      <c r="J11" s="131">
        <f t="shared" si="2"/>
        <v>1000</v>
      </c>
      <c r="K11" s="130">
        <v>0</v>
      </c>
      <c r="L11" s="130">
        <v>0</v>
      </c>
      <c r="M11" s="131">
        <f t="shared" si="3"/>
        <v>0</v>
      </c>
      <c r="N11" s="130">
        <v>0</v>
      </c>
      <c r="O11" s="130">
        <v>0</v>
      </c>
      <c r="P11" s="119">
        <f t="shared" si="4"/>
        <v>0</v>
      </c>
      <c r="Q11" s="132">
        <v>0</v>
      </c>
      <c r="R11" s="132">
        <v>0</v>
      </c>
      <c r="S11" s="133">
        <f t="shared" si="5"/>
        <v>0</v>
      </c>
    </row>
    <row r="12" spans="1:26" ht="29.25" customHeight="1">
      <c r="A12" s="134" t="s">
        <v>429</v>
      </c>
      <c r="B12" s="130">
        <v>35800</v>
      </c>
      <c r="C12" s="130">
        <v>0</v>
      </c>
      <c r="D12" s="131">
        <f t="shared" si="0"/>
        <v>35800</v>
      </c>
      <c r="E12" s="130">
        <v>0</v>
      </c>
      <c r="F12" s="130">
        <v>0</v>
      </c>
      <c r="G12" s="119">
        <f t="shared" si="1"/>
        <v>0</v>
      </c>
      <c r="H12" s="130">
        <v>0</v>
      </c>
      <c r="I12" s="130">
        <v>0</v>
      </c>
      <c r="J12" s="131">
        <f t="shared" si="2"/>
        <v>0</v>
      </c>
      <c r="K12" s="130">
        <v>0</v>
      </c>
      <c r="L12" s="130">
        <v>0</v>
      </c>
      <c r="M12" s="131">
        <f t="shared" si="3"/>
        <v>0</v>
      </c>
      <c r="N12" s="130">
        <v>0</v>
      </c>
      <c r="O12" s="130">
        <v>0</v>
      </c>
      <c r="P12" s="119">
        <f t="shared" si="4"/>
        <v>0</v>
      </c>
      <c r="Q12" s="132">
        <v>0</v>
      </c>
      <c r="R12" s="132">
        <v>0</v>
      </c>
      <c r="S12" s="133">
        <f t="shared" si="5"/>
        <v>0</v>
      </c>
    </row>
    <row r="13" spans="1:26" ht="29.25" customHeight="1">
      <c r="A13" s="134" t="s">
        <v>430</v>
      </c>
      <c r="B13" s="135">
        <v>20200</v>
      </c>
      <c r="C13" s="135">
        <v>0</v>
      </c>
      <c r="D13" s="131">
        <f t="shared" si="0"/>
        <v>20200</v>
      </c>
      <c r="E13" s="135">
        <v>0</v>
      </c>
      <c r="F13" s="135">
        <v>0</v>
      </c>
      <c r="G13" s="119">
        <f t="shared" si="1"/>
        <v>0</v>
      </c>
      <c r="H13" s="135">
        <v>0</v>
      </c>
      <c r="I13" s="135">
        <v>0</v>
      </c>
      <c r="J13" s="131">
        <f t="shared" si="2"/>
        <v>0</v>
      </c>
      <c r="K13" s="135">
        <v>0</v>
      </c>
      <c r="L13" s="135">
        <v>0</v>
      </c>
      <c r="M13" s="131">
        <f t="shared" si="3"/>
        <v>0</v>
      </c>
      <c r="N13" s="135">
        <v>0</v>
      </c>
      <c r="O13" s="135">
        <v>0</v>
      </c>
      <c r="P13" s="119">
        <f t="shared" si="4"/>
        <v>0</v>
      </c>
      <c r="Q13" s="136">
        <v>0</v>
      </c>
      <c r="R13" s="136">
        <v>0</v>
      </c>
      <c r="S13" s="133">
        <f t="shared" si="5"/>
        <v>0</v>
      </c>
      <c r="T13" s="137"/>
      <c r="U13" s="137"/>
      <c r="V13" s="137"/>
      <c r="W13" s="137"/>
      <c r="X13" s="137"/>
      <c r="Y13" s="137"/>
      <c r="Z13" s="137"/>
    </row>
    <row r="14" spans="1:26" ht="31.5" customHeight="1">
      <c r="A14" s="134" t="s">
        <v>431</v>
      </c>
      <c r="B14" s="135">
        <v>44550</v>
      </c>
      <c r="C14" s="135">
        <v>1030</v>
      </c>
      <c r="D14" s="131">
        <f t="shared" si="0"/>
        <v>45580</v>
      </c>
      <c r="E14" s="135">
        <v>0</v>
      </c>
      <c r="F14" s="135">
        <v>0</v>
      </c>
      <c r="G14" s="119">
        <f t="shared" si="1"/>
        <v>0</v>
      </c>
      <c r="H14" s="135">
        <v>0</v>
      </c>
      <c r="I14" s="135">
        <v>0</v>
      </c>
      <c r="J14" s="131">
        <f t="shared" si="2"/>
        <v>0</v>
      </c>
      <c r="K14" s="135">
        <v>0</v>
      </c>
      <c r="L14" s="135">
        <v>0</v>
      </c>
      <c r="M14" s="131">
        <f t="shared" si="3"/>
        <v>0</v>
      </c>
      <c r="N14" s="135">
        <v>0</v>
      </c>
      <c r="O14" s="135">
        <v>0</v>
      </c>
      <c r="P14" s="119">
        <f t="shared" si="4"/>
        <v>0</v>
      </c>
      <c r="Q14" s="132">
        <v>0</v>
      </c>
      <c r="R14" s="132">
        <v>0</v>
      </c>
      <c r="S14" s="133">
        <f t="shared" si="5"/>
        <v>0</v>
      </c>
    </row>
    <row r="15" spans="1:26" ht="29.25" customHeight="1">
      <c r="A15" s="134" t="s">
        <v>432</v>
      </c>
      <c r="B15" s="135">
        <v>44600</v>
      </c>
      <c r="C15" s="135">
        <v>13600</v>
      </c>
      <c r="D15" s="131">
        <f t="shared" si="0"/>
        <v>58200</v>
      </c>
      <c r="E15" s="135">
        <v>0</v>
      </c>
      <c r="F15" s="135">
        <v>0</v>
      </c>
      <c r="G15" s="119">
        <f t="shared" si="1"/>
        <v>0</v>
      </c>
      <c r="H15" s="135">
        <v>0</v>
      </c>
      <c r="I15" s="135">
        <v>0</v>
      </c>
      <c r="J15" s="131">
        <f t="shared" si="2"/>
        <v>0</v>
      </c>
      <c r="K15" s="135">
        <v>0</v>
      </c>
      <c r="L15" s="135">
        <v>0</v>
      </c>
      <c r="M15" s="131">
        <f t="shared" si="3"/>
        <v>0</v>
      </c>
      <c r="N15" s="135">
        <v>0</v>
      </c>
      <c r="O15" s="135">
        <v>0</v>
      </c>
      <c r="P15" s="119">
        <f t="shared" si="4"/>
        <v>0</v>
      </c>
      <c r="Q15" s="132">
        <v>0</v>
      </c>
      <c r="R15" s="132">
        <v>0</v>
      </c>
      <c r="S15" s="133">
        <f t="shared" si="5"/>
        <v>0</v>
      </c>
    </row>
    <row r="16" spans="1:26" ht="28.5" customHeight="1">
      <c r="A16" s="138" t="s">
        <v>433</v>
      </c>
      <c r="B16" s="135">
        <v>50000</v>
      </c>
      <c r="C16" s="135">
        <v>0</v>
      </c>
      <c r="D16" s="131">
        <f t="shared" si="0"/>
        <v>50000</v>
      </c>
      <c r="E16" s="135"/>
      <c r="F16" s="135"/>
      <c r="G16" s="119">
        <f t="shared" si="1"/>
        <v>0</v>
      </c>
      <c r="H16" s="135"/>
      <c r="I16" s="135"/>
      <c r="J16" s="131">
        <f t="shared" si="2"/>
        <v>0</v>
      </c>
      <c r="K16" s="135"/>
      <c r="L16" s="135"/>
      <c r="M16" s="131">
        <f t="shared" si="3"/>
        <v>0</v>
      </c>
      <c r="N16" s="135"/>
      <c r="O16" s="135"/>
      <c r="P16" s="119">
        <f t="shared" si="4"/>
        <v>0</v>
      </c>
      <c r="Q16" s="132"/>
      <c r="R16" s="132"/>
      <c r="S16" s="133">
        <f t="shared" si="5"/>
        <v>0</v>
      </c>
    </row>
    <row r="17" spans="1:26" ht="25.5" customHeight="1">
      <c r="A17" s="139" t="s">
        <v>434</v>
      </c>
      <c r="B17" s="140">
        <v>44434</v>
      </c>
      <c r="C17" s="140">
        <v>500</v>
      </c>
      <c r="D17" s="141">
        <f t="shared" si="0"/>
        <v>44934</v>
      </c>
      <c r="E17" s="140"/>
      <c r="F17" s="140"/>
      <c r="G17" s="119">
        <f t="shared" si="1"/>
        <v>0</v>
      </c>
      <c r="H17" s="142"/>
      <c r="I17" s="142"/>
      <c r="J17" s="143">
        <f t="shared" si="2"/>
        <v>0</v>
      </c>
      <c r="K17" s="142"/>
      <c r="L17" s="142"/>
      <c r="M17" s="143">
        <f t="shared" si="3"/>
        <v>0</v>
      </c>
      <c r="N17" s="142"/>
      <c r="O17" s="142"/>
      <c r="P17" s="119">
        <f t="shared" si="4"/>
        <v>0</v>
      </c>
      <c r="Q17" s="40"/>
      <c r="R17" s="40"/>
      <c r="S17" s="144">
        <f t="shared" si="5"/>
        <v>0</v>
      </c>
    </row>
    <row r="18" spans="1:26" ht="28.5" customHeight="1">
      <c r="A18" s="145" t="s">
        <v>435</v>
      </c>
      <c r="B18" s="140">
        <v>24950</v>
      </c>
      <c r="C18" s="140">
        <v>24550</v>
      </c>
      <c r="D18" s="141">
        <f t="shared" si="0"/>
        <v>49500</v>
      </c>
      <c r="E18" s="140">
        <v>0</v>
      </c>
      <c r="F18" s="140">
        <v>50</v>
      </c>
      <c r="G18" s="119">
        <f t="shared" si="1"/>
        <v>50</v>
      </c>
      <c r="H18" s="142"/>
      <c r="I18" s="142"/>
      <c r="J18" s="143">
        <f t="shared" si="2"/>
        <v>0</v>
      </c>
      <c r="K18" s="142"/>
      <c r="L18" s="142"/>
      <c r="M18" s="143">
        <f t="shared" si="3"/>
        <v>0</v>
      </c>
      <c r="N18" s="142"/>
      <c r="O18" s="142"/>
      <c r="P18" s="119">
        <f t="shared" si="4"/>
        <v>0</v>
      </c>
      <c r="Q18" s="40"/>
      <c r="R18" s="40"/>
      <c r="S18" s="144">
        <f t="shared" si="5"/>
        <v>0</v>
      </c>
    </row>
    <row r="19" spans="1:26" ht="28.5" customHeight="1">
      <c r="A19" s="145" t="s">
        <v>436</v>
      </c>
      <c r="B19" s="140">
        <v>3550</v>
      </c>
      <c r="C19" s="140">
        <v>2300</v>
      </c>
      <c r="D19" s="141">
        <f t="shared" si="0"/>
        <v>5850</v>
      </c>
      <c r="E19" s="140"/>
      <c r="F19" s="140"/>
      <c r="G19" s="119">
        <f t="shared" si="1"/>
        <v>0</v>
      </c>
      <c r="H19" s="142"/>
      <c r="I19" s="142"/>
      <c r="J19" s="143">
        <f t="shared" si="2"/>
        <v>0</v>
      </c>
      <c r="K19" s="142"/>
      <c r="L19" s="142"/>
      <c r="M19" s="143">
        <f t="shared" si="3"/>
        <v>0</v>
      </c>
      <c r="N19" s="142"/>
      <c r="O19" s="142"/>
      <c r="P19" s="119">
        <f t="shared" si="4"/>
        <v>0</v>
      </c>
      <c r="Q19" s="40"/>
      <c r="R19" s="40"/>
      <c r="S19" s="144">
        <f t="shared" si="5"/>
        <v>0</v>
      </c>
    </row>
    <row r="20" spans="1:26" ht="28.5" customHeight="1">
      <c r="A20" s="145" t="s">
        <v>437</v>
      </c>
      <c r="B20" s="140">
        <v>22500</v>
      </c>
      <c r="C20" s="140">
        <v>0</v>
      </c>
      <c r="D20" s="141">
        <f t="shared" si="0"/>
        <v>22500</v>
      </c>
      <c r="E20" s="140"/>
      <c r="F20" s="140"/>
      <c r="G20" s="119">
        <f t="shared" si="1"/>
        <v>0</v>
      </c>
      <c r="H20" s="142"/>
      <c r="I20" s="142"/>
      <c r="J20" s="143">
        <f t="shared" si="2"/>
        <v>0</v>
      </c>
      <c r="K20" s="142"/>
      <c r="L20" s="142"/>
      <c r="M20" s="143">
        <f t="shared" si="3"/>
        <v>0</v>
      </c>
      <c r="N20" s="142"/>
      <c r="O20" s="142"/>
      <c r="P20" s="119">
        <f t="shared" si="4"/>
        <v>0</v>
      </c>
      <c r="Q20" s="40"/>
      <c r="R20" s="40"/>
      <c r="S20" s="144">
        <f t="shared" si="5"/>
        <v>0</v>
      </c>
      <c r="U20" s="146">
        <f>SUM(G5:G46)</f>
        <v>8559</v>
      </c>
    </row>
    <row r="21" spans="1:26" ht="28.5" customHeight="1">
      <c r="A21" s="145" t="s">
        <v>438</v>
      </c>
      <c r="B21" s="140">
        <v>74900</v>
      </c>
      <c r="C21" s="140">
        <v>47250</v>
      </c>
      <c r="D21" s="141">
        <f t="shared" si="0"/>
        <v>122150</v>
      </c>
      <c r="E21" s="140"/>
      <c r="F21" s="140"/>
      <c r="G21" s="119">
        <f t="shared" si="1"/>
        <v>0</v>
      </c>
      <c r="H21" s="142"/>
      <c r="I21" s="142"/>
      <c r="J21" s="143">
        <f t="shared" si="2"/>
        <v>0</v>
      </c>
      <c r="K21" s="142"/>
      <c r="L21" s="142"/>
      <c r="M21" s="143">
        <f t="shared" si="3"/>
        <v>0</v>
      </c>
      <c r="N21" s="142"/>
      <c r="O21" s="142"/>
      <c r="P21" s="119">
        <f t="shared" si="4"/>
        <v>0</v>
      </c>
      <c r="Q21" s="40"/>
      <c r="R21" s="40"/>
      <c r="S21" s="144">
        <f t="shared" si="5"/>
        <v>0</v>
      </c>
    </row>
    <row r="22" spans="1:26" ht="28.5" customHeight="1">
      <c r="A22" s="147" t="s">
        <v>439</v>
      </c>
      <c r="B22" s="148">
        <v>122150</v>
      </c>
      <c r="C22" s="148">
        <v>64000</v>
      </c>
      <c r="D22" s="149">
        <f t="shared" si="0"/>
        <v>186150</v>
      </c>
      <c r="E22" s="148">
        <v>0</v>
      </c>
      <c r="F22" s="148">
        <v>0</v>
      </c>
      <c r="G22" s="119">
        <f t="shared" si="1"/>
        <v>0</v>
      </c>
      <c r="H22" s="148">
        <v>2000</v>
      </c>
      <c r="I22" s="148"/>
      <c r="J22" s="149">
        <f t="shared" si="2"/>
        <v>2000</v>
      </c>
      <c r="K22" s="148"/>
      <c r="L22" s="142"/>
      <c r="M22" s="143">
        <f t="shared" si="3"/>
        <v>0</v>
      </c>
      <c r="N22" s="142"/>
      <c r="O22" s="142"/>
      <c r="P22" s="119">
        <f t="shared" si="4"/>
        <v>0</v>
      </c>
      <c r="Q22" s="40"/>
      <c r="R22" s="40"/>
      <c r="S22" s="144">
        <f t="shared" si="5"/>
        <v>0</v>
      </c>
      <c r="T22" s="65"/>
      <c r="U22" s="150"/>
      <c r="V22" s="65"/>
    </row>
    <row r="23" spans="1:26" ht="28.5" customHeight="1">
      <c r="A23" s="147" t="s">
        <v>440</v>
      </c>
      <c r="B23" s="148">
        <v>68550</v>
      </c>
      <c r="C23" s="148">
        <v>168300</v>
      </c>
      <c r="D23" s="149">
        <f t="shared" si="0"/>
        <v>236850</v>
      </c>
      <c r="E23" s="148"/>
      <c r="F23" s="148"/>
      <c r="G23" s="119">
        <f t="shared" si="1"/>
        <v>0</v>
      </c>
      <c r="H23" s="148"/>
      <c r="I23" s="148"/>
      <c r="J23" s="149">
        <f t="shared" si="2"/>
        <v>0</v>
      </c>
      <c r="K23" s="148"/>
      <c r="L23" s="142"/>
      <c r="M23" s="143">
        <f t="shared" si="3"/>
        <v>0</v>
      </c>
      <c r="N23" s="142"/>
      <c r="O23" s="142"/>
      <c r="P23" s="119">
        <f t="shared" si="4"/>
        <v>0</v>
      </c>
      <c r="Q23" s="40"/>
      <c r="R23" s="40"/>
      <c r="S23" s="144">
        <f t="shared" si="5"/>
        <v>0</v>
      </c>
      <c r="T23" s="65"/>
      <c r="U23" s="150"/>
      <c r="V23" s="65"/>
    </row>
    <row r="24" spans="1:26" ht="28.5" customHeight="1">
      <c r="A24" s="151" t="s">
        <v>441</v>
      </c>
      <c r="B24" s="148">
        <v>84600</v>
      </c>
      <c r="C24" s="148">
        <v>52500</v>
      </c>
      <c r="D24" s="149">
        <f t="shared" si="0"/>
        <v>137100</v>
      </c>
      <c r="E24" s="148">
        <v>0</v>
      </c>
      <c r="F24" s="148">
        <v>0</v>
      </c>
      <c r="G24" s="119">
        <f t="shared" si="1"/>
        <v>0</v>
      </c>
      <c r="H24" s="148">
        <v>300</v>
      </c>
      <c r="I24" s="148">
        <v>0</v>
      </c>
      <c r="J24" s="149">
        <f t="shared" si="2"/>
        <v>300</v>
      </c>
      <c r="K24" s="148"/>
      <c r="L24" s="142"/>
      <c r="M24" s="143">
        <f t="shared" si="3"/>
        <v>0</v>
      </c>
      <c r="N24" s="142"/>
      <c r="O24" s="142"/>
      <c r="P24" s="119">
        <f t="shared" si="4"/>
        <v>0</v>
      </c>
      <c r="Q24" s="40"/>
      <c r="R24" s="40"/>
      <c r="S24" s="144">
        <f t="shared" si="5"/>
        <v>0</v>
      </c>
      <c r="T24" s="65"/>
      <c r="U24" s="150"/>
      <c r="V24" s="65"/>
    </row>
    <row r="25" spans="1:26" ht="28.5" customHeight="1">
      <c r="A25" s="152" t="s">
        <v>442</v>
      </c>
      <c r="B25" s="153">
        <v>7900</v>
      </c>
      <c r="C25" s="153">
        <v>0</v>
      </c>
      <c r="D25" s="154">
        <f t="shared" si="0"/>
        <v>7900</v>
      </c>
      <c r="E25" s="153">
        <v>100</v>
      </c>
      <c r="F25" s="153">
        <v>15</v>
      </c>
      <c r="G25" s="119">
        <f t="shared" si="1"/>
        <v>115</v>
      </c>
      <c r="H25" s="153"/>
      <c r="I25" s="153"/>
      <c r="J25" s="154">
        <f t="shared" si="2"/>
        <v>0</v>
      </c>
      <c r="K25" s="153"/>
      <c r="L25" s="153"/>
      <c r="M25" s="154">
        <f t="shared" si="3"/>
        <v>0</v>
      </c>
      <c r="N25" s="153"/>
      <c r="O25" s="153"/>
      <c r="P25" s="119">
        <f t="shared" si="4"/>
        <v>0</v>
      </c>
      <c r="Q25" s="155"/>
      <c r="R25" s="155"/>
      <c r="S25" s="156">
        <f t="shared" si="5"/>
        <v>0</v>
      </c>
      <c r="T25" s="65"/>
      <c r="U25" s="150"/>
      <c r="V25" s="65"/>
    </row>
    <row r="26" spans="1:26" ht="28.5" customHeight="1">
      <c r="A26" s="152" t="s">
        <v>443</v>
      </c>
      <c r="B26" s="153">
        <v>14300</v>
      </c>
      <c r="C26" s="153">
        <v>1100</v>
      </c>
      <c r="D26" s="154">
        <f t="shared" si="0"/>
        <v>15400</v>
      </c>
      <c r="E26" s="153"/>
      <c r="F26" s="153"/>
      <c r="G26" s="119">
        <f t="shared" si="1"/>
        <v>0</v>
      </c>
      <c r="H26" s="153"/>
      <c r="I26" s="153"/>
      <c r="J26" s="154">
        <f t="shared" si="2"/>
        <v>0</v>
      </c>
      <c r="K26" s="153"/>
      <c r="L26" s="153"/>
      <c r="M26" s="154">
        <f t="shared" si="3"/>
        <v>0</v>
      </c>
      <c r="N26" s="153"/>
      <c r="O26" s="153"/>
      <c r="P26" s="119">
        <f t="shared" si="4"/>
        <v>0</v>
      </c>
      <c r="Q26" s="155"/>
      <c r="R26" s="155"/>
      <c r="S26" s="156">
        <f t="shared" si="5"/>
        <v>0</v>
      </c>
    </row>
    <row r="27" spans="1:26" ht="28.5" customHeight="1">
      <c r="A27" s="152" t="s">
        <v>444</v>
      </c>
      <c r="B27" s="153">
        <v>93600</v>
      </c>
      <c r="C27" s="153">
        <v>10800</v>
      </c>
      <c r="D27" s="154">
        <f t="shared" si="0"/>
        <v>104400</v>
      </c>
      <c r="E27" s="153"/>
      <c r="F27" s="153"/>
      <c r="G27" s="119">
        <f t="shared" si="1"/>
        <v>0</v>
      </c>
      <c r="H27" s="153"/>
      <c r="I27" s="153"/>
      <c r="J27" s="154">
        <f t="shared" si="2"/>
        <v>0</v>
      </c>
      <c r="K27" s="153"/>
      <c r="L27" s="153"/>
      <c r="M27" s="154">
        <f t="shared" si="3"/>
        <v>0</v>
      </c>
      <c r="N27" s="153"/>
      <c r="O27" s="153"/>
      <c r="P27" s="119">
        <f t="shared" si="4"/>
        <v>0</v>
      </c>
      <c r="Q27" s="155"/>
      <c r="R27" s="155"/>
      <c r="S27" s="156">
        <f t="shared" si="5"/>
        <v>0</v>
      </c>
      <c r="U27" s="146">
        <f>SUM(P36:P46)</f>
        <v>139450</v>
      </c>
    </row>
    <row r="28" spans="1:26" ht="28.5" customHeight="1">
      <c r="A28" s="152" t="s">
        <v>445</v>
      </c>
      <c r="B28" s="153">
        <v>131200</v>
      </c>
      <c r="C28" s="153">
        <v>73000</v>
      </c>
      <c r="D28" s="154">
        <f t="shared" si="0"/>
        <v>204200</v>
      </c>
      <c r="E28" s="153">
        <v>5</v>
      </c>
      <c r="F28" s="153">
        <v>3</v>
      </c>
      <c r="G28" s="119">
        <f t="shared" si="1"/>
        <v>8</v>
      </c>
      <c r="H28" s="153"/>
      <c r="I28" s="153"/>
      <c r="J28" s="154">
        <f t="shared" si="2"/>
        <v>0</v>
      </c>
      <c r="K28" s="153"/>
      <c r="L28" s="153"/>
      <c r="M28" s="154">
        <f t="shared" si="3"/>
        <v>0</v>
      </c>
      <c r="N28" s="153"/>
      <c r="O28" s="153"/>
      <c r="P28" s="119">
        <f t="shared" si="4"/>
        <v>0</v>
      </c>
      <c r="Q28" s="155"/>
      <c r="R28" s="155"/>
      <c r="S28" s="156">
        <f t="shared" si="5"/>
        <v>0</v>
      </c>
      <c r="U28" s="146">
        <f>U27-69725</f>
        <v>69725</v>
      </c>
    </row>
    <row r="29" spans="1:26" ht="28.5" customHeight="1">
      <c r="A29" s="152" t="s">
        <v>446</v>
      </c>
      <c r="B29" s="153">
        <v>15500</v>
      </c>
      <c r="C29" s="153">
        <v>146100</v>
      </c>
      <c r="D29" s="154">
        <f t="shared" si="0"/>
        <v>161600</v>
      </c>
      <c r="E29" s="153">
        <v>200</v>
      </c>
      <c r="F29" s="153">
        <v>0</v>
      </c>
      <c r="G29" s="119">
        <f t="shared" si="1"/>
        <v>200</v>
      </c>
      <c r="H29" s="153">
        <v>0</v>
      </c>
      <c r="I29" s="153">
        <v>0</v>
      </c>
      <c r="J29" s="154">
        <f t="shared" si="2"/>
        <v>0</v>
      </c>
      <c r="K29" s="153">
        <v>0</v>
      </c>
      <c r="L29" s="153">
        <v>0</v>
      </c>
      <c r="M29" s="154">
        <f t="shared" si="3"/>
        <v>0</v>
      </c>
      <c r="N29" s="153">
        <v>0</v>
      </c>
      <c r="O29" s="153">
        <v>0</v>
      </c>
      <c r="P29" s="119">
        <f t="shared" si="4"/>
        <v>0</v>
      </c>
      <c r="Q29" s="155">
        <v>12000</v>
      </c>
      <c r="R29" s="155">
        <v>0</v>
      </c>
      <c r="S29" s="156">
        <f t="shared" si="5"/>
        <v>12000</v>
      </c>
      <c r="U29" s="157">
        <v>3495</v>
      </c>
    </row>
    <row r="30" spans="1:26" ht="28.5" customHeight="1">
      <c r="A30" s="158" t="s">
        <v>447</v>
      </c>
      <c r="B30" s="142">
        <v>164250</v>
      </c>
      <c r="C30" s="142">
        <v>5150</v>
      </c>
      <c r="D30" s="143">
        <f t="shared" si="0"/>
        <v>169400</v>
      </c>
      <c r="E30" s="142">
        <v>1130</v>
      </c>
      <c r="F30" s="142">
        <v>4</v>
      </c>
      <c r="G30" s="119">
        <f t="shared" si="1"/>
        <v>1134</v>
      </c>
      <c r="H30" s="142">
        <v>0</v>
      </c>
      <c r="I30" s="142">
        <v>0</v>
      </c>
      <c r="J30" s="143">
        <f t="shared" si="2"/>
        <v>0</v>
      </c>
      <c r="K30" s="142">
        <v>0</v>
      </c>
      <c r="L30" s="142">
        <v>0</v>
      </c>
      <c r="M30" s="143">
        <f t="shared" si="3"/>
        <v>0</v>
      </c>
      <c r="N30" s="142">
        <v>0</v>
      </c>
      <c r="O30" s="142">
        <v>0</v>
      </c>
      <c r="P30" s="119">
        <f t="shared" si="4"/>
        <v>0</v>
      </c>
      <c r="Q30" s="40">
        <v>0</v>
      </c>
      <c r="R30" s="40">
        <v>0</v>
      </c>
      <c r="S30" s="144">
        <f t="shared" si="5"/>
        <v>0</v>
      </c>
      <c r="U30" s="146">
        <f>SUM(U28:U29)</f>
        <v>73220</v>
      </c>
    </row>
    <row r="31" spans="1:26" ht="28.5" customHeight="1">
      <c r="A31" s="158" t="s">
        <v>448</v>
      </c>
      <c r="B31" s="142">
        <v>88150</v>
      </c>
      <c r="C31" s="142">
        <v>3030</v>
      </c>
      <c r="D31" s="143">
        <f t="shared" si="0"/>
        <v>91180</v>
      </c>
      <c r="E31" s="142">
        <v>645</v>
      </c>
      <c r="F31" s="142">
        <v>0</v>
      </c>
      <c r="G31" s="119">
        <f t="shared" si="1"/>
        <v>645</v>
      </c>
      <c r="H31" s="142"/>
      <c r="I31" s="142"/>
      <c r="J31" s="143">
        <f t="shared" si="2"/>
        <v>0</v>
      </c>
      <c r="K31" s="142"/>
      <c r="L31" s="142"/>
      <c r="M31" s="143">
        <f t="shared" si="3"/>
        <v>0</v>
      </c>
      <c r="N31" s="142"/>
      <c r="O31" s="142"/>
      <c r="P31" s="119">
        <f t="shared" si="4"/>
        <v>0</v>
      </c>
      <c r="Q31" s="40"/>
      <c r="R31" s="40"/>
      <c r="S31" s="144">
        <f t="shared" si="5"/>
        <v>0</v>
      </c>
      <c r="T31" s="1"/>
      <c r="U31" s="1"/>
      <c r="V31" s="1"/>
      <c r="W31" s="1"/>
      <c r="X31" s="1"/>
      <c r="Y31" s="1"/>
      <c r="Z31" s="1"/>
    </row>
    <row r="32" spans="1:26" ht="28.5" customHeight="1">
      <c r="A32" s="159" t="s">
        <v>449</v>
      </c>
      <c r="B32" s="160">
        <v>80550</v>
      </c>
      <c r="C32" s="160">
        <v>50</v>
      </c>
      <c r="D32" s="161">
        <f t="shared" si="0"/>
        <v>80600</v>
      </c>
      <c r="E32" s="160">
        <v>758</v>
      </c>
      <c r="F32" s="160">
        <v>30</v>
      </c>
      <c r="G32" s="119">
        <f t="shared" si="1"/>
        <v>788</v>
      </c>
      <c r="H32" s="160"/>
      <c r="I32" s="160"/>
      <c r="J32" s="161">
        <f t="shared" si="2"/>
        <v>0</v>
      </c>
      <c r="K32" s="160"/>
      <c r="L32" s="160"/>
      <c r="M32" s="161">
        <f t="shared" si="3"/>
        <v>0</v>
      </c>
      <c r="N32" s="160"/>
      <c r="O32" s="160"/>
      <c r="P32" s="119">
        <f t="shared" si="4"/>
        <v>0</v>
      </c>
      <c r="Q32" s="162"/>
      <c r="R32" s="162"/>
      <c r="S32" s="163">
        <f t="shared" si="5"/>
        <v>0</v>
      </c>
      <c r="U32" s="157">
        <v>2850</v>
      </c>
    </row>
    <row r="33" spans="1:26" ht="28.5" customHeight="1">
      <c r="A33" s="159" t="s">
        <v>450</v>
      </c>
      <c r="B33" s="160">
        <v>31900</v>
      </c>
      <c r="C33" s="160">
        <v>1500</v>
      </c>
      <c r="D33" s="161">
        <f t="shared" si="0"/>
        <v>33400</v>
      </c>
      <c r="E33" s="160">
        <v>640</v>
      </c>
      <c r="F33" s="160">
        <v>10</v>
      </c>
      <c r="G33" s="119">
        <f t="shared" si="1"/>
        <v>650</v>
      </c>
      <c r="H33" s="160"/>
      <c r="I33" s="160"/>
      <c r="J33" s="161">
        <f t="shared" si="2"/>
        <v>0</v>
      </c>
      <c r="K33" s="160"/>
      <c r="L33" s="160"/>
      <c r="M33" s="161">
        <f t="shared" si="3"/>
        <v>0</v>
      </c>
      <c r="N33" s="160"/>
      <c r="O33" s="160"/>
      <c r="P33" s="119">
        <f t="shared" si="4"/>
        <v>0</v>
      </c>
      <c r="Q33" s="162"/>
      <c r="R33" s="162"/>
      <c r="S33" s="163">
        <f t="shared" si="5"/>
        <v>0</v>
      </c>
      <c r="U33" s="157">
        <v>645</v>
      </c>
    </row>
    <row r="34" spans="1:26" ht="28.5" customHeight="1">
      <c r="A34" s="164" t="s">
        <v>451</v>
      </c>
      <c r="B34" s="160">
        <v>45500</v>
      </c>
      <c r="C34" s="160">
        <v>0</v>
      </c>
      <c r="D34" s="161">
        <f t="shared" si="0"/>
        <v>45500</v>
      </c>
      <c r="E34" s="160">
        <v>445</v>
      </c>
      <c r="F34" s="160">
        <v>0</v>
      </c>
      <c r="G34" s="119">
        <f t="shared" si="1"/>
        <v>445</v>
      </c>
      <c r="H34" s="160"/>
      <c r="I34" s="160"/>
      <c r="J34" s="161">
        <f t="shared" si="2"/>
        <v>0</v>
      </c>
      <c r="K34" s="160"/>
      <c r="L34" s="160"/>
      <c r="M34" s="161">
        <f t="shared" si="3"/>
        <v>0</v>
      </c>
      <c r="N34" s="160"/>
      <c r="O34" s="160"/>
      <c r="P34" s="119">
        <f t="shared" si="4"/>
        <v>0</v>
      </c>
      <c r="Q34" s="162"/>
      <c r="R34" s="162"/>
      <c r="S34" s="163">
        <f t="shared" si="5"/>
        <v>0</v>
      </c>
      <c r="U34" s="165">
        <f>SUM(U32:U33)</f>
        <v>3495</v>
      </c>
      <c r="V34" s="65"/>
    </row>
    <row r="35" spans="1:26" ht="28.5" customHeight="1">
      <c r="A35" s="159" t="s">
        <v>452</v>
      </c>
      <c r="B35" s="160">
        <v>5750</v>
      </c>
      <c r="C35" s="160">
        <v>1500</v>
      </c>
      <c r="D35" s="161">
        <f t="shared" si="0"/>
        <v>7250</v>
      </c>
      <c r="E35" s="160">
        <v>141</v>
      </c>
      <c r="F35" s="160">
        <v>0</v>
      </c>
      <c r="G35" s="119">
        <f t="shared" si="1"/>
        <v>141</v>
      </c>
      <c r="H35" s="160"/>
      <c r="I35" s="160"/>
      <c r="J35" s="161">
        <f t="shared" si="2"/>
        <v>0</v>
      </c>
      <c r="K35" s="160"/>
      <c r="L35" s="160"/>
      <c r="M35" s="161">
        <f t="shared" si="3"/>
        <v>0</v>
      </c>
      <c r="N35" s="160"/>
      <c r="O35" s="160"/>
      <c r="P35" s="119">
        <f t="shared" si="4"/>
        <v>0</v>
      </c>
      <c r="Q35" s="162"/>
      <c r="R35" s="162"/>
      <c r="S35" s="163">
        <f t="shared" si="5"/>
        <v>0</v>
      </c>
      <c r="V35" s="65"/>
    </row>
    <row r="36" spans="1:26" ht="28.5" customHeight="1">
      <c r="A36" s="145" t="s">
        <v>453</v>
      </c>
      <c r="B36" s="140">
        <v>407550</v>
      </c>
      <c r="C36" s="140">
        <v>66000</v>
      </c>
      <c r="D36" s="141">
        <f t="shared" si="0"/>
        <v>473550</v>
      </c>
      <c r="E36" s="140">
        <v>586</v>
      </c>
      <c r="F36" s="140">
        <v>0</v>
      </c>
      <c r="G36" s="119">
        <f t="shared" si="1"/>
        <v>586</v>
      </c>
      <c r="H36" s="140"/>
      <c r="I36" s="140"/>
      <c r="J36" s="141">
        <f t="shared" si="2"/>
        <v>0</v>
      </c>
      <c r="K36" s="140"/>
      <c r="L36" s="140"/>
      <c r="M36" s="141">
        <f t="shared" si="3"/>
        <v>0</v>
      </c>
      <c r="N36" s="140">
        <v>200</v>
      </c>
      <c r="O36" s="140">
        <v>0</v>
      </c>
      <c r="P36" s="119">
        <f t="shared" si="4"/>
        <v>200</v>
      </c>
      <c r="Q36" s="166"/>
      <c r="R36" s="166"/>
      <c r="S36" s="167">
        <f t="shared" si="5"/>
        <v>0</v>
      </c>
      <c r="V36" s="65"/>
    </row>
    <row r="37" spans="1:26" ht="28.5" customHeight="1">
      <c r="A37" s="145" t="s">
        <v>454</v>
      </c>
      <c r="B37" s="140">
        <v>7050</v>
      </c>
      <c r="C37" s="140">
        <v>0</v>
      </c>
      <c r="D37" s="141">
        <f t="shared" si="0"/>
        <v>7050</v>
      </c>
      <c r="E37" s="140">
        <v>20</v>
      </c>
      <c r="F37" s="140">
        <v>0</v>
      </c>
      <c r="G37" s="119">
        <f t="shared" si="1"/>
        <v>20</v>
      </c>
      <c r="H37" s="140"/>
      <c r="I37" s="140"/>
      <c r="J37" s="141">
        <f t="shared" si="2"/>
        <v>0</v>
      </c>
      <c r="K37" s="140"/>
      <c r="L37" s="140"/>
      <c r="M37" s="141">
        <f t="shared" si="3"/>
        <v>0</v>
      </c>
      <c r="N37" s="140">
        <v>0</v>
      </c>
      <c r="O37" s="140"/>
      <c r="P37" s="119">
        <f t="shared" si="4"/>
        <v>0</v>
      </c>
      <c r="Q37" s="166"/>
      <c r="R37" s="166"/>
      <c r="S37" s="167">
        <f t="shared" si="5"/>
        <v>0</v>
      </c>
      <c r="U37" s="65">
        <f>SUM(S29:S78)</f>
        <v>19103</v>
      </c>
      <c r="V37" s="150"/>
    </row>
    <row r="38" spans="1:26" ht="28.5" customHeight="1">
      <c r="A38" s="168" t="s">
        <v>455</v>
      </c>
      <c r="B38" s="169">
        <v>113600</v>
      </c>
      <c r="C38" s="169">
        <v>0</v>
      </c>
      <c r="D38" s="170">
        <f t="shared" si="0"/>
        <v>113600</v>
      </c>
      <c r="E38" s="169">
        <v>320</v>
      </c>
      <c r="F38" s="169"/>
      <c r="G38" s="119">
        <f t="shared" si="1"/>
        <v>320</v>
      </c>
      <c r="H38" s="169"/>
      <c r="I38" s="169"/>
      <c r="J38" s="170">
        <f t="shared" si="2"/>
        <v>0</v>
      </c>
      <c r="K38" s="169"/>
      <c r="L38" s="169"/>
      <c r="M38" s="170">
        <f t="shared" si="3"/>
        <v>0</v>
      </c>
      <c r="N38" s="169">
        <v>10800</v>
      </c>
      <c r="O38" s="169">
        <v>0</v>
      </c>
      <c r="P38" s="119">
        <f t="shared" si="4"/>
        <v>10800</v>
      </c>
      <c r="Q38" s="171"/>
      <c r="R38" s="171"/>
      <c r="S38" s="172">
        <f t="shared" si="5"/>
        <v>0</v>
      </c>
      <c r="V38" s="65"/>
    </row>
    <row r="39" spans="1:26" ht="28.5" customHeight="1">
      <c r="A39" s="168" t="s">
        <v>456</v>
      </c>
      <c r="B39" s="169">
        <v>16000</v>
      </c>
      <c r="C39" s="169">
        <v>500</v>
      </c>
      <c r="D39" s="170">
        <f t="shared" si="0"/>
        <v>16500</v>
      </c>
      <c r="E39" s="169">
        <v>95</v>
      </c>
      <c r="F39" s="169">
        <v>0</v>
      </c>
      <c r="G39" s="119">
        <f t="shared" si="1"/>
        <v>95</v>
      </c>
      <c r="H39" s="169"/>
      <c r="I39" s="169"/>
      <c r="J39" s="170">
        <f t="shared" si="2"/>
        <v>0</v>
      </c>
      <c r="K39" s="169"/>
      <c r="L39" s="169"/>
      <c r="M39" s="170">
        <f t="shared" si="3"/>
        <v>0</v>
      </c>
      <c r="N39" s="169">
        <v>4500</v>
      </c>
      <c r="O39" s="169">
        <v>0</v>
      </c>
      <c r="P39" s="119">
        <f t="shared" si="4"/>
        <v>4500</v>
      </c>
      <c r="Q39" s="171"/>
      <c r="R39" s="171"/>
      <c r="S39" s="172">
        <f t="shared" si="5"/>
        <v>0</v>
      </c>
    </row>
    <row r="40" spans="1:26" ht="28.5" customHeight="1">
      <c r="A40" s="168" t="s">
        <v>457</v>
      </c>
      <c r="B40" s="169">
        <v>8600</v>
      </c>
      <c r="C40" s="169">
        <v>25500</v>
      </c>
      <c r="D40" s="170">
        <f t="shared" si="0"/>
        <v>34100</v>
      </c>
      <c r="E40" s="169">
        <v>0</v>
      </c>
      <c r="F40" s="169">
        <v>0</v>
      </c>
      <c r="G40" s="119">
        <f t="shared" si="1"/>
        <v>0</v>
      </c>
      <c r="H40" s="169"/>
      <c r="I40" s="169"/>
      <c r="J40" s="170">
        <f t="shared" si="2"/>
        <v>0</v>
      </c>
      <c r="K40" s="169"/>
      <c r="L40" s="169"/>
      <c r="M40" s="170">
        <f t="shared" si="3"/>
        <v>0</v>
      </c>
      <c r="N40" s="169">
        <v>0</v>
      </c>
      <c r="O40" s="169">
        <v>8100</v>
      </c>
      <c r="P40" s="119">
        <f t="shared" si="4"/>
        <v>8100</v>
      </c>
      <c r="Q40" s="171"/>
      <c r="R40" s="171"/>
      <c r="S40" s="172">
        <f t="shared" si="5"/>
        <v>0</v>
      </c>
      <c r="V40" s="65"/>
    </row>
    <row r="41" spans="1:26" ht="28.5" customHeight="1">
      <c r="A41" s="168" t="s">
        <v>458</v>
      </c>
      <c r="B41" s="169">
        <v>0</v>
      </c>
      <c r="C41" s="169">
        <v>0</v>
      </c>
      <c r="D41" s="170">
        <f t="shared" si="0"/>
        <v>0</v>
      </c>
      <c r="E41" s="169">
        <v>0</v>
      </c>
      <c r="F41" s="169">
        <v>0</v>
      </c>
      <c r="G41" s="119">
        <f t="shared" si="1"/>
        <v>0</v>
      </c>
      <c r="H41" s="169"/>
      <c r="I41" s="169"/>
      <c r="J41" s="170">
        <f t="shared" si="2"/>
        <v>0</v>
      </c>
      <c r="K41" s="169"/>
      <c r="L41" s="169"/>
      <c r="M41" s="170">
        <f t="shared" si="3"/>
        <v>0</v>
      </c>
      <c r="N41" s="169">
        <v>0</v>
      </c>
      <c r="O41" s="169">
        <v>110000</v>
      </c>
      <c r="P41" s="119">
        <f t="shared" si="4"/>
        <v>110000</v>
      </c>
      <c r="Q41" s="171"/>
      <c r="R41" s="171"/>
      <c r="S41" s="172">
        <f t="shared" si="5"/>
        <v>0</v>
      </c>
      <c r="V41" s="65"/>
    </row>
    <row r="42" spans="1:26" ht="28.5" customHeight="1">
      <c r="A42" s="158" t="s">
        <v>459</v>
      </c>
      <c r="B42" s="142">
        <v>69750</v>
      </c>
      <c r="C42" s="142">
        <v>0</v>
      </c>
      <c r="D42" s="143">
        <f t="shared" si="0"/>
        <v>69750</v>
      </c>
      <c r="E42" s="142">
        <v>242</v>
      </c>
      <c r="F42" s="142">
        <v>0</v>
      </c>
      <c r="G42" s="119">
        <f t="shared" si="1"/>
        <v>242</v>
      </c>
      <c r="H42" s="142"/>
      <c r="I42" s="142"/>
      <c r="J42" s="143">
        <f t="shared" si="2"/>
        <v>0</v>
      </c>
      <c r="K42" s="142"/>
      <c r="L42" s="142"/>
      <c r="M42" s="143">
        <f t="shared" si="3"/>
        <v>0</v>
      </c>
      <c r="N42" s="142">
        <v>2300</v>
      </c>
      <c r="O42" s="142">
        <v>0</v>
      </c>
      <c r="P42" s="119">
        <f t="shared" si="4"/>
        <v>2300</v>
      </c>
      <c r="Q42" s="40"/>
      <c r="R42" s="40"/>
      <c r="S42" s="144">
        <f t="shared" si="5"/>
        <v>0</v>
      </c>
    </row>
    <row r="43" spans="1:26" ht="28.5" customHeight="1">
      <c r="A43" s="158" t="s">
        <v>460</v>
      </c>
      <c r="B43" s="142">
        <v>8150</v>
      </c>
      <c r="C43" s="142">
        <v>1000</v>
      </c>
      <c r="D43" s="143">
        <f t="shared" si="0"/>
        <v>9150</v>
      </c>
      <c r="E43" s="142">
        <v>20</v>
      </c>
      <c r="F43" s="142">
        <v>0</v>
      </c>
      <c r="G43" s="119">
        <f t="shared" si="1"/>
        <v>20</v>
      </c>
      <c r="H43" s="142"/>
      <c r="I43" s="142"/>
      <c r="J43" s="143">
        <f t="shared" si="2"/>
        <v>0</v>
      </c>
      <c r="K43" s="142"/>
      <c r="L43" s="142"/>
      <c r="M43" s="143">
        <f t="shared" si="3"/>
        <v>0</v>
      </c>
      <c r="N43" s="142">
        <v>3550</v>
      </c>
      <c r="O43" s="142">
        <v>0</v>
      </c>
      <c r="P43" s="119">
        <f t="shared" si="4"/>
        <v>3550</v>
      </c>
      <c r="Q43" s="40">
        <v>0</v>
      </c>
      <c r="R43" s="40">
        <v>160</v>
      </c>
      <c r="S43" s="144">
        <f t="shared" si="5"/>
        <v>160</v>
      </c>
      <c r="T43" s="65"/>
    </row>
    <row r="44" spans="1:26" ht="28.5" customHeight="1">
      <c r="A44" s="158" t="s">
        <v>461</v>
      </c>
      <c r="B44" s="142">
        <v>7200</v>
      </c>
      <c r="C44" s="142">
        <v>0</v>
      </c>
      <c r="D44" s="143">
        <f t="shared" si="0"/>
        <v>7200</v>
      </c>
      <c r="E44" s="142">
        <v>40</v>
      </c>
      <c r="F44" s="142">
        <v>0</v>
      </c>
      <c r="G44" s="119">
        <f t="shared" si="1"/>
        <v>40</v>
      </c>
      <c r="H44" s="142"/>
      <c r="I44" s="142"/>
      <c r="J44" s="143">
        <f t="shared" si="2"/>
        <v>0</v>
      </c>
      <c r="K44" s="142"/>
      <c r="L44" s="142"/>
      <c r="M44" s="143">
        <f t="shared" si="3"/>
        <v>0</v>
      </c>
      <c r="N44" s="142"/>
      <c r="O44" s="142"/>
      <c r="P44" s="119">
        <f t="shared" si="4"/>
        <v>0</v>
      </c>
      <c r="Q44" s="40"/>
      <c r="R44" s="40"/>
      <c r="S44" s="144">
        <f t="shared" si="5"/>
        <v>0</v>
      </c>
      <c r="T44" s="65"/>
    </row>
    <row r="45" spans="1:26" ht="28.5" customHeight="1">
      <c r="A45" s="158" t="s">
        <v>462</v>
      </c>
      <c r="B45" s="142">
        <v>15900</v>
      </c>
      <c r="C45" s="142">
        <v>4000</v>
      </c>
      <c r="D45" s="143">
        <f t="shared" si="0"/>
        <v>19900</v>
      </c>
      <c r="E45" s="142">
        <v>0</v>
      </c>
      <c r="F45" s="142">
        <v>0</v>
      </c>
      <c r="G45" s="119">
        <f t="shared" si="1"/>
        <v>0</v>
      </c>
      <c r="H45" s="142"/>
      <c r="I45" s="142"/>
      <c r="J45" s="143">
        <f t="shared" si="2"/>
        <v>0</v>
      </c>
      <c r="K45" s="142"/>
      <c r="L45" s="142"/>
      <c r="M45" s="143">
        <f t="shared" si="3"/>
        <v>0</v>
      </c>
      <c r="N45" s="142"/>
      <c r="O45" s="142"/>
      <c r="P45" s="119">
        <f t="shared" si="4"/>
        <v>0</v>
      </c>
      <c r="Q45" s="40"/>
      <c r="R45" s="40"/>
      <c r="S45" s="144">
        <f t="shared" si="5"/>
        <v>0</v>
      </c>
      <c r="T45" s="173"/>
      <c r="U45" s="1"/>
      <c r="V45" s="1"/>
      <c r="W45" s="1"/>
      <c r="X45" s="1"/>
      <c r="Y45" s="1"/>
      <c r="Z45" s="1"/>
    </row>
    <row r="46" spans="1:26" ht="28.5" customHeight="1">
      <c r="A46" s="174" t="s">
        <v>463</v>
      </c>
      <c r="B46" s="175">
        <v>238050</v>
      </c>
      <c r="C46" s="175">
        <v>56600</v>
      </c>
      <c r="D46" s="176">
        <f t="shared" si="0"/>
        <v>294650</v>
      </c>
      <c r="E46" s="175">
        <v>0</v>
      </c>
      <c r="F46" s="175">
        <v>20</v>
      </c>
      <c r="G46" s="177">
        <f t="shared" si="1"/>
        <v>20</v>
      </c>
      <c r="H46" s="175">
        <v>0</v>
      </c>
      <c r="I46" s="175">
        <v>0</v>
      </c>
      <c r="J46" s="176">
        <f t="shared" si="2"/>
        <v>0</v>
      </c>
      <c r="K46" s="175">
        <v>0</v>
      </c>
      <c r="L46" s="175">
        <v>0</v>
      </c>
      <c r="M46" s="176">
        <f t="shared" si="3"/>
        <v>0</v>
      </c>
      <c r="N46" s="175">
        <v>0</v>
      </c>
      <c r="O46" s="175">
        <v>0</v>
      </c>
      <c r="P46" s="177">
        <f t="shared" si="4"/>
        <v>0</v>
      </c>
      <c r="Q46" s="48"/>
      <c r="R46" s="48"/>
      <c r="S46" s="178">
        <f t="shared" si="5"/>
        <v>0</v>
      </c>
      <c r="T46" s="173"/>
      <c r="U46" s="1"/>
      <c r="V46" s="1"/>
      <c r="W46" s="1"/>
      <c r="X46" s="1"/>
      <c r="Y46" s="1"/>
      <c r="Z46" s="1"/>
    </row>
    <row r="47" spans="1:26" ht="28.5" customHeight="1">
      <c r="A47" s="179" t="s">
        <v>464</v>
      </c>
      <c r="B47" s="180">
        <v>104550</v>
      </c>
      <c r="C47" s="180">
        <v>15650</v>
      </c>
      <c r="D47" s="181">
        <f t="shared" si="0"/>
        <v>120200</v>
      </c>
      <c r="E47" s="180">
        <v>0</v>
      </c>
      <c r="F47" s="180">
        <v>200</v>
      </c>
      <c r="G47" s="181">
        <f t="shared" si="1"/>
        <v>200</v>
      </c>
      <c r="H47" s="180"/>
      <c r="I47" s="180"/>
      <c r="J47" s="181">
        <f t="shared" si="2"/>
        <v>0</v>
      </c>
      <c r="K47" s="180"/>
      <c r="L47" s="180"/>
      <c r="M47" s="181">
        <f t="shared" si="3"/>
        <v>0</v>
      </c>
      <c r="N47" s="180">
        <v>2000</v>
      </c>
      <c r="O47" s="180">
        <v>0</v>
      </c>
      <c r="P47" s="181">
        <f t="shared" si="4"/>
        <v>2000</v>
      </c>
      <c r="Q47" s="182"/>
      <c r="R47" s="182"/>
      <c r="S47" s="183">
        <f t="shared" si="5"/>
        <v>0</v>
      </c>
      <c r="T47" s="65"/>
    </row>
    <row r="48" spans="1:26" ht="28.5" customHeight="1">
      <c r="A48" s="184" t="s">
        <v>465</v>
      </c>
      <c r="B48" s="185">
        <v>204350</v>
      </c>
      <c r="C48" s="185">
        <v>0</v>
      </c>
      <c r="D48" s="186">
        <f t="shared" si="0"/>
        <v>204350</v>
      </c>
      <c r="E48" s="185">
        <v>0</v>
      </c>
      <c r="F48" s="185">
        <v>10</v>
      </c>
      <c r="G48" s="186">
        <f t="shared" si="1"/>
        <v>10</v>
      </c>
      <c r="H48" s="185"/>
      <c r="I48" s="185"/>
      <c r="J48" s="186">
        <f t="shared" si="2"/>
        <v>0</v>
      </c>
      <c r="K48" s="185"/>
      <c r="L48" s="185"/>
      <c r="M48" s="186">
        <f t="shared" si="3"/>
        <v>0</v>
      </c>
      <c r="N48" s="185">
        <v>400</v>
      </c>
      <c r="O48" s="185">
        <v>0</v>
      </c>
      <c r="P48" s="186">
        <f t="shared" si="4"/>
        <v>400</v>
      </c>
      <c r="Q48" s="187"/>
      <c r="R48" s="187"/>
      <c r="S48" s="188">
        <f t="shared" si="5"/>
        <v>0</v>
      </c>
      <c r="T48" s="189"/>
    </row>
    <row r="49" spans="1:22" ht="28.5" customHeight="1">
      <c r="A49" s="184" t="s">
        <v>466</v>
      </c>
      <c r="B49" s="185">
        <v>17000</v>
      </c>
      <c r="C49" s="185">
        <v>500</v>
      </c>
      <c r="D49" s="186">
        <f t="shared" si="0"/>
        <v>17500</v>
      </c>
      <c r="E49" s="185"/>
      <c r="F49" s="185"/>
      <c r="G49" s="186">
        <f t="shared" si="1"/>
        <v>0</v>
      </c>
      <c r="H49" s="185"/>
      <c r="I49" s="185"/>
      <c r="J49" s="186">
        <f t="shared" si="2"/>
        <v>0</v>
      </c>
      <c r="K49" s="185"/>
      <c r="L49" s="185"/>
      <c r="M49" s="186">
        <f t="shared" si="3"/>
        <v>0</v>
      </c>
      <c r="N49" s="185"/>
      <c r="O49" s="185"/>
      <c r="P49" s="186">
        <f t="shared" si="4"/>
        <v>0</v>
      </c>
      <c r="Q49" s="187"/>
      <c r="R49" s="187"/>
      <c r="S49" s="188">
        <f t="shared" si="5"/>
        <v>0</v>
      </c>
      <c r="T49" s="173"/>
    </row>
    <row r="50" spans="1:22" ht="28.5" customHeight="1">
      <c r="A50" s="190" t="s">
        <v>467</v>
      </c>
      <c r="B50" s="185">
        <v>35150</v>
      </c>
      <c r="C50" s="185">
        <v>72000</v>
      </c>
      <c r="D50" s="186">
        <f t="shared" si="0"/>
        <v>107150</v>
      </c>
      <c r="E50" s="185">
        <v>12</v>
      </c>
      <c r="F50" s="185">
        <v>55</v>
      </c>
      <c r="G50" s="186">
        <f t="shared" si="1"/>
        <v>67</v>
      </c>
      <c r="H50" s="185"/>
      <c r="I50" s="185"/>
      <c r="J50" s="186">
        <f t="shared" si="2"/>
        <v>0</v>
      </c>
      <c r="K50" s="185"/>
      <c r="L50" s="185"/>
      <c r="M50" s="186">
        <f t="shared" si="3"/>
        <v>0</v>
      </c>
      <c r="N50" s="185">
        <v>450</v>
      </c>
      <c r="O50" s="185">
        <v>0</v>
      </c>
      <c r="P50" s="186">
        <f t="shared" si="4"/>
        <v>450</v>
      </c>
      <c r="Q50" s="187"/>
      <c r="R50" s="187"/>
      <c r="S50" s="188">
        <f t="shared" si="5"/>
        <v>0</v>
      </c>
      <c r="T50" s="65"/>
    </row>
    <row r="51" spans="1:22" ht="28.5" customHeight="1">
      <c r="A51" s="190" t="s">
        <v>468</v>
      </c>
      <c r="B51" s="185">
        <v>64700</v>
      </c>
      <c r="C51" s="185">
        <v>22500</v>
      </c>
      <c r="D51" s="186">
        <f t="shared" si="0"/>
        <v>87200</v>
      </c>
      <c r="E51" s="185">
        <v>30</v>
      </c>
      <c r="F51" s="185">
        <v>20</v>
      </c>
      <c r="G51" s="186">
        <f t="shared" si="1"/>
        <v>50</v>
      </c>
      <c r="H51" s="185"/>
      <c r="I51" s="185"/>
      <c r="J51" s="186">
        <f t="shared" si="2"/>
        <v>0</v>
      </c>
      <c r="K51" s="185">
        <v>0</v>
      </c>
      <c r="L51" s="185">
        <v>4000</v>
      </c>
      <c r="M51" s="186">
        <f t="shared" si="3"/>
        <v>4000</v>
      </c>
      <c r="N51" s="185"/>
      <c r="O51" s="185"/>
      <c r="P51" s="186">
        <f t="shared" si="4"/>
        <v>0</v>
      </c>
      <c r="Q51" s="187"/>
      <c r="R51" s="187"/>
      <c r="S51" s="188">
        <f t="shared" si="5"/>
        <v>0</v>
      </c>
      <c r="T51" s="173"/>
      <c r="U51" s="150"/>
      <c r="V51" s="65"/>
    </row>
    <row r="52" spans="1:22" ht="28.5" customHeight="1">
      <c r="A52" s="190" t="s">
        <v>469</v>
      </c>
      <c r="B52" s="185">
        <v>265700</v>
      </c>
      <c r="C52" s="185">
        <v>3500</v>
      </c>
      <c r="D52" s="186">
        <f t="shared" si="0"/>
        <v>269200</v>
      </c>
      <c r="E52" s="185"/>
      <c r="F52" s="185"/>
      <c r="G52" s="186">
        <f t="shared" si="1"/>
        <v>0</v>
      </c>
      <c r="H52" s="185"/>
      <c r="I52" s="185"/>
      <c r="J52" s="186">
        <f t="shared" si="2"/>
        <v>0</v>
      </c>
      <c r="K52" s="185">
        <v>1150</v>
      </c>
      <c r="L52" s="185">
        <v>0</v>
      </c>
      <c r="M52" s="186">
        <f t="shared" si="3"/>
        <v>1150</v>
      </c>
      <c r="N52" s="185"/>
      <c r="O52" s="185"/>
      <c r="P52" s="186">
        <f t="shared" si="4"/>
        <v>0</v>
      </c>
      <c r="Q52" s="187"/>
      <c r="R52" s="187">
        <v>80</v>
      </c>
      <c r="S52" s="188">
        <f t="shared" si="5"/>
        <v>80</v>
      </c>
      <c r="T52" s="65"/>
      <c r="U52" s="150"/>
      <c r="V52" s="65"/>
    </row>
    <row r="53" spans="1:22" ht="28.5" customHeight="1">
      <c r="A53" s="191" t="s">
        <v>470</v>
      </c>
      <c r="B53" s="192">
        <v>43400</v>
      </c>
      <c r="C53" s="192">
        <v>3000</v>
      </c>
      <c r="D53" s="193">
        <f t="shared" si="0"/>
        <v>46400</v>
      </c>
      <c r="E53" s="192"/>
      <c r="F53" s="192"/>
      <c r="G53" s="193">
        <f t="shared" si="1"/>
        <v>0</v>
      </c>
      <c r="H53" s="192"/>
      <c r="I53" s="192"/>
      <c r="J53" s="193">
        <f t="shared" si="2"/>
        <v>0</v>
      </c>
      <c r="K53" s="192"/>
      <c r="L53" s="192"/>
      <c r="M53" s="193">
        <f t="shared" si="3"/>
        <v>0</v>
      </c>
      <c r="N53" s="192"/>
      <c r="O53" s="192"/>
      <c r="P53" s="193">
        <f t="shared" si="4"/>
        <v>0</v>
      </c>
      <c r="Q53" s="194"/>
      <c r="R53" s="194"/>
      <c r="S53" s="195">
        <f t="shared" si="5"/>
        <v>0</v>
      </c>
      <c r="T53" s="65"/>
    </row>
    <row r="54" spans="1:22" ht="28.5" customHeight="1">
      <c r="A54" s="196" t="s">
        <v>471</v>
      </c>
      <c r="B54" s="180">
        <v>33750</v>
      </c>
      <c r="C54" s="180">
        <v>0</v>
      </c>
      <c r="D54" s="181">
        <f t="shared" si="0"/>
        <v>33750</v>
      </c>
      <c r="E54" s="180">
        <v>0</v>
      </c>
      <c r="F54" s="180">
        <v>0</v>
      </c>
      <c r="G54" s="181">
        <f t="shared" si="1"/>
        <v>0</v>
      </c>
      <c r="H54" s="180">
        <v>0</v>
      </c>
      <c r="I54" s="180">
        <v>0</v>
      </c>
      <c r="J54" s="181">
        <f t="shared" si="2"/>
        <v>0</v>
      </c>
      <c r="K54" s="180">
        <v>0</v>
      </c>
      <c r="L54" s="180">
        <v>0</v>
      </c>
      <c r="M54" s="181">
        <f t="shared" si="3"/>
        <v>0</v>
      </c>
      <c r="N54" s="180">
        <v>0</v>
      </c>
      <c r="O54" s="180">
        <v>0</v>
      </c>
      <c r="P54" s="181">
        <f t="shared" si="4"/>
        <v>0</v>
      </c>
      <c r="Q54" s="182">
        <v>0</v>
      </c>
      <c r="R54" s="182">
        <v>0</v>
      </c>
      <c r="S54" s="183">
        <f t="shared" si="5"/>
        <v>0</v>
      </c>
      <c r="T54" s="65"/>
    </row>
    <row r="55" spans="1:22" ht="28.5" customHeight="1">
      <c r="A55" s="184" t="s">
        <v>472</v>
      </c>
      <c r="B55" s="185">
        <v>57280</v>
      </c>
      <c r="C55" s="185"/>
      <c r="D55" s="186">
        <f t="shared" si="0"/>
        <v>57280</v>
      </c>
      <c r="E55" s="185"/>
      <c r="F55" s="185"/>
      <c r="G55" s="186">
        <f t="shared" si="1"/>
        <v>0</v>
      </c>
      <c r="H55" s="185"/>
      <c r="I55" s="185"/>
      <c r="J55" s="186">
        <f t="shared" si="2"/>
        <v>0</v>
      </c>
      <c r="K55" s="185"/>
      <c r="L55" s="185"/>
      <c r="M55" s="186">
        <f t="shared" si="3"/>
        <v>0</v>
      </c>
      <c r="N55" s="185"/>
      <c r="O55" s="185"/>
      <c r="P55" s="186">
        <f t="shared" si="4"/>
        <v>0</v>
      </c>
      <c r="Q55" s="187"/>
      <c r="R55" s="187">
        <v>120</v>
      </c>
      <c r="S55" s="188">
        <f t="shared" si="5"/>
        <v>120</v>
      </c>
      <c r="T55" s="65"/>
    </row>
    <row r="56" spans="1:22" ht="28.5" customHeight="1">
      <c r="A56" s="190" t="s">
        <v>473</v>
      </c>
      <c r="B56" s="185">
        <v>54570</v>
      </c>
      <c r="C56" s="185">
        <v>3600</v>
      </c>
      <c r="D56" s="186">
        <f t="shared" si="0"/>
        <v>58170</v>
      </c>
      <c r="E56" s="185"/>
      <c r="F56" s="185"/>
      <c r="G56" s="186">
        <f t="shared" si="1"/>
        <v>0</v>
      </c>
      <c r="H56" s="185"/>
      <c r="I56" s="185"/>
      <c r="J56" s="186">
        <f t="shared" si="2"/>
        <v>0</v>
      </c>
      <c r="K56" s="185">
        <v>5500</v>
      </c>
      <c r="L56" s="185"/>
      <c r="M56" s="186">
        <f t="shared" si="3"/>
        <v>5500</v>
      </c>
      <c r="N56" s="185"/>
      <c r="O56" s="185"/>
      <c r="P56" s="186">
        <f t="shared" si="4"/>
        <v>0</v>
      </c>
      <c r="Q56" s="187"/>
      <c r="R56" s="187">
        <v>120</v>
      </c>
      <c r="S56" s="188">
        <f t="shared" si="5"/>
        <v>120</v>
      </c>
    </row>
    <row r="57" spans="1:22" ht="28.5" customHeight="1">
      <c r="A57" s="190" t="s">
        <v>474</v>
      </c>
      <c r="B57" s="185">
        <v>6600</v>
      </c>
      <c r="C57" s="185"/>
      <c r="D57" s="186">
        <f t="shared" si="0"/>
        <v>6600</v>
      </c>
      <c r="E57" s="185"/>
      <c r="F57" s="185"/>
      <c r="G57" s="186">
        <f t="shared" si="1"/>
        <v>0</v>
      </c>
      <c r="H57" s="185"/>
      <c r="I57" s="185"/>
      <c r="J57" s="186">
        <f t="shared" si="2"/>
        <v>0</v>
      </c>
      <c r="K57" s="185"/>
      <c r="L57" s="185"/>
      <c r="M57" s="186">
        <f t="shared" si="3"/>
        <v>0</v>
      </c>
      <c r="N57" s="185"/>
      <c r="O57" s="185"/>
      <c r="P57" s="186">
        <f t="shared" si="4"/>
        <v>0</v>
      </c>
      <c r="Q57" s="187"/>
      <c r="R57" s="187"/>
      <c r="S57" s="188">
        <f t="shared" si="5"/>
        <v>0</v>
      </c>
      <c r="T57" s="173"/>
    </row>
    <row r="58" spans="1:22" ht="28.5" customHeight="1">
      <c r="A58" s="184" t="s">
        <v>475</v>
      </c>
      <c r="B58" s="185">
        <v>7450</v>
      </c>
      <c r="C58" s="185">
        <v>570</v>
      </c>
      <c r="D58" s="186">
        <f t="shared" si="0"/>
        <v>8020</v>
      </c>
      <c r="E58" s="185">
        <v>20</v>
      </c>
      <c r="F58" s="185">
        <v>0</v>
      </c>
      <c r="G58" s="186">
        <f t="shared" si="1"/>
        <v>20</v>
      </c>
      <c r="H58" s="185"/>
      <c r="I58" s="185"/>
      <c r="J58" s="186">
        <f t="shared" si="2"/>
        <v>0</v>
      </c>
      <c r="K58" s="185"/>
      <c r="L58" s="185"/>
      <c r="M58" s="186">
        <f t="shared" si="3"/>
        <v>0</v>
      </c>
      <c r="N58" s="185"/>
      <c r="O58" s="185"/>
      <c r="P58" s="186">
        <f t="shared" si="4"/>
        <v>0</v>
      </c>
      <c r="Q58" s="187"/>
      <c r="R58" s="187"/>
      <c r="S58" s="188">
        <f t="shared" si="5"/>
        <v>0</v>
      </c>
      <c r="T58" s="173"/>
    </row>
    <row r="59" spans="1:22" ht="28.5" customHeight="1">
      <c r="A59" s="184" t="s">
        <v>476</v>
      </c>
      <c r="B59" s="185">
        <v>26100</v>
      </c>
      <c r="C59" s="185">
        <v>1400</v>
      </c>
      <c r="D59" s="186">
        <f t="shared" si="0"/>
        <v>27500</v>
      </c>
      <c r="E59" s="185"/>
      <c r="F59" s="185"/>
      <c r="G59" s="186">
        <f t="shared" si="1"/>
        <v>0</v>
      </c>
      <c r="H59" s="185"/>
      <c r="I59" s="185"/>
      <c r="J59" s="186">
        <f t="shared" si="2"/>
        <v>0</v>
      </c>
      <c r="K59" s="185"/>
      <c r="L59" s="185"/>
      <c r="M59" s="186">
        <f t="shared" si="3"/>
        <v>0</v>
      </c>
      <c r="N59" s="185"/>
      <c r="O59" s="185"/>
      <c r="P59" s="186">
        <f t="shared" si="4"/>
        <v>0</v>
      </c>
      <c r="Q59" s="187"/>
      <c r="R59" s="187">
        <v>420</v>
      </c>
      <c r="S59" s="188">
        <f t="shared" si="5"/>
        <v>420</v>
      </c>
      <c r="T59" s="173"/>
    </row>
    <row r="60" spans="1:22" ht="28.5" customHeight="1">
      <c r="A60" s="197" t="s">
        <v>477</v>
      </c>
      <c r="B60" s="192">
        <v>35650</v>
      </c>
      <c r="C60" s="192">
        <v>4500</v>
      </c>
      <c r="D60" s="193">
        <f t="shared" si="0"/>
        <v>40150</v>
      </c>
      <c r="E60" s="192"/>
      <c r="F60" s="192"/>
      <c r="G60" s="193">
        <f t="shared" si="1"/>
        <v>0</v>
      </c>
      <c r="H60" s="192"/>
      <c r="I60" s="192"/>
      <c r="J60" s="193">
        <f t="shared" si="2"/>
        <v>0</v>
      </c>
      <c r="K60" s="192"/>
      <c r="L60" s="192"/>
      <c r="M60" s="193">
        <f t="shared" si="3"/>
        <v>0</v>
      </c>
      <c r="N60" s="192"/>
      <c r="O60" s="192"/>
      <c r="P60" s="193">
        <f t="shared" si="4"/>
        <v>0</v>
      </c>
      <c r="Q60" s="194"/>
      <c r="R60" s="194"/>
      <c r="S60" s="195">
        <f t="shared" si="5"/>
        <v>0</v>
      </c>
      <c r="T60" s="173"/>
    </row>
    <row r="61" spans="1:22" ht="28.5" customHeight="1">
      <c r="A61" s="196" t="s">
        <v>478</v>
      </c>
      <c r="B61" s="180">
        <v>77750</v>
      </c>
      <c r="C61" s="180">
        <v>8000</v>
      </c>
      <c r="D61" s="181">
        <f t="shared" si="0"/>
        <v>85750</v>
      </c>
      <c r="E61" s="180"/>
      <c r="F61" s="180"/>
      <c r="G61" s="181">
        <f t="shared" si="1"/>
        <v>0</v>
      </c>
      <c r="H61" s="180"/>
      <c r="I61" s="180"/>
      <c r="J61" s="181">
        <f t="shared" si="2"/>
        <v>0</v>
      </c>
      <c r="K61" s="180"/>
      <c r="L61" s="180"/>
      <c r="M61" s="181">
        <f t="shared" si="3"/>
        <v>0</v>
      </c>
      <c r="N61" s="180"/>
      <c r="O61" s="180"/>
      <c r="P61" s="181">
        <f t="shared" si="4"/>
        <v>0</v>
      </c>
      <c r="Q61" s="182"/>
      <c r="R61" s="182">
        <v>2000</v>
      </c>
      <c r="S61" s="183">
        <f t="shared" si="5"/>
        <v>2000</v>
      </c>
      <c r="T61" s="65"/>
    </row>
    <row r="62" spans="1:22" ht="28.5" customHeight="1">
      <c r="A62" s="184" t="s">
        <v>479</v>
      </c>
      <c r="B62" s="185">
        <v>46400</v>
      </c>
      <c r="C62" s="185">
        <v>5200</v>
      </c>
      <c r="D62" s="186">
        <f t="shared" si="0"/>
        <v>51600</v>
      </c>
      <c r="E62" s="185"/>
      <c r="F62" s="185"/>
      <c r="G62" s="186">
        <f t="shared" si="1"/>
        <v>0</v>
      </c>
      <c r="H62" s="185"/>
      <c r="I62" s="185"/>
      <c r="J62" s="186">
        <f t="shared" si="2"/>
        <v>0</v>
      </c>
      <c r="K62" s="185"/>
      <c r="L62" s="185"/>
      <c r="M62" s="186">
        <f t="shared" si="3"/>
        <v>0</v>
      </c>
      <c r="N62" s="185"/>
      <c r="O62" s="185"/>
      <c r="P62" s="186">
        <f t="shared" si="4"/>
        <v>0</v>
      </c>
      <c r="Q62" s="187"/>
      <c r="R62" s="187"/>
      <c r="S62" s="188">
        <f t="shared" si="5"/>
        <v>0</v>
      </c>
      <c r="T62" s="65"/>
    </row>
    <row r="63" spans="1:22" ht="28.5" customHeight="1">
      <c r="A63" s="184" t="s">
        <v>480</v>
      </c>
      <c r="B63" s="185">
        <v>236850</v>
      </c>
      <c r="C63" s="185">
        <v>41500</v>
      </c>
      <c r="D63" s="186">
        <f t="shared" si="0"/>
        <v>278350</v>
      </c>
      <c r="E63" s="185">
        <v>23</v>
      </c>
      <c r="F63" s="185"/>
      <c r="G63" s="186">
        <f t="shared" si="1"/>
        <v>23</v>
      </c>
      <c r="H63" s="185"/>
      <c r="I63" s="185"/>
      <c r="J63" s="186">
        <f t="shared" si="2"/>
        <v>0</v>
      </c>
      <c r="K63" s="185">
        <v>4020</v>
      </c>
      <c r="L63" s="185">
        <v>2500</v>
      </c>
      <c r="M63" s="186">
        <f t="shared" si="3"/>
        <v>6520</v>
      </c>
      <c r="N63" s="185"/>
      <c r="O63" s="185"/>
      <c r="P63" s="186">
        <f t="shared" si="4"/>
        <v>0</v>
      </c>
      <c r="Q63" s="187"/>
      <c r="R63" s="187"/>
      <c r="S63" s="188">
        <f t="shared" si="5"/>
        <v>0</v>
      </c>
      <c r="T63" s="65"/>
    </row>
    <row r="64" spans="1:22" ht="28.5" customHeight="1">
      <c r="A64" s="191" t="s">
        <v>481</v>
      </c>
      <c r="B64" s="192">
        <v>21500</v>
      </c>
      <c r="C64" s="192">
        <v>500</v>
      </c>
      <c r="D64" s="193">
        <f t="shared" si="0"/>
        <v>22000</v>
      </c>
      <c r="E64" s="192">
        <v>20</v>
      </c>
      <c r="F64" s="192"/>
      <c r="G64" s="193">
        <f t="shared" si="1"/>
        <v>20</v>
      </c>
      <c r="H64" s="192"/>
      <c r="I64" s="192"/>
      <c r="J64" s="193">
        <f t="shared" si="2"/>
        <v>0</v>
      </c>
      <c r="K64" s="192">
        <v>10300</v>
      </c>
      <c r="L64" s="192"/>
      <c r="M64" s="193">
        <f t="shared" si="3"/>
        <v>10300</v>
      </c>
      <c r="N64" s="192"/>
      <c r="O64" s="192"/>
      <c r="P64" s="193">
        <f t="shared" si="4"/>
        <v>0</v>
      </c>
      <c r="Q64" s="194"/>
      <c r="R64" s="194"/>
      <c r="S64" s="195">
        <f t="shared" si="5"/>
        <v>0</v>
      </c>
      <c r="T64" s="65"/>
    </row>
    <row r="65" spans="1:26" ht="28.5" customHeight="1">
      <c r="A65" s="196" t="s">
        <v>482</v>
      </c>
      <c r="B65" s="180">
        <v>126800</v>
      </c>
      <c r="C65" s="180">
        <v>4500</v>
      </c>
      <c r="D65" s="181">
        <f t="shared" si="0"/>
        <v>131300</v>
      </c>
      <c r="E65" s="180">
        <v>120</v>
      </c>
      <c r="F65" s="180">
        <v>0</v>
      </c>
      <c r="G65" s="181">
        <f t="shared" si="1"/>
        <v>120</v>
      </c>
      <c r="H65" s="180"/>
      <c r="I65" s="180"/>
      <c r="J65" s="181">
        <f t="shared" si="2"/>
        <v>0</v>
      </c>
      <c r="K65" s="180">
        <v>1000</v>
      </c>
      <c r="L65" s="180">
        <v>0</v>
      </c>
      <c r="M65" s="181">
        <f t="shared" si="3"/>
        <v>1000</v>
      </c>
      <c r="N65" s="180">
        <v>0</v>
      </c>
      <c r="O65" s="180">
        <v>645</v>
      </c>
      <c r="P65" s="181">
        <f t="shared" si="4"/>
        <v>645</v>
      </c>
      <c r="Q65" s="182"/>
      <c r="R65" s="182"/>
      <c r="S65" s="183">
        <f t="shared" si="5"/>
        <v>0</v>
      </c>
      <c r="T65" s="173"/>
    </row>
    <row r="66" spans="1:26" ht="28.5" customHeight="1">
      <c r="A66" s="196" t="s">
        <v>483</v>
      </c>
      <c r="B66" s="180">
        <v>64250</v>
      </c>
      <c r="C66" s="180">
        <v>4000</v>
      </c>
      <c r="D66" s="181">
        <f t="shared" si="0"/>
        <v>68250</v>
      </c>
      <c r="E66" s="180">
        <v>200</v>
      </c>
      <c r="F66" s="180">
        <v>0</v>
      </c>
      <c r="G66" s="181">
        <f t="shared" si="1"/>
        <v>200</v>
      </c>
      <c r="H66" s="180"/>
      <c r="I66" s="180"/>
      <c r="J66" s="181">
        <f t="shared" si="2"/>
        <v>0</v>
      </c>
      <c r="K66" s="180">
        <v>4650</v>
      </c>
      <c r="L66" s="180">
        <v>500</v>
      </c>
      <c r="M66" s="181">
        <f t="shared" si="3"/>
        <v>5150</v>
      </c>
      <c r="N66" s="180"/>
      <c r="O66" s="180"/>
      <c r="P66" s="181">
        <f t="shared" si="4"/>
        <v>0</v>
      </c>
      <c r="Q66" s="182"/>
      <c r="R66" s="182"/>
      <c r="S66" s="183">
        <f t="shared" si="5"/>
        <v>0</v>
      </c>
      <c r="T66" s="173"/>
    </row>
    <row r="67" spans="1:26" ht="28.5" customHeight="1">
      <c r="A67" s="196" t="s">
        <v>484</v>
      </c>
      <c r="B67" s="180">
        <v>22000</v>
      </c>
      <c r="C67" s="180">
        <v>1500</v>
      </c>
      <c r="D67" s="181">
        <f t="shared" si="0"/>
        <v>23500</v>
      </c>
      <c r="E67" s="180"/>
      <c r="F67" s="180"/>
      <c r="G67" s="181">
        <f t="shared" si="1"/>
        <v>0</v>
      </c>
      <c r="H67" s="180"/>
      <c r="I67" s="180"/>
      <c r="J67" s="181">
        <f t="shared" si="2"/>
        <v>0</v>
      </c>
      <c r="K67" s="180"/>
      <c r="L67" s="180">
        <v>380</v>
      </c>
      <c r="M67" s="181">
        <f t="shared" si="3"/>
        <v>380</v>
      </c>
      <c r="N67" s="180"/>
      <c r="O67" s="180"/>
      <c r="P67" s="181">
        <f t="shared" si="4"/>
        <v>0</v>
      </c>
      <c r="Q67" s="182"/>
      <c r="R67" s="182"/>
      <c r="S67" s="183">
        <f t="shared" si="5"/>
        <v>0</v>
      </c>
      <c r="T67" s="173"/>
    </row>
    <row r="68" spans="1:26" ht="28.5" customHeight="1">
      <c r="A68" s="196" t="s">
        <v>485</v>
      </c>
      <c r="B68" s="180">
        <v>102100</v>
      </c>
      <c r="C68" s="180">
        <v>4000</v>
      </c>
      <c r="D68" s="181">
        <f t="shared" si="0"/>
        <v>106100</v>
      </c>
      <c r="E68" s="180">
        <v>20</v>
      </c>
      <c r="F68" s="180"/>
      <c r="G68" s="181">
        <f t="shared" si="1"/>
        <v>20</v>
      </c>
      <c r="H68" s="180"/>
      <c r="I68" s="180"/>
      <c r="J68" s="181">
        <f t="shared" si="2"/>
        <v>0</v>
      </c>
      <c r="K68" s="180">
        <v>5750</v>
      </c>
      <c r="L68" s="180">
        <v>200</v>
      </c>
      <c r="M68" s="181">
        <f t="shared" si="3"/>
        <v>5950</v>
      </c>
      <c r="N68" s="180"/>
      <c r="O68" s="180"/>
      <c r="P68" s="181">
        <f t="shared" si="4"/>
        <v>0</v>
      </c>
      <c r="Q68" s="182"/>
      <c r="R68" s="182">
        <v>4000</v>
      </c>
      <c r="S68" s="183">
        <f t="shared" si="5"/>
        <v>4000</v>
      </c>
      <c r="T68" s="173"/>
    </row>
    <row r="69" spans="1:26" ht="28.5" customHeight="1">
      <c r="A69" s="191" t="s">
        <v>486</v>
      </c>
      <c r="B69" s="192">
        <v>237750</v>
      </c>
      <c r="C69" s="192">
        <v>23000</v>
      </c>
      <c r="D69" s="193">
        <f t="shared" si="0"/>
        <v>260750</v>
      </c>
      <c r="E69" s="192">
        <v>200</v>
      </c>
      <c r="F69" s="192">
        <v>50</v>
      </c>
      <c r="G69" s="193">
        <f t="shared" si="1"/>
        <v>250</v>
      </c>
      <c r="H69" s="192">
        <v>0</v>
      </c>
      <c r="I69" s="192">
        <v>0</v>
      </c>
      <c r="J69" s="193">
        <f t="shared" si="2"/>
        <v>0</v>
      </c>
      <c r="K69" s="192">
        <v>1875</v>
      </c>
      <c r="L69" s="192">
        <v>20</v>
      </c>
      <c r="M69" s="193">
        <f t="shared" si="3"/>
        <v>1895</v>
      </c>
      <c r="N69" s="192">
        <v>0</v>
      </c>
      <c r="O69" s="192">
        <v>0</v>
      </c>
      <c r="P69" s="193">
        <f t="shared" si="4"/>
        <v>0</v>
      </c>
      <c r="Q69" s="194">
        <v>0</v>
      </c>
      <c r="R69" s="194">
        <v>0</v>
      </c>
      <c r="S69" s="195">
        <f t="shared" si="5"/>
        <v>0</v>
      </c>
      <c r="T69" s="173"/>
    </row>
    <row r="70" spans="1:26" ht="28.5" customHeight="1">
      <c r="A70" s="196" t="s">
        <v>487</v>
      </c>
      <c r="B70" s="180">
        <v>96500</v>
      </c>
      <c r="C70" s="180">
        <v>4000</v>
      </c>
      <c r="D70" s="181">
        <f t="shared" si="0"/>
        <v>100500</v>
      </c>
      <c r="E70" s="180">
        <v>105</v>
      </c>
      <c r="F70" s="180">
        <v>5</v>
      </c>
      <c r="G70" s="181">
        <f t="shared" si="1"/>
        <v>110</v>
      </c>
      <c r="H70" s="180"/>
      <c r="I70" s="180"/>
      <c r="J70" s="181">
        <f t="shared" si="2"/>
        <v>0</v>
      </c>
      <c r="K70" s="180">
        <v>500</v>
      </c>
      <c r="L70" s="180">
        <v>16500</v>
      </c>
      <c r="M70" s="181">
        <f t="shared" si="3"/>
        <v>17000</v>
      </c>
      <c r="N70" s="180"/>
      <c r="O70" s="180"/>
      <c r="P70" s="181">
        <f t="shared" si="4"/>
        <v>0</v>
      </c>
      <c r="Q70" s="182"/>
      <c r="R70" s="182">
        <v>63</v>
      </c>
      <c r="S70" s="183">
        <f t="shared" si="5"/>
        <v>63</v>
      </c>
      <c r="T70" s="173"/>
    </row>
    <row r="71" spans="1:26" ht="28.5" customHeight="1">
      <c r="A71" s="196" t="s">
        <v>488</v>
      </c>
      <c r="B71" s="180">
        <v>58250</v>
      </c>
      <c r="C71" s="180">
        <v>9400</v>
      </c>
      <c r="D71" s="181">
        <f t="shared" si="0"/>
        <v>67650</v>
      </c>
      <c r="E71" s="180">
        <v>120</v>
      </c>
      <c r="F71" s="180">
        <v>0</v>
      </c>
      <c r="G71" s="181">
        <f t="shared" si="1"/>
        <v>120</v>
      </c>
      <c r="H71" s="180"/>
      <c r="I71" s="180"/>
      <c r="J71" s="181">
        <f t="shared" si="2"/>
        <v>0</v>
      </c>
      <c r="K71" s="180">
        <v>0</v>
      </c>
      <c r="L71" s="180">
        <v>375</v>
      </c>
      <c r="M71" s="181">
        <f t="shared" si="3"/>
        <v>375</v>
      </c>
      <c r="N71" s="180"/>
      <c r="O71" s="180"/>
      <c r="P71" s="181">
        <f t="shared" si="4"/>
        <v>0</v>
      </c>
      <c r="Q71" s="182"/>
      <c r="R71" s="182"/>
      <c r="S71" s="183">
        <f t="shared" si="5"/>
        <v>0</v>
      </c>
      <c r="T71" s="173"/>
    </row>
    <row r="72" spans="1:26" ht="28.5" customHeight="1">
      <c r="A72" s="196" t="s">
        <v>489</v>
      </c>
      <c r="B72" s="180">
        <v>29800</v>
      </c>
      <c r="C72" s="180">
        <v>5500</v>
      </c>
      <c r="D72" s="181">
        <f t="shared" si="0"/>
        <v>35300</v>
      </c>
      <c r="E72" s="180"/>
      <c r="F72" s="180"/>
      <c r="G72" s="181">
        <f t="shared" si="1"/>
        <v>0</v>
      </c>
      <c r="H72" s="180"/>
      <c r="I72" s="180"/>
      <c r="J72" s="181">
        <f t="shared" si="2"/>
        <v>0</v>
      </c>
      <c r="K72" s="180">
        <v>9000</v>
      </c>
      <c r="L72" s="180">
        <v>12000</v>
      </c>
      <c r="M72" s="181">
        <f t="shared" si="3"/>
        <v>21000</v>
      </c>
      <c r="N72" s="180"/>
      <c r="O72" s="180"/>
      <c r="P72" s="181">
        <f t="shared" si="4"/>
        <v>0</v>
      </c>
      <c r="Q72" s="182"/>
      <c r="R72" s="182"/>
      <c r="S72" s="183">
        <f t="shared" si="5"/>
        <v>0</v>
      </c>
      <c r="T72" s="173"/>
    </row>
    <row r="73" spans="1:26" ht="28.5" customHeight="1">
      <c r="A73" s="196" t="s">
        <v>490</v>
      </c>
      <c r="B73" s="180">
        <v>88450</v>
      </c>
      <c r="C73" s="180">
        <v>57700</v>
      </c>
      <c r="D73" s="181">
        <f t="shared" si="0"/>
        <v>146150</v>
      </c>
      <c r="E73" s="180">
        <v>0</v>
      </c>
      <c r="F73" s="180">
        <v>0</v>
      </c>
      <c r="G73" s="181">
        <f t="shared" si="1"/>
        <v>0</v>
      </c>
      <c r="H73" s="180">
        <v>0</v>
      </c>
      <c r="I73" s="180">
        <v>0</v>
      </c>
      <c r="J73" s="181">
        <f t="shared" si="2"/>
        <v>0</v>
      </c>
      <c r="K73" s="180">
        <v>4050</v>
      </c>
      <c r="L73" s="180">
        <v>0</v>
      </c>
      <c r="M73" s="181">
        <f t="shared" si="3"/>
        <v>4050</v>
      </c>
      <c r="N73" s="180"/>
      <c r="O73" s="180"/>
      <c r="P73" s="181">
        <f t="shared" si="4"/>
        <v>0</v>
      </c>
      <c r="Q73" s="182"/>
      <c r="R73" s="182"/>
      <c r="S73" s="183">
        <f t="shared" si="5"/>
        <v>0</v>
      </c>
      <c r="T73" s="173"/>
    </row>
    <row r="74" spans="1:26" ht="28.5" customHeight="1">
      <c r="A74" s="196" t="s">
        <v>491</v>
      </c>
      <c r="B74" s="180">
        <v>54000</v>
      </c>
      <c r="C74" s="180">
        <v>14400</v>
      </c>
      <c r="D74" s="181">
        <f t="shared" si="0"/>
        <v>68400</v>
      </c>
      <c r="E74" s="180"/>
      <c r="F74" s="180"/>
      <c r="G74" s="181">
        <f t="shared" si="1"/>
        <v>0</v>
      </c>
      <c r="H74" s="180"/>
      <c r="I74" s="180"/>
      <c r="J74" s="181">
        <f t="shared" si="2"/>
        <v>0</v>
      </c>
      <c r="K74" s="180">
        <v>235</v>
      </c>
      <c r="L74" s="180"/>
      <c r="M74" s="181">
        <f t="shared" si="3"/>
        <v>235</v>
      </c>
      <c r="N74" s="180"/>
      <c r="O74" s="180"/>
      <c r="P74" s="181">
        <f t="shared" si="4"/>
        <v>0</v>
      </c>
      <c r="Q74" s="182"/>
      <c r="R74" s="182"/>
      <c r="S74" s="183">
        <f t="shared" si="5"/>
        <v>0</v>
      </c>
      <c r="T74" s="173"/>
    </row>
    <row r="75" spans="1:26" ht="28.5" customHeight="1">
      <c r="A75" s="196" t="s">
        <v>492</v>
      </c>
      <c r="B75" s="180">
        <v>31900</v>
      </c>
      <c r="C75" s="180">
        <v>2500</v>
      </c>
      <c r="D75" s="181">
        <f t="shared" si="0"/>
        <v>34400</v>
      </c>
      <c r="E75" s="180"/>
      <c r="F75" s="180"/>
      <c r="G75" s="181">
        <f t="shared" si="1"/>
        <v>0</v>
      </c>
      <c r="H75" s="180">
        <v>1000</v>
      </c>
      <c r="I75" s="180"/>
      <c r="J75" s="181">
        <f t="shared" si="2"/>
        <v>1000</v>
      </c>
      <c r="K75" s="180">
        <v>170</v>
      </c>
      <c r="L75" s="180"/>
      <c r="M75" s="181">
        <f t="shared" si="3"/>
        <v>170</v>
      </c>
      <c r="N75" s="180"/>
      <c r="O75" s="180"/>
      <c r="P75" s="181">
        <f t="shared" si="4"/>
        <v>0</v>
      </c>
      <c r="Q75" s="182"/>
      <c r="R75" s="182"/>
      <c r="S75" s="183">
        <f t="shared" si="5"/>
        <v>0</v>
      </c>
      <c r="T75" s="173"/>
    </row>
    <row r="76" spans="1:26" ht="28.5" customHeight="1">
      <c r="A76" s="191" t="s">
        <v>493</v>
      </c>
      <c r="B76" s="192">
        <v>1840</v>
      </c>
      <c r="C76" s="192">
        <v>0</v>
      </c>
      <c r="D76" s="193">
        <f t="shared" si="0"/>
        <v>1840</v>
      </c>
      <c r="E76" s="192">
        <v>0</v>
      </c>
      <c r="F76" s="192">
        <v>0</v>
      </c>
      <c r="G76" s="193">
        <f t="shared" si="1"/>
        <v>0</v>
      </c>
      <c r="H76" s="192">
        <v>0</v>
      </c>
      <c r="I76" s="192">
        <v>0</v>
      </c>
      <c r="J76" s="193">
        <f t="shared" si="2"/>
        <v>0</v>
      </c>
      <c r="K76" s="192">
        <v>200</v>
      </c>
      <c r="L76" s="192">
        <v>0</v>
      </c>
      <c r="M76" s="193">
        <f t="shared" si="3"/>
        <v>200</v>
      </c>
      <c r="N76" s="192">
        <v>0</v>
      </c>
      <c r="O76" s="192">
        <v>0</v>
      </c>
      <c r="P76" s="193">
        <f t="shared" si="4"/>
        <v>0</v>
      </c>
      <c r="Q76" s="194">
        <v>0</v>
      </c>
      <c r="R76" s="194">
        <v>0</v>
      </c>
      <c r="S76" s="195">
        <f t="shared" si="5"/>
        <v>0</v>
      </c>
      <c r="T76" s="173"/>
    </row>
    <row r="77" spans="1:26" ht="28.5" customHeight="1">
      <c r="A77" s="196" t="s">
        <v>494</v>
      </c>
      <c r="B77" s="180">
        <v>85300</v>
      </c>
      <c r="C77" s="180">
        <v>18150</v>
      </c>
      <c r="D77" s="181">
        <f t="shared" si="0"/>
        <v>103450</v>
      </c>
      <c r="E77" s="180">
        <v>70</v>
      </c>
      <c r="F77" s="180">
        <v>0</v>
      </c>
      <c r="G77" s="181">
        <f t="shared" si="1"/>
        <v>70</v>
      </c>
      <c r="H77" s="180">
        <v>1100</v>
      </c>
      <c r="I77" s="180">
        <v>0</v>
      </c>
      <c r="J77" s="181">
        <f t="shared" si="2"/>
        <v>1100</v>
      </c>
      <c r="K77" s="180">
        <v>5100</v>
      </c>
      <c r="L77" s="180">
        <v>700</v>
      </c>
      <c r="M77" s="181">
        <f t="shared" si="3"/>
        <v>5800</v>
      </c>
      <c r="N77" s="180">
        <v>0</v>
      </c>
      <c r="O77" s="180">
        <v>0</v>
      </c>
      <c r="P77" s="181">
        <f t="shared" si="4"/>
        <v>0</v>
      </c>
      <c r="Q77" s="182">
        <v>0</v>
      </c>
      <c r="R77" s="182">
        <v>120</v>
      </c>
      <c r="S77" s="183">
        <f t="shared" si="5"/>
        <v>120</v>
      </c>
      <c r="T77" s="173"/>
      <c r="U77" s="1"/>
      <c r="V77" s="1"/>
      <c r="W77" s="1"/>
      <c r="X77" s="1"/>
      <c r="Y77" s="1"/>
      <c r="Z77" s="1"/>
    </row>
    <row r="78" spans="1:26" ht="28.5" customHeight="1">
      <c r="A78" s="184" t="s">
        <v>495</v>
      </c>
      <c r="B78" s="185">
        <v>31000</v>
      </c>
      <c r="C78" s="185">
        <v>4600</v>
      </c>
      <c r="D78" s="186">
        <f t="shared" si="0"/>
        <v>35600</v>
      </c>
      <c r="E78" s="185">
        <v>40</v>
      </c>
      <c r="F78" s="185">
        <v>0</v>
      </c>
      <c r="G78" s="186">
        <f t="shared" si="1"/>
        <v>40</v>
      </c>
      <c r="H78" s="185">
        <v>0</v>
      </c>
      <c r="I78" s="185">
        <v>0</v>
      </c>
      <c r="J78" s="186">
        <f t="shared" si="2"/>
        <v>0</v>
      </c>
      <c r="K78" s="185">
        <v>100</v>
      </c>
      <c r="L78" s="185">
        <v>500</v>
      </c>
      <c r="M78" s="186">
        <f t="shared" si="3"/>
        <v>600</v>
      </c>
      <c r="N78" s="185">
        <v>0</v>
      </c>
      <c r="O78" s="185">
        <v>0</v>
      </c>
      <c r="P78" s="186">
        <f t="shared" si="4"/>
        <v>0</v>
      </c>
      <c r="Q78" s="187">
        <v>0</v>
      </c>
      <c r="R78" s="187">
        <v>20</v>
      </c>
      <c r="S78" s="188">
        <f t="shared" si="5"/>
        <v>20</v>
      </c>
      <c r="T78" s="173"/>
      <c r="U78" s="1"/>
      <c r="V78" s="1"/>
      <c r="W78" s="1"/>
      <c r="X78" s="1"/>
      <c r="Y78" s="1"/>
      <c r="Z78" s="1"/>
    </row>
    <row r="79" spans="1:26" ht="28.5" customHeight="1">
      <c r="A79" s="184" t="s">
        <v>496</v>
      </c>
      <c r="B79" s="185">
        <v>34450</v>
      </c>
      <c r="C79" s="185">
        <v>47200</v>
      </c>
      <c r="D79" s="186">
        <f t="shared" si="0"/>
        <v>81650</v>
      </c>
      <c r="E79" s="185">
        <v>0</v>
      </c>
      <c r="F79" s="185">
        <v>0</v>
      </c>
      <c r="G79" s="186">
        <f t="shared" si="1"/>
        <v>0</v>
      </c>
      <c r="H79" s="185">
        <v>0</v>
      </c>
      <c r="I79" s="185">
        <v>0</v>
      </c>
      <c r="J79" s="186">
        <f t="shared" si="2"/>
        <v>0</v>
      </c>
      <c r="K79" s="185">
        <v>0</v>
      </c>
      <c r="L79" s="185">
        <v>0</v>
      </c>
      <c r="M79" s="186">
        <f t="shared" si="3"/>
        <v>0</v>
      </c>
      <c r="N79" s="185">
        <v>0</v>
      </c>
      <c r="O79" s="185">
        <v>0</v>
      </c>
      <c r="P79" s="186">
        <f t="shared" si="4"/>
        <v>0</v>
      </c>
      <c r="Q79" s="187">
        <v>0</v>
      </c>
      <c r="R79" s="187">
        <v>0</v>
      </c>
      <c r="S79" s="188">
        <f t="shared" si="5"/>
        <v>0</v>
      </c>
      <c r="T79" s="173"/>
      <c r="U79" s="1"/>
      <c r="V79" s="1"/>
      <c r="W79" s="1"/>
      <c r="X79" s="1"/>
      <c r="Y79" s="1"/>
      <c r="Z79" s="1"/>
    </row>
    <row r="80" spans="1:26" ht="28.5" customHeight="1">
      <c r="A80" s="184" t="s">
        <v>497</v>
      </c>
      <c r="B80" s="185">
        <v>27650</v>
      </c>
      <c r="C80" s="185">
        <v>23800</v>
      </c>
      <c r="D80" s="186">
        <f t="shared" si="0"/>
        <v>51450</v>
      </c>
      <c r="E80" s="185">
        <v>0</v>
      </c>
      <c r="F80" s="185">
        <v>64</v>
      </c>
      <c r="G80" s="186">
        <f t="shared" si="1"/>
        <v>64</v>
      </c>
      <c r="H80" s="185">
        <v>0</v>
      </c>
      <c r="I80" s="185">
        <v>0</v>
      </c>
      <c r="J80" s="186">
        <f t="shared" si="2"/>
        <v>0</v>
      </c>
      <c r="K80" s="185">
        <v>1400</v>
      </c>
      <c r="L80" s="185">
        <v>11000</v>
      </c>
      <c r="M80" s="186">
        <f t="shared" si="3"/>
        <v>12400</v>
      </c>
      <c r="N80" s="185">
        <v>0</v>
      </c>
      <c r="O80" s="185">
        <v>0</v>
      </c>
      <c r="P80" s="186">
        <f t="shared" si="4"/>
        <v>0</v>
      </c>
      <c r="Q80" s="187">
        <v>0</v>
      </c>
      <c r="R80" s="187">
        <v>0</v>
      </c>
      <c r="S80" s="188">
        <f t="shared" si="5"/>
        <v>0</v>
      </c>
      <c r="T80" s="173"/>
    </row>
    <row r="81" spans="1:26" ht="28.5" customHeight="1">
      <c r="A81" s="158"/>
      <c r="B81" s="142"/>
      <c r="C81" s="142"/>
      <c r="D81" s="143">
        <f t="shared" si="0"/>
        <v>0</v>
      </c>
      <c r="E81" s="142"/>
      <c r="F81" s="142"/>
      <c r="G81" s="143">
        <f t="shared" si="1"/>
        <v>0</v>
      </c>
      <c r="H81" s="142"/>
      <c r="I81" s="142"/>
      <c r="J81" s="143">
        <f t="shared" si="2"/>
        <v>0</v>
      </c>
      <c r="K81" s="142"/>
      <c r="L81" s="142"/>
      <c r="M81" s="143">
        <f t="shared" si="3"/>
        <v>0</v>
      </c>
      <c r="N81" s="142"/>
      <c r="O81" s="142"/>
      <c r="P81" s="143">
        <f t="shared" si="4"/>
        <v>0</v>
      </c>
      <c r="Q81" s="40"/>
      <c r="R81" s="40"/>
      <c r="S81" s="144">
        <f t="shared" si="5"/>
        <v>0</v>
      </c>
    </row>
    <row r="82" spans="1:26" ht="22.5" customHeight="1">
      <c r="A82" s="198"/>
      <c r="B82" s="199"/>
      <c r="C82" s="199"/>
      <c r="D82" s="143">
        <f t="shared" si="0"/>
        <v>0</v>
      </c>
      <c r="E82" s="199"/>
      <c r="F82" s="199"/>
      <c r="G82" s="143">
        <f t="shared" si="1"/>
        <v>0</v>
      </c>
      <c r="H82" s="199"/>
      <c r="I82" s="199"/>
      <c r="J82" s="143">
        <f t="shared" si="2"/>
        <v>0</v>
      </c>
      <c r="K82" s="199"/>
      <c r="L82" s="199"/>
      <c r="M82" s="143">
        <f t="shared" si="3"/>
        <v>0</v>
      </c>
      <c r="N82" s="199"/>
      <c r="O82" s="198"/>
      <c r="P82" s="143">
        <f t="shared" si="4"/>
        <v>0</v>
      </c>
      <c r="Q82" s="40"/>
      <c r="R82" s="40"/>
      <c r="S82" s="200">
        <f t="shared" si="5"/>
        <v>0</v>
      </c>
    </row>
    <row r="83" spans="1:26" ht="29.25" customHeight="1">
      <c r="A83" s="201" t="s">
        <v>498</v>
      </c>
      <c r="B83" s="202">
        <f t="shared" ref="B83:C83" si="6">SUM(B5:B82)</f>
        <v>5033054</v>
      </c>
      <c r="C83" s="202">
        <f t="shared" si="6"/>
        <v>1230980</v>
      </c>
      <c r="D83" s="203">
        <f t="shared" si="0"/>
        <v>6264034</v>
      </c>
      <c r="E83" s="202">
        <f t="shared" ref="E83:I83" si="7">SUM(E5:E82)</f>
        <v>9184</v>
      </c>
      <c r="F83" s="202">
        <f t="shared" si="7"/>
        <v>759</v>
      </c>
      <c r="G83" s="203">
        <f t="shared" si="7"/>
        <v>9943</v>
      </c>
      <c r="H83" s="202">
        <f t="shared" si="7"/>
        <v>12400</v>
      </c>
      <c r="I83" s="202">
        <f t="shared" si="7"/>
        <v>0</v>
      </c>
      <c r="J83" s="203">
        <f t="shared" si="2"/>
        <v>12400</v>
      </c>
      <c r="K83" s="202">
        <f t="shared" ref="K83:L83" si="8">SUM(K5:K82)</f>
        <v>55000</v>
      </c>
      <c r="L83" s="202">
        <f t="shared" si="8"/>
        <v>48675</v>
      </c>
      <c r="M83" s="203">
        <f t="shared" si="3"/>
        <v>103675</v>
      </c>
      <c r="N83" s="144">
        <f t="shared" ref="N83:P83" si="9">SUM(N5:N82)</f>
        <v>24200</v>
      </c>
      <c r="O83" s="144">
        <f t="shared" si="9"/>
        <v>118745</v>
      </c>
      <c r="P83" s="203">
        <f t="shared" si="9"/>
        <v>142945</v>
      </c>
      <c r="Q83" s="40"/>
      <c r="R83" s="40"/>
      <c r="S83" s="204">
        <f>SUM(S5:S82)</f>
        <v>27508</v>
      </c>
    </row>
    <row r="84" spans="1:26" ht="26.25" customHeight="1">
      <c r="A84" s="586">
        <f>D83*0.2</f>
        <v>1252806.8</v>
      </c>
      <c r="B84" s="579"/>
      <c r="C84" s="579"/>
      <c r="D84" s="551"/>
      <c r="E84" s="586">
        <f>G83*0.2</f>
        <v>1988.6000000000001</v>
      </c>
      <c r="F84" s="579"/>
      <c r="G84" s="551"/>
      <c r="H84" s="586">
        <f>J83*0.2</f>
        <v>2480</v>
      </c>
      <c r="I84" s="579"/>
      <c r="J84" s="551"/>
      <c r="K84" s="586">
        <f>M83*0.2</f>
        <v>20735</v>
      </c>
      <c r="L84" s="579"/>
      <c r="M84" s="551"/>
      <c r="N84" s="586">
        <f>P83*0.2</f>
        <v>28589</v>
      </c>
      <c r="O84" s="579"/>
      <c r="P84" s="551"/>
      <c r="Q84" s="593"/>
      <c r="R84" s="579"/>
      <c r="S84" s="551"/>
    </row>
    <row r="85" spans="1:26" ht="36.75" customHeight="1">
      <c r="A85" s="594" t="s">
        <v>499</v>
      </c>
      <c r="B85" s="579"/>
      <c r="C85" s="551"/>
      <c r="D85" s="205">
        <f>D83+A84</f>
        <v>7516840.7999999998</v>
      </c>
      <c r="E85" s="587">
        <f>G83+E84</f>
        <v>11931.6</v>
      </c>
      <c r="F85" s="579"/>
      <c r="G85" s="551"/>
      <c r="H85" s="587">
        <f>J83+H84</f>
        <v>14880</v>
      </c>
      <c r="I85" s="579"/>
      <c r="J85" s="551"/>
      <c r="K85" s="587">
        <f>M83+K84</f>
        <v>124410</v>
      </c>
      <c r="L85" s="579"/>
      <c r="M85" s="551"/>
      <c r="N85" s="587">
        <f>P83+N84</f>
        <v>171534</v>
      </c>
      <c r="O85" s="579"/>
      <c r="P85" s="551"/>
      <c r="Q85" s="587">
        <f>S83+Q84</f>
        <v>27508</v>
      </c>
      <c r="R85" s="579"/>
      <c r="S85" s="551"/>
    </row>
    <row r="86" spans="1:26" ht="37.5" customHeight="1">
      <c r="A86" s="588" t="s">
        <v>500</v>
      </c>
      <c r="B86" s="579"/>
      <c r="C86" s="551"/>
      <c r="D86" s="206">
        <f>D85/7200000*(100)</f>
        <v>104.40056666666666</v>
      </c>
      <c r="E86" s="589">
        <f>E85/12000*(100)</f>
        <v>99.43</v>
      </c>
      <c r="F86" s="579"/>
      <c r="G86" s="551"/>
      <c r="H86" s="591">
        <f>H85/24000*(100)</f>
        <v>62</v>
      </c>
      <c r="I86" s="579"/>
      <c r="J86" s="551"/>
      <c r="K86" s="591">
        <f>K85/30000*(100)</f>
        <v>414.70000000000005</v>
      </c>
      <c r="L86" s="579"/>
      <c r="M86" s="551"/>
      <c r="N86" s="591">
        <f>N85/120000*(100)</f>
        <v>142.94500000000002</v>
      </c>
      <c r="O86" s="579"/>
      <c r="P86" s="551"/>
      <c r="Q86" s="591">
        <f>Q85/5000*(100)</f>
        <v>550.16</v>
      </c>
      <c r="R86" s="579"/>
      <c r="S86" s="551"/>
    </row>
    <row r="87" spans="1:26" ht="15.75" customHeight="1">
      <c r="B87" s="590" t="s">
        <v>411</v>
      </c>
      <c r="C87" s="579"/>
      <c r="D87" s="551"/>
      <c r="E87" s="590" t="s">
        <v>412</v>
      </c>
      <c r="F87" s="579"/>
      <c r="G87" s="551"/>
      <c r="H87" s="590" t="s">
        <v>413</v>
      </c>
      <c r="I87" s="579"/>
      <c r="J87" s="551"/>
      <c r="K87" s="590" t="s">
        <v>414</v>
      </c>
      <c r="L87" s="579"/>
      <c r="M87" s="551"/>
      <c r="N87" s="590" t="s">
        <v>415</v>
      </c>
      <c r="O87" s="579"/>
      <c r="P87" s="551"/>
      <c r="Q87" s="590" t="s">
        <v>501</v>
      </c>
      <c r="R87" s="579"/>
      <c r="S87" s="551"/>
    </row>
    <row r="88" spans="1:26" ht="15.75" customHeight="1"/>
    <row r="89" spans="1:26" ht="54.75" customHeight="1"/>
    <row r="90" spans="1:26" ht="54.75" customHeight="1">
      <c r="B90" s="65">
        <f t="shared" ref="B90:C90" si="10">SUM(B77:B80)</f>
        <v>178400</v>
      </c>
      <c r="C90" s="65">
        <f t="shared" si="10"/>
        <v>93750</v>
      </c>
    </row>
    <row r="91" spans="1:26" ht="54.75" customHeight="1">
      <c r="C91" s="207">
        <f>C90-84600</f>
        <v>9150</v>
      </c>
      <c r="G91" s="65">
        <f>SUM(G77:G81)</f>
        <v>174</v>
      </c>
      <c r="M91" s="65">
        <f>SUM(M77:M80)</f>
        <v>18800</v>
      </c>
    </row>
    <row r="92" spans="1:26" ht="82.5" customHeight="1">
      <c r="A92" s="208"/>
      <c r="B92" s="209"/>
      <c r="C92" s="209"/>
      <c r="D92" s="209"/>
      <c r="E92" s="209"/>
      <c r="F92" s="209"/>
      <c r="G92" s="209"/>
      <c r="H92" s="209"/>
      <c r="I92" s="209"/>
      <c r="J92" s="209"/>
      <c r="K92" s="209"/>
      <c r="L92" s="209"/>
      <c r="M92" s="209"/>
      <c r="N92" s="209"/>
      <c r="O92" s="209"/>
      <c r="P92" s="209"/>
      <c r="Q92" s="209"/>
      <c r="R92" s="209"/>
      <c r="S92" s="209"/>
      <c r="T92" s="208"/>
      <c r="U92" s="208"/>
      <c r="V92" s="208"/>
      <c r="W92" s="208"/>
      <c r="X92" s="208"/>
      <c r="Y92" s="208"/>
      <c r="Z92" s="208"/>
    </row>
    <row r="93" spans="1:26" ht="24" customHeight="1">
      <c r="A93" s="210"/>
      <c r="B93" s="211" t="s">
        <v>502</v>
      </c>
      <c r="C93" s="211" t="s">
        <v>503</v>
      </c>
      <c r="D93" s="212" t="s">
        <v>498</v>
      </c>
      <c r="E93" s="211" t="s">
        <v>502</v>
      </c>
      <c r="F93" s="211" t="s">
        <v>503</v>
      </c>
      <c r="G93" s="212" t="s">
        <v>498</v>
      </c>
      <c r="H93" s="211" t="s">
        <v>502</v>
      </c>
      <c r="I93" s="211" t="s">
        <v>503</v>
      </c>
      <c r="J93" s="212" t="s">
        <v>498</v>
      </c>
      <c r="K93" s="211" t="s">
        <v>502</v>
      </c>
      <c r="L93" s="211" t="s">
        <v>503</v>
      </c>
      <c r="M93" s="212" t="s">
        <v>498</v>
      </c>
      <c r="N93" s="211" t="s">
        <v>502</v>
      </c>
      <c r="O93" s="211" t="s">
        <v>503</v>
      </c>
      <c r="P93" s="212" t="s">
        <v>498</v>
      </c>
      <c r="Q93" s="211" t="s">
        <v>502</v>
      </c>
      <c r="R93" s="211" t="s">
        <v>503</v>
      </c>
      <c r="S93" s="212" t="s">
        <v>498</v>
      </c>
    </row>
    <row r="94" spans="1:26" ht="28.5" customHeight="1">
      <c r="A94" s="210" t="s">
        <v>504</v>
      </c>
      <c r="B94" s="213">
        <f t="shared" ref="B94:C94" si="11">SUM(B47:B53)</f>
        <v>734850</v>
      </c>
      <c r="C94" s="213">
        <f t="shared" si="11"/>
        <v>117150</v>
      </c>
      <c r="D94" s="213">
        <f t="shared" ref="D94:D99" si="12">SUM(B94:C94)</f>
        <v>852000</v>
      </c>
      <c r="E94" s="214"/>
      <c r="F94" s="214"/>
      <c r="G94" s="213"/>
      <c r="H94" s="213"/>
      <c r="I94" s="214"/>
      <c r="J94" s="213"/>
      <c r="K94" s="213">
        <f t="shared" ref="K94:L94" si="13">SUM(K47:K53)</f>
        <v>1150</v>
      </c>
      <c r="L94" s="213">
        <f t="shared" si="13"/>
        <v>4000</v>
      </c>
      <c r="M94" s="213">
        <f t="shared" ref="M94:M99" si="14">SUM(K94:L94)</f>
        <v>5150</v>
      </c>
      <c r="N94" s="213">
        <f>SUM(N47:N53)</f>
        <v>2850</v>
      </c>
      <c r="O94" s="214"/>
      <c r="P94" s="213">
        <f t="shared" ref="P94:P99" si="15">SUM(N94:O94)</f>
        <v>2850</v>
      </c>
      <c r="Q94" s="214"/>
      <c r="R94" s="214"/>
      <c r="S94" s="214"/>
      <c r="T94" s="215"/>
      <c r="U94" s="215"/>
      <c r="V94" s="215"/>
      <c r="W94" s="215"/>
      <c r="X94" s="215"/>
      <c r="Y94" s="215"/>
      <c r="Z94" s="215"/>
    </row>
    <row r="95" spans="1:26" ht="28.5" customHeight="1">
      <c r="A95" s="210" t="s">
        <v>505</v>
      </c>
      <c r="B95" s="213">
        <f t="shared" ref="B95:C95" si="16">SUM(B54:B60)</f>
        <v>221400</v>
      </c>
      <c r="C95" s="213">
        <f t="shared" si="16"/>
        <v>10070</v>
      </c>
      <c r="D95" s="213">
        <f t="shared" si="12"/>
        <v>231470</v>
      </c>
      <c r="E95" s="213"/>
      <c r="F95" s="214"/>
      <c r="G95" s="216"/>
      <c r="H95" s="214"/>
      <c r="I95" s="214"/>
      <c r="J95" s="216"/>
      <c r="K95" s="213">
        <f>SUM(K54:K60)</f>
        <v>5500</v>
      </c>
      <c r="L95" s="213"/>
      <c r="M95" s="213">
        <f t="shared" si="14"/>
        <v>5500</v>
      </c>
      <c r="N95" s="214"/>
      <c r="O95" s="214"/>
      <c r="P95" s="213">
        <f t="shared" si="15"/>
        <v>0</v>
      </c>
      <c r="Q95" s="214"/>
      <c r="R95" s="214"/>
      <c r="S95" s="214"/>
      <c r="T95" s="215"/>
      <c r="U95" s="215"/>
      <c r="V95" s="215"/>
      <c r="W95" s="215"/>
      <c r="X95" s="215"/>
      <c r="Y95" s="215"/>
      <c r="Z95" s="215"/>
    </row>
    <row r="96" spans="1:26" ht="28.5" customHeight="1">
      <c r="A96" s="210" t="s">
        <v>506</v>
      </c>
      <c r="B96" s="213">
        <f t="shared" ref="B96:C96" si="17">SUM(B61:B64)</f>
        <v>382500</v>
      </c>
      <c r="C96" s="213">
        <f t="shared" si="17"/>
        <v>55200</v>
      </c>
      <c r="D96" s="213">
        <f t="shared" si="12"/>
        <v>437700</v>
      </c>
      <c r="E96" s="216"/>
      <c r="F96" s="214"/>
      <c r="G96" s="213"/>
      <c r="H96" s="214"/>
      <c r="I96" s="214"/>
      <c r="J96" s="213"/>
      <c r="K96" s="213">
        <f t="shared" ref="K96:L96" si="18">SUM(K61:K64)</f>
        <v>14320</v>
      </c>
      <c r="L96" s="213">
        <f t="shared" si="18"/>
        <v>2500</v>
      </c>
      <c r="M96" s="213">
        <f t="shared" si="14"/>
        <v>16820</v>
      </c>
      <c r="N96" s="214"/>
      <c r="O96" s="214"/>
      <c r="P96" s="213">
        <f t="shared" si="15"/>
        <v>0</v>
      </c>
      <c r="Q96" s="214"/>
      <c r="R96" s="214"/>
      <c r="S96" s="214"/>
      <c r="T96" s="165"/>
      <c r="U96" s="165"/>
      <c r="V96" s="165"/>
      <c r="W96" s="165"/>
      <c r="X96" s="165"/>
      <c r="Y96" s="165"/>
      <c r="Z96" s="165"/>
    </row>
    <row r="97" spans="1:26" ht="28.5" customHeight="1">
      <c r="A97" s="210" t="s">
        <v>507</v>
      </c>
      <c r="B97" s="213">
        <f>SUM(B65:B69)</f>
        <v>552900</v>
      </c>
      <c r="C97" s="213">
        <f>SUM(C66:C69,C65)</f>
        <v>37000</v>
      </c>
      <c r="D97" s="213">
        <f t="shared" si="12"/>
        <v>589900</v>
      </c>
      <c r="E97" s="213"/>
      <c r="F97" s="214"/>
      <c r="G97" s="214"/>
      <c r="H97" s="214"/>
      <c r="I97" s="214"/>
      <c r="J97" s="214"/>
      <c r="K97" s="213">
        <f t="shared" ref="K97:L97" si="19">SUM(K65:K69)</f>
        <v>13275</v>
      </c>
      <c r="L97" s="213">
        <f t="shared" si="19"/>
        <v>1100</v>
      </c>
      <c r="M97" s="213">
        <f t="shared" si="14"/>
        <v>14375</v>
      </c>
      <c r="N97" s="214"/>
      <c r="O97" s="214">
        <v>645</v>
      </c>
      <c r="P97" s="213">
        <f t="shared" si="15"/>
        <v>645</v>
      </c>
      <c r="Q97" s="214"/>
      <c r="R97" s="214"/>
      <c r="S97" s="214"/>
      <c r="T97" s="1"/>
      <c r="U97" s="1"/>
      <c r="V97" s="1"/>
      <c r="W97" s="1"/>
      <c r="X97" s="1"/>
      <c r="Y97" s="1"/>
      <c r="Z97" s="1"/>
    </row>
    <row r="98" spans="1:26" ht="28.5" customHeight="1">
      <c r="A98" s="210" t="s">
        <v>508</v>
      </c>
      <c r="B98" s="216">
        <f t="shared" ref="B98:C98" si="20">SUM(B70:B76)</f>
        <v>360740</v>
      </c>
      <c r="C98" s="216">
        <f t="shared" si="20"/>
        <v>93500</v>
      </c>
      <c r="D98" s="213">
        <f t="shared" si="12"/>
        <v>454240</v>
      </c>
      <c r="E98" s="214"/>
      <c r="F98" s="214"/>
      <c r="G98" s="214"/>
      <c r="H98" s="213">
        <f>SUM(H70:H76)</f>
        <v>1000</v>
      </c>
      <c r="I98" s="214"/>
      <c r="J98" s="213">
        <f t="shared" ref="J98:J99" si="21">SUM(H98:I98)</f>
        <v>1000</v>
      </c>
      <c r="K98" s="213">
        <f t="shared" ref="K98:L98" si="22">SUM(K70:K76)</f>
        <v>14155</v>
      </c>
      <c r="L98" s="213">
        <f t="shared" si="22"/>
        <v>28875</v>
      </c>
      <c r="M98" s="213">
        <f t="shared" si="14"/>
        <v>43030</v>
      </c>
      <c r="N98" s="214"/>
      <c r="O98" s="213"/>
      <c r="P98" s="213">
        <f t="shared" si="15"/>
        <v>0</v>
      </c>
      <c r="Q98" s="214"/>
      <c r="R98" s="214"/>
      <c r="S98" s="214"/>
      <c r="T98" s="1"/>
      <c r="U98" s="1"/>
      <c r="V98" s="1"/>
      <c r="W98" s="1"/>
      <c r="X98" s="1"/>
      <c r="Y98" s="1"/>
      <c r="Z98" s="1"/>
    </row>
    <row r="99" spans="1:26" ht="28.5" customHeight="1">
      <c r="A99" s="210" t="s">
        <v>509</v>
      </c>
      <c r="B99" s="213">
        <f t="shared" ref="B99:C99" si="23">SUM(B77:B80)</f>
        <v>178400</v>
      </c>
      <c r="C99" s="213">
        <f t="shared" si="23"/>
        <v>93750</v>
      </c>
      <c r="D99" s="213">
        <f t="shared" si="12"/>
        <v>272150</v>
      </c>
      <c r="E99" s="213">
        <f>G99-F99</f>
        <v>651</v>
      </c>
      <c r="F99" s="214">
        <v>733</v>
      </c>
      <c r="G99" s="213">
        <f>SUM(G47:G80)</f>
        <v>1384</v>
      </c>
      <c r="H99" s="213">
        <f>SUM(H77:H80)</f>
        <v>1100</v>
      </c>
      <c r="I99" s="214"/>
      <c r="J99" s="213">
        <f t="shared" si="21"/>
        <v>1100</v>
      </c>
      <c r="K99" s="213">
        <f t="shared" ref="K99:L99" si="24">SUM(K77:K80)</f>
        <v>6600</v>
      </c>
      <c r="L99" s="213">
        <f t="shared" si="24"/>
        <v>12200</v>
      </c>
      <c r="M99" s="213">
        <f t="shared" si="14"/>
        <v>18800</v>
      </c>
      <c r="N99" s="214"/>
      <c r="O99" s="214"/>
      <c r="P99" s="213">
        <f t="shared" si="15"/>
        <v>0</v>
      </c>
      <c r="Q99" s="214"/>
      <c r="R99" s="214">
        <f>SUM(R47:R80)</f>
        <v>6943</v>
      </c>
      <c r="S99" s="214">
        <f>SUM(Q99:R99)</f>
        <v>6943</v>
      </c>
      <c r="T99" s="1"/>
      <c r="U99" s="1"/>
      <c r="V99" s="1"/>
      <c r="W99" s="1"/>
      <c r="X99" s="1"/>
      <c r="Y99" s="1"/>
      <c r="Z99" s="1"/>
    </row>
    <row r="100" spans="1:26" ht="15.75" customHeight="1">
      <c r="A100" s="210" t="s">
        <v>498</v>
      </c>
      <c r="B100" s="217">
        <f t="shared" ref="B100:S100" si="25">SUM(B94:B99)</f>
        <v>2430790</v>
      </c>
      <c r="C100" s="217">
        <f t="shared" si="25"/>
        <v>406670</v>
      </c>
      <c r="D100" s="217">
        <f t="shared" si="25"/>
        <v>2837460</v>
      </c>
      <c r="E100" s="217">
        <f t="shared" si="25"/>
        <v>651</v>
      </c>
      <c r="F100" s="217">
        <f t="shared" si="25"/>
        <v>733</v>
      </c>
      <c r="G100" s="216">
        <f t="shared" si="25"/>
        <v>1384</v>
      </c>
      <c r="H100" s="217">
        <f t="shared" si="25"/>
        <v>2100</v>
      </c>
      <c r="I100" s="217">
        <f t="shared" si="25"/>
        <v>0</v>
      </c>
      <c r="J100" s="217">
        <f t="shared" si="25"/>
        <v>2100</v>
      </c>
      <c r="K100" s="217">
        <f t="shared" si="25"/>
        <v>55000</v>
      </c>
      <c r="L100" s="217">
        <f t="shared" si="25"/>
        <v>48675</v>
      </c>
      <c r="M100" s="217">
        <f t="shared" si="25"/>
        <v>103675</v>
      </c>
      <c r="N100" s="217">
        <f t="shared" si="25"/>
        <v>2850</v>
      </c>
      <c r="O100" s="217">
        <f t="shared" si="25"/>
        <v>645</v>
      </c>
      <c r="P100" s="216">
        <f t="shared" si="25"/>
        <v>3495</v>
      </c>
      <c r="Q100" s="217">
        <f t="shared" si="25"/>
        <v>0</v>
      </c>
      <c r="R100" s="217">
        <f t="shared" si="25"/>
        <v>6943</v>
      </c>
      <c r="S100" s="217">
        <f t="shared" si="25"/>
        <v>6943</v>
      </c>
      <c r="T100" s="1"/>
      <c r="U100" s="1"/>
      <c r="V100" s="1"/>
      <c r="W100" s="1"/>
      <c r="X100" s="1"/>
      <c r="Y100" s="1"/>
      <c r="Z100" s="1"/>
    </row>
    <row r="101" spans="1:26" ht="15.75" customHeight="1">
      <c r="A101" s="210"/>
      <c r="B101" s="214"/>
      <c r="C101" s="214"/>
      <c r="D101" s="216">
        <f>D100*0.2</f>
        <v>567492</v>
      </c>
      <c r="E101" s="214"/>
      <c r="F101" s="214"/>
      <c r="G101" s="218">
        <f>G100*0.2</f>
        <v>276.8</v>
      </c>
      <c r="H101" s="214"/>
      <c r="I101" s="219"/>
      <c r="J101" s="216">
        <f>J100*0.2</f>
        <v>420</v>
      </c>
      <c r="K101" s="214"/>
      <c r="L101" s="214"/>
      <c r="M101" s="216">
        <f>M100*0.2</f>
        <v>20735</v>
      </c>
      <c r="N101" s="214"/>
      <c r="O101" s="214"/>
      <c r="P101" s="216">
        <f>P100*0.2</f>
        <v>699</v>
      </c>
      <c r="Q101" s="214"/>
      <c r="R101" s="214"/>
      <c r="S101" s="214"/>
    </row>
    <row r="102" spans="1:26" ht="15.75" customHeight="1">
      <c r="A102" s="210"/>
      <c r="B102" s="214"/>
      <c r="C102" s="214"/>
      <c r="D102" s="217">
        <f>SUM(D100:D101)</f>
        <v>3404952</v>
      </c>
      <c r="E102" s="214"/>
      <c r="F102" s="214"/>
      <c r="G102" s="217">
        <f>SUM(G100:G101)</f>
        <v>1660.8</v>
      </c>
      <c r="H102" s="214"/>
      <c r="I102" s="219"/>
      <c r="J102" s="217">
        <f>SUM(J100:J101)</f>
        <v>2520</v>
      </c>
      <c r="K102" s="214"/>
      <c r="L102" s="214"/>
      <c r="M102" s="217">
        <f>SUM(M100:M101)</f>
        <v>124410</v>
      </c>
      <c r="N102" s="214"/>
      <c r="O102" s="214"/>
      <c r="P102" s="217">
        <f>SUM(P100:P101)</f>
        <v>4194</v>
      </c>
      <c r="Q102" s="214"/>
      <c r="R102" s="214"/>
      <c r="S102" s="214"/>
    </row>
    <row r="103" spans="1:26" ht="15.75" customHeight="1">
      <c r="A103" s="215"/>
      <c r="B103" s="215"/>
      <c r="C103" s="215"/>
      <c r="D103" s="215"/>
      <c r="E103" s="215"/>
      <c r="F103" s="215"/>
      <c r="G103" s="215"/>
      <c r="H103" s="215"/>
      <c r="I103" s="220"/>
      <c r="J103" s="215"/>
      <c r="K103" s="215"/>
      <c r="L103" s="215"/>
      <c r="M103" s="215"/>
      <c r="N103" s="215"/>
      <c r="O103" s="215"/>
      <c r="P103" s="215"/>
      <c r="Q103" s="215"/>
      <c r="R103" s="215"/>
      <c r="S103" s="215"/>
    </row>
    <row r="104" spans="1:26" ht="15.75" customHeight="1"/>
    <row r="105" spans="1:26" ht="15.75" customHeight="1"/>
    <row r="106" spans="1:26" ht="15.75" customHeight="1"/>
    <row r="107" spans="1:26" ht="15.75" customHeight="1"/>
    <row r="108" spans="1:26" ht="15.75" customHeight="1"/>
    <row r="109" spans="1:26" ht="15.75" customHeight="1"/>
    <row r="110" spans="1:26" ht="15.75" customHeight="1"/>
    <row r="111" spans="1:26" ht="15.75" customHeight="1"/>
    <row r="112" spans="1:2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H84:J84"/>
    <mergeCell ref="K84:M84"/>
    <mergeCell ref="N84:P84"/>
    <mergeCell ref="Q84:S84"/>
    <mergeCell ref="A85:C85"/>
    <mergeCell ref="N85:P85"/>
    <mergeCell ref="Q85:S85"/>
    <mergeCell ref="N86:P86"/>
    <mergeCell ref="Q86:S86"/>
    <mergeCell ref="N87:P87"/>
    <mergeCell ref="Q87:S87"/>
    <mergeCell ref="H85:J85"/>
    <mergeCell ref="K85:M85"/>
    <mergeCell ref="H86:J86"/>
    <mergeCell ref="K86:M86"/>
    <mergeCell ref="H87:J87"/>
    <mergeCell ref="K87:M87"/>
    <mergeCell ref="E84:G84"/>
    <mergeCell ref="E85:G85"/>
    <mergeCell ref="A86:C86"/>
    <mergeCell ref="E86:G86"/>
    <mergeCell ref="B87:D87"/>
    <mergeCell ref="E87:G87"/>
    <mergeCell ref="A84:D84"/>
    <mergeCell ref="A1:S1"/>
    <mergeCell ref="A3:A4"/>
    <mergeCell ref="E3:G3"/>
    <mergeCell ref="H3:J3"/>
    <mergeCell ref="K3:M3"/>
    <mergeCell ref="N3:P3"/>
    <mergeCell ref="Q3:S3"/>
    <mergeCell ref="B3:D3"/>
  </mergeCells>
  <printOptions horizontalCentered="1" verticalCentered="1"/>
  <pageMargins left="0" right="0" top="0.75" bottom="0.75" header="0" footer="0"/>
  <pageSetup paperSize="5" orientation="landscape"/>
  <rowBreaks count="1" manualBreakCount="1">
    <brk id="44" man="1"/>
  </rowBreak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Z1000"/>
  <sheetViews>
    <sheetView workbookViewId="0"/>
  </sheetViews>
  <sheetFormatPr defaultColWidth="14.42578125" defaultRowHeight="15" customHeight="1"/>
  <cols>
    <col min="1" max="1" width="20.85546875" customWidth="1"/>
    <col min="2" max="2" width="13.28515625" customWidth="1"/>
    <col min="3" max="3" width="13.7109375" customWidth="1"/>
    <col min="4" max="4" width="11.7109375" customWidth="1"/>
    <col min="5" max="5" width="11.42578125" customWidth="1"/>
    <col min="6" max="6" width="11" customWidth="1"/>
    <col min="7" max="7" width="12.140625" customWidth="1"/>
    <col min="8" max="8" width="12.42578125" customWidth="1"/>
    <col min="9" max="9" width="12.140625" customWidth="1"/>
    <col min="10" max="10" width="12.7109375" customWidth="1"/>
    <col min="11" max="12" width="13" customWidth="1"/>
    <col min="13" max="13" width="15.28515625" customWidth="1"/>
    <col min="14" max="14" width="16" customWidth="1"/>
    <col min="15" max="15" width="15.5703125" customWidth="1"/>
    <col min="16" max="16" width="16.5703125" customWidth="1"/>
    <col min="17" max="17" width="12.140625" customWidth="1"/>
    <col min="18" max="26" width="8.7109375" customWidth="1"/>
  </cols>
  <sheetData>
    <row r="3" spans="1:26" ht="30">
      <c r="A3" s="221" t="s">
        <v>510</v>
      </c>
      <c r="B3" s="222" t="s">
        <v>511</v>
      </c>
      <c r="C3" s="222" t="s">
        <v>512</v>
      </c>
      <c r="D3" s="222" t="s">
        <v>513</v>
      </c>
      <c r="E3" s="222" t="s">
        <v>514</v>
      </c>
      <c r="F3" s="222" t="s">
        <v>515</v>
      </c>
      <c r="G3" s="222" t="s">
        <v>516</v>
      </c>
      <c r="H3" s="223" t="s">
        <v>504</v>
      </c>
      <c r="I3" s="222" t="s">
        <v>517</v>
      </c>
      <c r="J3" s="222" t="s">
        <v>518</v>
      </c>
      <c r="K3" s="222" t="s">
        <v>519</v>
      </c>
      <c r="L3" s="223" t="s">
        <v>520</v>
      </c>
      <c r="M3" s="222" t="s">
        <v>521</v>
      </c>
      <c r="N3" s="224" t="s">
        <v>522</v>
      </c>
      <c r="O3" s="225">
        <v>0.2</v>
      </c>
      <c r="P3" s="226" t="s">
        <v>523</v>
      </c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26" ht="22.5" customHeight="1">
      <c r="A4" s="228" t="s">
        <v>411</v>
      </c>
      <c r="B4" s="229"/>
      <c r="C4" s="230"/>
      <c r="D4" s="229"/>
      <c r="E4" s="230"/>
      <c r="F4" s="229"/>
      <c r="G4" s="230"/>
      <c r="H4" s="229"/>
      <c r="I4" s="230"/>
      <c r="J4" s="229"/>
      <c r="K4" s="229"/>
      <c r="L4" s="229"/>
      <c r="M4" s="230"/>
      <c r="N4" s="231">
        <f t="shared" ref="N4:N10" si="0">SUM(B4:M4)</f>
        <v>0</v>
      </c>
      <c r="O4" s="232">
        <f t="shared" ref="O4:O10" si="1">N4*0.2</f>
        <v>0</v>
      </c>
      <c r="P4" s="233">
        <f>SUM(N4:O4)</f>
        <v>0</v>
      </c>
    </row>
    <row r="5" spans="1:26" ht="22.5" customHeight="1">
      <c r="A5" s="234" t="s">
        <v>412</v>
      </c>
      <c r="B5" s="235"/>
      <c r="C5" s="236"/>
      <c r="D5" s="235"/>
      <c r="E5" s="236"/>
      <c r="F5" s="235"/>
      <c r="G5" s="236"/>
      <c r="H5" s="235"/>
      <c r="I5" s="236"/>
      <c r="J5" s="235"/>
      <c r="K5" s="235"/>
      <c r="L5" s="237"/>
      <c r="M5" s="238"/>
      <c r="N5" s="239">
        <f t="shared" si="0"/>
        <v>0</v>
      </c>
      <c r="O5" s="237">
        <f t="shared" si="1"/>
        <v>0</v>
      </c>
      <c r="P5" s="240">
        <f t="shared" ref="P5:P7" si="2">N5</f>
        <v>0</v>
      </c>
    </row>
    <row r="6" spans="1:26" ht="22.5" customHeight="1">
      <c r="A6" s="241" t="s">
        <v>524</v>
      </c>
      <c r="B6" s="235"/>
      <c r="C6" s="236"/>
      <c r="D6" s="235"/>
      <c r="E6" s="236"/>
      <c r="F6" s="235"/>
      <c r="G6" s="236"/>
      <c r="H6" s="235"/>
      <c r="I6" s="236"/>
      <c r="J6" s="235"/>
      <c r="K6" s="235"/>
      <c r="L6" s="235"/>
      <c r="M6" s="236"/>
      <c r="N6" s="239">
        <f t="shared" si="0"/>
        <v>0</v>
      </c>
      <c r="O6" s="237">
        <f t="shared" si="1"/>
        <v>0</v>
      </c>
      <c r="P6" s="240">
        <f t="shared" si="2"/>
        <v>0</v>
      </c>
      <c r="Q6" s="65"/>
    </row>
    <row r="7" spans="1:26" ht="22.5" customHeight="1">
      <c r="A7" s="241" t="s">
        <v>525</v>
      </c>
      <c r="B7" s="235"/>
      <c r="C7" s="236"/>
      <c r="D7" s="235"/>
      <c r="E7" s="236"/>
      <c r="F7" s="235"/>
      <c r="G7" s="236"/>
      <c r="H7" s="235"/>
      <c r="I7" s="236"/>
      <c r="J7" s="235"/>
      <c r="K7" s="235"/>
      <c r="L7" s="235"/>
      <c r="M7" s="236"/>
      <c r="N7" s="239">
        <f t="shared" si="0"/>
        <v>0</v>
      </c>
      <c r="O7" s="237">
        <f t="shared" si="1"/>
        <v>0</v>
      </c>
      <c r="P7" s="240">
        <f t="shared" si="2"/>
        <v>0</v>
      </c>
    </row>
    <row r="8" spans="1:26" ht="22.5" customHeight="1">
      <c r="A8" s="234" t="s">
        <v>526</v>
      </c>
      <c r="B8" s="235"/>
      <c r="C8" s="236"/>
      <c r="D8" s="235"/>
      <c r="E8" s="236"/>
      <c r="F8" s="235"/>
      <c r="G8" s="236"/>
      <c r="H8" s="235"/>
      <c r="I8" s="236"/>
      <c r="J8" s="235"/>
      <c r="K8" s="235"/>
      <c r="L8" s="235"/>
      <c r="M8" s="236"/>
      <c r="N8" s="239">
        <f t="shared" si="0"/>
        <v>0</v>
      </c>
      <c r="O8" s="237">
        <f t="shared" si="1"/>
        <v>0</v>
      </c>
      <c r="P8" s="240">
        <f t="shared" ref="P8:P10" si="3">SUM(N8:O8)</f>
        <v>0</v>
      </c>
    </row>
    <row r="9" spans="1:26" ht="22.5" customHeight="1">
      <c r="A9" s="234" t="s">
        <v>527</v>
      </c>
      <c r="B9" s="235"/>
      <c r="C9" s="236"/>
      <c r="D9" s="235"/>
      <c r="E9" s="236"/>
      <c r="F9" s="235"/>
      <c r="G9" s="236"/>
      <c r="H9" s="235"/>
      <c r="I9" s="236"/>
      <c r="J9" s="235"/>
      <c r="K9" s="235"/>
      <c r="L9" s="235"/>
      <c r="M9" s="236"/>
      <c r="N9" s="239">
        <f t="shared" si="0"/>
        <v>0</v>
      </c>
      <c r="O9" s="237">
        <f t="shared" si="1"/>
        <v>0</v>
      </c>
      <c r="P9" s="240">
        <f t="shared" si="3"/>
        <v>0</v>
      </c>
    </row>
    <row r="10" spans="1:26" ht="22.5" customHeight="1">
      <c r="A10" s="242" t="s">
        <v>415</v>
      </c>
      <c r="B10" s="243"/>
      <c r="C10" s="244"/>
      <c r="D10" s="243"/>
      <c r="E10" s="244"/>
      <c r="F10" s="243"/>
      <c r="G10" s="244"/>
      <c r="H10" s="243"/>
      <c r="I10" s="244"/>
      <c r="J10" s="243"/>
      <c r="K10" s="243"/>
      <c r="L10" s="243"/>
      <c r="M10" s="244"/>
      <c r="N10" s="245">
        <f t="shared" si="0"/>
        <v>0</v>
      </c>
      <c r="O10" s="246">
        <f t="shared" si="1"/>
        <v>0</v>
      </c>
      <c r="P10" s="247">
        <f t="shared" si="3"/>
        <v>0</v>
      </c>
    </row>
    <row r="15" spans="1:26">
      <c r="A15" s="65"/>
    </row>
    <row r="16" spans="1:26">
      <c r="A16" s="65"/>
    </row>
    <row r="17" spans="1:1">
      <c r="A17" s="65"/>
    </row>
    <row r="18" spans="1:1">
      <c r="A18" s="65"/>
    </row>
    <row r="19" spans="1:1">
      <c r="A19" s="65"/>
    </row>
    <row r="20" spans="1:1">
      <c r="A20" s="65"/>
    </row>
    <row r="21" spans="1:1" ht="15.75" customHeight="1">
      <c r="A21" s="65"/>
    </row>
    <row r="22" spans="1:1" ht="15.75" customHeight="1">
      <c r="A22" s="65"/>
    </row>
    <row r="23" spans="1:1" ht="15.75" customHeight="1">
      <c r="A23" s="65"/>
    </row>
    <row r="24" spans="1:1" ht="15.75" customHeight="1"/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/>
  <pageMargins left="0.7" right="0.7" top="0.75" bottom="0.75" header="0" footer="0"/>
  <pageSetup paperSize="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00"/>
  <sheetViews>
    <sheetView workbookViewId="0"/>
  </sheetViews>
  <sheetFormatPr defaultColWidth="14.42578125" defaultRowHeight="15" customHeight="1"/>
  <cols>
    <col min="1" max="1" width="4.7109375" customWidth="1"/>
    <col min="2" max="2" width="23.7109375" customWidth="1"/>
    <col min="3" max="3" width="8.140625" customWidth="1"/>
    <col min="4" max="4" width="16.140625" customWidth="1"/>
    <col min="5" max="5" width="14.5703125" customWidth="1"/>
    <col min="6" max="6" width="14.85546875" customWidth="1"/>
    <col min="7" max="7" width="14" customWidth="1"/>
    <col min="8" max="8" width="16.42578125" customWidth="1"/>
    <col min="9" max="9" width="16.85546875" customWidth="1"/>
    <col min="10" max="10" width="9.5703125" customWidth="1"/>
    <col min="11" max="11" width="17.85546875" customWidth="1"/>
    <col min="12" max="12" width="9.140625" customWidth="1"/>
    <col min="13" max="13" width="11.5703125" customWidth="1"/>
    <col min="14" max="15" width="8.7109375" customWidth="1"/>
    <col min="16" max="17" width="11.42578125" customWidth="1"/>
    <col min="18" max="26" width="8.7109375" customWidth="1"/>
  </cols>
  <sheetData>
    <row r="1" spans="1:13" ht="23.25">
      <c r="A1" s="555" t="s">
        <v>0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1"/>
    </row>
    <row r="2" spans="1:13" ht="18">
      <c r="A2" s="556" t="s">
        <v>528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1"/>
    </row>
    <row r="3" spans="1:13">
      <c r="A3" s="2"/>
      <c r="B3" s="3"/>
      <c r="C3" s="4"/>
      <c r="D3" s="3"/>
      <c r="E3" s="3"/>
      <c r="F3" s="1"/>
      <c r="G3" s="4"/>
      <c r="H3" s="5"/>
      <c r="I3" s="6"/>
      <c r="J3" s="557" t="s">
        <v>529</v>
      </c>
      <c r="K3" s="558"/>
      <c r="L3" s="1"/>
    </row>
    <row r="4" spans="1:13">
      <c r="A4" s="2"/>
      <c r="B4" s="3"/>
      <c r="C4" s="4"/>
      <c r="D4" s="3"/>
      <c r="E4" s="3"/>
      <c r="F4" s="1"/>
      <c r="G4" s="4"/>
      <c r="H4" s="5"/>
      <c r="I4" s="7"/>
      <c r="J4" s="8" t="s">
        <v>3</v>
      </c>
      <c r="K4" s="248">
        <v>185</v>
      </c>
      <c r="L4" s="1"/>
    </row>
    <row r="5" spans="1:13">
      <c r="A5" s="2"/>
      <c r="B5" s="3"/>
      <c r="C5" s="4"/>
      <c r="D5" s="3"/>
      <c r="E5" s="3"/>
      <c r="F5" s="1"/>
      <c r="G5" s="4"/>
      <c r="H5" s="5"/>
      <c r="I5" s="7"/>
      <c r="J5" s="8" t="s">
        <v>4</v>
      </c>
      <c r="K5" s="248">
        <v>40</v>
      </c>
      <c r="L5" s="1"/>
    </row>
    <row r="6" spans="1:13">
      <c r="A6" s="559" t="s">
        <v>5</v>
      </c>
      <c r="B6" s="560"/>
      <c r="C6" s="4"/>
      <c r="D6" s="3"/>
      <c r="E6" s="10"/>
      <c r="F6" s="1"/>
      <c r="G6" s="4"/>
      <c r="H6" s="5"/>
      <c r="I6" s="6"/>
      <c r="J6" s="561" t="s">
        <v>530</v>
      </c>
      <c r="K6" s="562"/>
      <c r="L6" s="1"/>
    </row>
    <row r="7" spans="1:13">
      <c r="A7" s="11"/>
      <c r="B7" s="12"/>
      <c r="C7" s="13"/>
      <c r="D7" s="14"/>
      <c r="E7" s="14"/>
      <c r="F7" s="563" t="s">
        <v>7</v>
      </c>
      <c r="G7" s="564"/>
      <c r="H7" s="558"/>
      <c r="I7" s="15"/>
      <c r="J7" s="550" t="s">
        <v>8</v>
      </c>
      <c r="K7" s="551"/>
      <c r="L7" s="1"/>
    </row>
    <row r="8" spans="1:13">
      <c r="A8" s="565" t="s">
        <v>9</v>
      </c>
      <c r="B8" s="566"/>
      <c r="C8" s="16" t="s">
        <v>10</v>
      </c>
      <c r="D8" s="17" t="s">
        <v>11</v>
      </c>
      <c r="E8" s="18" t="s">
        <v>12</v>
      </c>
      <c r="F8" s="19" t="s">
        <v>13</v>
      </c>
      <c r="G8" s="20"/>
      <c r="H8" s="21" t="s">
        <v>14</v>
      </c>
      <c r="I8" s="22" t="s">
        <v>15</v>
      </c>
      <c r="J8" s="23"/>
      <c r="K8" s="24"/>
      <c r="L8" s="1"/>
    </row>
    <row r="9" spans="1:13">
      <c r="A9" s="25"/>
      <c r="B9" s="26"/>
      <c r="C9" s="20"/>
      <c r="D9" s="27"/>
      <c r="E9" s="26"/>
      <c r="F9" s="28" t="s">
        <v>16</v>
      </c>
      <c r="G9" s="16" t="s">
        <v>17</v>
      </c>
      <c r="H9" s="21" t="s">
        <v>18</v>
      </c>
      <c r="I9" s="29"/>
      <c r="J9" s="17" t="s">
        <v>19</v>
      </c>
      <c r="K9" s="17" t="s">
        <v>20</v>
      </c>
      <c r="L9" s="1"/>
    </row>
    <row r="10" spans="1:13">
      <c r="A10" s="30"/>
      <c r="B10" s="31"/>
      <c r="C10" s="32"/>
      <c r="D10" s="33"/>
      <c r="E10" s="33"/>
      <c r="F10" s="34"/>
      <c r="G10" s="35"/>
      <c r="H10" s="36" t="s">
        <v>21</v>
      </c>
      <c r="I10" s="37"/>
      <c r="J10" s="34"/>
      <c r="K10" s="38" t="s">
        <v>22</v>
      </c>
      <c r="L10" s="1"/>
    </row>
    <row r="11" spans="1:13">
      <c r="A11" s="39" t="s">
        <v>23</v>
      </c>
      <c r="B11" s="40"/>
      <c r="C11" s="40"/>
      <c r="D11" s="40"/>
      <c r="E11" s="40"/>
      <c r="F11" s="40"/>
      <c r="G11" s="40"/>
      <c r="H11" s="40"/>
      <c r="I11" s="41"/>
      <c r="J11" s="40"/>
      <c r="K11" s="40"/>
      <c r="L11" s="1"/>
    </row>
    <row r="12" spans="1:13">
      <c r="A12" s="42">
        <v>2</v>
      </c>
      <c r="B12" s="40" t="s">
        <v>531</v>
      </c>
      <c r="C12" s="40" t="s">
        <v>59</v>
      </c>
      <c r="D12" s="40" t="s">
        <v>532</v>
      </c>
      <c r="E12" s="40" t="s">
        <v>533</v>
      </c>
      <c r="F12" s="43" t="s">
        <v>534</v>
      </c>
      <c r="G12" s="40" t="s">
        <v>29</v>
      </c>
      <c r="H12" s="44">
        <v>400</v>
      </c>
      <c r="I12" s="41">
        <v>80</v>
      </c>
      <c r="J12" s="40" t="s">
        <v>30</v>
      </c>
      <c r="K12" s="40" t="s">
        <v>31</v>
      </c>
      <c r="L12" s="1"/>
      <c r="M12" s="157">
        <f t="shared" ref="M12:M248" si="0">H12/5</f>
        <v>80</v>
      </c>
    </row>
    <row r="13" spans="1:13">
      <c r="A13" s="42">
        <v>2</v>
      </c>
      <c r="B13" s="40" t="s">
        <v>535</v>
      </c>
      <c r="C13" s="40" t="s">
        <v>25</v>
      </c>
      <c r="D13" s="40" t="s">
        <v>536</v>
      </c>
      <c r="E13" s="40" t="s">
        <v>78</v>
      </c>
      <c r="F13" s="43" t="s">
        <v>537</v>
      </c>
      <c r="G13" s="40" t="s">
        <v>29</v>
      </c>
      <c r="H13" s="44">
        <v>400</v>
      </c>
      <c r="I13" s="41">
        <v>80</v>
      </c>
      <c r="J13" s="40" t="s">
        <v>30</v>
      </c>
      <c r="K13" s="40" t="s">
        <v>31</v>
      </c>
      <c r="L13" s="1"/>
      <c r="M13" s="157">
        <f t="shared" si="0"/>
        <v>80</v>
      </c>
    </row>
    <row r="14" spans="1:13">
      <c r="A14" s="42">
        <v>2</v>
      </c>
      <c r="B14" s="40" t="s">
        <v>538</v>
      </c>
      <c r="C14" s="40" t="s">
        <v>59</v>
      </c>
      <c r="D14" s="40" t="s">
        <v>539</v>
      </c>
      <c r="E14" s="40" t="s">
        <v>540</v>
      </c>
      <c r="F14" s="43" t="s">
        <v>541</v>
      </c>
      <c r="G14" s="249" t="s">
        <v>542</v>
      </c>
      <c r="H14" s="250">
        <v>5</v>
      </c>
      <c r="I14" s="41">
        <v>50</v>
      </c>
      <c r="J14" s="40" t="s">
        <v>30</v>
      </c>
      <c r="K14" s="40" t="s">
        <v>31</v>
      </c>
      <c r="L14" s="1"/>
      <c r="M14" s="157">
        <f t="shared" si="0"/>
        <v>1</v>
      </c>
    </row>
    <row r="15" spans="1:13">
      <c r="A15" s="42">
        <v>2</v>
      </c>
      <c r="B15" s="40" t="s">
        <v>538</v>
      </c>
      <c r="C15" s="40" t="s">
        <v>59</v>
      </c>
      <c r="D15" s="40" t="s">
        <v>539</v>
      </c>
      <c r="E15" s="40" t="s">
        <v>540</v>
      </c>
      <c r="F15" s="40"/>
      <c r="G15" s="249" t="s">
        <v>543</v>
      </c>
      <c r="H15" s="250">
        <v>5</v>
      </c>
      <c r="I15" s="41">
        <v>15</v>
      </c>
      <c r="J15" s="40" t="s">
        <v>30</v>
      </c>
      <c r="K15" s="40" t="s">
        <v>31</v>
      </c>
      <c r="L15" s="1"/>
      <c r="M15" s="157">
        <f t="shared" si="0"/>
        <v>1</v>
      </c>
    </row>
    <row r="16" spans="1:13">
      <c r="A16" s="42">
        <v>2</v>
      </c>
      <c r="B16" s="40" t="s">
        <v>544</v>
      </c>
      <c r="C16" s="40" t="s">
        <v>25</v>
      </c>
      <c r="D16" s="40" t="s">
        <v>545</v>
      </c>
      <c r="E16" s="40" t="s">
        <v>103</v>
      </c>
      <c r="F16" s="43" t="s">
        <v>546</v>
      </c>
      <c r="G16" s="40" t="s">
        <v>29</v>
      </c>
      <c r="H16" s="44">
        <v>1000</v>
      </c>
      <c r="I16" s="41">
        <v>200</v>
      </c>
      <c r="J16" s="40" t="s">
        <v>30</v>
      </c>
      <c r="K16" s="40" t="s">
        <v>31</v>
      </c>
      <c r="L16" s="1"/>
      <c r="M16" s="157">
        <f t="shared" si="0"/>
        <v>200</v>
      </c>
    </row>
    <row r="17" spans="1:13">
      <c r="A17" s="42">
        <v>2</v>
      </c>
      <c r="B17" s="40" t="s">
        <v>544</v>
      </c>
      <c r="C17" s="40" t="s">
        <v>25</v>
      </c>
      <c r="D17" s="40" t="s">
        <v>545</v>
      </c>
      <c r="E17" s="40" t="s">
        <v>103</v>
      </c>
      <c r="F17" s="40"/>
      <c r="G17" s="249" t="s">
        <v>542</v>
      </c>
      <c r="H17" s="250">
        <v>100</v>
      </c>
      <c r="I17" s="41">
        <v>1300</v>
      </c>
      <c r="J17" s="40" t="s">
        <v>30</v>
      </c>
      <c r="K17" s="40" t="s">
        <v>31</v>
      </c>
      <c r="L17" s="1"/>
      <c r="M17" s="157">
        <f t="shared" si="0"/>
        <v>20</v>
      </c>
    </row>
    <row r="18" spans="1:13">
      <c r="A18" s="42">
        <v>2</v>
      </c>
      <c r="B18" s="40" t="s">
        <v>547</v>
      </c>
      <c r="C18" s="40" t="s">
        <v>25</v>
      </c>
      <c r="D18" s="40" t="s">
        <v>548</v>
      </c>
      <c r="E18" s="40" t="s">
        <v>42</v>
      </c>
      <c r="F18" s="43" t="s">
        <v>79</v>
      </c>
      <c r="G18" s="40" t="s">
        <v>29</v>
      </c>
      <c r="H18" s="44">
        <v>6000</v>
      </c>
      <c r="I18" s="41">
        <v>1200</v>
      </c>
      <c r="J18" s="40" t="s">
        <v>30</v>
      </c>
      <c r="K18" s="40" t="s">
        <v>31</v>
      </c>
      <c r="L18" s="1"/>
      <c r="M18" s="157">
        <f t="shared" si="0"/>
        <v>1200</v>
      </c>
    </row>
    <row r="19" spans="1:13">
      <c r="A19" s="42">
        <v>2</v>
      </c>
      <c r="B19" s="40" t="s">
        <v>549</v>
      </c>
      <c r="C19" s="40" t="s">
        <v>59</v>
      </c>
      <c r="D19" s="40" t="s">
        <v>68</v>
      </c>
      <c r="E19" s="40" t="s">
        <v>78</v>
      </c>
      <c r="F19" s="43" t="s">
        <v>550</v>
      </c>
      <c r="G19" s="40" t="s">
        <v>29</v>
      </c>
      <c r="H19" s="44">
        <v>1000</v>
      </c>
      <c r="I19" s="41">
        <v>200</v>
      </c>
      <c r="J19" s="40" t="s">
        <v>30</v>
      </c>
      <c r="K19" s="40" t="s">
        <v>31</v>
      </c>
      <c r="L19" s="1"/>
      <c r="M19" s="157">
        <f t="shared" si="0"/>
        <v>200</v>
      </c>
    </row>
    <row r="20" spans="1:13">
      <c r="A20" s="42">
        <v>2</v>
      </c>
      <c r="B20" s="40" t="s">
        <v>551</v>
      </c>
      <c r="C20" s="40" t="s">
        <v>25</v>
      </c>
      <c r="D20" s="40" t="s">
        <v>552</v>
      </c>
      <c r="E20" s="40" t="s">
        <v>46</v>
      </c>
      <c r="F20" s="43" t="s">
        <v>79</v>
      </c>
      <c r="G20" s="40" t="s">
        <v>29</v>
      </c>
      <c r="H20" s="44">
        <v>500</v>
      </c>
      <c r="I20" s="41">
        <v>100</v>
      </c>
      <c r="J20" s="40" t="s">
        <v>30</v>
      </c>
      <c r="K20" s="40" t="s">
        <v>31</v>
      </c>
      <c r="L20" s="1"/>
      <c r="M20" s="157">
        <f t="shared" si="0"/>
        <v>100</v>
      </c>
    </row>
    <row r="21" spans="1:13" ht="15.75" customHeight="1">
      <c r="A21" s="42">
        <v>2</v>
      </c>
      <c r="B21" s="40" t="s">
        <v>553</v>
      </c>
      <c r="C21" s="40" t="s">
        <v>25</v>
      </c>
      <c r="D21" s="40" t="s">
        <v>55</v>
      </c>
      <c r="E21" s="40" t="s">
        <v>96</v>
      </c>
      <c r="F21" s="43" t="s">
        <v>554</v>
      </c>
      <c r="G21" s="40" t="s">
        <v>29</v>
      </c>
      <c r="H21" s="44">
        <v>500</v>
      </c>
      <c r="I21" s="41">
        <v>100</v>
      </c>
      <c r="J21" s="40" t="s">
        <v>30</v>
      </c>
      <c r="K21" s="40" t="s">
        <v>31</v>
      </c>
      <c r="L21" s="1"/>
      <c r="M21" s="157">
        <f t="shared" si="0"/>
        <v>100</v>
      </c>
    </row>
    <row r="22" spans="1:13" ht="15.75" customHeight="1">
      <c r="A22" s="42">
        <v>2</v>
      </c>
      <c r="B22" s="40" t="s">
        <v>555</v>
      </c>
      <c r="C22" s="40" t="s">
        <v>25</v>
      </c>
      <c r="D22" s="40" t="s">
        <v>548</v>
      </c>
      <c r="E22" s="40" t="s">
        <v>42</v>
      </c>
      <c r="F22" s="43" t="s">
        <v>556</v>
      </c>
      <c r="G22" s="40" t="s">
        <v>29</v>
      </c>
      <c r="H22" s="44">
        <v>500</v>
      </c>
      <c r="I22" s="41">
        <v>100</v>
      </c>
      <c r="J22" s="40" t="s">
        <v>30</v>
      </c>
      <c r="K22" s="40" t="s">
        <v>31</v>
      </c>
      <c r="L22" s="1"/>
      <c r="M22" s="157">
        <f t="shared" si="0"/>
        <v>100</v>
      </c>
    </row>
    <row r="23" spans="1:13" ht="15.75" customHeight="1">
      <c r="A23" s="42">
        <v>2</v>
      </c>
      <c r="B23" s="40" t="s">
        <v>557</v>
      </c>
      <c r="C23" s="40" t="s">
        <v>25</v>
      </c>
      <c r="D23" s="40" t="s">
        <v>89</v>
      </c>
      <c r="E23" s="40" t="s">
        <v>38</v>
      </c>
      <c r="F23" s="43" t="s">
        <v>558</v>
      </c>
      <c r="G23" s="251" t="s">
        <v>29</v>
      </c>
      <c r="H23" s="252">
        <v>500</v>
      </c>
      <c r="I23" s="253" t="s">
        <v>101</v>
      </c>
      <c r="J23" s="40" t="s">
        <v>30</v>
      </c>
      <c r="K23" s="40" t="s">
        <v>31</v>
      </c>
      <c r="L23" s="1"/>
      <c r="M23" s="157">
        <f t="shared" si="0"/>
        <v>100</v>
      </c>
    </row>
    <row r="24" spans="1:13" ht="15.75" customHeight="1">
      <c r="A24" s="42">
        <v>2</v>
      </c>
      <c r="B24" s="40" t="s">
        <v>559</v>
      </c>
      <c r="C24" s="40" t="s">
        <v>25</v>
      </c>
      <c r="D24" s="40" t="s">
        <v>560</v>
      </c>
      <c r="E24" s="40" t="s">
        <v>561</v>
      </c>
      <c r="F24" s="43" t="s">
        <v>562</v>
      </c>
      <c r="G24" s="40" t="s">
        <v>29</v>
      </c>
      <c r="H24" s="44">
        <v>500</v>
      </c>
      <c r="I24" s="41">
        <v>100</v>
      </c>
      <c r="J24" s="40" t="s">
        <v>30</v>
      </c>
      <c r="K24" s="40" t="s">
        <v>31</v>
      </c>
      <c r="L24" s="1"/>
      <c r="M24" s="157">
        <f t="shared" si="0"/>
        <v>100</v>
      </c>
    </row>
    <row r="25" spans="1:13" ht="15.75" customHeight="1">
      <c r="A25" s="42">
        <v>2</v>
      </c>
      <c r="B25" s="40" t="s">
        <v>563</v>
      </c>
      <c r="C25" s="40" t="s">
        <v>25</v>
      </c>
      <c r="D25" s="40" t="s">
        <v>45</v>
      </c>
      <c r="E25" s="40" t="s">
        <v>46</v>
      </c>
      <c r="F25" s="43" t="s">
        <v>564</v>
      </c>
      <c r="G25" s="40" t="s">
        <v>29</v>
      </c>
      <c r="H25" s="44">
        <v>500</v>
      </c>
      <c r="I25" s="41">
        <v>100</v>
      </c>
      <c r="J25" s="40" t="s">
        <v>30</v>
      </c>
      <c r="K25" s="40" t="s">
        <v>31</v>
      </c>
      <c r="L25" s="1"/>
      <c r="M25" s="157">
        <f t="shared" si="0"/>
        <v>100</v>
      </c>
    </row>
    <row r="26" spans="1:13" ht="15.75" customHeight="1">
      <c r="A26" s="42">
        <v>2</v>
      </c>
      <c r="B26" s="40" t="s">
        <v>565</v>
      </c>
      <c r="C26" s="40" t="s">
        <v>25</v>
      </c>
      <c r="D26" s="40" t="s">
        <v>566</v>
      </c>
      <c r="E26" s="40" t="s">
        <v>96</v>
      </c>
      <c r="F26" s="43" t="s">
        <v>567</v>
      </c>
      <c r="G26" s="40" t="s">
        <v>29</v>
      </c>
      <c r="H26" s="44">
        <v>500</v>
      </c>
      <c r="I26" s="41">
        <v>100</v>
      </c>
      <c r="J26" s="40" t="s">
        <v>30</v>
      </c>
      <c r="K26" s="40" t="s">
        <v>31</v>
      </c>
      <c r="L26" s="1"/>
      <c r="M26" s="157">
        <f t="shared" si="0"/>
        <v>100</v>
      </c>
    </row>
    <row r="27" spans="1:13" ht="15.75" customHeight="1">
      <c r="A27" s="42">
        <v>2</v>
      </c>
      <c r="B27" s="40" t="s">
        <v>568</v>
      </c>
      <c r="C27" s="40" t="s">
        <v>25</v>
      </c>
      <c r="D27" s="40" t="s">
        <v>566</v>
      </c>
      <c r="E27" s="40" t="s">
        <v>96</v>
      </c>
      <c r="F27" s="43" t="s">
        <v>79</v>
      </c>
      <c r="G27" s="40" t="s">
        <v>29</v>
      </c>
      <c r="H27" s="44">
        <v>500</v>
      </c>
      <c r="I27" s="41">
        <v>100</v>
      </c>
      <c r="J27" s="40" t="s">
        <v>30</v>
      </c>
      <c r="K27" s="40" t="s">
        <v>31</v>
      </c>
      <c r="L27" s="1"/>
      <c r="M27" s="157">
        <f t="shared" si="0"/>
        <v>100</v>
      </c>
    </row>
    <row r="28" spans="1:13" ht="15.75" customHeight="1">
      <c r="A28" s="42">
        <v>2</v>
      </c>
      <c r="B28" s="40" t="s">
        <v>569</v>
      </c>
      <c r="C28" s="40" t="s">
        <v>59</v>
      </c>
      <c r="D28" s="40" t="s">
        <v>570</v>
      </c>
      <c r="E28" s="40" t="s">
        <v>60</v>
      </c>
      <c r="F28" s="43" t="s">
        <v>571</v>
      </c>
      <c r="G28" s="40" t="s">
        <v>29</v>
      </c>
      <c r="H28" s="44">
        <v>500</v>
      </c>
      <c r="I28" s="41">
        <v>100</v>
      </c>
      <c r="J28" s="40" t="s">
        <v>30</v>
      </c>
      <c r="K28" s="40" t="s">
        <v>31</v>
      </c>
      <c r="L28" s="1"/>
      <c r="M28" s="157">
        <f t="shared" si="0"/>
        <v>100</v>
      </c>
    </row>
    <row r="29" spans="1:13" ht="15.75" customHeight="1">
      <c r="A29" s="42">
        <v>2</v>
      </c>
      <c r="B29" s="40" t="s">
        <v>572</v>
      </c>
      <c r="C29" s="40" t="s">
        <v>25</v>
      </c>
      <c r="D29" s="40" t="s">
        <v>55</v>
      </c>
      <c r="E29" s="40" t="s">
        <v>96</v>
      </c>
      <c r="F29" s="43" t="s">
        <v>573</v>
      </c>
      <c r="G29" s="40" t="s">
        <v>29</v>
      </c>
      <c r="H29" s="44">
        <v>500</v>
      </c>
      <c r="I29" s="41">
        <v>100</v>
      </c>
      <c r="J29" s="40" t="s">
        <v>30</v>
      </c>
      <c r="K29" s="40" t="s">
        <v>31</v>
      </c>
      <c r="L29" s="1"/>
      <c r="M29" s="157">
        <f t="shared" si="0"/>
        <v>100</v>
      </c>
    </row>
    <row r="30" spans="1:13" ht="15.75" customHeight="1">
      <c r="A30" s="42">
        <v>2</v>
      </c>
      <c r="B30" s="40" t="s">
        <v>574</v>
      </c>
      <c r="C30" s="40" t="s">
        <v>25</v>
      </c>
      <c r="D30" s="40" t="s">
        <v>133</v>
      </c>
      <c r="E30" s="40" t="s">
        <v>46</v>
      </c>
      <c r="F30" s="43" t="s">
        <v>575</v>
      </c>
      <c r="G30" s="40" t="s">
        <v>29</v>
      </c>
      <c r="H30" s="44">
        <v>500</v>
      </c>
      <c r="I30" s="41">
        <v>100</v>
      </c>
      <c r="J30" s="40" t="s">
        <v>30</v>
      </c>
      <c r="K30" s="40" t="s">
        <v>31</v>
      </c>
      <c r="L30" s="1"/>
      <c r="M30" s="157">
        <f t="shared" si="0"/>
        <v>100</v>
      </c>
    </row>
    <row r="31" spans="1:13" ht="15.75" customHeight="1">
      <c r="A31" s="42">
        <v>2</v>
      </c>
      <c r="B31" s="40" t="s">
        <v>576</v>
      </c>
      <c r="C31" s="40" t="s">
        <v>25</v>
      </c>
      <c r="D31" s="40" t="s">
        <v>55</v>
      </c>
      <c r="E31" s="40" t="s">
        <v>96</v>
      </c>
      <c r="F31" s="43" t="s">
        <v>577</v>
      </c>
      <c r="G31" s="40" t="s">
        <v>29</v>
      </c>
      <c r="H31" s="44">
        <v>500</v>
      </c>
      <c r="I31" s="41">
        <v>100</v>
      </c>
      <c r="J31" s="40" t="s">
        <v>30</v>
      </c>
      <c r="K31" s="40" t="s">
        <v>31</v>
      </c>
      <c r="L31" s="1"/>
      <c r="M31" s="157">
        <f t="shared" si="0"/>
        <v>100</v>
      </c>
    </row>
    <row r="32" spans="1:13" ht="15.75" customHeight="1">
      <c r="A32" s="42">
        <v>2</v>
      </c>
      <c r="B32" s="132" t="s">
        <v>576</v>
      </c>
      <c r="C32" s="132" t="s">
        <v>25</v>
      </c>
      <c r="D32" s="132" t="s">
        <v>55</v>
      </c>
      <c r="E32" s="132" t="s">
        <v>96</v>
      </c>
      <c r="F32" s="132"/>
      <c r="G32" s="132" t="s">
        <v>72</v>
      </c>
      <c r="H32" s="254">
        <v>500</v>
      </c>
      <c r="I32" s="255">
        <v>500</v>
      </c>
      <c r="J32" s="40" t="s">
        <v>30</v>
      </c>
      <c r="K32" s="40" t="s">
        <v>31</v>
      </c>
      <c r="L32" s="1"/>
      <c r="M32" s="157">
        <f t="shared" si="0"/>
        <v>100</v>
      </c>
    </row>
    <row r="33" spans="1:16" ht="15.75" customHeight="1">
      <c r="A33" s="42">
        <v>2</v>
      </c>
      <c r="B33" s="40" t="s">
        <v>578</v>
      </c>
      <c r="C33" s="40" t="s">
        <v>25</v>
      </c>
      <c r="D33" s="40" t="s">
        <v>86</v>
      </c>
      <c r="E33" s="40" t="s">
        <v>42</v>
      </c>
      <c r="F33" s="43" t="s">
        <v>579</v>
      </c>
      <c r="G33" s="40" t="s">
        <v>29</v>
      </c>
      <c r="H33" s="44">
        <v>16000</v>
      </c>
      <c r="I33" s="41">
        <v>3200</v>
      </c>
      <c r="J33" s="40" t="s">
        <v>30</v>
      </c>
      <c r="K33" s="40" t="s">
        <v>31</v>
      </c>
      <c r="L33" s="1"/>
      <c r="M33" s="157">
        <f t="shared" si="0"/>
        <v>3200</v>
      </c>
    </row>
    <row r="34" spans="1:16" ht="15.75" customHeight="1">
      <c r="A34" s="42">
        <v>2</v>
      </c>
      <c r="B34" s="40" t="s">
        <v>580</v>
      </c>
      <c r="C34" s="40" t="s">
        <v>25</v>
      </c>
      <c r="D34" s="40" t="s">
        <v>581</v>
      </c>
      <c r="E34" s="40" t="s">
        <v>46</v>
      </c>
      <c r="F34" s="43" t="s">
        <v>582</v>
      </c>
      <c r="G34" s="251" t="s">
        <v>29</v>
      </c>
      <c r="H34" s="252">
        <v>500</v>
      </c>
      <c r="I34" s="253" t="s">
        <v>101</v>
      </c>
      <c r="J34" s="40" t="s">
        <v>30</v>
      </c>
      <c r="K34" s="40" t="s">
        <v>31</v>
      </c>
      <c r="L34" s="1"/>
      <c r="M34" s="157">
        <f t="shared" si="0"/>
        <v>100</v>
      </c>
    </row>
    <row r="35" spans="1:16" ht="15.75" customHeight="1">
      <c r="A35" s="42">
        <v>3</v>
      </c>
      <c r="B35" s="40" t="s">
        <v>583</v>
      </c>
      <c r="C35" s="40" t="s">
        <v>25</v>
      </c>
      <c r="D35" s="40" t="s">
        <v>99</v>
      </c>
      <c r="E35" s="40" t="s">
        <v>42</v>
      </c>
      <c r="F35" s="43" t="s">
        <v>79</v>
      </c>
      <c r="G35" s="40" t="s">
        <v>29</v>
      </c>
      <c r="H35" s="44">
        <v>1000</v>
      </c>
      <c r="I35" s="41">
        <v>200</v>
      </c>
      <c r="J35" s="40" t="s">
        <v>30</v>
      </c>
      <c r="K35" s="40" t="s">
        <v>31</v>
      </c>
      <c r="L35" s="1"/>
      <c r="M35" s="157">
        <f t="shared" si="0"/>
        <v>200</v>
      </c>
    </row>
    <row r="36" spans="1:16" ht="15.75" customHeight="1">
      <c r="A36" s="42">
        <v>3</v>
      </c>
      <c r="B36" s="40" t="s">
        <v>584</v>
      </c>
      <c r="C36" s="40" t="s">
        <v>25</v>
      </c>
      <c r="D36" s="40" t="s">
        <v>585</v>
      </c>
      <c r="E36" s="40" t="s">
        <v>249</v>
      </c>
      <c r="F36" s="43" t="s">
        <v>586</v>
      </c>
      <c r="G36" s="40" t="s">
        <v>29</v>
      </c>
      <c r="H36" s="44">
        <v>1000</v>
      </c>
      <c r="I36" s="41">
        <v>200</v>
      </c>
      <c r="J36" s="40" t="s">
        <v>30</v>
      </c>
      <c r="K36" s="40" t="s">
        <v>31</v>
      </c>
      <c r="L36" s="1"/>
      <c r="M36" s="157">
        <f t="shared" si="0"/>
        <v>200</v>
      </c>
    </row>
    <row r="37" spans="1:16" ht="15.75" customHeight="1">
      <c r="A37" s="42">
        <v>3</v>
      </c>
      <c r="B37" s="40" t="s">
        <v>587</v>
      </c>
      <c r="C37" s="40" t="s">
        <v>25</v>
      </c>
      <c r="D37" s="40" t="s">
        <v>588</v>
      </c>
      <c r="E37" s="40" t="s">
        <v>311</v>
      </c>
      <c r="F37" s="43" t="s">
        <v>79</v>
      </c>
      <c r="G37" s="40" t="s">
        <v>29</v>
      </c>
      <c r="H37" s="44">
        <v>1000</v>
      </c>
      <c r="I37" s="41">
        <v>200</v>
      </c>
      <c r="J37" s="40" t="s">
        <v>30</v>
      </c>
      <c r="K37" s="40" t="s">
        <v>31</v>
      </c>
      <c r="L37" s="1"/>
      <c r="M37" s="157">
        <f t="shared" si="0"/>
        <v>200</v>
      </c>
    </row>
    <row r="38" spans="1:16" ht="15.75" customHeight="1">
      <c r="A38" s="42">
        <v>3</v>
      </c>
      <c r="B38" s="40" t="s">
        <v>589</v>
      </c>
      <c r="C38" s="40" t="s">
        <v>25</v>
      </c>
      <c r="D38" s="40" t="s">
        <v>63</v>
      </c>
      <c r="E38" s="40" t="s">
        <v>318</v>
      </c>
      <c r="F38" s="43" t="s">
        <v>590</v>
      </c>
      <c r="G38" s="40" t="s">
        <v>29</v>
      </c>
      <c r="H38" s="44">
        <v>20000</v>
      </c>
      <c r="I38" s="41">
        <v>4000</v>
      </c>
      <c r="J38" s="40" t="s">
        <v>30</v>
      </c>
      <c r="K38" s="40" t="s">
        <v>31</v>
      </c>
      <c r="L38" s="1"/>
      <c r="M38" s="157">
        <f t="shared" si="0"/>
        <v>4000</v>
      </c>
    </row>
    <row r="39" spans="1:16" ht="15.75" customHeight="1">
      <c r="A39" s="42">
        <v>3</v>
      </c>
      <c r="B39" s="40" t="s">
        <v>591</v>
      </c>
      <c r="C39" s="40" t="s">
        <v>25</v>
      </c>
      <c r="D39" s="40" t="s">
        <v>99</v>
      </c>
      <c r="E39" s="40" t="s">
        <v>42</v>
      </c>
      <c r="F39" s="40"/>
      <c r="G39" s="40" t="s">
        <v>29</v>
      </c>
      <c r="H39" s="44">
        <v>800</v>
      </c>
      <c r="I39" s="41">
        <v>160</v>
      </c>
      <c r="J39" s="40" t="s">
        <v>30</v>
      </c>
      <c r="K39" s="40" t="s">
        <v>31</v>
      </c>
      <c r="L39" s="1"/>
      <c r="M39" s="157">
        <f t="shared" si="0"/>
        <v>160</v>
      </c>
    </row>
    <row r="40" spans="1:16" ht="15.75" customHeight="1">
      <c r="A40" s="42">
        <v>3</v>
      </c>
      <c r="B40" s="40" t="s">
        <v>592</v>
      </c>
      <c r="C40" s="40" t="s">
        <v>59</v>
      </c>
      <c r="D40" s="40" t="s">
        <v>593</v>
      </c>
      <c r="E40" s="40" t="s">
        <v>96</v>
      </c>
      <c r="F40" s="43" t="s">
        <v>594</v>
      </c>
      <c r="G40" s="40" t="s">
        <v>29</v>
      </c>
      <c r="H40" s="44">
        <v>800</v>
      </c>
      <c r="I40" s="41">
        <v>160</v>
      </c>
      <c r="J40" s="40" t="s">
        <v>30</v>
      </c>
      <c r="K40" s="40" t="s">
        <v>31</v>
      </c>
      <c r="L40" s="1"/>
      <c r="M40" s="157">
        <f t="shared" si="0"/>
        <v>160</v>
      </c>
    </row>
    <row r="41" spans="1:16" ht="15.75" customHeight="1">
      <c r="A41" s="42">
        <v>3</v>
      </c>
      <c r="B41" s="40" t="s">
        <v>595</v>
      </c>
      <c r="C41" s="40" t="s">
        <v>25</v>
      </c>
      <c r="D41" s="40" t="s">
        <v>89</v>
      </c>
      <c r="E41" s="40" t="s">
        <v>46</v>
      </c>
      <c r="F41" s="43" t="s">
        <v>596</v>
      </c>
      <c r="G41" s="40" t="s">
        <v>29</v>
      </c>
      <c r="H41" s="44">
        <v>600</v>
      </c>
      <c r="I41" s="41">
        <v>120</v>
      </c>
      <c r="J41" s="40" t="s">
        <v>30</v>
      </c>
      <c r="K41" s="40" t="s">
        <v>31</v>
      </c>
      <c r="L41" s="1"/>
      <c r="M41" s="157">
        <f t="shared" si="0"/>
        <v>120</v>
      </c>
    </row>
    <row r="42" spans="1:16" ht="15.75" customHeight="1">
      <c r="A42" s="42">
        <v>3</v>
      </c>
      <c r="B42" s="40" t="s">
        <v>597</v>
      </c>
      <c r="C42" s="40" t="s">
        <v>25</v>
      </c>
      <c r="D42" s="40" t="s">
        <v>598</v>
      </c>
      <c r="E42" s="40" t="s">
        <v>27</v>
      </c>
      <c r="F42" s="43" t="s">
        <v>79</v>
      </c>
      <c r="G42" s="40" t="s">
        <v>29</v>
      </c>
      <c r="H42" s="44">
        <v>600</v>
      </c>
      <c r="I42" s="41">
        <v>120</v>
      </c>
      <c r="J42" s="40" t="s">
        <v>30</v>
      </c>
      <c r="K42" s="40" t="s">
        <v>31</v>
      </c>
      <c r="L42" s="1"/>
      <c r="M42" s="157">
        <f t="shared" si="0"/>
        <v>120</v>
      </c>
    </row>
    <row r="43" spans="1:16" ht="15.75" customHeight="1">
      <c r="A43" s="42">
        <v>3</v>
      </c>
      <c r="B43" s="40" t="s">
        <v>599</v>
      </c>
      <c r="C43" s="40" t="s">
        <v>59</v>
      </c>
      <c r="D43" s="40" t="s">
        <v>600</v>
      </c>
      <c r="E43" s="40" t="s">
        <v>60</v>
      </c>
      <c r="F43" s="43" t="s">
        <v>601</v>
      </c>
      <c r="G43" s="40" t="s">
        <v>29</v>
      </c>
      <c r="H43" s="44">
        <v>600</v>
      </c>
      <c r="I43" s="41">
        <v>120</v>
      </c>
      <c r="J43" s="40" t="s">
        <v>30</v>
      </c>
      <c r="K43" s="40" t="s">
        <v>31</v>
      </c>
      <c r="L43" s="1"/>
      <c r="M43" s="157">
        <f t="shared" si="0"/>
        <v>120</v>
      </c>
      <c r="P43" s="45"/>
    </row>
    <row r="44" spans="1:16" ht="15.75" customHeight="1">
      <c r="A44" s="42">
        <v>3</v>
      </c>
      <c r="B44" s="40" t="s">
        <v>602</v>
      </c>
      <c r="C44" s="40" t="s">
        <v>25</v>
      </c>
      <c r="D44" s="40" t="s">
        <v>593</v>
      </c>
      <c r="E44" s="40" t="s">
        <v>96</v>
      </c>
      <c r="F44" s="43" t="s">
        <v>603</v>
      </c>
      <c r="G44" s="40" t="s">
        <v>29</v>
      </c>
      <c r="H44" s="44">
        <v>600</v>
      </c>
      <c r="I44" s="41">
        <v>120</v>
      </c>
      <c r="J44" s="40" t="s">
        <v>30</v>
      </c>
      <c r="K44" s="40" t="s">
        <v>31</v>
      </c>
      <c r="L44" s="1"/>
      <c r="M44" s="157">
        <f t="shared" si="0"/>
        <v>120</v>
      </c>
      <c r="P44" s="45"/>
    </row>
    <row r="45" spans="1:16" ht="15.75" customHeight="1">
      <c r="A45" s="42">
        <v>3</v>
      </c>
      <c r="B45" s="40" t="s">
        <v>604</v>
      </c>
      <c r="C45" s="40" t="s">
        <v>59</v>
      </c>
      <c r="D45" s="40" t="s">
        <v>63</v>
      </c>
      <c r="E45" s="40" t="s">
        <v>38</v>
      </c>
      <c r="F45" s="43" t="s">
        <v>605</v>
      </c>
      <c r="G45" s="251" t="s">
        <v>29</v>
      </c>
      <c r="H45" s="252">
        <v>500</v>
      </c>
      <c r="I45" s="253" t="s">
        <v>101</v>
      </c>
      <c r="J45" s="40" t="s">
        <v>30</v>
      </c>
      <c r="K45" s="40" t="s">
        <v>31</v>
      </c>
      <c r="L45" s="1"/>
      <c r="M45" s="157">
        <f t="shared" si="0"/>
        <v>100</v>
      </c>
    </row>
    <row r="46" spans="1:16" ht="15.75" customHeight="1">
      <c r="A46" s="42">
        <v>3</v>
      </c>
      <c r="B46" s="40" t="s">
        <v>606</v>
      </c>
      <c r="C46" s="40" t="s">
        <v>25</v>
      </c>
      <c r="D46" s="40" t="s">
        <v>607</v>
      </c>
      <c r="E46" s="40" t="s">
        <v>141</v>
      </c>
      <c r="F46" s="43" t="s">
        <v>608</v>
      </c>
      <c r="G46" s="40" t="s">
        <v>29</v>
      </c>
      <c r="H46" s="44">
        <v>200</v>
      </c>
      <c r="I46" s="41">
        <v>40</v>
      </c>
      <c r="J46" s="40" t="s">
        <v>30</v>
      </c>
      <c r="K46" s="40" t="s">
        <v>31</v>
      </c>
      <c r="L46" s="1"/>
      <c r="M46" s="157">
        <f t="shared" si="0"/>
        <v>40</v>
      </c>
      <c r="P46" s="45"/>
    </row>
    <row r="47" spans="1:16" ht="15.75" customHeight="1">
      <c r="A47" s="42">
        <v>3</v>
      </c>
      <c r="B47" s="40" t="s">
        <v>609</v>
      </c>
      <c r="C47" s="40" t="s">
        <v>25</v>
      </c>
      <c r="D47" s="40" t="s">
        <v>86</v>
      </c>
      <c r="E47" s="40" t="s">
        <v>42</v>
      </c>
      <c r="F47" s="43" t="s">
        <v>610</v>
      </c>
      <c r="G47" s="40" t="s">
        <v>29</v>
      </c>
      <c r="H47" s="44">
        <v>1500</v>
      </c>
      <c r="I47" s="41">
        <v>300</v>
      </c>
      <c r="J47" s="40" t="s">
        <v>30</v>
      </c>
      <c r="K47" s="40" t="s">
        <v>31</v>
      </c>
      <c r="L47" s="1"/>
      <c r="M47" s="157">
        <f t="shared" si="0"/>
        <v>300</v>
      </c>
    </row>
    <row r="48" spans="1:16" ht="15.75" customHeight="1">
      <c r="A48" s="42">
        <v>3</v>
      </c>
      <c r="B48" s="40" t="s">
        <v>611</v>
      </c>
      <c r="C48" s="40" t="s">
        <v>25</v>
      </c>
      <c r="D48" s="40" t="s">
        <v>612</v>
      </c>
      <c r="E48" s="40" t="s">
        <v>78</v>
      </c>
      <c r="F48" s="43" t="s">
        <v>613</v>
      </c>
      <c r="G48" s="40" t="s">
        <v>29</v>
      </c>
      <c r="H48" s="44">
        <v>1000</v>
      </c>
      <c r="I48" s="41">
        <v>200</v>
      </c>
      <c r="J48" s="40" t="s">
        <v>30</v>
      </c>
      <c r="K48" s="40" t="s">
        <v>31</v>
      </c>
      <c r="L48" s="1"/>
      <c r="M48" s="157">
        <f t="shared" si="0"/>
        <v>200</v>
      </c>
    </row>
    <row r="49" spans="1:17" ht="15.75" customHeight="1">
      <c r="A49" s="42">
        <v>3</v>
      </c>
      <c r="B49" s="40" t="s">
        <v>614</v>
      </c>
      <c r="C49" s="40" t="s">
        <v>25</v>
      </c>
      <c r="D49" s="40" t="s">
        <v>615</v>
      </c>
      <c r="E49" s="40" t="s">
        <v>60</v>
      </c>
      <c r="F49" s="43" t="s">
        <v>616</v>
      </c>
      <c r="G49" s="40" t="s">
        <v>29</v>
      </c>
      <c r="H49" s="44">
        <v>3000</v>
      </c>
      <c r="I49" s="41">
        <v>600</v>
      </c>
      <c r="J49" s="40" t="s">
        <v>30</v>
      </c>
      <c r="K49" s="40" t="s">
        <v>31</v>
      </c>
      <c r="L49" s="1"/>
      <c r="M49" s="157">
        <f t="shared" si="0"/>
        <v>600</v>
      </c>
      <c r="P49" s="45"/>
    </row>
    <row r="50" spans="1:17" ht="15.75" customHeight="1">
      <c r="A50" s="42">
        <v>3</v>
      </c>
      <c r="B50" s="40" t="s">
        <v>617</v>
      </c>
      <c r="C50" s="40" t="s">
        <v>25</v>
      </c>
      <c r="D50" s="40" t="s">
        <v>618</v>
      </c>
      <c r="E50" s="40" t="s">
        <v>50</v>
      </c>
      <c r="F50" s="43" t="s">
        <v>619</v>
      </c>
      <c r="G50" s="40" t="s">
        <v>29</v>
      </c>
      <c r="H50" s="44">
        <v>1000</v>
      </c>
      <c r="I50" s="41">
        <v>200</v>
      </c>
      <c r="J50" s="40" t="s">
        <v>30</v>
      </c>
      <c r="K50" s="40" t="s">
        <v>31</v>
      </c>
      <c r="L50" s="1"/>
      <c r="M50" s="157">
        <f t="shared" si="0"/>
        <v>200</v>
      </c>
    </row>
    <row r="51" spans="1:17" ht="15.75" customHeight="1">
      <c r="A51" s="42">
        <v>3</v>
      </c>
      <c r="B51" s="40" t="s">
        <v>620</v>
      </c>
      <c r="C51" s="40" t="s">
        <v>25</v>
      </c>
      <c r="D51" s="40" t="s">
        <v>621</v>
      </c>
      <c r="E51" s="40" t="s">
        <v>540</v>
      </c>
      <c r="F51" s="43" t="s">
        <v>622</v>
      </c>
      <c r="G51" s="40" t="s">
        <v>29</v>
      </c>
      <c r="H51" s="44">
        <v>1000</v>
      </c>
      <c r="I51" s="41">
        <v>200</v>
      </c>
      <c r="J51" s="40" t="s">
        <v>30</v>
      </c>
      <c r="K51" s="40" t="s">
        <v>31</v>
      </c>
      <c r="L51" s="1"/>
      <c r="M51" s="157">
        <f t="shared" si="0"/>
        <v>200</v>
      </c>
    </row>
    <row r="52" spans="1:17" ht="15.75" customHeight="1">
      <c r="A52" s="42">
        <v>3</v>
      </c>
      <c r="B52" s="40" t="s">
        <v>623</v>
      </c>
      <c r="C52" s="40" t="s">
        <v>25</v>
      </c>
      <c r="D52" s="40" t="s">
        <v>624</v>
      </c>
      <c r="E52" s="40" t="s">
        <v>34</v>
      </c>
      <c r="F52" s="43" t="s">
        <v>625</v>
      </c>
      <c r="G52" s="40" t="s">
        <v>29</v>
      </c>
      <c r="H52" s="44">
        <v>30000</v>
      </c>
      <c r="I52" s="41">
        <v>6000</v>
      </c>
      <c r="J52" s="40" t="s">
        <v>30</v>
      </c>
      <c r="K52" s="40" t="s">
        <v>31</v>
      </c>
      <c r="L52" s="1"/>
      <c r="M52" s="157">
        <f t="shared" si="0"/>
        <v>6000</v>
      </c>
    </row>
    <row r="53" spans="1:17" ht="15.75" customHeight="1">
      <c r="A53" s="42">
        <v>3</v>
      </c>
      <c r="B53" s="40" t="s">
        <v>626</v>
      </c>
      <c r="C53" s="40" t="s">
        <v>59</v>
      </c>
      <c r="D53" s="40" t="s">
        <v>627</v>
      </c>
      <c r="E53" s="40" t="s">
        <v>540</v>
      </c>
      <c r="F53" s="43" t="s">
        <v>628</v>
      </c>
      <c r="G53" s="251" t="s">
        <v>29</v>
      </c>
      <c r="H53" s="252">
        <v>500</v>
      </c>
      <c r="I53" s="253" t="s">
        <v>101</v>
      </c>
      <c r="J53" s="40" t="s">
        <v>30</v>
      </c>
      <c r="K53" s="40" t="s">
        <v>31</v>
      </c>
      <c r="L53" s="1"/>
      <c r="M53" s="157">
        <f t="shared" si="0"/>
        <v>100</v>
      </c>
    </row>
    <row r="54" spans="1:17" ht="15.75" customHeight="1">
      <c r="A54" s="42">
        <v>3</v>
      </c>
      <c r="B54" s="40" t="s">
        <v>629</v>
      </c>
      <c r="C54" s="40" t="s">
        <v>25</v>
      </c>
      <c r="D54" s="40" t="s">
        <v>627</v>
      </c>
      <c r="E54" s="40" t="s">
        <v>540</v>
      </c>
      <c r="F54" s="40"/>
      <c r="G54" s="251" t="s">
        <v>29</v>
      </c>
      <c r="H54" s="252">
        <v>500</v>
      </c>
      <c r="I54" s="253" t="s">
        <v>101</v>
      </c>
      <c r="J54" s="40" t="s">
        <v>30</v>
      </c>
      <c r="K54" s="40" t="s">
        <v>31</v>
      </c>
      <c r="L54" s="1"/>
      <c r="M54" s="157">
        <f t="shared" si="0"/>
        <v>100</v>
      </c>
      <c r="P54" s="552"/>
      <c r="Q54" s="553"/>
    </row>
    <row r="55" spans="1:17" ht="15.75" customHeight="1">
      <c r="A55" s="42">
        <v>4</v>
      </c>
      <c r="B55" s="40" t="s">
        <v>630</v>
      </c>
      <c r="C55" s="40" t="s">
        <v>25</v>
      </c>
      <c r="D55" s="40" t="s">
        <v>631</v>
      </c>
      <c r="E55" s="40" t="s">
        <v>60</v>
      </c>
      <c r="F55" s="43" t="s">
        <v>632</v>
      </c>
      <c r="G55" s="251" t="s">
        <v>29</v>
      </c>
      <c r="H55" s="252">
        <v>500</v>
      </c>
      <c r="I55" s="253" t="s">
        <v>101</v>
      </c>
      <c r="J55" s="40" t="s">
        <v>30</v>
      </c>
      <c r="K55" s="40" t="s">
        <v>31</v>
      </c>
      <c r="L55" s="1"/>
      <c r="M55" s="157">
        <f t="shared" si="0"/>
        <v>100</v>
      </c>
      <c r="Q55" s="45"/>
    </row>
    <row r="56" spans="1:17" ht="15.75" customHeight="1">
      <c r="A56" s="256">
        <v>4</v>
      </c>
      <c r="B56" s="48" t="s">
        <v>630</v>
      </c>
      <c r="C56" s="48" t="s">
        <v>25</v>
      </c>
      <c r="D56" s="48" t="s">
        <v>631</v>
      </c>
      <c r="E56" s="48" t="s">
        <v>60</v>
      </c>
      <c r="F56" s="49" t="s">
        <v>632</v>
      </c>
      <c r="G56" s="48" t="s">
        <v>29</v>
      </c>
      <c r="H56" s="50">
        <v>1500</v>
      </c>
      <c r="I56" s="51">
        <v>300</v>
      </c>
      <c r="J56" s="48" t="s">
        <v>30</v>
      </c>
      <c r="K56" s="48" t="s">
        <v>31</v>
      </c>
      <c r="L56" s="1"/>
      <c r="M56" s="157">
        <f t="shared" si="0"/>
        <v>300</v>
      </c>
      <c r="Q56" s="45"/>
    </row>
    <row r="57" spans="1:17" ht="15.75" customHeight="1">
      <c r="A57" s="52">
        <v>4</v>
      </c>
      <c r="B57" s="53" t="s">
        <v>633</v>
      </c>
      <c r="C57" s="53" t="s">
        <v>59</v>
      </c>
      <c r="D57" s="53" t="s">
        <v>185</v>
      </c>
      <c r="E57" s="53" t="s">
        <v>42</v>
      </c>
      <c r="F57" s="60" t="s">
        <v>634</v>
      </c>
      <c r="G57" s="257" t="s">
        <v>29</v>
      </c>
      <c r="H57" s="258">
        <v>1500</v>
      </c>
      <c r="I57" s="259" t="s">
        <v>101</v>
      </c>
      <c r="J57" s="53" t="s">
        <v>30</v>
      </c>
      <c r="K57" s="53" t="s">
        <v>31</v>
      </c>
      <c r="L57" s="1"/>
      <c r="M57" s="157">
        <f t="shared" si="0"/>
        <v>300</v>
      </c>
    </row>
    <row r="58" spans="1:17" ht="15.75" customHeight="1">
      <c r="A58" s="42">
        <v>4</v>
      </c>
      <c r="B58" s="40" t="s">
        <v>633</v>
      </c>
      <c r="C58" s="40" t="s">
        <v>59</v>
      </c>
      <c r="D58" s="40" t="s">
        <v>185</v>
      </c>
      <c r="E58" s="40" t="s">
        <v>42</v>
      </c>
      <c r="F58" s="43" t="s">
        <v>634</v>
      </c>
      <c r="G58" s="40" t="s">
        <v>29</v>
      </c>
      <c r="H58" s="44">
        <v>1500</v>
      </c>
      <c r="I58" s="41">
        <v>300</v>
      </c>
      <c r="J58" s="40" t="s">
        <v>30</v>
      </c>
      <c r="K58" s="40" t="s">
        <v>31</v>
      </c>
      <c r="L58" s="1"/>
      <c r="M58" s="157">
        <f t="shared" si="0"/>
        <v>300</v>
      </c>
      <c r="P58" s="552"/>
      <c r="Q58" s="553"/>
    </row>
    <row r="59" spans="1:17" ht="15.75" customHeight="1">
      <c r="A59" s="42">
        <v>4</v>
      </c>
      <c r="B59" s="40" t="s">
        <v>633</v>
      </c>
      <c r="C59" s="40" t="s">
        <v>59</v>
      </c>
      <c r="D59" s="40" t="s">
        <v>185</v>
      </c>
      <c r="E59" s="40" t="s">
        <v>42</v>
      </c>
      <c r="F59" s="43" t="s">
        <v>634</v>
      </c>
      <c r="G59" s="171" t="s">
        <v>542</v>
      </c>
      <c r="H59" s="260">
        <v>50</v>
      </c>
      <c r="I59" s="261" t="s">
        <v>101</v>
      </c>
      <c r="J59" s="40" t="s">
        <v>30</v>
      </c>
      <c r="K59" s="40" t="s">
        <v>31</v>
      </c>
      <c r="L59" s="1"/>
      <c r="M59" s="157">
        <f t="shared" si="0"/>
        <v>10</v>
      </c>
      <c r="Q59" s="45"/>
    </row>
    <row r="60" spans="1:17" ht="15.75" customHeight="1">
      <c r="A60" s="42">
        <v>4</v>
      </c>
      <c r="B60" s="40" t="s">
        <v>617</v>
      </c>
      <c r="C60" s="40" t="s">
        <v>25</v>
      </c>
      <c r="D60" s="40" t="s">
        <v>618</v>
      </c>
      <c r="E60" s="40" t="s">
        <v>50</v>
      </c>
      <c r="F60" s="43" t="s">
        <v>619</v>
      </c>
      <c r="G60" s="40" t="s">
        <v>29</v>
      </c>
      <c r="H60" s="44">
        <v>200</v>
      </c>
      <c r="I60" s="41">
        <v>400</v>
      </c>
      <c r="J60" s="40" t="s">
        <v>30</v>
      </c>
      <c r="K60" s="40" t="s">
        <v>31</v>
      </c>
      <c r="L60" s="1"/>
      <c r="M60" s="157">
        <f t="shared" si="0"/>
        <v>40</v>
      </c>
      <c r="O60" s="593" t="s">
        <v>635</v>
      </c>
      <c r="P60" s="551"/>
      <c r="Q60" s="40"/>
    </row>
    <row r="61" spans="1:17" ht="15.75" customHeight="1">
      <c r="A61" s="42">
        <v>4</v>
      </c>
      <c r="B61" s="40" t="s">
        <v>636</v>
      </c>
      <c r="C61" s="40" t="s">
        <v>25</v>
      </c>
      <c r="D61" s="40" t="s">
        <v>637</v>
      </c>
      <c r="E61" s="40" t="s">
        <v>46</v>
      </c>
      <c r="F61" s="43" t="s">
        <v>638</v>
      </c>
      <c r="G61" s="40" t="s">
        <v>29</v>
      </c>
      <c r="H61" s="44">
        <v>300</v>
      </c>
      <c r="I61" s="41">
        <v>60</v>
      </c>
      <c r="J61" s="40" t="s">
        <v>30</v>
      </c>
      <c r="K61" s="40" t="s">
        <v>31</v>
      </c>
      <c r="L61" s="1"/>
      <c r="M61" s="157">
        <f t="shared" si="0"/>
        <v>60</v>
      </c>
      <c r="O61" s="40" t="s">
        <v>639</v>
      </c>
      <c r="P61" s="595">
        <f>SUM(H58,H60:H65,H68:H81,H84:H86,H88:H92,H94:H101,H103:H107)</f>
        <v>58250</v>
      </c>
      <c r="Q61" s="551"/>
    </row>
    <row r="62" spans="1:17" ht="15.75" customHeight="1">
      <c r="A62" s="42">
        <v>4</v>
      </c>
      <c r="B62" s="40" t="s">
        <v>640</v>
      </c>
      <c r="C62" s="40" t="s">
        <v>25</v>
      </c>
      <c r="D62" s="40" t="s">
        <v>641</v>
      </c>
      <c r="E62" s="40" t="s">
        <v>150</v>
      </c>
      <c r="F62" s="43" t="s">
        <v>638</v>
      </c>
      <c r="G62" s="40" t="s">
        <v>29</v>
      </c>
      <c r="H62" s="44">
        <v>200</v>
      </c>
      <c r="I62" s="41">
        <v>40</v>
      </c>
      <c r="J62" s="40" t="s">
        <v>30</v>
      </c>
      <c r="K62" s="40" t="s">
        <v>31</v>
      </c>
      <c r="L62" s="1"/>
      <c r="M62" s="157">
        <f t="shared" si="0"/>
        <v>40</v>
      </c>
      <c r="O62" s="40" t="s">
        <v>642</v>
      </c>
      <c r="P62" s="595">
        <f>SUM('November (Group)'!I15,'November 2021'!H57,'November 2021'!H87,'November 2021'!H102)</f>
        <v>9400</v>
      </c>
      <c r="Q62" s="551"/>
    </row>
    <row r="63" spans="1:17" ht="15.75" customHeight="1">
      <c r="A63" s="42">
        <v>4</v>
      </c>
      <c r="B63" s="40" t="s">
        <v>643</v>
      </c>
      <c r="C63" s="40" t="s">
        <v>59</v>
      </c>
      <c r="D63" s="40" t="s">
        <v>92</v>
      </c>
      <c r="E63" s="40" t="s">
        <v>46</v>
      </c>
      <c r="F63" s="43" t="s">
        <v>644</v>
      </c>
      <c r="G63" s="40" t="s">
        <v>29</v>
      </c>
      <c r="H63" s="44">
        <v>400</v>
      </c>
      <c r="I63" s="41">
        <v>80</v>
      </c>
      <c r="J63" s="40" t="s">
        <v>30</v>
      </c>
      <c r="K63" s="40" t="s">
        <v>31</v>
      </c>
      <c r="L63" s="1"/>
      <c r="M63" s="157">
        <f t="shared" si="0"/>
        <v>80</v>
      </c>
      <c r="O63" s="593" t="s">
        <v>645</v>
      </c>
      <c r="P63" s="551"/>
      <c r="Q63" s="40"/>
    </row>
    <row r="64" spans="1:17" ht="15.75" customHeight="1">
      <c r="A64" s="42">
        <v>4</v>
      </c>
      <c r="B64" s="40" t="s">
        <v>646</v>
      </c>
      <c r="C64" s="40" t="s">
        <v>25</v>
      </c>
      <c r="D64" s="40" t="s">
        <v>647</v>
      </c>
      <c r="E64" s="40" t="s">
        <v>96</v>
      </c>
      <c r="F64" s="43" t="s">
        <v>638</v>
      </c>
      <c r="G64" s="40" t="s">
        <v>29</v>
      </c>
      <c r="H64" s="44">
        <v>1000</v>
      </c>
      <c r="I64" s="41">
        <v>200</v>
      </c>
      <c r="J64" s="40" t="s">
        <v>30</v>
      </c>
      <c r="K64" s="40" t="s">
        <v>31</v>
      </c>
      <c r="L64" s="1"/>
      <c r="M64" s="157">
        <f t="shared" si="0"/>
        <v>200</v>
      </c>
      <c r="O64" s="40" t="s">
        <v>639</v>
      </c>
      <c r="P64" s="595">
        <f>SUM(H82:H83)</f>
        <v>20</v>
      </c>
      <c r="Q64" s="551"/>
    </row>
    <row r="65" spans="1:17" ht="15.75" customHeight="1">
      <c r="A65" s="42">
        <v>4</v>
      </c>
      <c r="B65" s="40" t="s">
        <v>648</v>
      </c>
      <c r="C65" s="40" t="s">
        <v>25</v>
      </c>
      <c r="D65" s="40" t="s">
        <v>81</v>
      </c>
      <c r="E65" s="40" t="s">
        <v>50</v>
      </c>
      <c r="F65" s="43" t="s">
        <v>638</v>
      </c>
      <c r="G65" s="40" t="s">
        <v>29</v>
      </c>
      <c r="H65" s="44">
        <v>500</v>
      </c>
      <c r="I65" s="41">
        <v>100</v>
      </c>
      <c r="J65" s="40" t="s">
        <v>30</v>
      </c>
      <c r="K65" s="40" t="s">
        <v>31</v>
      </c>
      <c r="L65" s="1"/>
      <c r="M65" s="157">
        <f t="shared" si="0"/>
        <v>100</v>
      </c>
      <c r="O65" s="40" t="s">
        <v>642</v>
      </c>
      <c r="P65" s="595">
        <f>SUM(H59,H67)</f>
        <v>100</v>
      </c>
      <c r="Q65" s="551"/>
    </row>
    <row r="66" spans="1:17" ht="15.75" customHeight="1">
      <c r="A66" s="42">
        <v>4</v>
      </c>
      <c r="B66" s="132" t="s">
        <v>649</v>
      </c>
      <c r="C66" s="132" t="s">
        <v>25</v>
      </c>
      <c r="D66" s="132" t="s">
        <v>612</v>
      </c>
      <c r="E66" s="132" t="s">
        <v>394</v>
      </c>
      <c r="F66" s="262" t="s">
        <v>638</v>
      </c>
      <c r="G66" s="132" t="s">
        <v>72</v>
      </c>
      <c r="H66" s="254">
        <v>100</v>
      </c>
      <c r="I66" s="255" t="s">
        <v>101</v>
      </c>
      <c r="J66" s="40" t="s">
        <v>30</v>
      </c>
      <c r="K66" s="40" t="s">
        <v>31</v>
      </c>
      <c r="L66" s="1"/>
      <c r="M66" s="157">
        <f t="shared" si="0"/>
        <v>20</v>
      </c>
      <c r="O66" s="593" t="s">
        <v>72</v>
      </c>
      <c r="P66" s="551"/>
      <c r="Q66" s="40"/>
    </row>
    <row r="67" spans="1:17" ht="15.75" customHeight="1">
      <c r="A67" s="42">
        <v>4</v>
      </c>
      <c r="B67" s="40" t="s">
        <v>650</v>
      </c>
      <c r="C67" s="40" t="s">
        <v>25</v>
      </c>
      <c r="D67" s="40" t="s">
        <v>149</v>
      </c>
      <c r="E67" s="40" t="s">
        <v>150</v>
      </c>
      <c r="F67" s="43" t="s">
        <v>638</v>
      </c>
      <c r="G67" s="171" t="s">
        <v>542</v>
      </c>
      <c r="H67" s="260">
        <v>50</v>
      </c>
      <c r="I67" s="261" t="s">
        <v>101</v>
      </c>
      <c r="J67" s="40" t="s">
        <v>30</v>
      </c>
      <c r="K67" s="40" t="s">
        <v>31</v>
      </c>
      <c r="L67" s="1"/>
      <c r="M67" s="157">
        <f t="shared" si="0"/>
        <v>10</v>
      </c>
      <c r="O67" s="40" t="s">
        <v>639</v>
      </c>
      <c r="P67" s="593">
        <v>0</v>
      </c>
      <c r="Q67" s="551"/>
    </row>
    <row r="68" spans="1:17" ht="15.75" customHeight="1">
      <c r="A68" s="42">
        <v>5</v>
      </c>
      <c r="B68" s="40" t="s">
        <v>651</v>
      </c>
      <c r="C68" s="40" t="s">
        <v>25</v>
      </c>
      <c r="D68" s="43" t="s">
        <v>652</v>
      </c>
      <c r="E68" s="40" t="s">
        <v>103</v>
      </c>
      <c r="F68" s="43" t="s">
        <v>653</v>
      </c>
      <c r="G68" s="40" t="s">
        <v>29</v>
      </c>
      <c r="H68" s="44">
        <v>300</v>
      </c>
      <c r="I68" s="41">
        <v>60</v>
      </c>
      <c r="J68" s="40" t="s">
        <v>30</v>
      </c>
      <c r="K68" s="40" t="s">
        <v>31</v>
      </c>
      <c r="L68" s="1"/>
      <c r="M68" s="157">
        <f t="shared" si="0"/>
        <v>60</v>
      </c>
      <c r="O68" s="40" t="s">
        <v>642</v>
      </c>
      <c r="P68" s="595">
        <f>SUM(H66,H93)</f>
        <v>375</v>
      </c>
      <c r="Q68" s="551"/>
    </row>
    <row r="69" spans="1:17" ht="15.75" customHeight="1">
      <c r="A69" s="42">
        <v>5</v>
      </c>
      <c r="B69" s="40" t="s">
        <v>654</v>
      </c>
      <c r="C69" s="40" t="s">
        <v>25</v>
      </c>
      <c r="D69" s="40" t="s">
        <v>655</v>
      </c>
      <c r="E69" s="40" t="s">
        <v>42</v>
      </c>
      <c r="F69" s="43" t="s">
        <v>638</v>
      </c>
      <c r="G69" s="40" t="s">
        <v>29</v>
      </c>
      <c r="H69" s="44">
        <v>300</v>
      </c>
      <c r="I69" s="41">
        <v>60</v>
      </c>
      <c r="J69" s="40" t="s">
        <v>30</v>
      </c>
      <c r="K69" s="40" t="s">
        <v>31</v>
      </c>
      <c r="L69" s="1"/>
      <c r="M69" s="157">
        <f t="shared" si="0"/>
        <v>60</v>
      </c>
      <c r="Q69" s="45">
        <f>P61+P62+P64+P65+P68</f>
        <v>68145</v>
      </c>
    </row>
    <row r="70" spans="1:17" ht="15.75" customHeight="1">
      <c r="A70" s="42">
        <v>5</v>
      </c>
      <c r="B70" s="40" t="s">
        <v>656</v>
      </c>
      <c r="C70" s="40" t="s">
        <v>25</v>
      </c>
      <c r="D70" s="40" t="s">
        <v>657</v>
      </c>
      <c r="E70" s="40" t="s">
        <v>38</v>
      </c>
      <c r="F70" s="43" t="s">
        <v>638</v>
      </c>
      <c r="G70" s="40" t="s">
        <v>29</v>
      </c>
      <c r="H70" s="44">
        <v>300</v>
      </c>
      <c r="I70" s="41">
        <v>60</v>
      </c>
      <c r="J70" s="40" t="s">
        <v>30</v>
      </c>
      <c r="K70" s="40" t="s">
        <v>31</v>
      </c>
      <c r="L70" s="1"/>
      <c r="M70" s="157">
        <f t="shared" si="0"/>
        <v>60</v>
      </c>
    </row>
    <row r="71" spans="1:17" ht="15.75" customHeight="1">
      <c r="A71" s="42">
        <v>5</v>
      </c>
      <c r="B71" s="40" t="s">
        <v>658</v>
      </c>
      <c r="C71" s="40" t="s">
        <v>25</v>
      </c>
      <c r="D71" s="40" t="s">
        <v>49</v>
      </c>
      <c r="E71" s="40" t="s">
        <v>50</v>
      </c>
      <c r="F71" s="43" t="s">
        <v>659</v>
      </c>
      <c r="G71" s="40" t="s">
        <v>29</v>
      </c>
      <c r="H71" s="44">
        <v>1000</v>
      </c>
      <c r="I71" s="41">
        <v>200</v>
      </c>
      <c r="J71" s="40" t="s">
        <v>30</v>
      </c>
      <c r="K71" s="40" t="s">
        <v>31</v>
      </c>
      <c r="L71" s="1"/>
      <c r="M71" s="157">
        <f t="shared" si="0"/>
        <v>200</v>
      </c>
    </row>
    <row r="72" spans="1:17" ht="15.75" customHeight="1">
      <c r="A72" s="42">
        <v>5</v>
      </c>
      <c r="B72" s="40" t="s">
        <v>660</v>
      </c>
      <c r="C72" s="40" t="s">
        <v>25</v>
      </c>
      <c r="D72" s="40" t="s">
        <v>49</v>
      </c>
      <c r="E72" s="40" t="s">
        <v>50</v>
      </c>
      <c r="F72" s="43" t="s">
        <v>638</v>
      </c>
      <c r="G72" s="40" t="s">
        <v>29</v>
      </c>
      <c r="H72" s="44">
        <v>1000</v>
      </c>
      <c r="I72" s="41">
        <v>200</v>
      </c>
      <c r="J72" s="40" t="s">
        <v>30</v>
      </c>
      <c r="K72" s="40" t="s">
        <v>31</v>
      </c>
      <c r="L72" s="1"/>
      <c r="M72" s="157">
        <f t="shared" si="0"/>
        <v>200</v>
      </c>
    </row>
    <row r="73" spans="1:17" ht="15.75" customHeight="1">
      <c r="A73" s="42">
        <v>5</v>
      </c>
      <c r="B73" s="40" t="s">
        <v>661</v>
      </c>
      <c r="C73" s="40" t="s">
        <v>25</v>
      </c>
      <c r="D73" s="40" t="s">
        <v>63</v>
      </c>
      <c r="E73" s="40" t="s">
        <v>60</v>
      </c>
      <c r="F73" s="43" t="s">
        <v>662</v>
      </c>
      <c r="G73" s="40" t="s">
        <v>29</v>
      </c>
      <c r="H73" s="44">
        <v>1000</v>
      </c>
      <c r="I73" s="41">
        <v>200</v>
      </c>
      <c r="J73" s="40" t="s">
        <v>30</v>
      </c>
      <c r="K73" s="40" t="s">
        <v>31</v>
      </c>
      <c r="L73" s="1"/>
      <c r="M73" s="157">
        <f t="shared" si="0"/>
        <v>200</v>
      </c>
    </row>
    <row r="74" spans="1:17" ht="15.75" customHeight="1">
      <c r="A74" s="42">
        <v>5</v>
      </c>
      <c r="B74" s="40" t="s">
        <v>663</v>
      </c>
      <c r="C74" s="40" t="s">
        <v>25</v>
      </c>
      <c r="D74" s="40" t="s">
        <v>664</v>
      </c>
      <c r="E74" s="40" t="s">
        <v>46</v>
      </c>
      <c r="F74" s="43" t="s">
        <v>665</v>
      </c>
      <c r="G74" s="40" t="s">
        <v>29</v>
      </c>
      <c r="H74" s="44">
        <v>1000</v>
      </c>
      <c r="I74" s="41">
        <v>200</v>
      </c>
      <c r="J74" s="40" t="s">
        <v>30</v>
      </c>
      <c r="K74" s="40" t="s">
        <v>31</v>
      </c>
      <c r="L74" s="1"/>
      <c r="M74" s="157">
        <f t="shared" si="0"/>
        <v>200</v>
      </c>
    </row>
    <row r="75" spans="1:17" ht="15.75" customHeight="1">
      <c r="A75" s="42">
        <v>5</v>
      </c>
      <c r="B75" s="40" t="s">
        <v>666</v>
      </c>
      <c r="C75" s="40" t="s">
        <v>25</v>
      </c>
      <c r="D75" s="40" t="s">
        <v>63</v>
      </c>
      <c r="E75" s="40" t="s">
        <v>96</v>
      </c>
      <c r="F75" s="43" t="s">
        <v>667</v>
      </c>
      <c r="G75" s="40" t="s">
        <v>29</v>
      </c>
      <c r="H75" s="44">
        <v>1000</v>
      </c>
      <c r="I75" s="41">
        <v>200</v>
      </c>
      <c r="J75" s="40" t="s">
        <v>30</v>
      </c>
      <c r="K75" s="40" t="s">
        <v>31</v>
      </c>
      <c r="L75" s="1"/>
      <c r="M75" s="157">
        <f t="shared" si="0"/>
        <v>200</v>
      </c>
    </row>
    <row r="76" spans="1:17" ht="15.75" customHeight="1">
      <c r="A76" s="42">
        <v>5</v>
      </c>
      <c r="B76" s="40" t="s">
        <v>668</v>
      </c>
      <c r="C76" s="40" t="s">
        <v>25</v>
      </c>
      <c r="D76" s="40" t="s">
        <v>669</v>
      </c>
      <c r="E76" s="40" t="s">
        <v>27</v>
      </c>
      <c r="F76" s="43" t="s">
        <v>670</v>
      </c>
      <c r="G76" s="40" t="s">
        <v>29</v>
      </c>
      <c r="H76" s="44">
        <v>5000</v>
      </c>
      <c r="I76" s="41">
        <v>1000</v>
      </c>
      <c r="J76" s="40" t="s">
        <v>30</v>
      </c>
      <c r="K76" s="40" t="s">
        <v>31</v>
      </c>
      <c r="L76" s="1"/>
      <c r="M76" s="157">
        <f t="shared" si="0"/>
        <v>1000</v>
      </c>
    </row>
    <row r="77" spans="1:17" ht="15.75" customHeight="1">
      <c r="A77" s="42">
        <v>5</v>
      </c>
      <c r="B77" s="40" t="s">
        <v>671</v>
      </c>
      <c r="C77" s="40" t="s">
        <v>25</v>
      </c>
      <c r="D77" s="40" t="s">
        <v>672</v>
      </c>
      <c r="E77" s="40" t="s">
        <v>42</v>
      </c>
      <c r="F77" s="43" t="s">
        <v>638</v>
      </c>
      <c r="G77" s="40" t="s">
        <v>29</v>
      </c>
      <c r="H77" s="44">
        <v>4000</v>
      </c>
      <c r="I77" s="41">
        <v>800</v>
      </c>
      <c r="J77" s="40" t="s">
        <v>30</v>
      </c>
      <c r="K77" s="40" t="s">
        <v>31</v>
      </c>
      <c r="L77" s="1"/>
      <c r="M77" s="157">
        <f t="shared" si="0"/>
        <v>800</v>
      </c>
    </row>
    <row r="78" spans="1:17" ht="15.75" customHeight="1">
      <c r="A78" s="42">
        <v>5</v>
      </c>
      <c r="B78" s="40" t="s">
        <v>673</v>
      </c>
      <c r="C78" s="40" t="s">
        <v>59</v>
      </c>
      <c r="D78" s="40" t="s">
        <v>600</v>
      </c>
      <c r="E78" s="40" t="s">
        <v>60</v>
      </c>
      <c r="F78" s="43" t="s">
        <v>601</v>
      </c>
      <c r="G78" s="40" t="s">
        <v>29</v>
      </c>
      <c r="H78" s="44">
        <v>1500</v>
      </c>
      <c r="I78" s="41">
        <v>300</v>
      </c>
      <c r="J78" s="40" t="s">
        <v>30</v>
      </c>
      <c r="K78" s="40" t="s">
        <v>31</v>
      </c>
      <c r="L78" s="1"/>
      <c r="M78" s="157">
        <f t="shared" si="0"/>
        <v>300</v>
      </c>
    </row>
    <row r="79" spans="1:17" ht="15.75" customHeight="1">
      <c r="A79" s="42">
        <v>5</v>
      </c>
      <c r="B79" s="40" t="s">
        <v>674</v>
      </c>
      <c r="C79" s="40" t="s">
        <v>25</v>
      </c>
      <c r="D79" s="40" t="s">
        <v>89</v>
      </c>
      <c r="E79" s="40" t="s">
        <v>46</v>
      </c>
      <c r="F79" s="43" t="s">
        <v>675</v>
      </c>
      <c r="G79" s="40" t="s">
        <v>29</v>
      </c>
      <c r="H79" s="44">
        <v>1500</v>
      </c>
      <c r="I79" s="41">
        <v>300</v>
      </c>
      <c r="J79" s="40" t="s">
        <v>30</v>
      </c>
      <c r="K79" s="40" t="s">
        <v>31</v>
      </c>
      <c r="L79" s="1"/>
      <c r="M79" s="157">
        <f t="shared" si="0"/>
        <v>300</v>
      </c>
    </row>
    <row r="80" spans="1:17" ht="15.75" customHeight="1">
      <c r="A80" s="42">
        <v>5</v>
      </c>
      <c r="B80" s="40" t="s">
        <v>208</v>
      </c>
      <c r="C80" s="40" t="s">
        <v>25</v>
      </c>
      <c r="D80" s="40" t="s">
        <v>209</v>
      </c>
      <c r="E80" s="40" t="s">
        <v>96</v>
      </c>
      <c r="F80" s="43" t="s">
        <v>210</v>
      </c>
      <c r="G80" s="40" t="s">
        <v>29</v>
      </c>
      <c r="H80" s="44">
        <v>100</v>
      </c>
      <c r="I80" s="41">
        <v>20</v>
      </c>
      <c r="J80" s="40" t="s">
        <v>30</v>
      </c>
      <c r="K80" s="40" t="s">
        <v>31</v>
      </c>
      <c r="L80" s="1"/>
      <c r="M80" s="157">
        <f t="shared" si="0"/>
        <v>20</v>
      </c>
    </row>
    <row r="81" spans="1:17" ht="15.75" customHeight="1">
      <c r="A81" s="52">
        <v>5</v>
      </c>
      <c r="B81" s="40" t="s">
        <v>676</v>
      </c>
      <c r="C81" s="40" t="s">
        <v>59</v>
      </c>
      <c r="D81" s="40" t="s">
        <v>677</v>
      </c>
      <c r="E81" s="40" t="s">
        <v>103</v>
      </c>
      <c r="F81" s="43" t="s">
        <v>678</v>
      </c>
      <c r="G81" s="40" t="s">
        <v>29</v>
      </c>
      <c r="H81" s="44">
        <v>100</v>
      </c>
      <c r="I81" s="41">
        <v>20</v>
      </c>
      <c r="J81" s="40" t="s">
        <v>30</v>
      </c>
      <c r="K81" s="40" t="s">
        <v>31</v>
      </c>
      <c r="L81" s="1"/>
      <c r="M81" s="157">
        <f t="shared" si="0"/>
        <v>20</v>
      </c>
    </row>
    <row r="82" spans="1:17" ht="15.75" customHeight="1">
      <c r="A82" s="52">
        <v>5</v>
      </c>
      <c r="B82" s="40" t="s">
        <v>679</v>
      </c>
      <c r="C82" s="40" t="s">
        <v>25</v>
      </c>
      <c r="D82" s="40" t="s">
        <v>63</v>
      </c>
      <c r="E82" s="40" t="s">
        <v>50</v>
      </c>
      <c r="F82" s="43" t="s">
        <v>680</v>
      </c>
      <c r="G82" s="171" t="s">
        <v>542</v>
      </c>
      <c r="H82" s="260">
        <v>10</v>
      </c>
      <c r="I82" s="41">
        <v>100</v>
      </c>
      <c r="J82" s="40" t="s">
        <v>30</v>
      </c>
      <c r="K82" s="40" t="s">
        <v>31</v>
      </c>
      <c r="L82" s="1"/>
      <c r="M82" s="157">
        <f t="shared" si="0"/>
        <v>2</v>
      </c>
    </row>
    <row r="83" spans="1:17" ht="15.75" customHeight="1">
      <c r="A83" s="52">
        <v>5</v>
      </c>
      <c r="B83" s="40" t="s">
        <v>681</v>
      </c>
      <c r="C83" s="40" t="s">
        <v>25</v>
      </c>
      <c r="D83" s="40" t="s">
        <v>49</v>
      </c>
      <c r="E83" s="40" t="s">
        <v>50</v>
      </c>
      <c r="F83" s="43" t="s">
        <v>680</v>
      </c>
      <c r="G83" s="171" t="s">
        <v>542</v>
      </c>
      <c r="H83" s="260">
        <v>10</v>
      </c>
      <c r="I83" s="41">
        <v>100</v>
      </c>
      <c r="J83" s="40" t="s">
        <v>30</v>
      </c>
      <c r="K83" s="40" t="s">
        <v>31</v>
      </c>
      <c r="L83" s="1"/>
      <c r="M83" s="157">
        <f t="shared" si="0"/>
        <v>2</v>
      </c>
    </row>
    <row r="84" spans="1:17" ht="15.75" customHeight="1">
      <c r="A84" s="52">
        <v>5</v>
      </c>
      <c r="B84" s="40" t="s">
        <v>682</v>
      </c>
      <c r="C84" s="40" t="s">
        <v>25</v>
      </c>
      <c r="D84" s="40" t="s">
        <v>683</v>
      </c>
      <c r="E84" s="40" t="s">
        <v>96</v>
      </c>
      <c r="F84" s="43" t="s">
        <v>638</v>
      </c>
      <c r="G84" s="40" t="s">
        <v>29</v>
      </c>
      <c r="H84" s="44">
        <v>1000</v>
      </c>
      <c r="I84" s="41">
        <v>200</v>
      </c>
      <c r="J84" s="40" t="s">
        <v>30</v>
      </c>
      <c r="K84" s="40" t="s">
        <v>31</v>
      </c>
      <c r="L84" s="1"/>
      <c r="M84" s="157">
        <f t="shared" si="0"/>
        <v>200</v>
      </c>
      <c r="Q84" s="45"/>
    </row>
    <row r="85" spans="1:17" ht="15.75" customHeight="1">
      <c r="A85" s="52">
        <v>5</v>
      </c>
      <c r="B85" s="40" t="s">
        <v>684</v>
      </c>
      <c r="C85" s="40" t="s">
        <v>25</v>
      </c>
      <c r="D85" s="40" t="s">
        <v>685</v>
      </c>
      <c r="E85" s="40" t="s">
        <v>60</v>
      </c>
      <c r="F85" s="43" t="s">
        <v>686</v>
      </c>
      <c r="G85" s="40" t="s">
        <v>29</v>
      </c>
      <c r="H85" s="44">
        <v>600</v>
      </c>
      <c r="I85" s="41">
        <v>120</v>
      </c>
      <c r="J85" s="40" t="s">
        <v>30</v>
      </c>
      <c r="K85" s="40" t="s">
        <v>31</v>
      </c>
      <c r="L85" s="1"/>
      <c r="M85" s="157">
        <f t="shared" si="0"/>
        <v>120</v>
      </c>
      <c r="Q85" s="45"/>
    </row>
    <row r="86" spans="1:17" ht="15.75" customHeight="1">
      <c r="A86" s="52">
        <v>5</v>
      </c>
      <c r="B86" s="40" t="s">
        <v>687</v>
      </c>
      <c r="C86" s="40" t="s">
        <v>25</v>
      </c>
      <c r="D86" s="40" t="s">
        <v>688</v>
      </c>
      <c r="E86" s="40" t="s">
        <v>38</v>
      </c>
      <c r="F86" s="43" t="s">
        <v>689</v>
      </c>
      <c r="G86" s="40" t="s">
        <v>29</v>
      </c>
      <c r="H86" s="44">
        <v>650</v>
      </c>
      <c r="I86" s="41">
        <v>130</v>
      </c>
      <c r="J86" s="40" t="s">
        <v>30</v>
      </c>
      <c r="K86" s="40" t="s">
        <v>31</v>
      </c>
      <c r="L86" s="1"/>
      <c r="M86" s="157">
        <f t="shared" si="0"/>
        <v>130</v>
      </c>
    </row>
    <row r="87" spans="1:17" ht="15.75" customHeight="1">
      <c r="A87" s="52">
        <v>5</v>
      </c>
      <c r="B87" s="40" t="s">
        <v>690</v>
      </c>
      <c r="C87" s="40" t="s">
        <v>25</v>
      </c>
      <c r="D87" s="40" t="s">
        <v>691</v>
      </c>
      <c r="E87" s="40" t="s">
        <v>96</v>
      </c>
      <c r="F87" s="43" t="s">
        <v>638</v>
      </c>
      <c r="G87" s="263" t="s">
        <v>29</v>
      </c>
      <c r="H87" s="264">
        <v>5000</v>
      </c>
      <c r="I87" s="265" t="s">
        <v>101</v>
      </c>
      <c r="J87" s="40" t="s">
        <v>30</v>
      </c>
      <c r="K87" s="40" t="s">
        <v>31</v>
      </c>
      <c r="L87" s="1"/>
      <c r="M87" s="157">
        <f t="shared" si="0"/>
        <v>1000</v>
      </c>
    </row>
    <row r="88" spans="1:17" ht="15.75" customHeight="1">
      <c r="A88" s="52">
        <v>8</v>
      </c>
      <c r="B88" s="40" t="s">
        <v>692</v>
      </c>
      <c r="C88" s="40" t="s">
        <v>59</v>
      </c>
      <c r="D88" s="40" t="s">
        <v>693</v>
      </c>
      <c r="E88" s="40" t="s">
        <v>130</v>
      </c>
      <c r="F88" s="43" t="s">
        <v>694</v>
      </c>
      <c r="G88" s="40" t="s">
        <v>29</v>
      </c>
      <c r="H88" s="44">
        <v>500</v>
      </c>
      <c r="I88" s="41">
        <v>100</v>
      </c>
      <c r="J88" s="40" t="s">
        <v>30</v>
      </c>
      <c r="K88" s="40" t="s">
        <v>31</v>
      </c>
      <c r="L88" s="1"/>
      <c r="M88" s="157">
        <f t="shared" si="0"/>
        <v>100</v>
      </c>
      <c r="Q88" s="45"/>
    </row>
    <row r="89" spans="1:17" ht="15.75" customHeight="1">
      <c r="A89" s="52">
        <v>8</v>
      </c>
      <c r="B89" s="40" t="s">
        <v>695</v>
      </c>
      <c r="C89" s="40" t="s">
        <v>25</v>
      </c>
      <c r="D89" s="40" t="s">
        <v>600</v>
      </c>
      <c r="E89" s="40" t="s">
        <v>60</v>
      </c>
      <c r="F89" s="57">
        <v>9550657040</v>
      </c>
      <c r="G89" s="40" t="s">
        <v>29</v>
      </c>
      <c r="H89" s="44">
        <v>500</v>
      </c>
      <c r="I89" s="41">
        <v>100</v>
      </c>
      <c r="J89" s="40" t="s">
        <v>30</v>
      </c>
      <c r="K89" s="40" t="s">
        <v>31</v>
      </c>
      <c r="L89" s="1"/>
      <c r="M89" s="157">
        <f t="shared" si="0"/>
        <v>100</v>
      </c>
    </row>
    <row r="90" spans="1:17" ht="15.75" customHeight="1">
      <c r="A90" s="52">
        <v>8</v>
      </c>
      <c r="B90" s="40" t="s">
        <v>696</v>
      </c>
      <c r="C90" s="40" t="s">
        <v>25</v>
      </c>
      <c r="D90" s="40" t="s">
        <v>697</v>
      </c>
      <c r="E90" s="40" t="s">
        <v>42</v>
      </c>
      <c r="F90" s="57">
        <v>9388082829</v>
      </c>
      <c r="G90" s="40" t="s">
        <v>29</v>
      </c>
      <c r="H90" s="44">
        <v>150</v>
      </c>
      <c r="I90" s="41">
        <v>30</v>
      </c>
      <c r="J90" s="40" t="s">
        <v>30</v>
      </c>
      <c r="K90" s="40" t="s">
        <v>31</v>
      </c>
      <c r="L90" s="1"/>
      <c r="M90" s="157">
        <f t="shared" si="0"/>
        <v>30</v>
      </c>
    </row>
    <row r="91" spans="1:17" ht="15.75" customHeight="1">
      <c r="A91" s="52">
        <v>8</v>
      </c>
      <c r="B91" s="40" t="s">
        <v>698</v>
      </c>
      <c r="C91" s="40" t="s">
        <v>25</v>
      </c>
      <c r="D91" s="40" t="s">
        <v>103</v>
      </c>
      <c r="E91" s="40" t="s">
        <v>150</v>
      </c>
      <c r="F91" s="57">
        <v>9482293805</v>
      </c>
      <c r="G91" s="40" t="s">
        <v>29</v>
      </c>
      <c r="H91" s="44">
        <v>200</v>
      </c>
      <c r="I91" s="41">
        <v>40</v>
      </c>
      <c r="J91" s="40" t="s">
        <v>30</v>
      </c>
      <c r="K91" s="40" t="s">
        <v>31</v>
      </c>
      <c r="L91" s="1"/>
      <c r="M91" s="157">
        <f t="shared" si="0"/>
        <v>40</v>
      </c>
    </row>
    <row r="92" spans="1:17" ht="15.75" customHeight="1">
      <c r="A92" s="52">
        <v>8</v>
      </c>
      <c r="B92" s="40" t="s">
        <v>699</v>
      </c>
      <c r="C92" s="40" t="s">
        <v>25</v>
      </c>
      <c r="D92" s="40" t="s">
        <v>700</v>
      </c>
      <c r="E92" s="40" t="s">
        <v>46</v>
      </c>
      <c r="F92" s="57">
        <v>9519604960</v>
      </c>
      <c r="G92" s="40" t="s">
        <v>29</v>
      </c>
      <c r="H92" s="44">
        <v>250</v>
      </c>
      <c r="I92" s="41">
        <v>50</v>
      </c>
      <c r="J92" s="40" t="s">
        <v>30</v>
      </c>
      <c r="K92" s="40" t="s">
        <v>31</v>
      </c>
      <c r="L92" s="1"/>
      <c r="M92" s="157">
        <f t="shared" si="0"/>
        <v>50</v>
      </c>
    </row>
    <row r="93" spans="1:17" ht="15.75" customHeight="1">
      <c r="A93" s="42">
        <v>8</v>
      </c>
      <c r="B93" s="132" t="s">
        <v>701</v>
      </c>
      <c r="C93" s="132" t="s">
        <v>59</v>
      </c>
      <c r="D93" s="132" t="s">
        <v>702</v>
      </c>
      <c r="E93" s="132" t="s">
        <v>389</v>
      </c>
      <c r="F93" s="266">
        <v>9500357247</v>
      </c>
      <c r="G93" s="132" t="s">
        <v>72</v>
      </c>
      <c r="H93" s="254">
        <v>275</v>
      </c>
      <c r="I93" s="255" t="s">
        <v>101</v>
      </c>
      <c r="J93" s="40" t="s">
        <v>30</v>
      </c>
      <c r="K93" s="40" t="s">
        <v>31</v>
      </c>
      <c r="L93" s="1"/>
      <c r="M93" s="157">
        <f t="shared" si="0"/>
        <v>55</v>
      </c>
      <c r="Q93" s="45"/>
    </row>
    <row r="94" spans="1:17" ht="15.75" customHeight="1">
      <c r="A94" s="42">
        <v>8</v>
      </c>
      <c r="B94" s="40" t="s">
        <v>703</v>
      </c>
      <c r="C94" s="40" t="s">
        <v>25</v>
      </c>
      <c r="D94" s="40" t="s">
        <v>55</v>
      </c>
      <c r="E94" s="40" t="s">
        <v>96</v>
      </c>
      <c r="F94" s="57">
        <v>9773164676</v>
      </c>
      <c r="G94" s="40" t="s">
        <v>29</v>
      </c>
      <c r="H94" s="44">
        <v>4500</v>
      </c>
      <c r="I94" s="41">
        <v>900</v>
      </c>
      <c r="J94" s="40" t="s">
        <v>30</v>
      </c>
      <c r="K94" s="40" t="s">
        <v>31</v>
      </c>
      <c r="L94" s="1"/>
      <c r="M94" s="157">
        <f t="shared" si="0"/>
        <v>900</v>
      </c>
    </row>
    <row r="95" spans="1:17" ht="15.75" customHeight="1">
      <c r="A95" s="42">
        <v>8</v>
      </c>
      <c r="B95" s="40" t="s">
        <v>704</v>
      </c>
      <c r="C95" s="40" t="s">
        <v>25</v>
      </c>
      <c r="D95" s="40" t="s">
        <v>77</v>
      </c>
      <c r="E95" s="40" t="s">
        <v>78</v>
      </c>
      <c r="F95" s="57">
        <v>9076533975</v>
      </c>
      <c r="G95" s="40" t="s">
        <v>29</v>
      </c>
      <c r="H95" s="44">
        <v>500</v>
      </c>
      <c r="I95" s="41">
        <v>100</v>
      </c>
      <c r="J95" s="40" t="s">
        <v>30</v>
      </c>
      <c r="K95" s="40" t="s">
        <v>31</v>
      </c>
      <c r="L95" s="1"/>
      <c r="M95" s="157">
        <f t="shared" si="0"/>
        <v>100</v>
      </c>
    </row>
    <row r="96" spans="1:17" ht="15.75" customHeight="1">
      <c r="A96" s="42">
        <v>8</v>
      </c>
      <c r="B96" s="40" t="s">
        <v>705</v>
      </c>
      <c r="C96" s="40" t="s">
        <v>25</v>
      </c>
      <c r="D96" s="40" t="s">
        <v>706</v>
      </c>
      <c r="E96" s="40" t="s">
        <v>38</v>
      </c>
      <c r="F96" s="57">
        <v>9079065583</v>
      </c>
      <c r="G96" s="40" t="s">
        <v>29</v>
      </c>
      <c r="H96" s="44">
        <v>500</v>
      </c>
      <c r="I96" s="41">
        <v>100</v>
      </c>
      <c r="J96" s="40" t="s">
        <v>30</v>
      </c>
      <c r="K96" s="40" t="s">
        <v>31</v>
      </c>
      <c r="L96" s="1"/>
      <c r="M96" s="157">
        <f t="shared" si="0"/>
        <v>100</v>
      </c>
    </row>
    <row r="97" spans="1:15" ht="15.75" customHeight="1">
      <c r="A97" s="42">
        <v>9</v>
      </c>
      <c r="B97" s="40" t="s">
        <v>707</v>
      </c>
      <c r="C97" s="40" t="s">
        <v>25</v>
      </c>
      <c r="D97" s="40" t="s">
        <v>708</v>
      </c>
      <c r="E97" s="40" t="s">
        <v>311</v>
      </c>
      <c r="F97" s="57">
        <v>9517129558</v>
      </c>
      <c r="G97" s="40" t="s">
        <v>29</v>
      </c>
      <c r="H97" s="44">
        <v>500</v>
      </c>
      <c r="I97" s="41">
        <v>100</v>
      </c>
      <c r="J97" s="40" t="s">
        <v>30</v>
      </c>
      <c r="K97" s="40" t="s">
        <v>31</v>
      </c>
      <c r="L97" s="1"/>
      <c r="M97" s="157">
        <f t="shared" si="0"/>
        <v>100</v>
      </c>
    </row>
    <row r="98" spans="1:15" ht="15.75" customHeight="1">
      <c r="A98" s="42">
        <v>9</v>
      </c>
      <c r="B98" s="40" t="s">
        <v>709</v>
      </c>
      <c r="C98" s="40" t="s">
        <v>25</v>
      </c>
      <c r="D98" s="40" t="s">
        <v>710</v>
      </c>
      <c r="E98" s="40" t="s">
        <v>311</v>
      </c>
      <c r="F98" s="57">
        <v>9485416336</v>
      </c>
      <c r="G98" s="40" t="s">
        <v>29</v>
      </c>
      <c r="H98" s="44">
        <v>500</v>
      </c>
      <c r="I98" s="41">
        <v>100</v>
      </c>
      <c r="J98" s="40" t="s">
        <v>30</v>
      </c>
      <c r="K98" s="40" t="s">
        <v>31</v>
      </c>
      <c r="L98" s="1"/>
      <c r="M98" s="157">
        <f t="shared" si="0"/>
        <v>100</v>
      </c>
    </row>
    <row r="99" spans="1:15" ht="15.75" customHeight="1">
      <c r="A99" s="42">
        <v>9</v>
      </c>
      <c r="B99" s="40" t="s">
        <v>711</v>
      </c>
      <c r="C99" s="40" t="s">
        <v>25</v>
      </c>
      <c r="D99" s="40" t="s">
        <v>710</v>
      </c>
      <c r="E99" s="40" t="s">
        <v>311</v>
      </c>
      <c r="F99" s="57">
        <v>9484431073</v>
      </c>
      <c r="G99" s="40" t="s">
        <v>29</v>
      </c>
      <c r="H99" s="44">
        <v>200</v>
      </c>
      <c r="I99" s="41">
        <v>40</v>
      </c>
      <c r="J99" s="40" t="s">
        <v>30</v>
      </c>
      <c r="K99" s="40" t="s">
        <v>31</v>
      </c>
      <c r="L99" s="1"/>
      <c r="M99" s="157">
        <f t="shared" si="0"/>
        <v>40</v>
      </c>
    </row>
    <row r="100" spans="1:15" ht="15.75" customHeight="1">
      <c r="A100" s="42">
        <v>9</v>
      </c>
      <c r="B100" s="40" t="s">
        <v>712</v>
      </c>
      <c r="C100" s="40" t="s">
        <v>25</v>
      </c>
      <c r="D100" s="40" t="s">
        <v>63</v>
      </c>
      <c r="E100" s="40" t="s">
        <v>533</v>
      </c>
      <c r="F100" s="57">
        <v>9158477181</v>
      </c>
      <c r="G100" s="40" t="s">
        <v>29</v>
      </c>
      <c r="H100" s="44">
        <v>500</v>
      </c>
      <c r="I100" s="41">
        <v>100</v>
      </c>
      <c r="J100" s="40" t="s">
        <v>30</v>
      </c>
      <c r="K100" s="40" t="s">
        <v>31</v>
      </c>
      <c r="L100" s="1"/>
      <c r="M100" s="157">
        <f t="shared" si="0"/>
        <v>100</v>
      </c>
    </row>
    <row r="101" spans="1:15" ht="15.75" customHeight="1">
      <c r="A101" s="42">
        <v>9</v>
      </c>
      <c r="B101" s="40" t="s">
        <v>713</v>
      </c>
      <c r="C101" s="40" t="s">
        <v>25</v>
      </c>
      <c r="D101" s="40" t="s">
        <v>86</v>
      </c>
      <c r="E101" s="40" t="s">
        <v>42</v>
      </c>
      <c r="F101" s="57">
        <v>9752434039</v>
      </c>
      <c r="G101" s="40" t="s">
        <v>29</v>
      </c>
      <c r="H101" s="44">
        <v>20000</v>
      </c>
      <c r="I101" s="41">
        <v>4000</v>
      </c>
      <c r="J101" s="40" t="s">
        <v>30</v>
      </c>
      <c r="K101" s="40" t="s">
        <v>31</v>
      </c>
      <c r="L101" s="1"/>
      <c r="M101" s="157">
        <f t="shared" si="0"/>
        <v>4000</v>
      </c>
    </row>
    <row r="102" spans="1:15" ht="15.75" customHeight="1">
      <c r="A102" s="42">
        <v>9</v>
      </c>
      <c r="B102" s="40" t="s">
        <v>714</v>
      </c>
      <c r="C102" s="40" t="s">
        <v>715</v>
      </c>
      <c r="D102" s="40" t="s">
        <v>163</v>
      </c>
      <c r="E102" s="40" t="s">
        <v>150</v>
      </c>
      <c r="F102" s="43" t="s">
        <v>716</v>
      </c>
      <c r="G102" s="263" t="s">
        <v>29</v>
      </c>
      <c r="H102" s="264">
        <v>900</v>
      </c>
      <c r="I102" s="265" t="s">
        <v>101</v>
      </c>
      <c r="J102" s="40" t="s">
        <v>30</v>
      </c>
      <c r="K102" s="40" t="s">
        <v>31</v>
      </c>
      <c r="L102" s="1"/>
      <c r="M102" s="157">
        <f t="shared" si="0"/>
        <v>180</v>
      </c>
    </row>
    <row r="103" spans="1:15" ht="15.75" customHeight="1">
      <c r="A103" s="42">
        <v>9</v>
      </c>
      <c r="B103" s="40" t="s">
        <v>717</v>
      </c>
      <c r="C103" s="40" t="s">
        <v>25</v>
      </c>
      <c r="D103" s="40" t="s">
        <v>718</v>
      </c>
      <c r="E103" s="40" t="s">
        <v>96</v>
      </c>
      <c r="F103" s="43" t="s">
        <v>638</v>
      </c>
      <c r="G103" s="40" t="s">
        <v>29</v>
      </c>
      <c r="H103" s="44">
        <v>1000</v>
      </c>
      <c r="I103" s="41">
        <v>200</v>
      </c>
      <c r="J103" s="40" t="s">
        <v>30</v>
      </c>
      <c r="K103" s="40" t="s">
        <v>31</v>
      </c>
      <c r="L103" s="1"/>
      <c r="M103" s="157">
        <f t="shared" si="0"/>
        <v>200</v>
      </c>
    </row>
    <row r="104" spans="1:15" ht="15.75" customHeight="1">
      <c r="A104" s="42">
        <v>9</v>
      </c>
      <c r="B104" s="40" t="s">
        <v>719</v>
      </c>
      <c r="C104" s="40" t="s">
        <v>59</v>
      </c>
      <c r="D104" s="40" t="s">
        <v>123</v>
      </c>
      <c r="E104" s="40" t="s">
        <v>96</v>
      </c>
      <c r="F104" s="43" t="s">
        <v>720</v>
      </c>
      <c r="G104" s="40" t="s">
        <v>29</v>
      </c>
      <c r="H104" s="44">
        <v>1000</v>
      </c>
      <c r="I104" s="41">
        <v>200</v>
      </c>
      <c r="J104" s="40" t="s">
        <v>30</v>
      </c>
      <c r="K104" s="40" t="s">
        <v>31</v>
      </c>
      <c r="L104" s="1"/>
      <c r="M104" s="157">
        <f t="shared" si="0"/>
        <v>200</v>
      </c>
    </row>
    <row r="105" spans="1:15" ht="15.75" customHeight="1">
      <c r="A105" s="42">
        <v>9</v>
      </c>
      <c r="B105" s="40" t="s">
        <v>721</v>
      </c>
      <c r="C105" s="40" t="s">
        <v>59</v>
      </c>
      <c r="D105" s="40" t="s">
        <v>718</v>
      </c>
      <c r="E105" s="40" t="s">
        <v>96</v>
      </c>
      <c r="F105" s="43" t="s">
        <v>722</v>
      </c>
      <c r="G105" s="40" t="s">
        <v>29</v>
      </c>
      <c r="H105" s="44">
        <v>1000</v>
      </c>
      <c r="I105" s="41">
        <v>200</v>
      </c>
      <c r="J105" s="40" t="s">
        <v>30</v>
      </c>
      <c r="K105" s="40" t="s">
        <v>31</v>
      </c>
      <c r="L105" s="1"/>
      <c r="M105" s="157">
        <f t="shared" si="0"/>
        <v>200</v>
      </c>
    </row>
    <row r="106" spans="1:15" ht="15.75" customHeight="1">
      <c r="A106" s="42">
        <v>9</v>
      </c>
      <c r="B106" s="40" t="s">
        <v>723</v>
      </c>
      <c r="C106" s="40" t="s">
        <v>25</v>
      </c>
      <c r="D106" s="40" t="s">
        <v>724</v>
      </c>
      <c r="E106" s="40" t="s">
        <v>725</v>
      </c>
      <c r="F106" s="43" t="s">
        <v>638</v>
      </c>
      <c r="G106" s="40" t="s">
        <v>29</v>
      </c>
      <c r="H106" s="44">
        <v>1000</v>
      </c>
      <c r="I106" s="41">
        <v>200</v>
      </c>
      <c r="J106" s="40" t="s">
        <v>30</v>
      </c>
      <c r="K106" s="40" t="s">
        <v>31</v>
      </c>
      <c r="L106" s="1"/>
      <c r="M106" s="157">
        <f t="shared" si="0"/>
        <v>200</v>
      </c>
    </row>
    <row r="107" spans="1:15" ht="15.75" customHeight="1">
      <c r="A107" s="256">
        <v>9</v>
      </c>
      <c r="B107" s="48" t="s">
        <v>726</v>
      </c>
      <c r="C107" s="48" t="s">
        <v>25</v>
      </c>
      <c r="D107" s="48" t="s">
        <v>724</v>
      </c>
      <c r="E107" s="48" t="s">
        <v>725</v>
      </c>
      <c r="F107" s="49" t="s">
        <v>727</v>
      </c>
      <c r="G107" s="48" t="s">
        <v>29</v>
      </c>
      <c r="H107" s="50">
        <v>1000</v>
      </c>
      <c r="I107" s="51">
        <v>200</v>
      </c>
      <c r="J107" s="48" t="s">
        <v>30</v>
      </c>
      <c r="K107" s="48" t="s">
        <v>31</v>
      </c>
      <c r="L107" s="1"/>
      <c r="M107" s="157">
        <f t="shared" si="0"/>
        <v>200</v>
      </c>
    </row>
    <row r="108" spans="1:15" ht="15.75" customHeight="1">
      <c r="A108" s="52">
        <v>11</v>
      </c>
      <c r="B108" s="267" t="s">
        <v>728</v>
      </c>
      <c r="C108" s="267" t="s">
        <v>25</v>
      </c>
      <c r="D108" s="267" t="s">
        <v>729</v>
      </c>
      <c r="E108" s="267" t="s">
        <v>318</v>
      </c>
      <c r="F108" s="268" t="s">
        <v>730</v>
      </c>
      <c r="G108" s="267" t="s">
        <v>72</v>
      </c>
      <c r="H108" s="269">
        <v>4000</v>
      </c>
      <c r="I108" s="270">
        <v>4000</v>
      </c>
      <c r="J108" s="53" t="s">
        <v>30</v>
      </c>
      <c r="K108" s="53" t="s">
        <v>31</v>
      </c>
      <c r="L108" s="1"/>
      <c r="M108" s="157">
        <f t="shared" si="0"/>
        <v>800</v>
      </c>
    </row>
    <row r="109" spans="1:15" ht="15.75" customHeight="1">
      <c r="A109" s="42">
        <v>11</v>
      </c>
      <c r="B109" s="40" t="s">
        <v>731</v>
      </c>
      <c r="C109" s="40" t="s">
        <v>59</v>
      </c>
      <c r="D109" s="40" t="s">
        <v>732</v>
      </c>
      <c r="E109" s="40" t="s">
        <v>38</v>
      </c>
      <c r="F109" s="43" t="s">
        <v>733</v>
      </c>
      <c r="G109" s="271" t="s">
        <v>29</v>
      </c>
      <c r="H109" s="272">
        <v>5000</v>
      </c>
      <c r="I109" s="273">
        <v>1000</v>
      </c>
      <c r="J109" s="40" t="s">
        <v>30</v>
      </c>
      <c r="K109" s="40" t="s">
        <v>31</v>
      </c>
      <c r="L109" s="1"/>
      <c r="M109" s="157">
        <f t="shared" si="0"/>
        <v>1000</v>
      </c>
    </row>
    <row r="110" spans="1:15" ht="15.75" customHeight="1">
      <c r="A110" s="42">
        <v>11</v>
      </c>
      <c r="B110" s="132" t="s">
        <v>734</v>
      </c>
      <c r="C110" s="132" t="s">
        <v>25</v>
      </c>
      <c r="D110" s="132" t="s">
        <v>735</v>
      </c>
      <c r="E110" s="132" t="s">
        <v>318</v>
      </c>
      <c r="F110" s="262" t="s">
        <v>736</v>
      </c>
      <c r="G110" s="132" t="s">
        <v>72</v>
      </c>
      <c r="H110" s="254">
        <v>5000</v>
      </c>
      <c r="I110" s="255">
        <v>5000</v>
      </c>
      <c r="J110" s="40" t="s">
        <v>30</v>
      </c>
      <c r="K110" s="40" t="s">
        <v>31</v>
      </c>
      <c r="L110" s="1"/>
      <c r="M110" s="157">
        <f t="shared" si="0"/>
        <v>1000</v>
      </c>
    </row>
    <row r="111" spans="1:15" ht="15.75" customHeight="1">
      <c r="A111" s="42">
        <v>11</v>
      </c>
      <c r="B111" s="40" t="s">
        <v>737</v>
      </c>
      <c r="C111" s="40" t="s">
        <v>25</v>
      </c>
      <c r="D111" s="40" t="s">
        <v>724</v>
      </c>
      <c r="E111" s="40" t="s">
        <v>725</v>
      </c>
      <c r="F111" s="43" t="s">
        <v>738</v>
      </c>
      <c r="G111" s="271" t="s">
        <v>29</v>
      </c>
      <c r="H111" s="272">
        <v>2000</v>
      </c>
      <c r="I111" s="273">
        <v>400</v>
      </c>
      <c r="J111" s="40" t="s">
        <v>30</v>
      </c>
      <c r="K111" s="40" t="s">
        <v>31</v>
      </c>
      <c r="L111" s="1"/>
      <c r="M111" s="157">
        <f t="shared" si="0"/>
        <v>400</v>
      </c>
      <c r="O111" s="45">
        <f>SUM(H109,H111:H124,H126:H128,H130)</f>
        <v>29800</v>
      </c>
    </row>
    <row r="112" spans="1:15" ht="15.75" customHeight="1">
      <c r="A112" s="42">
        <v>11</v>
      </c>
      <c r="B112" s="40" t="s">
        <v>739</v>
      </c>
      <c r="C112" s="40" t="s">
        <v>25</v>
      </c>
      <c r="D112" s="40" t="s">
        <v>618</v>
      </c>
      <c r="E112" s="40" t="s">
        <v>50</v>
      </c>
      <c r="F112" s="43" t="s">
        <v>638</v>
      </c>
      <c r="G112" s="271" t="s">
        <v>29</v>
      </c>
      <c r="H112" s="272">
        <v>2000</v>
      </c>
      <c r="I112" s="273">
        <v>400</v>
      </c>
      <c r="J112" s="40" t="s">
        <v>30</v>
      </c>
      <c r="K112" s="40" t="s">
        <v>31</v>
      </c>
      <c r="L112" s="1"/>
      <c r="M112" s="157">
        <f t="shared" si="0"/>
        <v>400</v>
      </c>
      <c r="O112" s="45">
        <f>SUM(H125,H129,H131:H133)</f>
        <v>5500</v>
      </c>
    </row>
    <row r="113" spans="1:13" ht="15.75" customHeight="1">
      <c r="A113" s="42">
        <v>11</v>
      </c>
      <c r="B113" s="40" t="s">
        <v>740</v>
      </c>
      <c r="C113" s="40" t="s">
        <v>25</v>
      </c>
      <c r="D113" s="40" t="s">
        <v>735</v>
      </c>
      <c r="E113" s="40" t="s">
        <v>318</v>
      </c>
      <c r="F113" s="43" t="s">
        <v>638</v>
      </c>
      <c r="G113" s="271" t="s">
        <v>29</v>
      </c>
      <c r="H113" s="272">
        <v>1000</v>
      </c>
      <c r="I113" s="273">
        <v>200</v>
      </c>
      <c r="J113" s="40" t="s">
        <v>30</v>
      </c>
      <c r="K113" s="40" t="s">
        <v>31</v>
      </c>
      <c r="L113" s="1"/>
      <c r="M113" s="157">
        <f t="shared" si="0"/>
        <v>200</v>
      </c>
    </row>
    <row r="114" spans="1:13" ht="15.75" customHeight="1">
      <c r="A114" s="42">
        <v>11</v>
      </c>
      <c r="B114" s="40" t="s">
        <v>741</v>
      </c>
      <c r="C114" s="40" t="s">
        <v>25</v>
      </c>
      <c r="D114" s="40" t="s">
        <v>742</v>
      </c>
      <c r="E114" s="40" t="s">
        <v>311</v>
      </c>
      <c r="F114" s="43" t="s">
        <v>743</v>
      </c>
      <c r="G114" s="271" t="s">
        <v>29</v>
      </c>
      <c r="H114" s="272">
        <v>1000</v>
      </c>
      <c r="I114" s="273">
        <v>200</v>
      </c>
      <c r="J114" s="40" t="s">
        <v>30</v>
      </c>
      <c r="K114" s="40" t="s">
        <v>31</v>
      </c>
      <c r="L114" s="1"/>
      <c r="M114" s="157">
        <f t="shared" si="0"/>
        <v>200</v>
      </c>
    </row>
    <row r="115" spans="1:13" ht="15.75" customHeight="1">
      <c r="A115" s="42">
        <v>11</v>
      </c>
      <c r="B115" s="40" t="s">
        <v>744</v>
      </c>
      <c r="C115" s="40" t="s">
        <v>25</v>
      </c>
      <c r="D115" s="40" t="s">
        <v>745</v>
      </c>
      <c r="E115" s="40" t="s">
        <v>42</v>
      </c>
      <c r="F115" s="43" t="s">
        <v>746</v>
      </c>
      <c r="G115" s="271" t="s">
        <v>29</v>
      </c>
      <c r="H115" s="272">
        <v>1000</v>
      </c>
      <c r="I115" s="273">
        <v>200</v>
      </c>
      <c r="J115" s="40" t="s">
        <v>30</v>
      </c>
      <c r="K115" s="40" t="s">
        <v>31</v>
      </c>
      <c r="L115" s="1"/>
      <c r="M115" s="157">
        <f t="shared" si="0"/>
        <v>200</v>
      </c>
    </row>
    <row r="116" spans="1:13" ht="15.75" customHeight="1">
      <c r="A116" s="42">
        <v>11</v>
      </c>
      <c r="B116" s="40" t="s">
        <v>747</v>
      </c>
      <c r="C116" s="40" t="s">
        <v>25</v>
      </c>
      <c r="D116" s="40" t="s">
        <v>745</v>
      </c>
      <c r="E116" s="40" t="s">
        <v>42</v>
      </c>
      <c r="F116" s="43" t="s">
        <v>638</v>
      </c>
      <c r="G116" s="271" t="s">
        <v>29</v>
      </c>
      <c r="H116" s="272">
        <v>1000</v>
      </c>
      <c r="I116" s="273">
        <v>200</v>
      </c>
      <c r="J116" s="40" t="s">
        <v>30</v>
      </c>
      <c r="K116" s="40" t="s">
        <v>31</v>
      </c>
      <c r="L116" s="1"/>
      <c r="M116" s="157">
        <f t="shared" si="0"/>
        <v>200</v>
      </c>
    </row>
    <row r="117" spans="1:13" ht="15.75" customHeight="1">
      <c r="A117" s="42">
        <v>11</v>
      </c>
      <c r="B117" s="40" t="s">
        <v>748</v>
      </c>
      <c r="C117" s="40" t="s">
        <v>25</v>
      </c>
      <c r="D117" s="40" t="s">
        <v>627</v>
      </c>
      <c r="E117" s="40" t="s">
        <v>725</v>
      </c>
      <c r="F117" s="43" t="s">
        <v>749</v>
      </c>
      <c r="G117" s="271" t="s">
        <v>29</v>
      </c>
      <c r="H117" s="272">
        <v>1000</v>
      </c>
      <c r="I117" s="273">
        <v>200</v>
      </c>
      <c r="J117" s="40" t="s">
        <v>30</v>
      </c>
      <c r="K117" s="40" t="s">
        <v>31</v>
      </c>
      <c r="L117" s="1"/>
      <c r="M117" s="157">
        <f t="shared" si="0"/>
        <v>200</v>
      </c>
    </row>
    <row r="118" spans="1:13" ht="15.75" customHeight="1">
      <c r="A118" s="42">
        <v>11</v>
      </c>
      <c r="B118" s="40" t="s">
        <v>750</v>
      </c>
      <c r="C118" s="40" t="s">
        <v>25</v>
      </c>
      <c r="D118" s="40" t="s">
        <v>751</v>
      </c>
      <c r="E118" s="40" t="s">
        <v>42</v>
      </c>
      <c r="F118" s="43" t="s">
        <v>752</v>
      </c>
      <c r="G118" s="271" t="s">
        <v>29</v>
      </c>
      <c r="H118" s="272">
        <v>800</v>
      </c>
      <c r="I118" s="273">
        <v>160</v>
      </c>
      <c r="J118" s="40" t="s">
        <v>30</v>
      </c>
      <c r="K118" s="40" t="s">
        <v>31</v>
      </c>
      <c r="L118" s="1"/>
      <c r="M118" s="157">
        <f t="shared" si="0"/>
        <v>160</v>
      </c>
    </row>
    <row r="119" spans="1:13" ht="15.75" customHeight="1">
      <c r="A119" s="42">
        <v>11</v>
      </c>
      <c r="B119" s="40" t="s">
        <v>753</v>
      </c>
      <c r="C119" s="40" t="s">
        <v>25</v>
      </c>
      <c r="D119" s="40" t="s">
        <v>754</v>
      </c>
      <c r="E119" s="40" t="s">
        <v>311</v>
      </c>
      <c r="F119" s="43" t="s">
        <v>755</v>
      </c>
      <c r="G119" s="271" t="s">
        <v>29</v>
      </c>
      <c r="H119" s="272">
        <v>500</v>
      </c>
      <c r="I119" s="273">
        <v>100</v>
      </c>
      <c r="J119" s="40" t="s">
        <v>30</v>
      </c>
      <c r="K119" s="40" t="s">
        <v>31</v>
      </c>
      <c r="L119" s="1"/>
      <c r="M119" s="157">
        <f t="shared" si="0"/>
        <v>100</v>
      </c>
    </row>
    <row r="120" spans="1:13" ht="15.75" customHeight="1">
      <c r="A120" s="42">
        <v>11</v>
      </c>
      <c r="B120" s="40" t="s">
        <v>756</v>
      </c>
      <c r="C120" s="40" t="s">
        <v>25</v>
      </c>
      <c r="D120" s="40" t="s">
        <v>754</v>
      </c>
      <c r="E120" s="40" t="s">
        <v>311</v>
      </c>
      <c r="F120" s="43" t="s">
        <v>638</v>
      </c>
      <c r="G120" s="271" t="s">
        <v>29</v>
      </c>
      <c r="H120" s="272">
        <v>500</v>
      </c>
      <c r="I120" s="273">
        <v>100</v>
      </c>
      <c r="J120" s="40" t="s">
        <v>30</v>
      </c>
      <c r="K120" s="40" t="s">
        <v>31</v>
      </c>
      <c r="L120" s="1"/>
      <c r="M120" s="157">
        <f t="shared" si="0"/>
        <v>100</v>
      </c>
    </row>
    <row r="121" spans="1:13" ht="15.75" customHeight="1">
      <c r="A121" s="42">
        <v>11</v>
      </c>
      <c r="B121" s="40" t="s">
        <v>757</v>
      </c>
      <c r="C121" s="40" t="s">
        <v>59</v>
      </c>
      <c r="D121" s="40" t="s">
        <v>754</v>
      </c>
      <c r="E121" s="40" t="s">
        <v>311</v>
      </c>
      <c r="F121" s="43" t="s">
        <v>758</v>
      </c>
      <c r="G121" s="271" t="s">
        <v>29</v>
      </c>
      <c r="H121" s="272">
        <v>500</v>
      </c>
      <c r="I121" s="273">
        <v>100</v>
      </c>
      <c r="J121" s="40" t="s">
        <v>30</v>
      </c>
      <c r="K121" s="40" t="s">
        <v>31</v>
      </c>
      <c r="L121" s="1"/>
      <c r="M121" s="157">
        <f t="shared" si="0"/>
        <v>100</v>
      </c>
    </row>
    <row r="122" spans="1:13" ht="15.75" customHeight="1">
      <c r="A122" s="42">
        <v>11</v>
      </c>
      <c r="B122" s="40" t="s">
        <v>595</v>
      </c>
      <c r="C122" s="40" t="s">
        <v>25</v>
      </c>
      <c r="D122" s="40" t="s">
        <v>89</v>
      </c>
      <c r="E122" s="40" t="s">
        <v>46</v>
      </c>
      <c r="F122" s="43" t="s">
        <v>596</v>
      </c>
      <c r="G122" s="271" t="s">
        <v>29</v>
      </c>
      <c r="H122" s="272">
        <v>300</v>
      </c>
      <c r="I122" s="273">
        <v>60</v>
      </c>
      <c r="J122" s="40" t="s">
        <v>30</v>
      </c>
      <c r="K122" s="40" t="s">
        <v>31</v>
      </c>
      <c r="L122" s="1"/>
      <c r="M122" s="157">
        <f t="shared" si="0"/>
        <v>60</v>
      </c>
    </row>
    <row r="123" spans="1:13" ht="15.75" customHeight="1">
      <c r="A123" s="42">
        <v>11</v>
      </c>
      <c r="B123" s="40" t="s">
        <v>759</v>
      </c>
      <c r="C123" s="40" t="s">
        <v>59</v>
      </c>
      <c r="D123" s="40" t="s">
        <v>745</v>
      </c>
      <c r="E123" s="40" t="s">
        <v>42</v>
      </c>
      <c r="F123" s="43" t="s">
        <v>156</v>
      </c>
      <c r="G123" s="271" t="s">
        <v>29</v>
      </c>
      <c r="H123" s="272">
        <v>200</v>
      </c>
      <c r="I123" s="273">
        <v>40</v>
      </c>
      <c r="J123" s="40" t="s">
        <v>30</v>
      </c>
      <c r="K123" s="40" t="s">
        <v>31</v>
      </c>
      <c r="L123" s="1"/>
      <c r="M123" s="157">
        <f t="shared" si="0"/>
        <v>40</v>
      </c>
    </row>
    <row r="124" spans="1:13" ht="15.75" customHeight="1">
      <c r="A124" s="42">
        <v>11</v>
      </c>
      <c r="B124" s="40" t="s">
        <v>760</v>
      </c>
      <c r="C124" s="40" t="s">
        <v>25</v>
      </c>
      <c r="D124" s="40" t="s">
        <v>77</v>
      </c>
      <c r="E124" s="40" t="s">
        <v>78</v>
      </c>
      <c r="F124" s="43" t="s">
        <v>761</v>
      </c>
      <c r="G124" s="271" t="s">
        <v>29</v>
      </c>
      <c r="H124" s="272">
        <v>600</v>
      </c>
      <c r="I124" s="273">
        <v>240</v>
      </c>
      <c r="J124" s="40" t="s">
        <v>30</v>
      </c>
      <c r="K124" s="40" t="s">
        <v>31</v>
      </c>
      <c r="L124" s="1"/>
      <c r="M124" s="157">
        <f t="shared" si="0"/>
        <v>120</v>
      </c>
    </row>
    <row r="125" spans="1:13" ht="15.75" customHeight="1">
      <c r="A125" s="42">
        <v>11</v>
      </c>
      <c r="B125" s="40" t="s">
        <v>762</v>
      </c>
      <c r="C125" s="40" t="s">
        <v>59</v>
      </c>
      <c r="D125" s="40" t="s">
        <v>86</v>
      </c>
      <c r="E125" s="40" t="s">
        <v>42</v>
      </c>
      <c r="F125" s="43" t="s">
        <v>763</v>
      </c>
      <c r="G125" s="274" t="s">
        <v>29</v>
      </c>
      <c r="H125" s="275">
        <v>1000</v>
      </c>
      <c r="I125" s="276" t="s">
        <v>101</v>
      </c>
      <c r="J125" s="40" t="s">
        <v>30</v>
      </c>
      <c r="K125" s="40" t="s">
        <v>31</v>
      </c>
      <c r="L125" s="1"/>
      <c r="M125" s="157">
        <f t="shared" si="0"/>
        <v>200</v>
      </c>
    </row>
    <row r="126" spans="1:13" ht="15.75" customHeight="1">
      <c r="A126" s="42">
        <v>12</v>
      </c>
      <c r="B126" s="40" t="s">
        <v>764</v>
      </c>
      <c r="C126" s="40" t="s">
        <v>59</v>
      </c>
      <c r="D126" s="40" t="s">
        <v>86</v>
      </c>
      <c r="E126" s="40" t="s">
        <v>42</v>
      </c>
      <c r="F126" s="43" t="s">
        <v>765</v>
      </c>
      <c r="G126" s="271" t="s">
        <v>29</v>
      </c>
      <c r="H126" s="272">
        <v>10000</v>
      </c>
      <c r="I126" s="273">
        <v>2000</v>
      </c>
      <c r="J126" s="40" t="s">
        <v>30</v>
      </c>
      <c r="K126" s="40" t="s">
        <v>31</v>
      </c>
      <c r="L126" s="1"/>
      <c r="M126" s="157">
        <f t="shared" si="0"/>
        <v>2000</v>
      </c>
    </row>
    <row r="127" spans="1:13" ht="15.75" customHeight="1">
      <c r="A127" s="42">
        <v>12</v>
      </c>
      <c r="B127" s="40" t="s">
        <v>766</v>
      </c>
      <c r="C127" s="40" t="s">
        <v>25</v>
      </c>
      <c r="D127" s="40" t="s">
        <v>767</v>
      </c>
      <c r="E127" s="40" t="s">
        <v>768</v>
      </c>
      <c r="F127" s="43" t="s">
        <v>769</v>
      </c>
      <c r="G127" s="271" t="s">
        <v>29</v>
      </c>
      <c r="H127" s="272">
        <v>300</v>
      </c>
      <c r="I127" s="273">
        <v>60</v>
      </c>
      <c r="J127" s="40" t="s">
        <v>30</v>
      </c>
      <c r="K127" s="40" t="s">
        <v>31</v>
      </c>
      <c r="L127" s="1"/>
      <c r="M127" s="157">
        <f t="shared" si="0"/>
        <v>60</v>
      </c>
    </row>
    <row r="128" spans="1:13" ht="15.75" customHeight="1">
      <c r="A128" s="42">
        <v>15</v>
      </c>
      <c r="B128" s="40" t="s">
        <v>770</v>
      </c>
      <c r="C128" s="40" t="s">
        <v>25</v>
      </c>
      <c r="D128" s="40" t="s">
        <v>771</v>
      </c>
      <c r="E128" s="40" t="s">
        <v>258</v>
      </c>
      <c r="F128" s="43" t="s">
        <v>79</v>
      </c>
      <c r="G128" s="271" t="s">
        <v>29</v>
      </c>
      <c r="H128" s="272">
        <v>2000</v>
      </c>
      <c r="I128" s="273">
        <v>400</v>
      </c>
      <c r="J128" s="40" t="s">
        <v>30</v>
      </c>
      <c r="K128" s="40" t="s">
        <v>31</v>
      </c>
      <c r="L128" s="1"/>
      <c r="M128" s="157">
        <f t="shared" si="0"/>
        <v>400</v>
      </c>
    </row>
    <row r="129" spans="1:13" ht="15.75" customHeight="1">
      <c r="A129" s="42">
        <v>15</v>
      </c>
      <c r="B129" s="40" t="s">
        <v>772</v>
      </c>
      <c r="C129" s="40" t="s">
        <v>25</v>
      </c>
      <c r="D129" s="40" t="s">
        <v>570</v>
      </c>
      <c r="E129" s="40" t="s">
        <v>60</v>
      </c>
      <c r="F129" s="43" t="s">
        <v>79</v>
      </c>
      <c r="G129" s="274" t="s">
        <v>29</v>
      </c>
      <c r="H129" s="275">
        <v>500</v>
      </c>
      <c r="I129" s="276" t="s">
        <v>101</v>
      </c>
      <c r="J129" s="40" t="s">
        <v>30</v>
      </c>
      <c r="K129" s="40" t="s">
        <v>31</v>
      </c>
      <c r="L129" s="1"/>
      <c r="M129" s="157">
        <f t="shared" si="0"/>
        <v>100</v>
      </c>
    </row>
    <row r="130" spans="1:13" ht="15.75" customHeight="1">
      <c r="A130" s="42">
        <v>15</v>
      </c>
      <c r="B130" s="40" t="s">
        <v>772</v>
      </c>
      <c r="C130" s="40" t="s">
        <v>25</v>
      </c>
      <c r="D130" s="40" t="s">
        <v>570</v>
      </c>
      <c r="E130" s="40" t="s">
        <v>60</v>
      </c>
      <c r="F130" s="40"/>
      <c r="G130" s="271" t="s">
        <v>29</v>
      </c>
      <c r="H130" s="272">
        <v>100</v>
      </c>
      <c r="I130" s="273">
        <v>20</v>
      </c>
      <c r="J130" s="40" t="s">
        <v>30</v>
      </c>
      <c r="K130" s="40" t="s">
        <v>31</v>
      </c>
      <c r="L130" s="1"/>
      <c r="M130" s="157">
        <f t="shared" si="0"/>
        <v>20</v>
      </c>
    </row>
    <row r="131" spans="1:13" ht="15.75" customHeight="1">
      <c r="A131" s="42">
        <v>15</v>
      </c>
      <c r="B131" s="40" t="s">
        <v>773</v>
      </c>
      <c r="C131" s="40" t="s">
        <v>59</v>
      </c>
      <c r="D131" s="40" t="s">
        <v>99</v>
      </c>
      <c r="E131" s="40" t="s">
        <v>42</v>
      </c>
      <c r="F131" s="43" t="s">
        <v>774</v>
      </c>
      <c r="G131" s="274" t="s">
        <v>29</v>
      </c>
      <c r="H131" s="275">
        <v>1500</v>
      </c>
      <c r="I131" s="276" t="s">
        <v>101</v>
      </c>
      <c r="J131" s="40" t="s">
        <v>30</v>
      </c>
      <c r="K131" s="40" t="s">
        <v>31</v>
      </c>
      <c r="L131" s="1"/>
      <c r="M131" s="157">
        <f t="shared" si="0"/>
        <v>300</v>
      </c>
    </row>
    <row r="132" spans="1:13" ht="15.75" customHeight="1">
      <c r="A132" s="42">
        <v>15</v>
      </c>
      <c r="B132" s="40" t="s">
        <v>775</v>
      </c>
      <c r="C132" s="40" t="s">
        <v>25</v>
      </c>
      <c r="D132" s="40" t="s">
        <v>99</v>
      </c>
      <c r="E132" s="40" t="s">
        <v>42</v>
      </c>
      <c r="F132" s="43" t="s">
        <v>776</v>
      </c>
      <c r="G132" s="274" t="s">
        <v>29</v>
      </c>
      <c r="H132" s="275">
        <v>1000</v>
      </c>
      <c r="I132" s="276" t="s">
        <v>101</v>
      </c>
      <c r="J132" s="40" t="s">
        <v>30</v>
      </c>
      <c r="K132" s="40" t="s">
        <v>31</v>
      </c>
      <c r="L132" s="1"/>
      <c r="M132" s="157">
        <f t="shared" si="0"/>
        <v>200</v>
      </c>
    </row>
    <row r="133" spans="1:13" ht="15.75" customHeight="1">
      <c r="A133" s="256">
        <v>15</v>
      </c>
      <c r="B133" s="48" t="s">
        <v>777</v>
      </c>
      <c r="C133" s="48" t="s">
        <v>25</v>
      </c>
      <c r="D133" s="48" t="s">
        <v>99</v>
      </c>
      <c r="E133" s="48" t="s">
        <v>42</v>
      </c>
      <c r="F133" s="48"/>
      <c r="G133" s="277" t="s">
        <v>29</v>
      </c>
      <c r="H133" s="278">
        <v>1500</v>
      </c>
      <c r="I133" s="279" t="s">
        <v>101</v>
      </c>
      <c r="J133" s="48" t="s">
        <v>30</v>
      </c>
      <c r="K133" s="48" t="s">
        <v>31</v>
      </c>
      <c r="L133" s="1"/>
      <c r="M133" s="157">
        <f t="shared" si="0"/>
        <v>300</v>
      </c>
    </row>
    <row r="134" spans="1:13" ht="15.75" customHeight="1">
      <c r="A134" s="52">
        <v>16</v>
      </c>
      <c r="B134" s="53" t="s">
        <v>778</v>
      </c>
      <c r="C134" s="53" t="s">
        <v>25</v>
      </c>
      <c r="D134" s="53" t="s">
        <v>779</v>
      </c>
      <c r="E134" s="53" t="s">
        <v>42</v>
      </c>
      <c r="F134" s="60" t="s">
        <v>780</v>
      </c>
      <c r="G134" s="53" t="s">
        <v>29</v>
      </c>
      <c r="H134" s="54">
        <v>1000</v>
      </c>
      <c r="I134" s="55">
        <v>200</v>
      </c>
      <c r="J134" s="53" t="s">
        <v>30</v>
      </c>
      <c r="K134" s="53" t="s">
        <v>31</v>
      </c>
      <c r="L134" s="1"/>
      <c r="M134" s="157">
        <f t="shared" si="0"/>
        <v>200</v>
      </c>
    </row>
    <row r="135" spans="1:13" ht="15.75" customHeight="1">
      <c r="A135" s="42">
        <v>16</v>
      </c>
      <c r="B135" s="40" t="s">
        <v>781</v>
      </c>
      <c r="C135" s="40" t="s">
        <v>25</v>
      </c>
      <c r="D135" s="40" t="s">
        <v>782</v>
      </c>
      <c r="E135" s="40" t="s">
        <v>150</v>
      </c>
      <c r="F135" s="43" t="s">
        <v>783</v>
      </c>
      <c r="G135" s="40" t="s">
        <v>29</v>
      </c>
      <c r="H135" s="44">
        <v>300</v>
      </c>
      <c r="I135" s="41">
        <v>60</v>
      </c>
      <c r="J135" s="40" t="s">
        <v>30</v>
      </c>
      <c r="K135" s="40" t="s">
        <v>31</v>
      </c>
      <c r="L135" s="1"/>
      <c r="M135" s="157">
        <f t="shared" si="0"/>
        <v>60</v>
      </c>
    </row>
    <row r="136" spans="1:13" ht="15.75" customHeight="1">
      <c r="A136" s="42">
        <v>16</v>
      </c>
      <c r="B136" s="132" t="s">
        <v>784</v>
      </c>
      <c r="C136" s="132" t="s">
        <v>25</v>
      </c>
      <c r="D136" s="132" t="s">
        <v>700</v>
      </c>
      <c r="E136" s="132" t="s">
        <v>46</v>
      </c>
      <c r="F136" s="262" t="s">
        <v>785</v>
      </c>
      <c r="G136" s="132" t="s">
        <v>72</v>
      </c>
      <c r="H136" s="254">
        <v>50</v>
      </c>
      <c r="I136" s="255">
        <v>50</v>
      </c>
      <c r="J136" s="40" t="s">
        <v>30</v>
      </c>
      <c r="K136" s="40" t="s">
        <v>31</v>
      </c>
      <c r="L136" s="1"/>
      <c r="M136" s="157">
        <f t="shared" si="0"/>
        <v>10</v>
      </c>
    </row>
    <row r="137" spans="1:13" ht="15.75" customHeight="1">
      <c r="A137" s="42">
        <v>16</v>
      </c>
      <c r="B137" s="132" t="s">
        <v>786</v>
      </c>
      <c r="C137" s="132" t="s">
        <v>25</v>
      </c>
      <c r="D137" s="132" t="s">
        <v>63</v>
      </c>
      <c r="E137" s="132" t="s">
        <v>38</v>
      </c>
      <c r="F137" s="262" t="s">
        <v>787</v>
      </c>
      <c r="G137" s="132" t="s">
        <v>72</v>
      </c>
      <c r="H137" s="254">
        <v>4000</v>
      </c>
      <c r="I137" s="255">
        <v>4000</v>
      </c>
      <c r="J137" s="40" t="s">
        <v>30</v>
      </c>
      <c r="K137" s="40" t="s">
        <v>31</v>
      </c>
      <c r="L137" s="1"/>
      <c r="M137" s="157">
        <f t="shared" si="0"/>
        <v>800</v>
      </c>
    </row>
    <row r="138" spans="1:13" ht="15.75" customHeight="1">
      <c r="A138" s="42">
        <v>22</v>
      </c>
      <c r="B138" s="40" t="s">
        <v>788</v>
      </c>
      <c r="C138" s="40" t="s">
        <v>25</v>
      </c>
      <c r="D138" s="40" t="s">
        <v>789</v>
      </c>
      <c r="E138" s="40" t="s">
        <v>249</v>
      </c>
      <c r="F138" s="43" t="s">
        <v>790</v>
      </c>
      <c r="G138" s="40" t="s">
        <v>29</v>
      </c>
      <c r="H138" s="44">
        <v>1000</v>
      </c>
      <c r="I138" s="41">
        <v>200</v>
      </c>
      <c r="J138" s="40" t="s">
        <v>30</v>
      </c>
      <c r="K138" s="40" t="s">
        <v>31</v>
      </c>
      <c r="L138" s="1"/>
      <c r="M138" s="157">
        <f t="shared" si="0"/>
        <v>200</v>
      </c>
    </row>
    <row r="139" spans="1:13" ht="15.75" customHeight="1">
      <c r="A139" s="42">
        <v>22</v>
      </c>
      <c r="B139" s="40" t="s">
        <v>791</v>
      </c>
      <c r="C139" s="40" t="s">
        <v>59</v>
      </c>
      <c r="D139" s="40" t="s">
        <v>792</v>
      </c>
      <c r="E139" s="40" t="s">
        <v>34</v>
      </c>
      <c r="F139" s="43" t="s">
        <v>793</v>
      </c>
      <c r="G139" s="40" t="s">
        <v>29</v>
      </c>
      <c r="H139" s="44">
        <v>1000</v>
      </c>
      <c r="I139" s="41">
        <v>200</v>
      </c>
      <c r="J139" s="40" t="s">
        <v>30</v>
      </c>
      <c r="K139" s="40" t="s">
        <v>31</v>
      </c>
      <c r="L139" s="1"/>
      <c r="M139" s="157">
        <f t="shared" si="0"/>
        <v>200</v>
      </c>
    </row>
    <row r="140" spans="1:13" ht="15.75" customHeight="1">
      <c r="A140" s="42">
        <v>22</v>
      </c>
      <c r="B140" s="40" t="s">
        <v>794</v>
      </c>
      <c r="C140" s="40" t="s">
        <v>59</v>
      </c>
      <c r="D140" s="40" t="s">
        <v>141</v>
      </c>
      <c r="E140" s="40" t="s">
        <v>60</v>
      </c>
      <c r="F140" s="43" t="s">
        <v>795</v>
      </c>
      <c r="G140" s="40" t="s">
        <v>29</v>
      </c>
      <c r="H140" s="44">
        <v>1000</v>
      </c>
      <c r="I140" s="41">
        <v>200</v>
      </c>
      <c r="J140" s="40" t="s">
        <v>30</v>
      </c>
      <c r="K140" s="40" t="s">
        <v>31</v>
      </c>
      <c r="L140" s="1"/>
      <c r="M140" s="157">
        <f t="shared" si="0"/>
        <v>200</v>
      </c>
    </row>
    <row r="141" spans="1:13" ht="15.75" customHeight="1">
      <c r="A141" s="42">
        <v>22</v>
      </c>
      <c r="B141" s="40" t="s">
        <v>796</v>
      </c>
      <c r="C141" s="40" t="s">
        <v>59</v>
      </c>
      <c r="D141" s="40" t="s">
        <v>797</v>
      </c>
      <c r="E141" s="40" t="s">
        <v>96</v>
      </c>
      <c r="F141" s="43" t="s">
        <v>798</v>
      </c>
      <c r="G141" s="40" t="s">
        <v>29</v>
      </c>
      <c r="H141" s="44">
        <v>1000</v>
      </c>
      <c r="I141" s="41">
        <v>200</v>
      </c>
      <c r="J141" s="40" t="s">
        <v>30</v>
      </c>
      <c r="K141" s="40" t="s">
        <v>31</v>
      </c>
      <c r="L141" s="1"/>
      <c r="M141" s="157">
        <f t="shared" si="0"/>
        <v>200</v>
      </c>
    </row>
    <row r="142" spans="1:13" ht="15.75" customHeight="1">
      <c r="A142" s="42">
        <v>22</v>
      </c>
      <c r="B142" s="40" t="s">
        <v>799</v>
      </c>
      <c r="C142" s="40" t="s">
        <v>25</v>
      </c>
      <c r="D142" s="40" t="s">
        <v>800</v>
      </c>
      <c r="E142" s="40" t="s">
        <v>801</v>
      </c>
      <c r="F142" s="43" t="s">
        <v>802</v>
      </c>
      <c r="G142" s="40" t="s">
        <v>29</v>
      </c>
      <c r="H142" s="44">
        <v>1000</v>
      </c>
      <c r="I142" s="41">
        <v>200</v>
      </c>
      <c r="J142" s="40" t="s">
        <v>30</v>
      </c>
      <c r="K142" s="40" t="s">
        <v>31</v>
      </c>
      <c r="L142" s="1"/>
      <c r="M142" s="157">
        <f t="shared" si="0"/>
        <v>200</v>
      </c>
    </row>
    <row r="143" spans="1:13" ht="15.75" customHeight="1">
      <c r="A143" s="42">
        <v>22</v>
      </c>
      <c r="B143" s="40" t="s">
        <v>803</v>
      </c>
      <c r="C143" s="40" t="s">
        <v>25</v>
      </c>
      <c r="D143" s="40" t="s">
        <v>103</v>
      </c>
      <c r="E143" s="40" t="s">
        <v>38</v>
      </c>
      <c r="F143" s="43" t="s">
        <v>804</v>
      </c>
      <c r="G143" s="40" t="s">
        <v>29</v>
      </c>
      <c r="H143" s="44">
        <v>10000</v>
      </c>
      <c r="I143" s="41">
        <v>2000</v>
      </c>
      <c r="J143" s="40" t="s">
        <v>30</v>
      </c>
      <c r="K143" s="40" t="s">
        <v>31</v>
      </c>
      <c r="L143" s="1"/>
      <c r="M143" s="157">
        <f t="shared" si="0"/>
        <v>2000</v>
      </c>
    </row>
    <row r="144" spans="1:13" ht="15.75" customHeight="1">
      <c r="A144" s="42">
        <v>22</v>
      </c>
      <c r="B144" s="40" t="s">
        <v>805</v>
      </c>
      <c r="C144" s="40" t="s">
        <v>25</v>
      </c>
      <c r="D144" s="40" t="s">
        <v>566</v>
      </c>
      <c r="E144" s="40" t="s">
        <v>96</v>
      </c>
      <c r="F144" s="43" t="s">
        <v>806</v>
      </c>
      <c r="G144" s="40" t="s">
        <v>29</v>
      </c>
      <c r="H144" s="44">
        <v>1000</v>
      </c>
      <c r="I144" s="41">
        <v>200</v>
      </c>
      <c r="J144" s="40" t="s">
        <v>30</v>
      </c>
      <c r="K144" s="40" t="s">
        <v>31</v>
      </c>
      <c r="L144" s="1"/>
      <c r="M144" s="157">
        <f t="shared" si="0"/>
        <v>200</v>
      </c>
    </row>
    <row r="145" spans="1:17" ht="15.75" customHeight="1">
      <c r="A145" s="52">
        <v>22</v>
      </c>
      <c r="B145" s="40" t="s">
        <v>807</v>
      </c>
      <c r="C145" s="40" t="s">
        <v>25</v>
      </c>
      <c r="D145" s="40" t="s">
        <v>808</v>
      </c>
      <c r="E145" s="40" t="s">
        <v>46</v>
      </c>
      <c r="F145" s="43" t="s">
        <v>809</v>
      </c>
      <c r="G145" s="40" t="s">
        <v>29</v>
      </c>
      <c r="H145" s="44">
        <v>1000</v>
      </c>
      <c r="I145" s="41">
        <v>200</v>
      </c>
      <c r="J145" s="40" t="s">
        <v>30</v>
      </c>
      <c r="K145" s="40" t="s">
        <v>31</v>
      </c>
      <c r="L145" s="1"/>
      <c r="M145" s="157">
        <f t="shared" si="0"/>
        <v>200</v>
      </c>
      <c r="P145" s="45"/>
    </row>
    <row r="146" spans="1:17" ht="15.75" customHeight="1">
      <c r="A146" s="52">
        <v>22</v>
      </c>
      <c r="B146" s="40" t="s">
        <v>810</v>
      </c>
      <c r="C146" s="40" t="s">
        <v>25</v>
      </c>
      <c r="D146" s="40" t="s">
        <v>811</v>
      </c>
      <c r="E146" s="40" t="s">
        <v>78</v>
      </c>
      <c r="F146" s="43" t="s">
        <v>79</v>
      </c>
      <c r="G146" s="40" t="s">
        <v>29</v>
      </c>
      <c r="H146" s="44">
        <v>1000</v>
      </c>
      <c r="I146" s="41">
        <v>200</v>
      </c>
      <c r="J146" s="40" t="s">
        <v>30</v>
      </c>
      <c r="K146" s="40" t="s">
        <v>31</v>
      </c>
      <c r="L146" s="1"/>
      <c r="M146" s="157">
        <f t="shared" si="0"/>
        <v>200</v>
      </c>
      <c r="P146" s="45"/>
    </row>
    <row r="147" spans="1:17" ht="15.75" customHeight="1">
      <c r="A147" s="52">
        <v>22</v>
      </c>
      <c r="B147" s="40" t="s">
        <v>812</v>
      </c>
      <c r="C147" s="40" t="s">
        <v>25</v>
      </c>
      <c r="D147" s="40" t="s">
        <v>570</v>
      </c>
      <c r="E147" s="40" t="s">
        <v>60</v>
      </c>
      <c r="F147" s="43" t="s">
        <v>813</v>
      </c>
      <c r="G147" s="40" t="s">
        <v>29</v>
      </c>
      <c r="H147" s="44">
        <v>1000</v>
      </c>
      <c r="I147" s="41">
        <v>200</v>
      </c>
      <c r="J147" s="40" t="s">
        <v>30</v>
      </c>
      <c r="K147" s="40" t="s">
        <v>31</v>
      </c>
      <c r="L147" s="1"/>
      <c r="M147" s="157">
        <f t="shared" si="0"/>
        <v>200</v>
      </c>
      <c r="P147" s="45"/>
    </row>
    <row r="148" spans="1:17" ht="15.75" customHeight="1">
      <c r="A148" s="52">
        <v>22</v>
      </c>
      <c r="B148" s="40" t="s">
        <v>814</v>
      </c>
      <c r="C148" s="40" t="s">
        <v>25</v>
      </c>
      <c r="D148" s="40" t="s">
        <v>815</v>
      </c>
      <c r="E148" s="40" t="s">
        <v>96</v>
      </c>
      <c r="F148" s="43" t="s">
        <v>79</v>
      </c>
      <c r="G148" s="40" t="s">
        <v>29</v>
      </c>
      <c r="H148" s="44">
        <v>1000</v>
      </c>
      <c r="I148" s="41">
        <v>200</v>
      </c>
      <c r="J148" s="40" t="s">
        <v>30</v>
      </c>
      <c r="K148" s="40" t="s">
        <v>31</v>
      </c>
      <c r="L148" s="1"/>
      <c r="M148" s="157">
        <f t="shared" si="0"/>
        <v>200</v>
      </c>
      <c r="P148" s="45"/>
    </row>
    <row r="149" spans="1:17" ht="15.75" customHeight="1">
      <c r="A149" s="52">
        <v>22</v>
      </c>
      <c r="B149" s="40" t="s">
        <v>816</v>
      </c>
      <c r="C149" s="40" t="s">
        <v>25</v>
      </c>
      <c r="D149" s="40" t="s">
        <v>817</v>
      </c>
      <c r="E149" s="40" t="s">
        <v>258</v>
      </c>
      <c r="F149" s="43" t="s">
        <v>79</v>
      </c>
      <c r="G149" s="171" t="s">
        <v>29</v>
      </c>
      <c r="H149" s="260">
        <v>500</v>
      </c>
      <c r="I149" s="261" t="s">
        <v>101</v>
      </c>
      <c r="J149" s="40" t="s">
        <v>30</v>
      </c>
      <c r="K149" s="40" t="s">
        <v>31</v>
      </c>
      <c r="L149" s="1"/>
      <c r="M149" s="157">
        <f t="shared" si="0"/>
        <v>100</v>
      </c>
    </row>
    <row r="150" spans="1:17" ht="15.75" customHeight="1">
      <c r="A150" s="52">
        <v>22</v>
      </c>
      <c r="B150" s="40" t="s">
        <v>816</v>
      </c>
      <c r="C150" s="40" t="s">
        <v>25</v>
      </c>
      <c r="D150" s="40" t="s">
        <v>817</v>
      </c>
      <c r="E150" s="40" t="s">
        <v>258</v>
      </c>
      <c r="F150" s="40"/>
      <c r="G150" s="40" t="s">
        <v>29</v>
      </c>
      <c r="H150" s="44">
        <v>200</v>
      </c>
      <c r="I150" s="41">
        <v>40</v>
      </c>
      <c r="J150" s="40" t="s">
        <v>30</v>
      </c>
      <c r="K150" s="40" t="s">
        <v>31</v>
      </c>
      <c r="L150" s="1"/>
      <c r="M150" s="157">
        <f t="shared" si="0"/>
        <v>40</v>
      </c>
      <c r="P150" s="280">
        <f>SUM(H136:H137)</f>
        <v>4050</v>
      </c>
      <c r="Q150" s="71" t="s">
        <v>818</v>
      </c>
    </row>
    <row r="151" spans="1:17" ht="15.75" customHeight="1">
      <c r="A151" s="52">
        <v>22</v>
      </c>
      <c r="B151" s="40" t="s">
        <v>819</v>
      </c>
      <c r="C151" s="40" t="s">
        <v>59</v>
      </c>
      <c r="D151" s="40" t="s">
        <v>820</v>
      </c>
      <c r="E151" s="40" t="s">
        <v>46</v>
      </c>
      <c r="F151" s="43" t="s">
        <v>821</v>
      </c>
      <c r="G151" s="40" t="s">
        <v>29</v>
      </c>
      <c r="H151" s="44">
        <v>300</v>
      </c>
      <c r="I151" s="41">
        <v>60</v>
      </c>
      <c r="J151" s="40" t="s">
        <v>30</v>
      </c>
      <c r="K151" s="40" t="s">
        <v>31</v>
      </c>
      <c r="L151" s="1"/>
      <c r="M151" s="157">
        <f t="shared" si="0"/>
        <v>60</v>
      </c>
      <c r="P151" s="45">
        <f>SUM('November (Group)'!P19,'November 2021'!H149,'November 2021'!H157:H158,'November 2021'!H165,'November 2021'!H174:H176,'November 2021'!H185)</f>
        <v>12500</v>
      </c>
      <c r="Q151" s="71" t="s">
        <v>822</v>
      </c>
    </row>
    <row r="152" spans="1:17" ht="15.75" customHeight="1">
      <c r="A152" s="52">
        <v>22</v>
      </c>
      <c r="B152" s="40" t="s">
        <v>823</v>
      </c>
      <c r="C152" s="40" t="s">
        <v>59</v>
      </c>
      <c r="D152" s="40" t="s">
        <v>732</v>
      </c>
      <c r="E152" s="40" t="s">
        <v>38</v>
      </c>
      <c r="F152" s="43" t="s">
        <v>824</v>
      </c>
      <c r="G152" s="40" t="s">
        <v>29</v>
      </c>
      <c r="H152" s="44">
        <v>650</v>
      </c>
      <c r="I152" s="41">
        <v>130</v>
      </c>
      <c r="J152" s="40" t="s">
        <v>30</v>
      </c>
      <c r="K152" s="40" t="s">
        <v>31</v>
      </c>
      <c r="L152" s="1"/>
      <c r="M152" s="157">
        <f t="shared" si="0"/>
        <v>130</v>
      </c>
      <c r="P152" s="45">
        <f>SUM(H134:H135,H138:H148,H150:H156,H159:H164,H166:H173,H177:H184,H186:H196)</f>
        <v>73450</v>
      </c>
    </row>
    <row r="153" spans="1:17" ht="15.75" customHeight="1">
      <c r="A153" s="52">
        <v>22</v>
      </c>
      <c r="B153" s="40" t="s">
        <v>825</v>
      </c>
      <c r="C153" s="40" t="s">
        <v>59</v>
      </c>
      <c r="D153" s="40" t="s">
        <v>826</v>
      </c>
      <c r="E153" s="40" t="s">
        <v>96</v>
      </c>
      <c r="F153" s="43" t="s">
        <v>827</v>
      </c>
      <c r="G153" s="40" t="s">
        <v>29</v>
      </c>
      <c r="H153" s="44">
        <v>500</v>
      </c>
      <c r="I153" s="41">
        <v>100</v>
      </c>
      <c r="J153" s="40" t="s">
        <v>30</v>
      </c>
      <c r="K153" s="40" t="s">
        <v>31</v>
      </c>
      <c r="L153" s="1"/>
      <c r="M153" s="157">
        <f t="shared" si="0"/>
        <v>100</v>
      </c>
    </row>
    <row r="154" spans="1:17" ht="15.75" customHeight="1">
      <c r="A154" s="52">
        <v>22</v>
      </c>
      <c r="B154" s="40" t="s">
        <v>828</v>
      </c>
      <c r="C154" s="40" t="s">
        <v>59</v>
      </c>
      <c r="D154" s="40" t="s">
        <v>155</v>
      </c>
      <c r="E154" s="40" t="s">
        <v>42</v>
      </c>
      <c r="F154" s="43" t="s">
        <v>829</v>
      </c>
      <c r="G154" s="40" t="s">
        <v>29</v>
      </c>
      <c r="H154" s="44">
        <v>200</v>
      </c>
      <c r="I154" s="41">
        <v>40</v>
      </c>
      <c r="J154" s="40" t="s">
        <v>30</v>
      </c>
      <c r="K154" s="40" t="s">
        <v>31</v>
      </c>
      <c r="L154" s="1"/>
      <c r="M154" s="157">
        <f t="shared" si="0"/>
        <v>40</v>
      </c>
    </row>
    <row r="155" spans="1:17" ht="15.75" customHeight="1">
      <c r="A155" s="52">
        <v>22</v>
      </c>
      <c r="B155" s="40" t="s">
        <v>830</v>
      </c>
      <c r="C155" s="40" t="s">
        <v>25</v>
      </c>
      <c r="D155" s="40" t="s">
        <v>831</v>
      </c>
      <c r="E155" s="40" t="s">
        <v>50</v>
      </c>
      <c r="F155" s="43" t="s">
        <v>832</v>
      </c>
      <c r="G155" s="40" t="s">
        <v>29</v>
      </c>
      <c r="H155" s="44">
        <v>1000</v>
      </c>
      <c r="I155" s="41">
        <v>200</v>
      </c>
      <c r="J155" s="40" t="s">
        <v>30</v>
      </c>
      <c r="K155" s="40" t="s">
        <v>31</v>
      </c>
      <c r="L155" s="1"/>
      <c r="M155" s="157">
        <f t="shared" si="0"/>
        <v>200</v>
      </c>
    </row>
    <row r="156" spans="1:17" ht="15.75" customHeight="1">
      <c r="A156" s="52">
        <v>22</v>
      </c>
      <c r="B156" s="40" t="s">
        <v>833</v>
      </c>
      <c r="C156" s="40" t="s">
        <v>25</v>
      </c>
      <c r="D156" s="40" t="s">
        <v>323</v>
      </c>
      <c r="E156" s="40" t="s">
        <v>42</v>
      </c>
      <c r="F156" s="43" t="s">
        <v>834</v>
      </c>
      <c r="G156" s="40" t="s">
        <v>29</v>
      </c>
      <c r="H156" s="44">
        <v>500</v>
      </c>
      <c r="I156" s="41">
        <v>100</v>
      </c>
      <c r="J156" s="40" t="s">
        <v>30</v>
      </c>
      <c r="K156" s="40" t="s">
        <v>31</v>
      </c>
      <c r="L156" s="1"/>
      <c r="M156" s="157">
        <f t="shared" si="0"/>
        <v>100</v>
      </c>
    </row>
    <row r="157" spans="1:17" ht="15.75" customHeight="1">
      <c r="A157" s="52">
        <v>22</v>
      </c>
      <c r="B157" s="40" t="s">
        <v>835</v>
      </c>
      <c r="C157" s="40" t="s">
        <v>25</v>
      </c>
      <c r="D157" s="40" t="s">
        <v>836</v>
      </c>
      <c r="E157" s="40" t="s">
        <v>42</v>
      </c>
      <c r="F157" s="43" t="s">
        <v>837</v>
      </c>
      <c r="G157" s="171" t="s">
        <v>29</v>
      </c>
      <c r="H157" s="260">
        <v>2500</v>
      </c>
      <c r="I157" s="261" t="s">
        <v>101</v>
      </c>
      <c r="J157" s="40" t="s">
        <v>30</v>
      </c>
      <c r="K157" s="40" t="s">
        <v>31</v>
      </c>
      <c r="L157" s="1"/>
      <c r="M157" s="157">
        <f t="shared" si="0"/>
        <v>500</v>
      </c>
    </row>
    <row r="158" spans="1:17" ht="15.75" customHeight="1">
      <c r="A158" s="42">
        <v>22</v>
      </c>
      <c r="B158" s="40" t="s">
        <v>838</v>
      </c>
      <c r="C158" s="40" t="s">
        <v>25</v>
      </c>
      <c r="D158" s="40" t="s">
        <v>99</v>
      </c>
      <c r="E158" s="40" t="s">
        <v>42</v>
      </c>
      <c r="F158" s="43" t="s">
        <v>839</v>
      </c>
      <c r="G158" s="171" t="s">
        <v>29</v>
      </c>
      <c r="H158" s="260">
        <v>1500</v>
      </c>
      <c r="I158" s="261" t="s">
        <v>101</v>
      </c>
      <c r="J158" s="40" t="s">
        <v>30</v>
      </c>
      <c r="K158" s="40" t="s">
        <v>31</v>
      </c>
      <c r="L158" s="1"/>
      <c r="M158" s="157">
        <f t="shared" si="0"/>
        <v>300</v>
      </c>
    </row>
    <row r="159" spans="1:17" ht="15.75" customHeight="1">
      <c r="A159" s="42">
        <v>23</v>
      </c>
      <c r="B159" s="40" t="s">
        <v>840</v>
      </c>
      <c r="C159" s="40" t="s">
        <v>25</v>
      </c>
      <c r="D159" s="40" t="s">
        <v>841</v>
      </c>
      <c r="E159" s="40" t="s">
        <v>533</v>
      </c>
      <c r="F159" s="40"/>
      <c r="G159" s="40" t="s">
        <v>29</v>
      </c>
      <c r="H159" s="44">
        <v>1000</v>
      </c>
      <c r="I159" s="41">
        <v>200</v>
      </c>
      <c r="J159" s="40" t="s">
        <v>30</v>
      </c>
      <c r="K159" s="40" t="s">
        <v>31</v>
      </c>
      <c r="L159" s="1"/>
      <c r="M159" s="157">
        <f t="shared" si="0"/>
        <v>200</v>
      </c>
    </row>
    <row r="160" spans="1:17" ht="15.75" customHeight="1">
      <c r="A160" s="42">
        <v>23</v>
      </c>
      <c r="B160" s="40" t="s">
        <v>842</v>
      </c>
      <c r="C160" s="40" t="s">
        <v>25</v>
      </c>
      <c r="D160" s="40" t="s">
        <v>843</v>
      </c>
      <c r="E160" s="40" t="s">
        <v>533</v>
      </c>
      <c r="F160" s="40"/>
      <c r="G160" s="40" t="s">
        <v>29</v>
      </c>
      <c r="H160" s="44">
        <v>1000</v>
      </c>
      <c r="I160" s="41">
        <v>200</v>
      </c>
      <c r="J160" s="40" t="s">
        <v>30</v>
      </c>
      <c r="K160" s="40" t="s">
        <v>31</v>
      </c>
      <c r="L160" s="1"/>
      <c r="M160" s="157">
        <f t="shared" si="0"/>
        <v>200</v>
      </c>
    </row>
    <row r="161" spans="1:17" ht="15.75" customHeight="1">
      <c r="A161" s="42">
        <v>23</v>
      </c>
      <c r="B161" s="40" t="s">
        <v>844</v>
      </c>
      <c r="C161" s="40" t="s">
        <v>25</v>
      </c>
      <c r="D161" s="40" t="s">
        <v>845</v>
      </c>
      <c r="E161" s="40" t="s">
        <v>533</v>
      </c>
      <c r="F161" s="40"/>
      <c r="G161" s="40" t="s">
        <v>29</v>
      </c>
      <c r="H161" s="44">
        <v>500</v>
      </c>
      <c r="I161" s="41">
        <v>100</v>
      </c>
      <c r="J161" s="40" t="s">
        <v>30</v>
      </c>
      <c r="K161" s="40" t="s">
        <v>31</v>
      </c>
      <c r="L161" s="1"/>
      <c r="M161" s="157">
        <f t="shared" si="0"/>
        <v>100</v>
      </c>
    </row>
    <row r="162" spans="1:17" ht="15.75" customHeight="1">
      <c r="A162" s="42">
        <v>23</v>
      </c>
      <c r="B162" s="40" t="s">
        <v>846</v>
      </c>
      <c r="C162" s="40" t="s">
        <v>59</v>
      </c>
      <c r="D162" s="40" t="s">
        <v>845</v>
      </c>
      <c r="E162" s="40" t="s">
        <v>533</v>
      </c>
      <c r="F162" s="43" t="s">
        <v>847</v>
      </c>
      <c r="G162" s="40" t="s">
        <v>29</v>
      </c>
      <c r="H162" s="44">
        <v>500</v>
      </c>
      <c r="I162" s="41">
        <v>100</v>
      </c>
      <c r="J162" s="40" t="s">
        <v>30</v>
      </c>
      <c r="K162" s="40" t="s">
        <v>31</v>
      </c>
      <c r="L162" s="1"/>
      <c r="M162" s="157">
        <f t="shared" si="0"/>
        <v>100</v>
      </c>
    </row>
    <row r="163" spans="1:17" ht="15.75" customHeight="1">
      <c r="A163" s="42">
        <v>23</v>
      </c>
      <c r="B163" s="40" t="s">
        <v>848</v>
      </c>
      <c r="C163" s="40" t="s">
        <v>25</v>
      </c>
      <c r="D163" s="40" t="s">
        <v>849</v>
      </c>
      <c r="E163" s="40" t="s">
        <v>38</v>
      </c>
      <c r="F163" s="43" t="s">
        <v>79</v>
      </c>
      <c r="G163" s="40" t="s">
        <v>29</v>
      </c>
      <c r="H163" s="44">
        <v>3000</v>
      </c>
      <c r="I163" s="41">
        <v>600</v>
      </c>
      <c r="J163" s="40" t="s">
        <v>30</v>
      </c>
      <c r="K163" s="40" t="s">
        <v>31</v>
      </c>
      <c r="L163" s="1"/>
      <c r="M163" s="157">
        <f t="shared" si="0"/>
        <v>600</v>
      </c>
    </row>
    <row r="164" spans="1:17" ht="15.75" customHeight="1">
      <c r="A164" s="42">
        <v>23</v>
      </c>
      <c r="B164" s="40" t="s">
        <v>850</v>
      </c>
      <c r="C164" s="40" t="s">
        <v>25</v>
      </c>
      <c r="D164" s="40" t="s">
        <v>849</v>
      </c>
      <c r="E164" s="40" t="s">
        <v>38</v>
      </c>
      <c r="F164" s="40"/>
      <c r="G164" s="40" t="s">
        <v>29</v>
      </c>
      <c r="H164" s="44">
        <v>500</v>
      </c>
      <c r="I164" s="41">
        <v>100</v>
      </c>
      <c r="J164" s="40" t="s">
        <v>30</v>
      </c>
      <c r="K164" s="40" t="s">
        <v>31</v>
      </c>
      <c r="L164" s="1"/>
      <c r="M164" s="157">
        <f t="shared" si="0"/>
        <v>100</v>
      </c>
    </row>
    <row r="165" spans="1:17" ht="15.75" customHeight="1">
      <c r="A165" s="281">
        <v>23</v>
      </c>
      <c r="B165" s="274" t="s">
        <v>851</v>
      </c>
      <c r="C165" s="274" t="s">
        <v>59</v>
      </c>
      <c r="D165" s="274" t="s">
        <v>852</v>
      </c>
      <c r="E165" s="274" t="s">
        <v>561</v>
      </c>
      <c r="F165" s="274"/>
      <c r="G165" s="274" t="s">
        <v>29</v>
      </c>
      <c r="H165" s="275">
        <v>1000</v>
      </c>
      <c r="I165" s="276" t="s">
        <v>101</v>
      </c>
      <c r="J165" s="274" t="s">
        <v>30</v>
      </c>
      <c r="K165" s="274" t="s">
        <v>31</v>
      </c>
      <c r="L165" s="282" t="s">
        <v>853</v>
      </c>
      <c r="M165" s="157">
        <f t="shared" si="0"/>
        <v>200</v>
      </c>
    </row>
    <row r="166" spans="1:17" ht="15.75" customHeight="1">
      <c r="A166" s="52">
        <v>23</v>
      </c>
      <c r="B166" s="40" t="s">
        <v>854</v>
      </c>
      <c r="C166" s="40" t="s">
        <v>25</v>
      </c>
      <c r="D166" s="40" t="s">
        <v>855</v>
      </c>
      <c r="E166" s="40" t="s">
        <v>56</v>
      </c>
      <c r="F166" s="40"/>
      <c r="G166" s="40" t="s">
        <v>29</v>
      </c>
      <c r="H166" s="44">
        <v>600</v>
      </c>
      <c r="I166" s="41">
        <v>120</v>
      </c>
      <c r="J166" s="40" t="s">
        <v>30</v>
      </c>
      <c r="K166" s="40" t="s">
        <v>31</v>
      </c>
      <c r="L166" s="1"/>
      <c r="M166" s="157">
        <f t="shared" si="0"/>
        <v>120</v>
      </c>
    </row>
    <row r="167" spans="1:17" ht="15.75" customHeight="1">
      <c r="A167" s="52">
        <v>23</v>
      </c>
      <c r="B167" s="40" t="s">
        <v>856</v>
      </c>
      <c r="C167" s="40" t="s">
        <v>25</v>
      </c>
      <c r="D167" s="40" t="s">
        <v>857</v>
      </c>
      <c r="E167" s="40" t="s">
        <v>56</v>
      </c>
      <c r="F167" s="43" t="s">
        <v>858</v>
      </c>
      <c r="G167" s="40" t="s">
        <v>29</v>
      </c>
      <c r="H167" s="44">
        <v>600</v>
      </c>
      <c r="I167" s="41">
        <v>120</v>
      </c>
      <c r="J167" s="40" t="s">
        <v>30</v>
      </c>
      <c r="K167" s="40" t="s">
        <v>31</v>
      </c>
      <c r="L167" s="1"/>
      <c r="M167" s="157">
        <f t="shared" si="0"/>
        <v>120</v>
      </c>
    </row>
    <row r="168" spans="1:17" ht="15.75" customHeight="1">
      <c r="A168" s="52">
        <v>23</v>
      </c>
      <c r="B168" s="40" t="s">
        <v>859</v>
      </c>
      <c r="C168" s="40" t="s">
        <v>25</v>
      </c>
      <c r="D168" s="40" t="s">
        <v>860</v>
      </c>
      <c r="E168" s="40" t="s">
        <v>56</v>
      </c>
      <c r="F168" s="43" t="s">
        <v>861</v>
      </c>
      <c r="G168" s="40" t="s">
        <v>29</v>
      </c>
      <c r="H168" s="44">
        <v>600</v>
      </c>
      <c r="I168" s="41">
        <v>120</v>
      </c>
      <c r="J168" s="40" t="s">
        <v>30</v>
      </c>
      <c r="K168" s="40" t="s">
        <v>31</v>
      </c>
      <c r="L168" s="1"/>
      <c r="M168" s="157">
        <f t="shared" si="0"/>
        <v>120</v>
      </c>
    </row>
    <row r="169" spans="1:17" ht="15.75" customHeight="1">
      <c r="A169" s="52">
        <v>23</v>
      </c>
      <c r="B169" s="40" t="s">
        <v>862</v>
      </c>
      <c r="C169" s="40" t="s">
        <v>25</v>
      </c>
      <c r="D169" s="40" t="s">
        <v>863</v>
      </c>
      <c r="E169" s="40" t="s">
        <v>56</v>
      </c>
      <c r="F169" s="43" t="s">
        <v>864</v>
      </c>
      <c r="G169" s="40" t="s">
        <v>29</v>
      </c>
      <c r="H169" s="44">
        <v>3600</v>
      </c>
      <c r="I169" s="41">
        <v>720</v>
      </c>
      <c r="J169" s="40" t="s">
        <v>30</v>
      </c>
      <c r="K169" s="40" t="s">
        <v>31</v>
      </c>
      <c r="L169" s="1"/>
      <c r="M169" s="157">
        <f t="shared" si="0"/>
        <v>720</v>
      </c>
    </row>
    <row r="170" spans="1:17" ht="15.75" customHeight="1">
      <c r="A170" s="52">
        <v>23</v>
      </c>
      <c r="B170" s="40" t="s">
        <v>865</v>
      </c>
      <c r="C170" s="40" t="s">
        <v>25</v>
      </c>
      <c r="D170" s="40" t="s">
        <v>866</v>
      </c>
      <c r="E170" s="40" t="s">
        <v>27</v>
      </c>
      <c r="F170" s="43" t="s">
        <v>867</v>
      </c>
      <c r="G170" s="40" t="s">
        <v>29</v>
      </c>
      <c r="H170" s="44">
        <v>1000</v>
      </c>
      <c r="I170" s="41">
        <v>200</v>
      </c>
      <c r="J170" s="40" t="s">
        <v>30</v>
      </c>
      <c r="K170" s="40" t="s">
        <v>31</v>
      </c>
      <c r="L170" s="1"/>
      <c r="M170" s="157">
        <f t="shared" si="0"/>
        <v>200</v>
      </c>
      <c r="Q170" s="45"/>
    </row>
    <row r="171" spans="1:17" ht="15.75" customHeight="1">
      <c r="A171" s="52">
        <v>23</v>
      </c>
      <c r="B171" s="40" t="s">
        <v>868</v>
      </c>
      <c r="C171" s="40" t="s">
        <v>25</v>
      </c>
      <c r="D171" s="40" t="s">
        <v>869</v>
      </c>
      <c r="E171" s="40" t="s">
        <v>870</v>
      </c>
      <c r="F171" s="43" t="s">
        <v>871</v>
      </c>
      <c r="G171" s="40" t="s">
        <v>29</v>
      </c>
      <c r="H171" s="44">
        <v>700</v>
      </c>
      <c r="I171" s="41">
        <v>140</v>
      </c>
      <c r="J171" s="40" t="s">
        <v>30</v>
      </c>
      <c r="K171" s="40" t="s">
        <v>31</v>
      </c>
      <c r="L171" s="1"/>
      <c r="M171" s="157">
        <f t="shared" si="0"/>
        <v>140</v>
      </c>
      <c r="Q171" s="45"/>
    </row>
    <row r="172" spans="1:17" ht="15.75" customHeight="1">
      <c r="A172" s="52">
        <v>23</v>
      </c>
      <c r="B172" s="40" t="s">
        <v>872</v>
      </c>
      <c r="C172" s="40" t="s">
        <v>59</v>
      </c>
      <c r="D172" s="40" t="s">
        <v>683</v>
      </c>
      <c r="E172" s="40" t="s">
        <v>96</v>
      </c>
      <c r="F172" s="43" t="s">
        <v>873</v>
      </c>
      <c r="G172" s="40" t="s">
        <v>29</v>
      </c>
      <c r="H172" s="44">
        <v>2000</v>
      </c>
      <c r="I172" s="41">
        <v>400</v>
      </c>
      <c r="J172" s="40" t="s">
        <v>30</v>
      </c>
      <c r="K172" s="40" t="s">
        <v>31</v>
      </c>
      <c r="L172" s="1"/>
      <c r="M172" s="157">
        <f t="shared" si="0"/>
        <v>400</v>
      </c>
    </row>
    <row r="173" spans="1:17" ht="15.75" customHeight="1">
      <c r="A173" s="52">
        <v>23</v>
      </c>
      <c r="B173" s="40" t="s">
        <v>874</v>
      </c>
      <c r="C173" s="40" t="s">
        <v>25</v>
      </c>
      <c r="D173" s="40" t="s">
        <v>618</v>
      </c>
      <c r="E173" s="40" t="s">
        <v>50</v>
      </c>
      <c r="F173" s="43" t="s">
        <v>875</v>
      </c>
      <c r="G173" s="40" t="s">
        <v>29</v>
      </c>
      <c r="H173" s="44">
        <v>1000</v>
      </c>
      <c r="I173" s="41">
        <v>200</v>
      </c>
      <c r="J173" s="40" t="s">
        <v>30</v>
      </c>
      <c r="K173" s="40" t="s">
        <v>31</v>
      </c>
      <c r="L173" s="1"/>
      <c r="M173" s="157">
        <f t="shared" si="0"/>
        <v>200</v>
      </c>
      <c r="Q173" s="45"/>
    </row>
    <row r="174" spans="1:17" ht="15.75" customHeight="1">
      <c r="A174" s="281">
        <v>23</v>
      </c>
      <c r="B174" s="274" t="s">
        <v>876</v>
      </c>
      <c r="C174" s="274" t="s">
        <v>25</v>
      </c>
      <c r="D174" s="274" t="s">
        <v>852</v>
      </c>
      <c r="E174" s="274" t="s">
        <v>540</v>
      </c>
      <c r="F174" s="283" t="s">
        <v>79</v>
      </c>
      <c r="G174" s="274" t="s">
        <v>29</v>
      </c>
      <c r="H174" s="275">
        <v>1000</v>
      </c>
      <c r="I174" s="276" t="s">
        <v>101</v>
      </c>
      <c r="J174" s="274" t="s">
        <v>30</v>
      </c>
      <c r="K174" s="274" t="s">
        <v>31</v>
      </c>
      <c r="L174" s="282" t="s">
        <v>853</v>
      </c>
      <c r="M174" s="157">
        <f t="shared" si="0"/>
        <v>200</v>
      </c>
      <c r="Q174" s="45"/>
    </row>
    <row r="175" spans="1:17" ht="15.75" customHeight="1">
      <c r="A175" s="281">
        <v>23</v>
      </c>
      <c r="B175" s="274" t="s">
        <v>877</v>
      </c>
      <c r="C175" s="274" t="s">
        <v>25</v>
      </c>
      <c r="D175" s="274" t="s">
        <v>852</v>
      </c>
      <c r="E175" s="274" t="s">
        <v>540</v>
      </c>
      <c r="F175" s="274"/>
      <c r="G175" s="274" t="s">
        <v>29</v>
      </c>
      <c r="H175" s="275">
        <v>1000</v>
      </c>
      <c r="I175" s="276" t="s">
        <v>101</v>
      </c>
      <c r="J175" s="274" t="s">
        <v>30</v>
      </c>
      <c r="K175" s="274" t="s">
        <v>31</v>
      </c>
      <c r="L175" s="282" t="s">
        <v>853</v>
      </c>
      <c r="M175" s="157">
        <f t="shared" si="0"/>
        <v>200</v>
      </c>
    </row>
    <row r="176" spans="1:17" ht="15.75" customHeight="1">
      <c r="A176" s="52">
        <v>23</v>
      </c>
      <c r="B176" s="40" t="s">
        <v>878</v>
      </c>
      <c r="C176" s="40" t="s">
        <v>25</v>
      </c>
      <c r="D176" s="40" t="s">
        <v>99</v>
      </c>
      <c r="E176" s="40" t="s">
        <v>42</v>
      </c>
      <c r="F176" s="43" t="s">
        <v>879</v>
      </c>
      <c r="G176" s="171" t="s">
        <v>29</v>
      </c>
      <c r="H176" s="260">
        <v>2200</v>
      </c>
      <c r="I176" s="261" t="s">
        <v>101</v>
      </c>
      <c r="J176" s="40" t="s">
        <v>30</v>
      </c>
      <c r="K176" s="40" t="s">
        <v>31</v>
      </c>
      <c r="L176" s="1"/>
      <c r="M176" s="157">
        <f t="shared" si="0"/>
        <v>440</v>
      </c>
      <c r="Q176" s="45"/>
    </row>
    <row r="177" spans="1:17" ht="15.75" customHeight="1">
      <c r="A177" s="52">
        <v>23</v>
      </c>
      <c r="B177" s="40" t="s">
        <v>880</v>
      </c>
      <c r="C177" s="40" t="s">
        <v>25</v>
      </c>
      <c r="D177" s="40" t="s">
        <v>185</v>
      </c>
      <c r="E177" s="40" t="s">
        <v>42</v>
      </c>
      <c r="F177" s="43" t="s">
        <v>881</v>
      </c>
      <c r="G177" s="40" t="s">
        <v>29</v>
      </c>
      <c r="H177" s="44">
        <v>1000</v>
      </c>
      <c r="I177" s="41">
        <v>200</v>
      </c>
      <c r="J177" s="40" t="s">
        <v>30</v>
      </c>
      <c r="K177" s="40" t="s">
        <v>31</v>
      </c>
      <c r="L177" s="1"/>
      <c r="M177" s="157">
        <f t="shared" si="0"/>
        <v>200</v>
      </c>
    </row>
    <row r="178" spans="1:17" ht="15.75" customHeight="1">
      <c r="A178" s="52">
        <v>23</v>
      </c>
      <c r="B178" s="40" t="s">
        <v>882</v>
      </c>
      <c r="C178" s="40" t="s">
        <v>25</v>
      </c>
      <c r="D178" s="40" t="s">
        <v>144</v>
      </c>
      <c r="E178" s="40" t="s">
        <v>50</v>
      </c>
      <c r="F178" s="43" t="s">
        <v>883</v>
      </c>
      <c r="G178" s="40" t="s">
        <v>29</v>
      </c>
      <c r="H178" s="44">
        <v>1000</v>
      </c>
      <c r="I178" s="41">
        <v>200</v>
      </c>
      <c r="J178" s="40" t="s">
        <v>30</v>
      </c>
      <c r="K178" s="40" t="s">
        <v>31</v>
      </c>
      <c r="L178" s="1"/>
      <c r="M178" s="157">
        <f t="shared" si="0"/>
        <v>200</v>
      </c>
    </row>
    <row r="179" spans="1:17" ht="15.75" customHeight="1">
      <c r="A179" s="52">
        <v>23</v>
      </c>
      <c r="B179" s="40" t="s">
        <v>884</v>
      </c>
      <c r="C179" s="40" t="s">
        <v>25</v>
      </c>
      <c r="D179" s="40" t="s">
        <v>869</v>
      </c>
      <c r="E179" s="40" t="s">
        <v>870</v>
      </c>
      <c r="F179" s="43" t="s">
        <v>885</v>
      </c>
      <c r="G179" s="40" t="s">
        <v>29</v>
      </c>
      <c r="H179" s="44">
        <v>4000</v>
      </c>
      <c r="I179" s="41">
        <v>800</v>
      </c>
      <c r="J179" s="40" t="s">
        <v>30</v>
      </c>
      <c r="K179" s="40" t="s">
        <v>31</v>
      </c>
      <c r="L179" s="1"/>
      <c r="M179" s="157">
        <f t="shared" si="0"/>
        <v>800</v>
      </c>
    </row>
    <row r="180" spans="1:17" ht="15.75" customHeight="1">
      <c r="A180" s="52">
        <v>23</v>
      </c>
      <c r="B180" s="40" t="s">
        <v>886</v>
      </c>
      <c r="C180" s="40" t="s">
        <v>25</v>
      </c>
      <c r="D180" s="40" t="s">
        <v>869</v>
      </c>
      <c r="E180" s="40" t="s">
        <v>870</v>
      </c>
      <c r="F180" s="43" t="s">
        <v>79</v>
      </c>
      <c r="G180" s="40" t="s">
        <v>29</v>
      </c>
      <c r="H180" s="44">
        <v>1500</v>
      </c>
      <c r="I180" s="41">
        <v>300</v>
      </c>
      <c r="J180" s="40" t="s">
        <v>30</v>
      </c>
      <c r="K180" s="40" t="s">
        <v>31</v>
      </c>
      <c r="L180" s="1"/>
      <c r="M180" s="157">
        <f t="shared" si="0"/>
        <v>300</v>
      </c>
    </row>
    <row r="181" spans="1:17" ht="15.75" customHeight="1">
      <c r="A181" s="52">
        <v>23</v>
      </c>
      <c r="B181" s="40" t="s">
        <v>887</v>
      </c>
      <c r="C181" s="40" t="s">
        <v>25</v>
      </c>
      <c r="D181" s="40" t="s">
        <v>271</v>
      </c>
      <c r="E181" s="40" t="s">
        <v>216</v>
      </c>
      <c r="F181" s="43" t="s">
        <v>888</v>
      </c>
      <c r="G181" s="40" t="s">
        <v>29</v>
      </c>
      <c r="H181" s="44">
        <v>700</v>
      </c>
      <c r="I181" s="41">
        <v>140</v>
      </c>
      <c r="J181" s="40" t="s">
        <v>30</v>
      </c>
      <c r="K181" s="40" t="s">
        <v>31</v>
      </c>
      <c r="L181" s="1"/>
      <c r="M181" s="157">
        <f t="shared" si="0"/>
        <v>140</v>
      </c>
    </row>
    <row r="182" spans="1:17" ht="15.75" customHeight="1">
      <c r="A182" s="52">
        <v>23</v>
      </c>
      <c r="B182" s="40" t="s">
        <v>889</v>
      </c>
      <c r="C182" s="40" t="s">
        <v>59</v>
      </c>
      <c r="D182" s="40" t="s">
        <v>263</v>
      </c>
      <c r="E182" s="40" t="s">
        <v>42</v>
      </c>
      <c r="F182" s="43" t="s">
        <v>890</v>
      </c>
      <c r="G182" s="40" t="s">
        <v>29</v>
      </c>
      <c r="H182" s="44">
        <v>5000</v>
      </c>
      <c r="I182" s="41">
        <v>1000</v>
      </c>
      <c r="J182" s="40" t="s">
        <v>30</v>
      </c>
      <c r="K182" s="40" t="s">
        <v>31</v>
      </c>
      <c r="L182" s="1"/>
      <c r="M182" s="157">
        <f t="shared" si="0"/>
        <v>1000</v>
      </c>
    </row>
    <row r="183" spans="1:17" ht="15.75" customHeight="1">
      <c r="A183" s="42">
        <v>23</v>
      </c>
      <c r="B183" s="40" t="s">
        <v>891</v>
      </c>
      <c r="C183" s="40" t="s">
        <v>25</v>
      </c>
      <c r="D183" s="40" t="s">
        <v>849</v>
      </c>
      <c r="E183" s="40" t="s">
        <v>38</v>
      </c>
      <c r="F183" s="43" t="s">
        <v>892</v>
      </c>
      <c r="G183" s="40" t="s">
        <v>29</v>
      </c>
      <c r="H183" s="44">
        <v>1000</v>
      </c>
      <c r="I183" s="41">
        <v>200</v>
      </c>
      <c r="J183" s="40" t="s">
        <v>30</v>
      </c>
      <c r="K183" s="40" t="s">
        <v>31</v>
      </c>
      <c r="L183" s="1"/>
      <c r="M183" s="157">
        <f t="shared" si="0"/>
        <v>200</v>
      </c>
    </row>
    <row r="184" spans="1:17" ht="15.75" customHeight="1">
      <c r="A184" s="42">
        <v>23</v>
      </c>
      <c r="B184" s="40" t="s">
        <v>893</v>
      </c>
      <c r="C184" s="40" t="s">
        <v>25</v>
      </c>
      <c r="D184" s="40" t="s">
        <v>894</v>
      </c>
      <c r="E184" s="40" t="s">
        <v>311</v>
      </c>
      <c r="F184" s="43" t="s">
        <v>895</v>
      </c>
      <c r="G184" s="40" t="s">
        <v>29</v>
      </c>
      <c r="H184" s="44">
        <v>1000</v>
      </c>
      <c r="I184" s="41">
        <v>200</v>
      </c>
      <c r="J184" s="40" t="s">
        <v>30</v>
      </c>
      <c r="K184" s="40" t="s">
        <v>31</v>
      </c>
      <c r="L184" s="1"/>
      <c r="M184" s="157">
        <f t="shared" si="0"/>
        <v>200</v>
      </c>
    </row>
    <row r="185" spans="1:17" ht="15.75" customHeight="1">
      <c r="A185" s="42">
        <v>23</v>
      </c>
      <c r="B185" s="40" t="s">
        <v>896</v>
      </c>
      <c r="C185" s="40" t="s">
        <v>59</v>
      </c>
      <c r="D185" s="40" t="s">
        <v>63</v>
      </c>
      <c r="E185" s="40" t="s">
        <v>50</v>
      </c>
      <c r="F185" s="43" t="s">
        <v>897</v>
      </c>
      <c r="G185" s="171" t="s">
        <v>29</v>
      </c>
      <c r="H185" s="260">
        <v>2800</v>
      </c>
      <c r="I185" s="261" t="s">
        <v>101</v>
      </c>
      <c r="J185" s="40" t="s">
        <v>30</v>
      </c>
      <c r="K185" s="40" t="s">
        <v>31</v>
      </c>
      <c r="L185" s="1"/>
      <c r="M185" s="157">
        <f t="shared" si="0"/>
        <v>560</v>
      </c>
    </row>
    <row r="186" spans="1:17" ht="15.75" customHeight="1">
      <c r="A186" s="42">
        <v>24</v>
      </c>
      <c r="B186" s="40" t="s">
        <v>898</v>
      </c>
      <c r="C186" s="40" t="s">
        <v>25</v>
      </c>
      <c r="D186" s="40" t="s">
        <v>899</v>
      </c>
      <c r="E186" s="40" t="s">
        <v>249</v>
      </c>
      <c r="F186" s="43" t="s">
        <v>900</v>
      </c>
      <c r="G186" s="40" t="s">
        <v>29</v>
      </c>
      <c r="H186" s="44">
        <v>1000</v>
      </c>
      <c r="I186" s="41">
        <v>200</v>
      </c>
      <c r="J186" s="40" t="s">
        <v>30</v>
      </c>
      <c r="K186" s="40" t="s">
        <v>31</v>
      </c>
      <c r="L186" s="1"/>
      <c r="M186" s="157">
        <f t="shared" si="0"/>
        <v>200</v>
      </c>
    </row>
    <row r="187" spans="1:17" ht="15.75" customHeight="1">
      <c r="A187" s="42">
        <v>24</v>
      </c>
      <c r="B187" s="40" t="s">
        <v>901</v>
      </c>
      <c r="C187" s="40" t="s">
        <v>25</v>
      </c>
      <c r="D187" s="40" t="s">
        <v>899</v>
      </c>
      <c r="E187" s="40" t="s">
        <v>249</v>
      </c>
      <c r="F187" s="40"/>
      <c r="G187" s="40" t="s">
        <v>29</v>
      </c>
      <c r="H187" s="44">
        <v>1000</v>
      </c>
      <c r="I187" s="41">
        <v>200</v>
      </c>
      <c r="J187" s="40" t="s">
        <v>30</v>
      </c>
      <c r="K187" s="40" t="s">
        <v>31</v>
      </c>
      <c r="L187" s="1"/>
      <c r="M187" s="157">
        <f t="shared" si="0"/>
        <v>200</v>
      </c>
    </row>
    <row r="188" spans="1:17" ht="15.75" customHeight="1">
      <c r="A188" s="42">
        <v>24</v>
      </c>
      <c r="B188" s="40" t="s">
        <v>902</v>
      </c>
      <c r="C188" s="40" t="s">
        <v>25</v>
      </c>
      <c r="D188" s="40" t="s">
        <v>63</v>
      </c>
      <c r="E188" s="40" t="s">
        <v>38</v>
      </c>
      <c r="F188" s="43" t="s">
        <v>903</v>
      </c>
      <c r="G188" s="40" t="s">
        <v>29</v>
      </c>
      <c r="H188" s="44">
        <v>1000</v>
      </c>
      <c r="I188" s="41">
        <v>200</v>
      </c>
      <c r="J188" s="40" t="s">
        <v>30</v>
      </c>
      <c r="K188" s="40" t="s">
        <v>31</v>
      </c>
      <c r="L188" s="1"/>
      <c r="M188" s="157">
        <f t="shared" si="0"/>
        <v>200</v>
      </c>
    </row>
    <row r="189" spans="1:17" ht="15.75" customHeight="1">
      <c r="A189" s="42">
        <v>24</v>
      </c>
      <c r="B189" s="40" t="s">
        <v>904</v>
      </c>
      <c r="C189" s="40" t="s">
        <v>25</v>
      </c>
      <c r="D189" s="40" t="s">
        <v>303</v>
      </c>
      <c r="E189" s="40" t="s">
        <v>96</v>
      </c>
      <c r="F189" s="43" t="s">
        <v>905</v>
      </c>
      <c r="G189" s="40" t="s">
        <v>29</v>
      </c>
      <c r="H189" s="44">
        <v>1000</v>
      </c>
      <c r="I189" s="41">
        <v>200</v>
      </c>
      <c r="J189" s="40" t="s">
        <v>30</v>
      </c>
      <c r="K189" s="40" t="s">
        <v>31</v>
      </c>
      <c r="L189" s="1"/>
      <c r="M189" s="157">
        <f t="shared" si="0"/>
        <v>200</v>
      </c>
    </row>
    <row r="190" spans="1:17" ht="15.75" customHeight="1">
      <c r="A190" s="42">
        <v>24</v>
      </c>
      <c r="B190" s="40" t="s">
        <v>906</v>
      </c>
      <c r="C190" s="40" t="s">
        <v>25</v>
      </c>
      <c r="D190" s="40" t="s">
        <v>907</v>
      </c>
      <c r="E190" s="40" t="s">
        <v>130</v>
      </c>
      <c r="F190" s="43" t="s">
        <v>908</v>
      </c>
      <c r="G190" s="40" t="s">
        <v>29</v>
      </c>
      <c r="H190" s="44">
        <v>1000</v>
      </c>
      <c r="I190" s="41">
        <v>200</v>
      </c>
      <c r="J190" s="40" t="s">
        <v>30</v>
      </c>
      <c r="K190" s="40" t="s">
        <v>31</v>
      </c>
      <c r="L190" s="1"/>
      <c r="M190" s="157">
        <f t="shared" si="0"/>
        <v>200</v>
      </c>
    </row>
    <row r="191" spans="1:17" ht="15.75" customHeight="1">
      <c r="A191" s="42">
        <v>24</v>
      </c>
      <c r="B191" s="40" t="s">
        <v>909</v>
      </c>
      <c r="C191" s="40" t="s">
        <v>25</v>
      </c>
      <c r="D191" s="40" t="s">
        <v>910</v>
      </c>
      <c r="E191" s="40" t="s">
        <v>60</v>
      </c>
      <c r="F191" s="43" t="s">
        <v>911</v>
      </c>
      <c r="G191" s="40" t="s">
        <v>29</v>
      </c>
      <c r="H191" s="44">
        <v>1000</v>
      </c>
      <c r="I191" s="41">
        <v>200</v>
      </c>
      <c r="J191" s="40" t="s">
        <v>30</v>
      </c>
      <c r="K191" s="40" t="s">
        <v>31</v>
      </c>
      <c r="L191" s="1"/>
      <c r="M191" s="157">
        <f t="shared" si="0"/>
        <v>200</v>
      </c>
      <c r="Q191" s="45"/>
    </row>
    <row r="192" spans="1:17" ht="15.75" customHeight="1">
      <c r="A192" s="42">
        <v>24</v>
      </c>
      <c r="B192" s="40" t="s">
        <v>912</v>
      </c>
      <c r="C192" s="40" t="s">
        <v>59</v>
      </c>
      <c r="D192" s="40" t="s">
        <v>845</v>
      </c>
      <c r="E192" s="40" t="s">
        <v>533</v>
      </c>
      <c r="F192" s="40"/>
      <c r="G192" s="40" t="s">
        <v>29</v>
      </c>
      <c r="H192" s="44">
        <v>1000</v>
      </c>
      <c r="I192" s="41">
        <v>200</v>
      </c>
      <c r="J192" s="40" t="s">
        <v>30</v>
      </c>
      <c r="K192" s="40" t="s">
        <v>31</v>
      </c>
      <c r="L192" s="1"/>
      <c r="M192" s="157">
        <f t="shared" si="0"/>
        <v>200</v>
      </c>
    </row>
    <row r="193" spans="1:17" ht="15.75" customHeight="1">
      <c r="A193" s="42">
        <v>24</v>
      </c>
      <c r="B193" s="40" t="s">
        <v>913</v>
      </c>
      <c r="C193" s="40" t="s">
        <v>25</v>
      </c>
      <c r="D193" s="40" t="s">
        <v>845</v>
      </c>
      <c r="E193" s="40" t="s">
        <v>533</v>
      </c>
      <c r="F193" s="40"/>
      <c r="G193" s="40" t="s">
        <v>29</v>
      </c>
      <c r="H193" s="44">
        <v>1000</v>
      </c>
      <c r="I193" s="41">
        <v>200</v>
      </c>
      <c r="J193" s="40" t="s">
        <v>30</v>
      </c>
      <c r="K193" s="40" t="s">
        <v>31</v>
      </c>
      <c r="L193" s="1"/>
      <c r="M193" s="157">
        <f t="shared" si="0"/>
        <v>200</v>
      </c>
    </row>
    <row r="194" spans="1:17" ht="15.75" customHeight="1">
      <c r="A194" s="42">
        <v>24</v>
      </c>
      <c r="B194" s="40" t="s">
        <v>914</v>
      </c>
      <c r="C194" s="40" t="s">
        <v>59</v>
      </c>
      <c r="D194" s="40" t="s">
        <v>63</v>
      </c>
      <c r="E194" s="40" t="s">
        <v>96</v>
      </c>
      <c r="F194" s="40"/>
      <c r="G194" s="40" t="s">
        <v>29</v>
      </c>
      <c r="H194" s="44">
        <v>3000</v>
      </c>
      <c r="I194" s="41">
        <v>600</v>
      </c>
      <c r="J194" s="40" t="s">
        <v>30</v>
      </c>
      <c r="K194" s="40" t="s">
        <v>31</v>
      </c>
      <c r="L194" s="1"/>
      <c r="M194" s="157">
        <f t="shared" si="0"/>
        <v>600</v>
      </c>
    </row>
    <row r="195" spans="1:17" ht="15.75" customHeight="1">
      <c r="A195" s="42">
        <v>24</v>
      </c>
      <c r="B195" s="40" t="s">
        <v>915</v>
      </c>
      <c r="C195" s="40" t="s">
        <v>25</v>
      </c>
      <c r="D195" s="40" t="s">
        <v>570</v>
      </c>
      <c r="E195" s="40" t="s">
        <v>60</v>
      </c>
      <c r="F195" s="40"/>
      <c r="G195" s="40" t="s">
        <v>29</v>
      </c>
      <c r="H195" s="44">
        <v>1000</v>
      </c>
      <c r="I195" s="41">
        <v>200</v>
      </c>
      <c r="J195" s="40" t="s">
        <v>30</v>
      </c>
      <c r="K195" s="40" t="s">
        <v>31</v>
      </c>
      <c r="L195" s="1"/>
      <c r="M195" s="157">
        <f t="shared" si="0"/>
        <v>200</v>
      </c>
    </row>
    <row r="196" spans="1:17" ht="15.75" customHeight="1">
      <c r="A196" s="42">
        <v>24</v>
      </c>
      <c r="B196" s="40" t="s">
        <v>916</v>
      </c>
      <c r="C196" s="40" t="s">
        <v>25</v>
      </c>
      <c r="D196" s="40" t="s">
        <v>33</v>
      </c>
      <c r="E196" s="40" t="s">
        <v>34</v>
      </c>
      <c r="F196" s="43" t="s">
        <v>917</v>
      </c>
      <c r="G196" s="40" t="s">
        <v>29</v>
      </c>
      <c r="H196" s="44">
        <v>5000</v>
      </c>
      <c r="I196" s="41">
        <v>1000</v>
      </c>
      <c r="J196" s="40" t="s">
        <v>30</v>
      </c>
      <c r="K196" s="40" t="s">
        <v>31</v>
      </c>
      <c r="L196" s="1"/>
      <c r="M196" s="157">
        <f t="shared" si="0"/>
        <v>1000</v>
      </c>
    </row>
    <row r="197" spans="1:17" ht="15.75" customHeight="1">
      <c r="A197" s="42">
        <v>24</v>
      </c>
      <c r="B197" s="40" t="s">
        <v>918</v>
      </c>
      <c r="C197" s="40" t="s">
        <v>25</v>
      </c>
      <c r="D197" s="40" t="s">
        <v>123</v>
      </c>
      <c r="E197" s="40" t="s">
        <v>96</v>
      </c>
      <c r="F197" s="43" t="s">
        <v>919</v>
      </c>
      <c r="G197" s="40" t="s">
        <v>29</v>
      </c>
      <c r="H197" s="44">
        <v>1500</v>
      </c>
      <c r="I197" s="41">
        <v>300</v>
      </c>
      <c r="J197" s="40" t="s">
        <v>30</v>
      </c>
      <c r="K197" s="40" t="s">
        <v>31</v>
      </c>
      <c r="L197" s="1"/>
      <c r="M197" s="157">
        <f t="shared" si="0"/>
        <v>300</v>
      </c>
    </row>
    <row r="198" spans="1:17" ht="15.75" customHeight="1">
      <c r="A198" s="42">
        <v>24</v>
      </c>
      <c r="B198" s="40" t="s">
        <v>920</v>
      </c>
      <c r="C198" s="40" t="s">
        <v>25</v>
      </c>
      <c r="D198" s="40" t="s">
        <v>921</v>
      </c>
      <c r="E198" s="40" t="s">
        <v>42</v>
      </c>
      <c r="F198" s="43" t="s">
        <v>922</v>
      </c>
      <c r="G198" s="40" t="s">
        <v>29</v>
      </c>
      <c r="H198" s="44">
        <v>1000</v>
      </c>
      <c r="I198" s="41">
        <v>200</v>
      </c>
      <c r="J198" s="40" t="s">
        <v>30</v>
      </c>
      <c r="K198" s="40" t="s">
        <v>31</v>
      </c>
      <c r="L198" s="1"/>
      <c r="M198" s="157">
        <f t="shared" si="0"/>
        <v>200</v>
      </c>
    </row>
    <row r="199" spans="1:17" ht="15.75" customHeight="1">
      <c r="A199" s="42">
        <v>24</v>
      </c>
      <c r="B199" s="40" t="s">
        <v>923</v>
      </c>
      <c r="C199" s="40" t="s">
        <v>25</v>
      </c>
      <c r="D199" s="40" t="s">
        <v>924</v>
      </c>
      <c r="E199" s="40" t="s">
        <v>103</v>
      </c>
      <c r="F199" s="43" t="s">
        <v>925</v>
      </c>
      <c r="G199" s="40" t="s">
        <v>29</v>
      </c>
      <c r="H199" s="44">
        <v>1000</v>
      </c>
      <c r="I199" s="41">
        <v>200</v>
      </c>
      <c r="J199" s="40" t="s">
        <v>30</v>
      </c>
      <c r="K199" s="40" t="s">
        <v>31</v>
      </c>
      <c r="L199" s="1"/>
      <c r="M199" s="157">
        <f t="shared" si="0"/>
        <v>200</v>
      </c>
    </row>
    <row r="200" spans="1:17" ht="15.75" customHeight="1">
      <c r="A200" s="42">
        <v>24</v>
      </c>
      <c r="B200" s="40" t="s">
        <v>926</v>
      </c>
      <c r="C200" s="40" t="s">
        <v>25</v>
      </c>
      <c r="D200" s="40" t="s">
        <v>841</v>
      </c>
      <c r="E200" s="40" t="s">
        <v>533</v>
      </c>
      <c r="F200" s="43" t="s">
        <v>927</v>
      </c>
      <c r="G200" s="40" t="s">
        <v>29</v>
      </c>
      <c r="H200" s="44">
        <v>2000</v>
      </c>
      <c r="I200" s="41">
        <v>400</v>
      </c>
      <c r="J200" s="40" t="s">
        <v>30</v>
      </c>
      <c r="K200" s="40" t="s">
        <v>31</v>
      </c>
      <c r="L200" s="1"/>
      <c r="M200" s="157">
        <f t="shared" si="0"/>
        <v>400</v>
      </c>
    </row>
    <row r="201" spans="1:17" ht="15.75" customHeight="1">
      <c r="A201" s="42">
        <v>24</v>
      </c>
      <c r="B201" s="40" t="s">
        <v>928</v>
      </c>
      <c r="C201" s="40" t="s">
        <v>25</v>
      </c>
      <c r="D201" s="40" t="s">
        <v>195</v>
      </c>
      <c r="E201" s="40" t="s">
        <v>96</v>
      </c>
      <c r="F201" s="43" t="s">
        <v>929</v>
      </c>
      <c r="G201" s="40" t="s">
        <v>29</v>
      </c>
      <c r="H201" s="44">
        <v>2500</v>
      </c>
      <c r="I201" s="41">
        <v>500</v>
      </c>
      <c r="J201" s="40" t="s">
        <v>30</v>
      </c>
      <c r="K201" s="40" t="s">
        <v>31</v>
      </c>
      <c r="L201" s="1"/>
      <c r="M201" s="157">
        <f t="shared" si="0"/>
        <v>500</v>
      </c>
    </row>
    <row r="202" spans="1:17" ht="15.75" customHeight="1">
      <c r="A202" s="42">
        <v>24</v>
      </c>
      <c r="B202" s="40" t="s">
        <v>930</v>
      </c>
      <c r="C202" s="40" t="s">
        <v>25</v>
      </c>
      <c r="D202" s="40" t="s">
        <v>63</v>
      </c>
      <c r="E202" s="40" t="s">
        <v>103</v>
      </c>
      <c r="F202" s="43" t="s">
        <v>931</v>
      </c>
      <c r="G202" s="40" t="s">
        <v>29</v>
      </c>
      <c r="H202" s="44">
        <v>1000</v>
      </c>
      <c r="I202" s="41">
        <v>200</v>
      </c>
      <c r="J202" s="40" t="s">
        <v>30</v>
      </c>
      <c r="K202" s="40" t="s">
        <v>31</v>
      </c>
      <c r="L202" s="1"/>
      <c r="M202" s="157">
        <f t="shared" si="0"/>
        <v>200</v>
      </c>
    </row>
    <row r="203" spans="1:17" ht="15.75" customHeight="1">
      <c r="A203" s="42">
        <v>24</v>
      </c>
      <c r="B203" s="40" t="s">
        <v>932</v>
      </c>
      <c r="C203" s="40" t="s">
        <v>25</v>
      </c>
      <c r="D203" s="40" t="s">
        <v>92</v>
      </c>
      <c r="E203" s="40" t="s">
        <v>34</v>
      </c>
      <c r="F203" s="43" t="s">
        <v>933</v>
      </c>
      <c r="G203" s="40" t="s">
        <v>29</v>
      </c>
      <c r="H203" s="44">
        <v>1000</v>
      </c>
      <c r="I203" s="41">
        <v>200</v>
      </c>
      <c r="J203" s="40" t="s">
        <v>30</v>
      </c>
      <c r="K203" s="40" t="s">
        <v>31</v>
      </c>
      <c r="L203" s="1"/>
      <c r="M203" s="157">
        <f t="shared" si="0"/>
        <v>200</v>
      </c>
    </row>
    <row r="204" spans="1:17" ht="15.75" customHeight="1">
      <c r="A204" s="42">
        <v>24</v>
      </c>
      <c r="B204" s="40" t="s">
        <v>934</v>
      </c>
      <c r="C204" s="40" t="s">
        <v>59</v>
      </c>
      <c r="D204" s="40" t="s">
        <v>195</v>
      </c>
      <c r="E204" s="40" t="s">
        <v>96</v>
      </c>
      <c r="F204" s="43" t="s">
        <v>638</v>
      </c>
      <c r="G204" s="40" t="s">
        <v>29</v>
      </c>
      <c r="H204" s="44">
        <v>1500</v>
      </c>
      <c r="I204" s="41">
        <v>300</v>
      </c>
      <c r="J204" s="40" t="s">
        <v>30</v>
      </c>
      <c r="K204" s="40" t="s">
        <v>31</v>
      </c>
      <c r="L204" s="1"/>
      <c r="M204" s="157">
        <f t="shared" si="0"/>
        <v>300</v>
      </c>
    </row>
    <row r="205" spans="1:17" ht="15.75" customHeight="1">
      <c r="A205" s="42">
        <v>24</v>
      </c>
      <c r="B205" s="40" t="s">
        <v>935</v>
      </c>
      <c r="C205" s="40" t="s">
        <v>25</v>
      </c>
      <c r="D205" s="40" t="s">
        <v>195</v>
      </c>
      <c r="E205" s="40" t="s">
        <v>96</v>
      </c>
      <c r="F205" s="43" t="s">
        <v>936</v>
      </c>
      <c r="G205" s="40" t="s">
        <v>29</v>
      </c>
      <c r="H205" s="44">
        <v>3000</v>
      </c>
      <c r="I205" s="41">
        <v>600</v>
      </c>
      <c r="J205" s="40" t="s">
        <v>30</v>
      </c>
      <c r="K205" s="40" t="s">
        <v>31</v>
      </c>
      <c r="L205" s="1"/>
      <c r="M205" s="157">
        <f t="shared" si="0"/>
        <v>600</v>
      </c>
    </row>
    <row r="206" spans="1:17" ht="15.75" customHeight="1">
      <c r="A206" s="284">
        <v>24</v>
      </c>
      <c r="B206" s="285" t="s">
        <v>937</v>
      </c>
      <c r="C206" s="285" t="s">
        <v>25</v>
      </c>
      <c r="D206" s="285" t="s">
        <v>63</v>
      </c>
      <c r="E206" s="285" t="s">
        <v>103</v>
      </c>
      <c r="F206" s="286" t="s">
        <v>938</v>
      </c>
      <c r="G206" s="285" t="s">
        <v>29</v>
      </c>
      <c r="H206" s="287">
        <v>500</v>
      </c>
      <c r="I206" s="288">
        <v>100</v>
      </c>
      <c r="J206" s="285" t="s">
        <v>30</v>
      </c>
      <c r="K206" s="285" t="s">
        <v>31</v>
      </c>
      <c r="L206" s="1"/>
      <c r="M206" s="157">
        <f t="shared" si="0"/>
        <v>100</v>
      </c>
      <c r="Q206" s="65"/>
    </row>
    <row r="207" spans="1:17" ht="15.75" customHeight="1">
      <c r="A207" s="42">
        <v>25</v>
      </c>
      <c r="B207" s="40" t="s">
        <v>939</v>
      </c>
      <c r="C207" s="40" t="s">
        <v>25</v>
      </c>
      <c r="D207" s="40" t="s">
        <v>618</v>
      </c>
      <c r="E207" s="40" t="s">
        <v>50</v>
      </c>
      <c r="F207" s="43" t="s">
        <v>940</v>
      </c>
      <c r="G207" s="40" t="s">
        <v>29</v>
      </c>
      <c r="H207" s="44">
        <v>1500</v>
      </c>
      <c r="I207" s="41">
        <v>300</v>
      </c>
      <c r="J207" s="40" t="s">
        <v>30</v>
      </c>
      <c r="K207" s="40" t="s">
        <v>31</v>
      </c>
      <c r="L207" s="1"/>
      <c r="M207" s="157">
        <f t="shared" si="0"/>
        <v>300</v>
      </c>
      <c r="Q207" s="45"/>
    </row>
    <row r="208" spans="1:17" ht="15.75" customHeight="1">
      <c r="A208" s="42">
        <v>25</v>
      </c>
      <c r="B208" s="40" t="s">
        <v>941</v>
      </c>
      <c r="C208" s="40" t="s">
        <v>25</v>
      </c>
      <c r="D208" s="40" t="s">
        <v>942</v>
      </c>
      <c r="E208" s="40" t="s">
        <v>130</v>
      </c>
      <c r="F208" s="43" t="s">
        <v>943</v>
      </c>
      <c r="G208" s="40" t="s">
        <v>29</v>
      </c>
      <c r="H208" s="44">
        <v>40000</v>
      </c>
      <c r="I208" s="41">
        <v>8000</v>
      </c>
      <c r="J208" s="40" t="s">
        <v>30</v>
      </c>
      <c r="K208" s="40" t="s">
        <v>31</v>
      </c>
      <c r="L208" s="1"/>
      <c r="M208" s="157">
        <f t="shared" si="0"/>
        <v>8000</v>
      </c>
      <c r="P208" s="45">
        <f>SUM(H207:H214)</f>
        <v>54235</v>
      </c>
      <c r="Q208" s="45"/>
    </row>
    <row r="209" spans="1:17" ht="15.75" customHeight="1">
      <c r="A209" s="42">
        <v>25</v>
      </c>
      <c r="B209" s="40" t="s">
        <v>944</v>
      </c>
      <c r="C209" s="40" t="s">
        <v>25</v>
      </c>
      <c r="D209" s="40" t="s">
        <v>63</v>
      </c>
      <c r="E209" s="40" t="s">
        <v>38</v>
      </c>
      <c r="F209" s="43" t="s">
        <v>945</v>
      </c>
      <c r="G209" s="40" t="s">
        <v>29</v>
      </c>
      <c r="H209" s="44">
        <v>7000</v>
      </c>
      <c r="I209" s="41">
        <v>1400</v>
      </c>
      <c r="J209" s="40" t="s">
        <v>30</v>
      </c>
      <c r="K209" s="40" t="s">
        <v>31</v>
      </c>
      <c r="L209" s="1"/>
      <c r="M209" s="157">
        <f t="shared" si="0"/>
        <v>1400</v>
      </c>
    </row>
    <row r="210" spans="1:17" ht="15.75" customHeight="1">
      <c r="A210" s="42">
        <v>25</v>
      </c>
      <c r="B210" s="132" t="s">
        <v>944</v>
      </c>
      <c r="C210" s="132" t="s">
        <v>25</v>
      </c>
      <c r="D210" s="132" t="s">
        <v>63</v>
      </c>
      <c r="E210" s="132" t="s">
        <v>38</v>
      </c>
      <c r="F210" s="262" t="s">
        <v>945</v>
      </c>
      <c r="G210" s="132" t="s">
        <v>72</v>
      </c>
      <c r="H210" s="254">
        <v>235</v>
      </c>
      <c r="I210" s="255">
        <v>235</v>
      </c>
      <c r="J210" s="40" t="s">
        <v>30</v>
      </c>
      <c r="K210" s="40" t="s">
        <v>31</v>
      </c>
      <c r="L210" s="1"/>
      <c r="M210" s="157">
        <f t="shared" si="0"/>
        <v>47</v>
      </c>
    </row>
    <row r="211" spans="1:17" ht="15.75" customHeight="1">
      <c r="A211" s="42">
        <v>25</v>
      </c>
      <c r="B211" s="40" t="s">
        <v>946</v>
      </c>
      <c r="C211" s="40" t="s">
        <v>25</v>
      </c>
      <c r="D211" s="40" t="s">
        <v>947</v>
      </c>
      <c r="E211" s="40" t="s">
        <v>96</v>
      </c>
      <c r="F211" s="43" t="s">
        <v>948</v>
      </c>
      <c r="G211" s="40" t="s">
        <v>29</v>
      </c>
      <c r="H211" s="44">
        <v>1000</v>
      </c>
      <c r="I211" s="41">
        <v>200</v>
      </c>
      <c r="J211" s="40" t="s">
        <v>30</v>
      </c>
      <c r="K211" s="40" t="s">
        <v>31</v>
      </c>
      <c r="L211" s="1"/>
      <c r="M211" s="157">
        <f t="shared" si="0"/>
        <v>200</v>
      </c>
    </row>
    <row r="212" spans="1:17" ht="15.75" customHeight="1">
      <c r="A212" s="42">
        <v>25</v>
      </c>
      <c r="B212" s="40" t="s">
        <v>949</v>
      </c>
      <c r="C212" s="40" t="s">
        <v>25</v>
      </c>
      <c r="D212" s="40" t="s">
        <v>950</v>
      </c>
      <c r="E212" s="40" t="s">
        <v>96</v>
      </c>
      <c r="F212" s="43" t="s">
        <v>951</v>
      </c>
      <c r="G212" s="40" t="s">
        <v>29</v>
      </c>
      <c r="H212" s="44">
        <v>3000</v>
      </c>
      <c r="I212" s="41">
        <v>600</v>
      </c>
      <c r="J212" s="40" t="s">
        <v>30</v>
      </c>
      <c r="K212" s="40" t="s">
        <v>31</v>
      </c>
      <c r="L212" s="1"/>
      <c r="M212" s="157">
        <f t="shared" si="0"/>
        <v>600</v>
      </c>
    </row>
    <row r="213" spans="1:17" ht="15.75" customHeight="1">
      <c r="A213" s="42">
        <v>25</v>
      </c>
      <c r="B213" s="40" t="s">
        <v>952</v>
      </c>
      <c r="C213" s="40" t="s">
        <v>25</v>
      </c>
      <c r="D213" s="40" t="s">
        <v>195</v>
      </c>
      <c r="E213" s="40" t="s">
        <v>96</v>
      </c>
      <c r="F213" s="43" t="s">
        <v>953</v>
      </c>
      <c r="G213" s="40" t="s">
        <v>29</v>
      </c>
      <c r="H213" s="44">
        <v>1000</v>
      </c>
      <c r="I213" s="41">
        <v>200</v>
      </c>
      <c r="J213" s="40" t="s">
        <v>30</v>
      </c>
      <c r="K213" s="40" t="s">
        <v>31</v>
      </c>
      <c r="L213" s="1"/>
      <c r="M213" s="157">
        <f t="shared" si="0"/>
        <v>200</v>
      </c>
    </row>
    <row r="214" spans="1:17" ht="15.75" customHeight="1">
      <c r="A214" s="42">
        <v>25</v>
      </c>
      <c r="B214" s="40" t="s">
        <v>954</v>
      </c>
      <c r="C214" s="40" t="s">
        <v>25</v>
      </c>
      <c r="D214" s="40" t="s">
        <v>195</v>
      </c>
      <c r="E214" s="40" t="s">
        <v>96</v>
      </c>
      <c r="F214" s="43" t="s">
        <v>955</v>
      </c>
      <c r="G214" s="40" t="s">
        <v>29</v>
      </c>
      <c r="H214" s="44">
        <v>500</v>
      </c>
      <c r="I214" s="41">
        <v>100</v>
      </c>
      <c r="J214" s="40" t="s">
        <v>30</v>
      </c>
      <c r="K214" s="40" t="s">
        <v>31</v>
      </c>
      <c r="L214" s="1"/>
      <c r="M214" s="157">
        <f t="shared" si="0"/>
        <v>100</v>
      </c>
      <c r="P214" s="552"/>
      <c r="Q214" s="553"/>
    </row>
    <row r="215" spans="1:17" ht="15.75" customHeight="1">
      <c r="A215" s="42">
        <v>25</v>
      </c>
      <c r="B215" s="40" t="s">
        <v>956</v>
      </c>
      <c r="C215" s="40" t="s">
        <v>59</v>
      </c>
      <c r="D215" s="40"/>
      <c r="E215" s="40" t="s">
        <v>130</v>
      </c>
      <c r="F215" s="43" t="s">
        <v>638</v>
      </c>
      <c r="G215" s="40" t="s">
        <v>29</v>
      </c>
      <c r="H215" s="44">
        <v>2000</v>
      </c>
      <c r="I215" s="41" t="s">
        <v>101</v>
      </c>
      <c r="J215" s="40" t="s">
        <v>30</v>
      </c>
      <c r="K215" s="40" t="s">
        <v>31</v>
      </c>
      <c r="L215" s="1"/>
      <c r="M215" s="157">
        <f t="shared" si="0"/>
        <v>400</v>
      </c>
      <c r="Q215" s="45"/>
    </row>
    <row r="216" spans="1:17" ht="15.75" customHeight="1">
      <c r="A216" s="42">
        <v>25</v>
      </c>
      <c r="B216" s="40" t="s">
        <v>957</v>
      </c>
      <c r="C216" s="40" t="s">
        <v>25</v>
      </c>
      <c r="D216" s="40" t="s">
        <v>657</v>
      </c>
      <c r="E216" s="40" t="s">
        <v>38</v>
      </c>
      <c r="F216" s="43" t="s">
        <v>958</v>
      </c>
      <c r="G216" s="40" t="s">
        <v>29</v>
      </c>
      <c r="H216" s="44">
        <v>1400</v>
      </c>
      <c r="I216" s="41" t="s">
        <v>101</v>
      </c>
      <c r="J216" s="40" t="s">
        <v>30</v>
      </c>
      <c r="K216" s="40" t="s">
        <v>31</v>
      </c>
      <c r="L216" s="1"/>
      <c r="M216" s="157">
        <f t="shared" si="0"/>
        <v>280</v>
      </c>
      <c r="Q216" s="45"/>
    </row>
    <row r="217" spans="1:17" ht="15.75" customHeight="1">
      <c r="A217" s="42">
        <v>26</v>
      </c>
      <c r="B217" s="40" t="s">
        <v>959</v>
      </c>
      <c r="C217" s="40" t="s">
        <v>25</v>
      </c>
      <c r="D217" s="40" t="s">
        <v>960</v>
      </c>
      <c r="E217" s="40" t="s">
        <v>166</v>
      </c>
      <c r="F217" s="43" t="s">
        <v>961</v>
      </c>
      <c r="G217" s="40" t="s">
        <v>29</v>
      </c>
      <c r="H217" s="44">
        <v>900</v>
      </c>
      <c r="I217" s="41">
        <v>180</v>
      </c>
      <c r="J217" s="40" t="s">
        <v>30</v>
      </c>
      <c r="K217" s="40" t="s">
        <v>31</v>
      </c>
      <c r="L217" s="1"/>
      <c r="M217" s="157">
        <f t="shared" si="0"/>
        <v>180</v>
      </c>
      <c r="P217" s="552"/>
      <c r="Q217" s="553"/>
    </row>
    <row r="218" spans="1:17" ht="15.75" customHeight="1">
      <c r="A218" s="42">
        <v>26</v>
      </c>
      <c r="B218" s="40" t="s">
        <v>962</v>
      </c>
      <c r="C218" s="40" t="s">
        <v>25</v>
      </c>
      <c r="D218" s="40" t="s">
        <v>147</v>
      </c>
      <c r="E218" s="40" t="s">
        <v>38</v>
      </c>
      <c r="F218" s="43" t="s">
        <v>963</v>
      </c>
      <c r="G218" s="40" t="s">
        <v>29</v>
      </c>
      <c r="H218" s="44">
        <v>3000</v>
      </c>
      <c r="I218" s="41">
        <v>600</v>
      </c>
      <c r="J218" s="40" t="s">
        <v>30</v>
      </c>
      <c r="K218" s="40" t="s">
        <v>31</v>
      </c>
      <c r="L218" s="1"/>
      <c r="M218" s="157">
        <f t="shared" si="0"/>
        <v>600</v>
      </c>
      <c r="Q218" s="45"/>
    </row>
    <row r="219" spans="1:17" ht="15.75" customHeight="1">
      <c r="A219" s="42">
        <v>26</v>
      </c>
      <c r="B219" s="40" t="s">
        <v>964</v>
      </c>
      <c r="C219" s="40" t="s">
        <v>25</v>
      </c>
      <c r="D219" s="40" t="s">
        <v>68</v>
      </c>
      <c r="E219" s="40" t="s">
        <v>78</v>
      </c>
      <c r="F219" s="43" t="s">
        <v>965</v>
      </c>
      <c r="G219" s="40" t="s">
        <v>29</v>
      </c>
      <c r="H219" s="44">
        <v>1000</v>
      </c>
      <c r="I219" s="41">
        <v>200</v>
      </c>
      <c r="J219" s="40" t="s">
        <v>30</v>
      </c>
      <c r="K219" s="40" t="s">
        <v>31</v>
      </c>
      <c r="L219" s="1"/>
      <c r="M219" s="157">
        <f t="shared" si="0"/>
        <v>200</v>
      </c>
    </row>
    <row r="220" spans="1:17" ht="15.75" customHeight="1">
      <c r="A220" s="42">
        <v>26</v>
      </c>
      <c r="B220" s="40" t="s">
        <v>966</v>
      </c>
      <c r="C220" s="40" t="s">
        <v>25</v>
      </c>
      <c r="D220" s="40" t="s">
        <v>155</v>
      </c>
      <c r="E220" s="40" t="s">
        <v>42</v>
      </c>
      <c r="F220" s="43" t="s">
        <v>638</v>
      </c>
      <c r="G220" s="40" t="s">
        <v>29</v>
      </c>
      <c r="H220" s="44">
        <v>100</v>
      </c>
      <c r="I220" s="41">
        <v>20</v>
      </c>
      <c r="J220" s="40" t="s">
        <v>30</v>
      </c>
      <c r="K220" s="40" t="s">
        <v>31</v>
      </c>
      <c r="L220" s="1"/>
      <c r="M220" s="157">
        <f t="shared" si="0"/>
        <v>20</v>
      </c>
      <c r="P220" s="552"/>
      <c r="Q220" s="553"/>
    </row>
    <row r="221" spans="1:17" ht="15.75" customHeight="1">
      <c r="A221" s="42">
        <v>26</v>
      </c>
      <c r="B221" s="132" t="s">
        <v>966</v>
      </c>
      <c r="C221" s="132" t="s">
        <v>25</v>
      </c>
      <c r="D221" s="132" t="s">
        <v>155</v>
      </c>
      <c r="E221" s="132" t="s">
        <v>42</v>
      </c>
      <c r="F221" s="262" t="s">
        <v>638</v>
      </c>
      <c r="G221" s="132" t="s">
        <v>72</v>
      </c>
      <c r="H221" s="254">
        <v>20</v>
      </c>
      <c r="I221" s="255">
        <v>20</v>
      </c>
      <c r="J221" s="40" t="s">
        <v>30</v>
      </c>
      <c r="K221" s="40" t="s">
        <v>31</v>
      </c>
      <c r="L221" s="1"/>
      <c r="M221" s="157">
        <f t="shared" si="0"/>
        <v>4</v>
      </c>
    </row>
    <row r="222" spans="1:17" ht="15.75" customHeight="1">
      <c r="A222" s="42">
        <v>26</v>
      </c>
      <c r="B222" s="40" t="s">
        <v>967</v>
      </c>
      <c r="C222" s="40" t="s">
        <v>25</v>
      </c>
      <c r="D222" s="40" t="s">
        <v>968</v>
      </c>
      <c r="E222" s="40" t="s">
        <v>969</v>
      </c>
      <c r="F222" s="43" t="s">
        <v>970</v>
      </c>
      <c r="G222" s="40" t="s">
        <v>29</v>
      </c>
      <c r="H222" s="44">
        <v>1500</v>
      </c>
      <c r="I222" s="41">
        <v>300</v>
      </c>
      <c r="J222" s="40" t="s">
        <v>30</v>
      </c>
      <c r="K222" s="40" t="s">
        <v>31</v>
      </c>
      <c r="L222" s="1"/>
      <c r="M222" s="157">
        <f t="shared" si="0"/>
        <v>300</v>
      </c>
    </row>
    <row r="223" spans="1:17" ht="15.75" customHeight="1">
      <c r="A223" s="42">
        <v>26</v>
      </c>
      <c r="B223" s="132" t="s">
        <v>967</v>
      </c>
      <c r="C223" s="132" t="s">
        <v>25</v>
      </c>
      <c r="D223" s="132" t="s">
        <v>968</v>
      </c>
      <c r="E223" s="132" t="s">
        <v>969</v>
      </c>
      <c r="F223" s="262" t="s">
        <v>970</v>
      </c>
      <c r="G223" s="132" t="s">
        <v>72</v>
      </c>
      <c r="H223" s="254">
        <v>150</v>
      </c>
      <c r="I223" s="255">
        <v>150</v>
      </c>
      <c r="J223" s="40" t="s">
        <v>30</v>
      </c>
      <c r="K223" s="40" t="s">
        <v>31</v>
      </c>
      <c r="L223" s="1"/>
      <c r="M223" s="157">
        <f t="shared" si="0"/>
        <v>30</v>
      </c>
    </row>
    <row r="224" spans="1:17" ht="15.75" customHeight="1">
      <c r="A224" s="42">
        <v>26</v>
      </c>
      <c r="B224" s="40" t="s">
        <v>971</v>
      </c>
      <c r="C224" s="40" t="s">
        <v>59</v>
      </c>
      <c r="D224" s="40" t="s">
        <v>89</v>
      </c>
      <c r="E224" s="40" t="s">
        <v>38</v>
      </c>
      <c r="F224" s="43" t="s">
        <v>972</v>
      </c>
      <c r="G224" s="40" t="s">
        <v>29</v>
      </c>
      <c r="H224" s="44">
        <v>600</v>
      </c>
      <c r="I224" s="41">
        <v>120</v>
      </c>
      <c r="J224" s="40" t="s">
        <v>30</v>
      </c>
      <c r="K224" s="40" t="s">
        <v>31</v>
      </c>
      <c r="L224" s="1"/>
      <c r="M224" s="157">
        <f t="shared" si="0"/>
        <v>120</v>
      </c>
    </row>
    <row r="225" spans="1:13" ht="15.75" customHeight="1">
      <c r="A225" s="42">
        <v>26</v>
      </c>
      <c r="B225" s="40" t="s">
        <v>973</v>
      </c>
      <c r="C225" s="40" t="s">
        <v>25</v>
      </c>
      <c r="D225" s="40" t="s">
        <v>974</v>
      </c>
      <c r="E225" s="40" t="s">
        <v>870</v>
      </c>
      <c r="F225" s="43" t="s">
        <v>975</v>
      </c>
      <c r="G225" s="40" t="s">
        <v>29</v>
      </c>
      <c r="H225" s="44">
        <v>7000</v>
      </c>
      <c r="I225" s="41">
        <v>1400</v>
      </c>
      <c r="J225" s="40" t="s">
        <v>30</v>
      </c>
      <c r="K225" s="40" t="s">
        <v>31</v>
      </c>
      <c r="L225" s="1"/>
      <c r="M225" s="157">
        <f t="shared" si="0"/>
        <v>1400</v>
      </c>
    </row>
    <row r="226" spans="1:13" ht="15.75" customHeight="1">
      <c r="A226" s="42">
        <v>26</v>
      </c>
      <c r="B226" s="40" t="s">
        <v>976</v>
      </c>
      <c r="C226" s="40" t="s">
        <v>25</v>
      </c>
      <c r="D226" s="40" t="s">
        <v>204</v>
      </c>
      <c r="E226" s="40" t="s">
        <v>50</v>
      </c>
      <c r="F226" s="43" t="s">
        <v>977</v>
      </c>
      <c r="G226" s="40" t="s">
        <v>29</v>
      </c>
      <c r="H226" s="44">
        <v>10000</v>
      </c>
      <c r="I226" s="41">
        <v>2000</v>
      </c>
      <c r="J226" s="40" t="s">
        <v>30</v>
      </c>
      <c r="K226" s="40" t="s">
        <v>31</v>
      </c>
      <c r="L226" s="1"/>
      <c r="M226" s="157">
        <f t="shared" si="0"/>
        <v>2000</v>
      </c>
    </row>
    <row r="227" spans="1:13" ht="15.75" customHeight="1">
      <c r="A227" s="42">
        <v>26</v>
      </c>
      <c r="B227" s="40" t="s">
        <v>978</v>
      </c>
      <c r="C227" s="40" t="s">
        <v>25</v>
      </c>
      <c r="D227" s="40" t="s">
        <v>147</v>
      </c>
      <c r="E227" s="40" t="s">
        <v>38</v>
      </c>
      <c r="F227" s="43" t="s">
        <v>979</v>
      </c>
      <c r="G227" s="40" t="s">
        <v>29</v>
      </c>
      <c r="H227" s="44">
        <v>3000</v>
      </c>
      <c r="I227" s="41">
        <v>600</v>
      </c>
      <c r="J227" s="40" t="s">
        <v>30</v>
      </c>
      <c r="K227" s="40" t="s">
        <v>31</v>
      </c>
      <c r="L227" s="1"/>
      <c r="M227" s="157">
        <f t="shared" si="0"/>
        <v>600</v>
      </c>
    </row>
    <row r="228" spans="1:13" ht="15.75" customHeight="1">
      <c r="A228" s="42">
        <v>26</v>
      </c>
      <c r="B228" s="40" t="s">
        <v>980</v>
      </c>
      <c r="C228" s="40" t="s">
        <v>25</v>
      </c>
      <c r="D228" s="40" t="s">
        <v>103</v>
      </c>
      <c r="E228" s="40" t="s">
        <v>38</v>
      </c>
      <c r="F228" s="43" t="s">
        <v>981</v>
      </c>
      <c r="G228" s="40" t="s">
        <v>29</v>
      </c>
      <c r="H228" s="44">
        <v>200</v>
      </c>
      <c r="I228" s="41">
        <v>40</v>
      </c>
      <c r="J228" s="40" t="s">
        <v>30</v>
      </c>
      <c r="K228" s="40" t="s">
        <v>31</v>
      </c>
      <c r="L228" s="1"/>
      <c r="M228" s="157">
        <f t="shared" si="0"/>
        <v>40</v>
      </c>
    </row>
    <row r="229" spans="1:13" ht="15.75" customHeight="1">
      <c r="A229" s="42">
        <v>26</v>
      </c>
      <c r="B229" s="40" t="s">
        <v>982</v>
      </c>
      <c r="C229" s="40" t="s">
        <v>59</v>
      </c>
      <c r="D229" s="40" t="s">
        <v>195</v>
      </c>
      <c r="E229" s="40" t="s">
        <v>96</v>
      </c>
      <c r="F229" s="43" t="s">
        <v>983</v>
      </c>
      <c r="G229" s="40" t="s">
        <v>29</v>
      </c>
      <c r="H229" s="44">
        <v>1000</v>
      </c>
      <c r="I229" s="41">
        <v>200</v>
      </c>
      <c r="J229" s="40" t="s">
        <v>30</v>
      </c>
      <c r="K229" s="40" t="s">
        <v>31</v>
      </c>
      <c r="L229" s="1"/>
      <c r="M229" s="157">
        <f t="shared" si="0"/>
        <v>200</v>
      </c>
    </row>
    <row r="230" spans="1:13" ht="15.75" customHeight="1">
      <c r="A230" s="42">
        <v>26</v>
      </c>
      <c r="B230" s="40" t="s">
        <v>984</v>
      </c>
      <c r="C230" s="40" t="s">
        <v>25</v>
      </c>
      <c r="D230" s="40" t="s">
        <v>114</v>
      </c>
      <c r="E230" s="40" t="s">
        <v>78</v>
      </c>
      <c r="F230" s="43" t="s">
        <v>985</v>
      </c>
      <c r="G230" s="40" t="s">
        <v>29</v>
      </c>
      <c r="H230" s="44">
        <v>500</v>
      </c>
      <c r="I230" s="41">
        <v>100</v>
      </c>
      <c r="J230" s="40" t="s">
        <v>30</v>
      </c>
      <c r="K230" s="40" t="s">
        <v>31</v>
      </c>
      <c r="L230" s="1"/>
      <c r="M230" s="157">
        <f t="shared" si="0"/>
        <v>100</v>
      </c>
    </row>
    <row r="231" spans="1:13" ht="15.75" customHeight="1">
      <c r="A231" s="42">
        <v>26</v>
      </c>
      <c r="B231" s="40" t="s">
        <v>986</v>
      </c>
      <c r="C231" s="40" t="s">
        <v>59</v>
      </c>
      <c r="D231" s="40" t="s">
        <v>103</v>
      </c>
      <c r="E231" s="40" t="s">
        <v>38</v>
      </c>
      <c r="F231" s="43" t="s">
        <v>987</v>
      </c>
      <c r="G231" s="40" t="s">
        <v>29</v>
      </c>
      <c r="H231" s="44">
        <v>1000</v>
      </c>
      <c r="I231" s="41">
        <v>200</v>
      </c>
      <c r="J231" s="40" t="s">
        <v>30</v>
      </c>
      <c r="K231" s="40" t="s">
        <v>31</v>
      </c>
      <c r="L231" s="1"/>
      <c r="M231" s="157">
        <f t="shared" si="0"/>
        <v>200</v>
      </c>
    </row>
    <row r="232" spans="1:13" ht="15.75" customHeight="1">
      <c r="A232" s="42">
        <v>26</v>
      </c>
      <c r="B232" s="40" t="s">
        <v>986</v>
      </c>
      <c r="C232" s="40" t="s">
        <v>59</v>
      </c>
      <c r="D232" s="40" t="s">
        <v>103</v>
      </c>
      <c r="E232" s="40" t="s">
        <v>38</v>
      </c>
      <c r="F232" s="43" t="s">
        <v>987</v>
      </c>
      <c r="G232" s="289" t="s">
        <v>116</v>
      </c>
      <c r="H232" s="290">
        <v>1000</v>
      </c>
      <c r="I232" s="41">
        <v>1000</v>
      </c>
      <c r="J232" s="40" t="s">
        <v>30</v>
      </c>
      <c r="K232" s="40" t="s">
        <v>31</v>
      </c>
      <c r="L232" s="1"/>
      <c r="M232" s="157">
        <f t="shared" si="0"/>
        <v>200</v>
      </c>
    </row>
    <row r="233" spans="1:13" ht="15.75" customHeight="1">
      <c r="A233" s="42">
        <v>26</v>
      </c>
      <c r="B233" s="40" t="s">
        <v>988</v>
      </c>
      <c r="C233" s="40" t="s">
        <v>25</v>
      </c>
      <c r="D233" s="40" t="s">
        <v>688</v>
      </c>
      <c r="E233" s="40" t="s">
        <v>38</v>
      </c>
      <c r="F233" s="43" t="s">
        <v>638</v>
      </c>
      <c r="G233" s="40" t="s">
        <v>29</v>
      </c>
      <c r="H233" s="44">
        <v>200</v>
      </c>
      <c r="I233" s="41">
        <v>40</v>
      </c>
      <c r="J233" s="40" t="s">
        <v>30</v>
      </c>
      <c r="K233" s="40" t="s">
        <v>31</v>
      </c>
      <c r="L233" s="1"/>
      <c r="M233" s="157">
        <f t="shared" si="0"/>
        <v>40</v>
      </c>
    </row>
    <row r="234" spans="1:13" ht="15.75" customHeight="1">
      <c r="A234" s="42">
        <v>26</v>
      </c>
      <c r="B234" s="40" t="s">
        <v>989</v>
      </c>
      <c r="C234" s="40" t="s">
        <v>25</v>
      </c>
      <c r="D234" s="40" t="s">
        <v>245</v>
      </c>
      <c r="E234" s="40" t="s">
        <v>150</v>
      </c>
      <c r="F234" s="43" t="s">
        <v>575</v>
      </c>
      <c r="G234" s="40" t="s">
        <v>29</v>
      </c>
      <c r="H234" s="44">
        <v>200</v>
      </c>
      <c r="I234" s="41">
        <v>40</v>
      </c>
      <c r="J234" s="40" t="s">
        <v>30</v>
      </c>
      <c r="K234" s="40" t="s">
        <v>31</v>
      </c>
      <c r="L234" s="1"/>
      <c r="M234" s="157">
        <f t="shared" si="0"/>
        <v>40</v>
      </c>
    </row>
    <row r="235" spans="1:13" ht="15.75" customHeight="1">
      <c r="A235" s="42">
        <v>26</v>
      </c>
      <c r="B235" s="40" t="s">
        <v>990</v>
      </c>
      <c r="C235" s="40" t="s">
        <v>25</v>
      </c>
      <c r="D235" s="40" t="s">
        <v>820</v>
      </c>
      <c r="E235" s="40" t="s">
        <v>46</v>
      </c>
      <c r="F235" s="43" t="s">
        <v>991</v>
      </c>
      <c r="G235" s="40" t="s">
        <v>29</v>
      </c>
      <c r="H235" s="44">
        <v>200</v>
      </c>
      <c r="I235" s="41">
        <v>40</v>
      </c>
      <c r="J235" s="40" t="s">
        <v>30</v>
      </c>
      <c r="K235" s="40" t="s">
        <v>31</v>
      </c>
      <c r="L235" s="1"/>
      <c r="M235" s="157">
        <f t="shared" si="0"/>
        <v>40</v>
      </c>
    </row>
    <row r="236" spans="1:13" ht="15.75" customHeight="1">
      <c r="A236" s="42">
        <v>26</v>
      </c>
      <c r="B236" s="40" t="s">
        <v>992</v>
      </c>
      <c r="C236" s="40" t="s">
        <v>25</v>
      </c>
      <c r="D236" s="40" t="s">
        <v>993</v>
      </c>
      <c r="E236" s="40" t="s">
        <v>994</v>
      </c>
      <c r="F236" s="43" t="s">
        <v>995</v>
      </c>
      <c r="G236" s="40" t="s">
        <v>29</v>
      </c>
      <c r="H236" s="44">
        <v>200</v>
      </c>
      <c r="I236" s="41">
        <v>40</v>
      </c>
      <c r="J236" s="40" t="s">
        <v>30</v>
      </c>
      <c r="K236" s="40" t="s">
        <v>31</v>
      </c>
      <c r="L236" s="1"/>
      <c r="M236" s="157">
        <f t="shared" si="0"/>
        <v>40</v>
      </c>
    </row>
    <row r="237" spans="1:13" ht="15.75" customHeight="1">
      <c r="A237" s="42">
        <v>26</v>
      </c>
      <c r="B237" s="40" t="s">
        <v>996</v>
      </c>
      <c r="C237" s="40" t="s">
        <v>25</v>
      </c>
      <c r="D237" s="40" t="s">
        <v>997</v>
      </c>
      <c r="E237" s="40" t="s">
        <v>50</v>
      </c>
      <c r="F237" s="43" t="s">
        <v>638</v>
      </c>
      <c r="G237" s="40" t="s">
        <v>29</v>
      </c>
      <c r="H237" s="44">
        <v>200</v>
      </c>
      <c r="I237" s="41">
        <v>40</v>
      </c>
      <c r="J237" s="40" t="s">
        <v>30</v>
      </c>
      <c r="K237" s="40" t="s">
        <v>31</v>
      </c>
      <c r="L237" s="1"/>
      <c r="M237" s="157">
        <f t="shared" si="0"/>
        <v>40</v>
      </c>
    </row>
    <row r="238" spans="1:13" ht="15.75" customHeight="1">
      <c r="A238" s="42">
        <v>26</v>
      </c>
      <c r="B238" s="40" t="s">
        <v>998</v>
      </c>
      <c r="C238" s="40" t="s">
        <v>25</v>
      </c>
      <c r="D238" s="40" t="s">
        <v>548</v>
      </c>
      <c r="E238" s="40" t="s">
        <v>42</v>
      </c>
      <c r="F238" s="43" t="s">
        <v>638</v>
      </c>
      <c r="G238" s="40" t="s">
        <v>29</v>
      </c>
      <c r="H238" s="44">
        <v>500</v>
      </c>
      <c r="I238" s="41">
        <v>100</v>
      </c>
      <c r="J238" s="40" t="s">
        <v>30</v>
      </c>
      <c r="K238" s="40" t="s">
        <v>31</v>
      </c>
      <c r="L238" s="1"/>
      <c r="M238" s="157">
        <f t="shared" si="0"/>
        <v>100</v>
      </c>
    </row>
    <row r="239" spans="1:13" ht="15.75" customHeight="1">
      <c r="A239" s="42">
        <v>26</v>
      </c>
      <c r="B239" s="40" t="s">
        <v>999</v>
      </c>
      <c r="C239" s="40" t="s">
        <v>25</v>
      </c>
      <c r="D239" s="40" t="s">
        <v>332</v>
      </c>
      <c r="E239" s="40" t="s">
        <v>46</v>
      </c>
      <c r="F239" s="43" t="s">
        <v>1000</v>
      </c>
      <c r="G239" s="40" t="s">
        <v>29</v>
      </c>
      <c r="H239" s="44">
        <v>600</v>
      </c>
      <c r="I239" s="41">
        <v>120</v>
      </c>
      <c r="J239" s="40" t="s">
        <v>30</v>
      </c>
      <c r="K239" s="40" t="s">
        <v>31</v>
      </c>
      <c r="L239" s="1"/>
      <c r="M239" s="157">
        <f t="shared" si="0"/>
        <v>120</v>
      </c>
    </row>
    <row r="240" spans="1:13" ht="15.75" customHeight="1">
      <c r="A240" s="47">
        <v>26</v>
      </c>
      <c r="B240" s="48" t="s">
        <v>1001</v>
      </c>
      <c r="C240" s="48" t="s">
        <v>59</v>
      </c>
      <c r="D240" s="48" t="s">
        <v>1002</v>
      </c>
      <c r="E240" s="48" t="s">
        <v>258</v>
      </c>
      <c r="F240" s="49" t="s">
        <v>1003</v>
      </c>
      <c r="G240" s="48" t="s">
        <v>29</v>
      </c>
      <c r="H240" s="50">
        <v>2500</v>
      </c>
      <c r="I240" s="51" t="s">
        <v>101</v>
      </c>
      <c r="J240" s="48" t="s">
        <v>30</v>
      </c>
      <c r="K240" s="48" t="s">
        <v>31</v>
      </c>
      <c r="L240" s="1"/>
      <c r="M240" s="157">
        <f t="shared" si="0"/>
        <v>500</v>
      </c>
    </row>
    <row r="241" spans="1:16" ht="15.75" customHeight="1">
      <c r="A241" s="52">
        <v>27</v>
      </c>
      <c r="B241" s="53" t="s">
        <v>984</v>
      </c>
      <c r="C241" s="53" t="s">
        <v>25</v>
      </c>
      <c r="D241" s="53" t="s">
        <v>114</v>
      </c>
      <c r="E241" s="53" t="s">
        <v>78</v>
      </c>
      <c r="F241" s="60" t="s">
        <v>985</v>
      </c>
      <c r="G241" s="53" t="s">
        <v>29</v>
      </c>
      <c r="H241" s="54">
        <v>700</v>
      </c>
      <c r="I241" s="55">
        <v>140</v>
      </c>
      <c r="J241" s="53" t="s">
        <v>30</v>
      </c>
      <c r="K241" s="53" t="s">
        <v>31</v>
      </c>
      <c r="L241" s="1"/>
      <c r="M241" s="157">
        <f t="shared" si="0"/>
        <v>140</v>
      </c>
    </row>
    <row r="242" spans="1:16" ht="15.75" customHeight="1">
      <c r="A242" s="42">
        <v>27</v>
      </c>
      <c r="B242" s="40" t="s">
        <v>1004</v>
      </c>
      <c r="C242" s="40" t="s">
        <v>25</v>
      </c>
      <c r="D242" s="40" t="s">
        <v>947</v>
      </c>
      <c r="E242" s="40" t="s">
        <v>96</v>
      </c>
      <c r="F242" s="43" t="s">
        <v>1005</v>
      </c>
      <c r="G242" s="40" t="s">
        <v>29</v>
      </c>
      <c r="H242" s="44">
        <v>1000</v>
      </c>
      <c r="I242" s="41">
        <v>200</v>
      </c>
      <c r="J242" s="40" t="s">
        <v>30</v>
      </c>
      <c r="K242" s="40" t="s">
        <v>31</v>
      </c>
      <c r="L242" s="1"/>
      <c r="M242" s="157">
        <f t="shared" si="0"/>
        <v>200</v>
      </c>
    </row>
    <row r="243" spans="1:16" ht="15.75" customHeight="1">
      <c r="A243" s="42">
        <v>27</v>
      </c>
      <c r="B243" s="40" t="s">
        <v>1006</v>
      </c>
      <c r="C243" s="40" t="s">
        <v>25</v>
      </c>
      <c r="D243" s="40" t="s">
        <v>1007</v>
      </c>
      <c r="E243" s="40" t="s">
        <v>258</v>
      </c>
      <c r="F243" s="43" t="s">
        <v>1008</v>
      </c>
      <c r="G243" s="40" t="s">
        <v>29</v>
      </c>
      <c r="H243" s="44">
        <v>1000</v>
      </c>
      <c r="I243" s="41">
        <v>200</v>
      </c>
      <c r="J243" s="40" t="s">
        <v>30</v>
      </c>
      <c r="K243" s="40" t="s">
        <v>31</v>
      </c>
      <c r="L243" s="1"/>
      <c r="M243" s="157">
        <f t="shared" si="0"/>
        <v>200</v>
      </c>
    </row>
    <row r="244" spans="1:16" ht="15.75" customHeight="1">
      <c r="A244" s="42">
        <v>27</v>
      </c>
      <c r="B244" s="40" t="s">
        <v>1009</v>
      </c>
      <c r="C244" s="40" t="s">
        <v>25</v>
      </c>
      <c r="D244" s="40" t="s">
        <v>1010</v>
      </c>
      <c r="E244" s="40" t="s">
        <v>78</v>
      </c>
      <c r="F244" s="43" t="s">
        <v>1011</v>
      </c>
      <c r="G244" s="40" t="s">
        <v>29</v>
      </c>
      <c r="H244" s="44">
        <v>1000</v>
      </c>
      <c r="I244" s="41">
        <v>200</v>
      </c>
      <c r="J244" s="40" t="s">
        <v>30</v>
      </c>
      <c r="K244" s="40" t="s">
        <v>31</v>
      </c>
      <c r="L244" s="1"/>
      <c r="M244" s="157">
        <f t="shared" si="0"/>
        <v>200</v>
      </c>
    </row>
    <row r="245" spans="1:16" ht="15.75" customHeight="1">
      <c r="A245" s="42">
        <v>27</v>
      </c>
      <c r="B245" s="40" t="s">
        <v>1012</v>
      </c>
      <c r="C245" s="40" t="s">
        <v>25</v>
      </c>
      <c r="D245" s="40" t="s">
        <v>1013</v>
      </c>
      <c r="E245" s="40" t="s">
        <v>56</v>
      </c>
      <c r="F245" s="43" t="s">
        <v>1014</v>
      </c>
      <c r="G245" s="40" t="s">
        <v>29</v>
      </c>
      <c r="H245" s="44">
        <v>500</v>
      </c>
      <c r="I245" s="41">
        <v>100</v>
      </c>
      <c r="J245" s="40" t="s">
        <v>30</v>
      </c>
      <c r="K245" s="40" t="s">
        <v>31</v>
      </c>
      <c r="L245" s="1"/>
      <c r="M245" s="157">
        <f t="shared" si="0"/>
        <v>100</v>
      </c>
      <c r="P245" s="61">
        <f>SUM(I241:I246)</f>
        <v>1840</v>
      </c>
    </row>
    <row r="246" spans="1:16" ht="15.75" customHeight="1">
      <c r="A246" s="42">
        <v>27</v>
      </c>
      <c r="B246" s="40" t="s">
        <v>1015</v>
      </c>
      <c r="C246" s="40" t="s">
        <v>25</v>
      </c>
      <c r="D246" s="40" t="s">
        <v>1016</v>
      </c>
      <c r="E246" s="40" t="s">
        <v>333</v>
      </c>
      <c r="F246" s="43" t="s">
        <v>1017</v>
      </c>
      <c r="G246" s="40" t="s">
        <v>29</v>
      </c>
      <c r="H246" s="44">
        <v>5000</v>
      </c>
      <c r="I246" s="41">
        <v>1000</v>
      </c>
      <c r="J246" s="40" t="s">
        <v>30</v>
      </c>
      <c r="K246" s="40" t="s">
        <v>31</v>
      </c>
      <c r="L246" s="1"/>
      <c r="M246" s="157">
        <f t="shared" si="0"/>
        <v>1000</v>
      </c>
    </row>
    <row r="247" spans="1:16" ht="15.75" customHeight="1">
      <c r="A247" s="42">
        <v>27</v>
      </c>
      <c r="B247" s="132" t="s">
        <v>1018</v>
      </c>
      <c r="C247" s="132" t="s">
        <v>25</v>
      </c>
      <c r="D247" s="132" t="s">
        <v>700</v>
      </c>
      <c r="E247" s="132" t="s">
        <v>46</v>
      </c>
      <c r="F247" s="262" t="s">
        <v>1019</v>
      </c>
      <c r="G247" s="132" t="s">
        <v>72</v>
      </c>
      <c r="H247" s="254">
        <v>200</v>
      </c>
      <c r="I247" s="255">
        <v>200</v>
      </c>
      <c r="J247" s="40" t="s">
        <v>30</v>
      </c>
      <c r="K247" s="40" t="s">
        <v>31</v>
      </c>
      <c r="L247" s="1"/>
      <c r="M247" s="157">
        <f t="shared" si="0"/>
        <v>40</v>
      </c>
    </row>
    <row r="248" spans="1:16" ht="15.75" customHeight="1">
      <c r="A248" s="42"/>
      <c r="B248" s="40"/>
      <c r="C248" s="40"/>
      <c r="D248" s="40"/>
      <c r="E248" s="40"/>
      <c r="F248" s="40"/>
      <c r="G248" s="40"/>
      <c r="H248" s="44"/>
      <c r="I248" s="41"/>
      <c r="J248" s="40"/>
      <c r="K248" s="40"/>
      <c r="L248" s="1"/>
      <c r="M248" s="157">
        <f t="shared" si="0"/>
        <v>0</v>
      </c>
    </row>
    <row r="249" spans="1:16" ht="15.75" customHeight="1">
      <c r="A249" s="2"/>
      <c r="B249" s="1"/>
      <c r="C249" s="1"/>
      <c r="D249" s="1"/>
      <c r="E249" s="1"/>
      <c r="F249" s="1"/>
      <c r="G249" s="1"/>
      <c r="H249" s="45"/>
      <c r="I249" s="61"/>
      <c r="J249" s="1"/>
      <c r="K249" s="1"/>
      <c r="L249" s="1"/>
    </row>
    <row r="250" spans="1:16" ht="15.75" customHeight="1">
      <c r="A250" s="2"/>
      <c r="B250" s="1"/>
      <c r="C250" s="1"/>
      <c r="D250" s="1"/>
      <c r="E250" s="1"/>
      <c r="F250" s="1"/>
      <c r="G250" s="1"/>
      <c r="H250" s="1"/>
      <c r="I250" s="62" t="s">
        <v>335</v>
      </c>
      <c r="J250" s="63"/>
      <c r="K250" s="1"/>
      <c r="L250" s="1"/>
      <c r="M250" s="65">
        <f>SUM(M12:M249)</f>
        <v>83632</v>
      </c>
    </row>
    <row r="251" spans="1:16" ht="16.5" customHeight="1">
      <c r="A251" s="2"/>
      <c r="B251" s="1" t="s">
        <v>336</v>
      </c>
      <c r="C251" s="1"/>
      <c r="D251" s="1"/>
      <c r="E251" s="1" t="s">
        <v>337</v>
      </c>
      <c r="F251" s="1"/>
      <c r="G251" s="1"/>
      <c r="H251" s="1"/>
      <c r="I251" s="6" t="s">
        <v>338</v>
      </c>
      <c r="J251" s="291" t="s">
        <v>1020</v>
      </c>
      <c r="K251" s="1"/>
      <c r="L251" s="1"/>
      <c r="P251" s="45"/>
    </row>
    <row r="252" spans="1:16" ht="15.75" customHeight="1">
      <c r="A252" s="2"/>
      <c r="B252" s="1"/>
      <c r="C252" s="1"/>
      <c r="D252" s="1"/>
      <c r="E252" s="1"/>
      <c r="F252" s="1"/>
      <c r="G252" s="1"/>
      <c r="H252" s="1"/>
      <c r="I252" s="6" t="s">
        <v>340</v>
      </c>
      <c r="J252" s="291" t="s">
        <v>1021</v>
      </c>
      <c r="K252" s="65"/>
      <c r="L252" s="1"/>
    </row>
    <row r="253" spans="1:16" ht="15.75" customHeight="1">
      <c r="A253" s="2"/>
      <c r="B253" s="1"/>
      <c r="C253" s="1"/>
      <c r="D253" s="1"/>
      <c r="E253" s="1"/>
      <c r="F253" s="1"/>
      <c r="G253" s="1"/>
      <c r="H253" s="1"/>
      <c r="I253" s="6" t="s">
        <v>342</v>
      </c>
      <c r="J253" s="292">
        <v>0</v>
      </c>
      <c r="K253" s="1"/>
      <c r="L253" s="1"/>
    </row>
    <row r="254" spans="1:16" ht="15.75" customHeight="1">
      <c r="A254" s="2"/>
      <c r="B254" s="67" t="s">
        <v>343</v>
      </c>
      <c r="C254" s="1"/>
      <c r="D254" s="1"/>
      <c r="E254" s="554" t="s">
        <v>344</v>
      </c>
      <c r="F254" s="553"/>
      <c r="G254" s="553"/>
      <c r="H254" s="553"/>
      <c r="I254" s="6" t="s">
        <v>345</v>
      </c>
      <c r="J254" s="292">
        <v>230</v>
      </c>
      <c r="K254" s="1"/>
      <c r="L254" s="1"/>
    </row>
    <row r="255" spans="1:16" ht="15.75" customHeight="1">
      <c r="A255" s="2"/>
      <c r="B255" s="1" t="s">
        <v>347</v>
      </c>
      <c r="C255" s="1"/>
      <c r="D255" s="1"/>
      <c r="E255" s="552" t="s">
        <v>348</v>
      </c>
      <c r="F255" s="553"/>
      <c r="G255" s="553"/>
      <c r="H255" s="553"/>
      <c r="I255" s="6" t="s">
        <v>349</v>
      </c>
      <c r="J255" s="292" t="s">
        <v>1022</v>
      </c>
      <c r="K255" s="1"/>
      <c r="L255" s="1"/>
    </row>
    <row r="256" spans="1:16" ht="15.75" customHeight="1">
      <c r="A256" s="2"/>
      <c r="B256" s="1"/>
      <c r="C256" s="1"/>
      <c r="D256" s="1"/>
      <c r="E256" s="1"/>
      <c r="F256" s="1"/>
      <c r="G256" s="1"/>
      <c r="H256" s="1"/>
      <c r="I256" s="6" t="s">
        <v>351</v>
      </c>
      <c r="J256" s="292" t="s">
        <v>1023</v>
      </c>
      <c r="K256" s="1"/>
      <c r="L256" s="1"/>
    </row>
    <row r="257" spans="1:26" ht="15.75" customHeight="1">
      <c r="A257" s="2"/>
      <c r="B257" s="1"/>
      <c r="C257" s="1"/>
      <c r="D257" s="1"/>
      <c r="E257" s="1"/>
      <c r="F257" s="1"/>
      <c r="G257" s="1"/>
      <c r="H257" s="1"/>
      <c r="I257" s="6" t="s">
        <v>353</v>
      </c>
      <c r="J257" s="293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2"/>
      <c r="B258" s="1"/>
      <c r="C258" s="1"/>
      <c r="D258" s="1"/>
      <c r="E258" s="1"/>
      <c r="F258" s="1"/>
      <c r="G258" s="1"/>
      <c r="H258" s="1"/>
      <c r="I258" s="68" t="s">
        <v>354</v>
      </c>
      <c r="J258" s="291" t="s">
        <v>1024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2"/>
      <c r="B259" s="1"/>
      <c r="C259" s="1"/>
      <c r="D259" s="1"/>
      <c r="E259" s="1"/>
      <c r="F259" s="1"/>
      <c r="G259" s="1"/>
      <c r="H259" s="1"/>
      <c r="I259" s="68" t="s">
        <v>356</v>
      </c>
      <c r="J259" s="69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2"/>
      <c r="B260" s="70"/>
      <c r="C260" s="1"/>
      <c r="D260" s="1"/>
      <c r="E260" s="70"/>
      <c r="F260" s="70"/>
      <c r="G260" s="70"/>
      <c r="H260" s="1"/>
      <c r="I260" s="6"/>
      <c r="J260" s="63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2"/>
      <c r="B261" s="1"/>
      <c r="C261" s="1"/>
      <c r="D261" s="1"/>
      <c r="E261" s="1"/>
      <c r="F261" s="1"/>
      <c r="G261" s="1"/>
      <c r="H261" s="1"/>
      <c r="I261" s="61"/>
      <c r="J261" s="1"/>
      <c r="K261" s="1"/>
      <c r="L261" s="1"/>
    </row>
    <row r="262" spans="1:26" ht="15.75" customHeight="1">
      <c r="A262" s="2"/>
      <c r="B262" s="1"/>
      <c r="C262" s="1"/>
      <c r="D262" s="1"/>
      <c r="E262" s="1"/>
      <c r="F262" s="1"/>
      <c r="G262" s="1"/>
      <c r="H262" s="1"/>
      <c r="I262" s="61"/>
      <c r="J262" s="1"/>
      <c r="K262" s="1"/>
      <c r="L262" s="1"/>
    </row>
    <row r="263" spans="1:26" ht="15.75" customHeight="1">
      <c r="A263" s="2"/>
      <c r="B263" s="1"/>
      <c r="C263" s="1"/>
      <c r="D263" s="1"/>
      <c r="E263" s="1"/>
      <c r="F263" s="1"/>
      <c r="G263" s="1"/>
      <c r="H263" s="1"/>
      <c r="I263" s="61"/>
      <c r="J263" s="1"/>
      <c r="K263" s="1"/>
      <c r="L263" s="1"/>
    </row>
    <row r="264" spans="1:26" ht="15.75" customHeight="1">
      <c r="A264" s="2"/>
      <c r="B264" s="1"/>
      <c r="C264" s="1"/>
      <c r="D264" s="1"/>
      <c r="E264" s="1"/>
      <c r="F264" s="1"/>
      <c r="G264" s="1"/>
      <c r="H264" s="1"/>
      <c r="I264" s="61"/>
      <c r="J264" s="1"/>
      <c r="K264" s="1"/>
      <c r="L264" s="1"/>
    </row>
    <row r="265" spans="1:26" ht="15.75" customHeight="1">
      <c r="A265" s="2"/>
      <c r="B265" s="1"/>
      <c r="C265" s="1"/>
      <c r="D265" s="1"/>
      <c r="E265" s="1"/>
      <c r="F265" s="1"/>
      <c r="G265" s="1"/>
      <c r="H265" s="1"/>
      <c r="I265" s="61"/>
      <c r="J265" s="1"/>
      <c r="K265" s="1"/>
      <c r="L265" s="1"/>
    </row>
    <row r="266" spans="1:26" ht="15.75" customHeight="1">
      <c r="A266" s="2"/>
      <c r="B266" s="1"/>
      <c r="C266" s="1"/>
      <c r="D266" s="1"/>
      <c r="E266" s="1"/>
      <c r="F266" s="1"/>
      <c r="G266" s="1"/>
      <c r="H266" s="1"/>
      <c r="I266" s="61"/>
      <c r="J266" s="1"/>
      <c r="K266" s="1"/>
      <c r="L266" s="1"/>
    </row>
    <row r="267" spans="1:26" ht="15.75" customHeight="1">
      <c r="A267" s="2"/>
      <c r="B267" s="1"/>
      <c r="C267" s="1"/>
      <c r="D267" s="1"/>
      <c r="E267" s="1"/>
      <c r="F267" s="1"/>
      <c r="G267" s="1"/>
      <c r="H267" s="1"/>
      <c r="I267" s="61"/>
      <c r="J267" s="1"/>
      <c r="K267" s="1"/>
      <c r="L267" s="1"/>
    </row>
    <row r="268" spans="1:26" ht="15.75" customHeight="1">
      <c r="A268" s="2"/>
      <c r="B268" s="1"/>
      <c r="C268" s="1"/>
      <c r="D268" s="1"/>
      <c r="E268" s="1"/>
      <c r="F268" s="1"/>
      <c r="G268" s="1"/>
      <c r="H268" s="1"/>
      <c r="I268" s="61"/>
      <c r="J268" s="1"/>
      <c r="K268" s="1"/>
      <c r="L268" s="1"/>
    </row>
    <row r="269" spans="1:26" ht="15.75" customHeight="1">
      <c r="A269" s="2"/>
      <c r="B269" s="1"/>
      <c r="C269" s="1"/>
      <c r="D269" s="1"/>
      <c r="E269" s="1"/>
      <c r="F269" s="1"/>
      <c r="G269" s="1"/>
      <c r="H269" s="1"/>
      <c r="I269" s="61"/>
      <c r="J269" s="1"/>
      <c r="K269" s="1"/>
      <c r="L269" s="1"/>
    </row>
    <row r="270" spans="1:26" ht="15.75" customHeight="1">
      <c r="A270" s="2"/>
      <c r="B270" s="1"/>
      <c r="C270" s="1"/>
      <c r="D270" s="1"/>
      <c r="E270" s="1"/>
      <c r="F270" s="1"/>
      <c r="G270" s="1"/>
      <c r="H270" s="1"/>
      <c r="I270" s="61"/>
      <c r="J270" s="1"/>
      <c r="K270" s="1"/>
      <c r="L270" s="1"/>
    </row>
    <row r="271" spans="1:26" ht="15.75" customHeight="1">
      <c r="A271" s="2"/>
      <c r="B271" s="1"/>
      <c r="C271" s="1"/>
      <c r="D271" s="1"/>
      <c r="E271" s="1"/>
      <c r="F271" s="1"/>
      <c r="G271" s="1"/>
      <c r="H271" s="1"/>
      <c r="I271" s="61"/>
      <c r="J271" s="1"/>
      <c r="K271" s="1"/>
      <c r="L271" s="1"/>
    </row>
    <row r="272" spans="1:26" ht="15.75" customHeight="1">
      <c r="A272" s="2"/>
      <c r="B272" s="1"/>
      <c r="C272" s="1"/>
      <c r="D272" s="1"/>
      <c r="E272" s="1"/>
      <c r="F272" s="1"/>
      <c r="G272" s="1"/>
      <c r="H272" s="1"/>
      <c r="I272" s="61"/>
      <c r="J272" s="1"/>
      <c r="K272" s="1"/>
      <c r="L272" s="1"/>
    </row>
    <row r="273" spans="1:12" ht="15.75" customHeight="1">
      <c r="A273" s="2"/>
      <c r="B273" s="1"/>
      <c r="C273" s="1"/>
      <c r="D273" s="1"/>
      <c r="E273" s="1"/>
      <c r="F273" s="1"/>
      <c r="G273" s="1"/>
      <c r="H273" s="1"/>
      <c r="I273" s="61"/>
      <c r="J273" s="1"/>
      <c r="K273" s="1"/>
      <c r="L273" s="1"/>
    </row>
    <row r="274" spans="1:12" ht="15.75" customHeight="1">
      <c r="A274" s="2"/>
      <c r="B274" s="1"/>
      <c r="C274" s="1"/>
      <c r="D274" s="1"/>
      <c r="E274" s="1"/>
      <c r="F274" s="1"/>
      <c r="G274" s="1"/>
      <c r="H274" s="1"/>
      <c r="I274" s="61"/>
      <c r="J274" s="1"/>
      <c r="K274" s="1"/>
      <c r="L274" s="1"/>
    </row>
    <row r="275" spans="1:12" ht="15.75" customHeight="1">
      <c r="A275" s="2"/>
      <c r="B275" s="1"/>
      <c r="C275" s="1"/>
      <c r="D275" s="1"/>
      <c r="E275" s="1"/>
      <c r="F275" s="1"/>
      <c r="G275" s="1"/>
      <c r="H275" s="1"/>
      <c r="I275" s="61"/>
      <c r="J275" s="1"/>
      <c r="K275" s="1"/>
      <c r="L275" s="1"/>
    </row>
    <row r="276" spans="1:12" ht="15.75" customHeight="1">
      <c r="A276" s="2"/>
      <c r="B276" s="1"/>
      <c r="C276" s="1"/>
      <c r="D276" s="1"/>
      <c r="E276" s="1"/>
      <c r="F276" s="1"/>
      <c r="G276" s="1"/>
      <c r="H276" s="1"/>
      <c r="I276" s="61"/>
      <c r="J276" s="1"/>
      <c r="K276" s="1"/>
      <c r="L276" s="1"/>
    </row>
    <row r="277" spans="1:12" ht="15.75" customHeight="1">
      <c r="A277" s="2"/>
      <c r="B277" s="1"/>
      <c r="C277" s="1"/>
      <c r="D277" s="1"/>
      <c r="E277" s="1"/>
      <c r="F277" s="1"/>
      <c r="G277" s="1"/>
      <c r="H277" s="1"/>
      <c r="I277" s="61"/>
      <c r="J277" s="1"/>
      <c r="K277" s="1"/>
      <c r="L277" s="1"/>
    </row>
    <row r="278" spans="1:12" ht="15.75" customHeight="1">
      <c r="A278" s="2"/>
      <c r="B278" s="1"/>
      <c r="C278" s="1"/>
      <c r="D278" s="1"/>
      <c r="E278" s="1"/>
      <c r="F278" s="1"/>
      <c r="G278" s="1"/>
      <c r="H278" s="1"/>
      <c r="I278" s="61"/>
      <c r="J278" s="1"/>
      <c r="K278" s="1"/>
      <c r="L278" s="1"/>
    </row>
    <row r="279" spans="1:12" ht="15.75" customHeight="1">
      <c r="A279" s="2"/>
      <c r="B279" s="1"/>
      <c r="C279" s="1"/>
      <c r="D279" s="1"/>
      <c r="E279" s="1"/>
      <c r="F279" s="1"/>
      <c r="G279" s="1"/>
      <c r="H279" s="1"/>
      <c r="I279" s="61"/>
      <c r="J279" s="1"/>
      <c r="K279" s="1"/>
      <c r="L279" s="1"/>
    </row>
    <row r="280" spans="1:12" ht="15.75" customHeight="1">
      <c r="A280" s="2"/>
      <c r="B280" s="1"/>
      <c r="C280" s="1"/>
      <c r="D280" s="1"/>
      <c r="E280" s="1"/>
      <c r="F280" s="1"/>
      <c r="G280" s="1"/>
      <c r="H280" s="1"/>
      <c r="I280" s="61"/>
      <c r="J280" s="1"/>
      <c r="K280" s="1"/>
      <c r="L280" s="1"/>
    </row>
    <row r="281" spans="1:12" ht="15.75" customHeight="1">
      <c r="A281" s="2"/>
      <c r="B281" s="1"/>
      <c r="C281" s="1"/>
      <c r="D281" s="1"/>
      <c r="E281" s="1"/>
      <c r="F281" s="1"/>
      <c r="G281" s="1"/>
      <c r="H281" s="1"/>
      <c r="I281" s="61"/>
      <c r="J281" s="1"/>
      <c r="K281" s="1"/>
      <c r="L281" s="1"/>
    </row>
    <row r="282" spans="1:12" ht="15.75" customHeight="1">
      <c r="A282" s="2"/>
      <c r="B282" s="1"/>
      <c r="C282" s="1"/>
      <c r="D282" s="1"/>
      <c r="E282" s="1"/>
      <c r="F282" s="1"/>
      <c r="G282" s="1"/>
      <c r="H282" s="1"/>
      <c r="I282" s="61"/>
      <c r="J282" s="1"/>
      <c r="K282" s="1"/>
      <c r="L282" s="1"/>
    </row>
    <row r="283" spans="1:12" ht="15.75" customHeight="1">
      <c r="A283" s="2"/>
      <c r="B283" s="1"/>
      <c r="C283" s="1"/>
      <c r="D283" s="1"/>
      <c r="E283" s="1"/>
      <c r="F283" s="1"/>
      <c r="G283" s="1"/>
      <c r="H283" s="1"/>
      <c r="I283" s="61"/>
      <c r="J283" s="1"/>
      <c r="K283" s="1"/>
      <c r="L283" s="1"/>
    </row>
    <row r="284" spans="1:12" ht="15.75" customHeight="1">
      <c r="A284" s="2"/>
      <c r="B284" s="1"/>
      <c r="C284" s="1"/>
      <c r="D284" s="1"/>
      <c r="E284" s="1"/>
      <c r="F284" s="1"/>
      <c r="G284" s="1"/>
      <c r="H284" s="1"/>
      <c r="I284" s="61"/>
      <c r="J284" s="1"/>
      <c r="K284" s="1"/>
      <c r="L284" s="1"/>
    </row>
    <row r="285" spans="1:12" ht="15.75" customHeight="1">
      <c r="A285" s="2"/>
      <c r="B285" s="1"/>
      <c r="C285" s="1"/>
      <c r="D285" s="1"/>
      <c r="E285" s="1"/>
      <c r="F285" s="1"/>
      <c r="G285" s="1"/>
      <c r="H285" s="1"/>
      <c r="I285" s="61"/>
      <c r="J285" s="1"/>
      <c r="K285" s="1"/>
      <c r="L285" s="1"/>
    </row>
    <row r="286" spans="1:12" ht="15.75" customHeight="1">
      <c r="A286" s="2"/>
      <c r="B286" s="1"/>
      <c r="C286" s="1"/>
      <c r="D286" s="1"/>
      <c r="E286" s="1"/>
      <c r="F286" s="1"/>
      <c r="G286" s="1"/>
      <c r="H286" s="1"/>
      <c r="I286" s="61"/>
      <c r="J286" s="1"/>
      <c r="K286" s="1"/>
      <c r="L286" s="1"/>
    </row>
    <row r="287" spans="1:12" ht="15.75" customHeight="1">
      <c r="A287" s="2"/>
      <c r="B287" s="1"/>
      <c r="C287" s="1"/>
      <c r="D287" s="1"/>
      <c r="E287" s="1"/>
      <c r="F287" s="1"/>
      <c r="G287" s="1"/>
      <c r="H287" s="1"/>
      <c r="I287" s="61"/>
      <c r="J287" s="1"/>
      <c r="K287" s="1"/>
      <c r="L287" s="1"/>
    </row>
    <row r="288" spans="1:12" ht="15.75" customHeight="1">
      <c r="A288" s="2"/>
      <c r="B288" s="1"/>
      <c r="C288" s="1"/>
      <c r="D288" s="1"/>
      <c r="E288" s="1"/>
      <c r="F288" s="1"/>
      <c r="G288" s="1"/>
      <c r="H288" s="1"/>
      <c r="I288" s="61"/>
      <c r="J288" s="1"/>
      <c r="K288" s="1"/>
      <c r="L288" s="1"/>
    </row>
    <row r="289" spans="1:12" ht="15.75" customHeight="1">
      <c r="A289" s="2"/>
      <c r="B289" s="1"/>
      <c r="C289" s="1"/>
      <c r="D289" s="1"/>
      <c r="E289" s="1"/>
      <c r="F289" s="1"/>
      <c r="G289" s="1"/>
      <c r="H289" s="1"/>
      <c r="I289" s="61"/>
      <c r="J289" s="1"/>
      <c r="K289" s="1"/>
      <c r="L289" s="1"/>
    </row>
    <row r="290" spans="1:12" ht="15.75" customHeight="1">
      <c r="A290" s="2"/>
      <c r="B290" s="1"/>
      <c r="C290" s="1"/>
      <c r="D290" s="1"/>
      <c r="E290" s="1"/>
      <c r="F290" s="1"/>
      <c r="G290" s="1"/>
      <c r="H290" s="1"/>
      <c r="I290" s="61"/>
      <c r="J290" s="1"/>
      <c r="K290" s="1"/>
      <c r="L290" s="1"/>
    </row>
    <row r="291" spans="1:12" ht="15.75" customHeight="1">
      <c r="A291" s="2"/>
      <c r="B291" s="1"/>
      <c r="C291" s="1"/>
      <c r="D291" s="1"/>
      <c r="E291" s="1"/>
      <c r="F291" s="1"/>
      <c r="G291" s="1"/>
      <c r="H291" s="1"/>
      <c r="I291" s="61"/>
      <c r="J291" s="1"/>
      <c r="K291" s="1"/>
      <c r="L291" s="1"/>
    </row>
    <row r="292" spans="1:12" ht="15.75" customHeight="1">
      <c r="A292" s="2"/>
      <c r="B292" s="1"/>
      <c r="C292" s="1"/>
      <c r="D292" s="1"/>
      <c r="E292" s="1"/>
      <c r="F292" s="1"/>
      <c r="G292" s="1"/>
      <c r="H292" s="1"/>
      <c r="I292" s="61"/>
      <c r="J292" s="1"/>
      <c r="K292" s="1"/>
      <c r="L292" s="1"/>
    </row>
    <row r="293" spans="1:12" ht="15.75" customHeight="1">
      <c r="A293" s="2"/>
      <c r="B293" s="1"/>
      <c r="C293" s="1"/>
      <c r="D293" s="1"/>
      <c r="E293" s="1"/>
      <c r="F293" s="1"/>
      <c r="G293" s="1"/>
      <c r="H293" s="1"/>
      <c r="I293" s="61"/>
      <c r="J293" s="1"/>
      <c r="K293" s="1"/>
      <c r="L293" s="1"/>
    </row>
    <row r="294" spans="1:12" ht="15.75" customHeight="1">
      <c r="A294" s="2"/>
      <c r="B294" s="1"/>
      <c r="C294" s="1"/>
      <c r="D294" s="1"/>
      <c r="E294" s="1"/>
      <c r="F294" s="1"/>
      <c r="G294" s="1"/>
      <c r="H294" s="1"/>
      <c r="I294" s="61"/>
      <c r="J294" s="1"/>
      <c r="K294" s="1"/>
      <c r="L294" s="1"/>
    </row>
    <row r="295" spans="1:12" ht="15.75" customHeight="1">
      <c r="A295" s="2"/>
      <c r="B295" s="1"/>
      <c r="C295" s="1"/>
      <c r="D295" s="1"/>
      <c r="E295" s="1"/>
      <c r="F295" s="1"/>
      <c r="G295" s="1"/>
      <c r="H295" s="1"/>
      <c r="I295" s="61"/>
      <c r="J295" s="1"/>
      <c r="K295" s="1"/>
      <c r="L295" s="1"/>
    </row>
    <row r="296" spans="1:12" ht="15.75" customHeight="1">
      <c r="A296" s="2"/>
      <c r="B296" s="1"/>
      <c r="C296" s="1"/>
      <c r="D296" s="1"/>
      <c r="E296" s="1"/>
      <c r="F296" s="1"/>
      <c r="G296" s="1"/>
      <c r="H296" s="1"/>
      <c r="I296" s="61"/>
      <c r="J296" s="1"/>
      <c r="K296" s="1"/>
      <c r="L296" s="1"/>
    </row>
    <row r="297" spans="1:12" ht="15.75" customHeight="1">
      <c r="A297" s="2"/>
      <c r="B297" s="1"/>
      <c r="C297" s="1"/>
      <c r="D297" s="1"/>
      <c r="E297" s="1"/>
      <c r="F297" s="1"/>
      <c r="G297" s="1"/>
      <c r="H297" s="1"/>
      <c r="I297" s="61"/>
      <c r="J297" s="1"/>
      <c r="K297" s="1"/>
      <c r="L297" s="1"/>
    </row>
    <row r="298" spans="1:12" ht="15.75" customHeight="1">
      <c r="A298" s="2"/>
      <c r="B298" s="1"/>
      <c r="C298" s="1"/>
      <c r="D298" s="1"/>
      <c r="E298" s="1"/>
      <c r="F298" s="1"/>
      <c r="G298" s="1"/>
      <c r="H298" s="1"/>
      <c r="I298" s="61"/>
      <c r="J298" s="1"/>
      <c r="K298" s="1"/>
      <c r="L298" s="1"/>
    </row>
    <row r="299" spans="1:12" ht="15.75" customHeight="1">
      <c r="A299" s="2"/>
      <c r="B299" s="1"/>
      <c r="C299" s="1"/>
      <c r="D299" s="1"/>
      <c r="E299" s="1"/>
      <c r="F299" s="1"/>
      <c r="G299" s="1"/>
      <c r="H299" s="1"/>
      <c r="I299" s="61"/>
      <c r="J299" s="1"/>
      <c r="K299" s="1"/>
      <c r="L299" s="1"/>
    </row>
    <row r="300" spans="1:12" ht="15.75" customHeight="1">
      <c r="A300" s="2"/>
      <c r="B300" s="1"/>
      <c r="C300" s="1"/>
      <c r="D300" s="1"/>
      <c r="E300" s="1"/>
      <c r="F300" s="1"/>
      <c r="G300" s="1"/>
      <c r="H300" s="1"/>
      <c r="I300" s="61"/>
      <c r="J300" s="1"/>
      <c r="K300" s="1"/>
      <c r="L300" s="1"/>
    </row>
    <row r="301" spans="1:12" ht="15.75" customHeight="1">
      <c r="A301" s="2"/>
      <c r="B301" s="1"/>
      <c r="C301" s="1"/>
      <c r="D301" s="1"/>
      <c r="E301" s="1"/>
      <c r="F301" s="1"/>
      <c r="G301" s="1"/>
      <c r="H301" s="1"/>
      <c r="I301" s="61"/>
      <c r="J301" s="1"/>
      <c r="K301" s="1"/>
      <c r="L301" s="1"/>
    </row>
    <row r="302" spans="1:12" ht="15.75" customHeight="1">
      <c r="A302" s="2"/>
      <c r="B302" s="1"/>
      <c r="C302" s="1"/>
      <c r="D302" s="1"/>
      <c r="E302" s="1"/>
      <c r="F302" s="1"/>
      <c r="G302" s="1"/>
      <c r="H302" s="1"/>
      <c r="I302" s="61"/>
      <c r="J302" s="1"/>
      <c r="K302" s="1"/>
      <c r="L302" s="1"/>
    </row>
    <row r="303" spans="1:12" ht="15.75" customHeight="1">
      <c r="A303" s="2"/>
      <c r="B303" s="1"/>
      <c r="C303" s="1"/>
      <c r="D303" s="1"/>
      <c r="E303" s="1"/>
      <c r="F303" s="1"/>
      <c r="G303" s="1"/>
      <c r="H303" s="1"/>
      <c r="I303" s="61"/>
      <c r="J303" s="1"/>
      <c r="K303" s="1"/>
      <c r="L303" s="1"/>
    </row>
    <row r="304" spans="1:12" ht="15.75" customHeight="1">
      <c r="A304" s="2"/>
      <c r="B304" s="1"/>
      <c r="C304" s="1"/>
      <c r="D304" s="1"/>
      <c r="E304" s="1"/>
      <c r="F304" s="1"/>
      <c r="G304" s="1"/>
      <c r="H304" s="1"/>
      <c r="I304" s="61"/>
      <c r="J304" s="1"/>
      <c r="K304" s="1"/>
      <c r="L304" s="1"/>
    </row>
    <row r="305" spans="1:12" ht="15.75" customHeight="1">
      <c r="A305" s="2"/>
      <c r="B305" s="1"/>
      <c r="C305" s="1"/>
      <c r="D305" s="1"/>
      <c r="E305" s="1"/>
      <c r="F305" s="1"/>
      <c r="G305" s="1"/>
      <c r="H305" s="1"/>
      <c r="I305" s="61"/>
      <c r="J305" s="1"/>
      <c r="K305" s="1"/>
      <c r="L305" s="1"/>
    </row>
    <row r="306" spans="1:12" ht="15.75" customHeight="1">
      <c r="A306" s="2"/>
      <c r="B306" s="1"/>
      <c r="C306" s="1"/>
      <c r="D306" s="1"/>
      <c r="E306" s="1"/>
      <c r="F306" s="1"/>
      <c r="G306" s="1"/>
      <c r="H306" s="1"/>
      <c r="I306" s="61"/>
      <c r="J306" s="1"/>
      <c r="K306" s="1"/>
      <c r="L306" s="1"/>
    </row>
    <row r="307" spans="1:12" ht="15.75" customHeight="1">
      <c r="A307" s="2"/>
      <c r="B307" s="1"/>
      <c r="C307" s="1"/>
      <c r="D307" s="1"/>
      <c r="E307" s="1"/>
      <c r="F307" s="1"/>
      <c r="G307" s="1"/>
      <c r="H307" s="1"/>
      <c r="I307" s="61"/>
      <c r="J307" s="1"/>
      <c r="K307" s="1"/>
      <c r="L307" s="1"/>
    </row>
    <row r="308" spans="1:12" ht="15.75" customHeight="1">
      <c r="A308" s="2"/>
      <c r="B308" s="1"/>
      <c r="C308" s="1"/>
      <c r="D308" s="1"/>
      <c r="E308" s="1"/>
      <c r="F308" s="1"/>
      <c r="G308" s="1"/>
      <c r="H308" s="1"/>
      <c r="I308" s="61"/>
      <c r="J308" s="1"/>
      <c r="K308" s="1"/>
      <c r="L308" s="1"/>
    </row>
    <row r="309" spans="1:12" ht="15.75" customHeight="1">
      <c r="A309" s="2"/>
      <c r="B309" s="1"/>
      <c r="C309" s="1"/>
      <c r="D309" s="1"/>
      <c r="E309" s="1"/>
      <c r="F309" s="1"/>
      <c r="G309" s="1"/>
      <c r="H309" s="1"/>
      <c r="I309" s="61"/>
      <c r="J309" s="1"/>
      <c r="K309" s="1"/>
      <c r="L309" s="1"/>
    </row>
    <row r="310" spans="1:12" ht="15.75" customHeight="1">
      <c r="A310" s="2"/>
      <c r="B310" s="1"/>
      <c r="C310" s="1"/>
      <c r="D310" s="1"/>
      <c r="E310" s="1"/>
      <c r="F310" s="1"/>
      <c r="G310" s="1"/>
      <c r="H310" s="1"/>
      <c r="I310" s="61"/>
      <c r="J310" s="1"/>
      <c r="K310" s="1"/>
      <c r="L310" s="1"/>
    </row>
    <row r="311" spans="1:12" ht="15.75" customHeight="1">
      <c r="A311" s="2"/>
      <c r="B311" s="1"/>
      <c r="C311" s="1"/>
      <c r="D311" s="1"/>
      <c r="E311" s="1"/>
      <c r="F311" s="1"/>
      <c r="G311" s="1"/>
      <c r="H311" s="1"/>
      <c r="I311" s="61"/>
      <c r="J311" s="1"/>
      <c r="K311" s="1"/>
      <c r="L311" s="1"/>
    </row>
    <row r="312" spans="1:12" ht="15.75" customHeight="1">
      <c r="A312" s="2"/>
      <c r="B312" s="1"/>
      <c r="C312" s="1"/>
      <c r="D312" s="1"/>
      <c r="E312" s="1"/>
      <c r="F312" s="1"/>
      <c r="G312" s="1"/>
      <c r="H312" s="1"/>
      <c r="I312" s="61"/>
      <c r="J312" s="1"/>
      <c r="K312" s="1"/>
      <c r="L312" s="1"/>
    </row>
    <row r="313" spans="1:12" ht="15.75" customHeight="1">
      <c r="A313" s="2"/>
      <c r="B313" s="1"/>
      <c r="C313" s="1"/>
      <c r="D313" s="1"/>
      <c r="E313" s="1"/>
      <c r="F313" s="1"/>
      <c r="G313" s="1"/>
      <c r="H313" s="1"/>
      <c r="I313" s="61"/>
      <c r="J313" s="1"/>
      <c r="K313" s="1"/>
      <c r="L313" s="1"/>
    </row>
    <row r="314" spans="1:12" ht="15.75" customHeight="1">
      <c r="A314" s="2"/>
      <c r="B314" s="1"/>
      <c r="C314" s="1"/>
      <c r="D314" s="1"/>
      <c r="E314" s="1"/>
      <c r="F314" s="1"/>
      <c r="G314" s="1"/>
      <c r="H314" s="1"/>
      <c r="I314" s="61"/>
      <c r="J314" s="1"/>
      <c r="K314" s="1"/>
      <c r="L314" s="1"/>
    </row>
    <row r="315" spans="1:12" ht="15.75" customHeight="1">
      <c r="A315" s="2"/>
      <c r="B315" s="1"/>
      <c r="C315" s="1"/>
      <c r="D315" s="1"/>
      <c r="E315" s="1"/>
      <c r="F315" s="1"/>
      <c r="G315" s="1"/>
      <c r="H315" s="1"/>
      <c r="I315" s="61"/>
      <c r="J315" s="1"/>
      <c r="K315" s="1"/>
      <c r="L315" s="1"/>
    </row>
    <row r="316" spans="1:12" ht="15.75" customHeight="1">
      <c r="A316" s="2"/>
      <c r="B316" s="1"/>
      <c r="C316" s="1"/>
      <c r="D316" s="1"/>
      <c r="E316" s="1"/>
      <c r="F316" s="1"/>
      <c r="G316" s="1"/>
      <c r="H316" s="1"/>
      <c r="I316" s="61"/>
      <c r="J316" s="1"/>
      <c r="K316" s="1"/>
      <c r="L316" s="1"/>
    </row>
    <row r="317" spans="1:12" ht="15.75" customHeight="1">
      <c r="A317" s="2"/>
      <c r="B317" s="1"/>
      <c r="C317" s="1"/>
      <c r="D317" s="1"/>
      <c r="E317" s="1"/>
      <c r="F317" s="1"/>
      <c r="G317" s="1"/>
      <c r="H317" s="1"/>
      <c r="I317" s="61"/>
      <c r="J317" s="1"/>
      <c r="K317" s="1"/>
      <c r="L317" s="1"/>
    </row>
    <row r="318" spans="1:12" ht="15.75" customHeight="1">
      <c r="A318" s="2"/>
      <c r="B318" s="1"/>
      <c r="C318" s="1"/>
      <c r="D318" s="1"/>
      <c r="E318" s="1"/>
      <c r="F318" s="1"/>
      <c r="G318" s="1"/>
      <c r="H318" s="1"/>
      <c r="I318" s="61"/>
      <c r="J318" s="1"/>
      <c r="K318" s="1"/>
      <c r="L318" s="1"/>
    </row>
    <row r="319" spans="1:12" ht="15.75" customHeight="1">
      <c r="A319" s="2"/>
      <c r="B319" s="1"/>
      <c r="C319" s="1"/>
      <c r="D319" s="1"/>
      <c r="E319" s="1"/>
      <c r="F319" s="1"/>
      <c r="G319" s="1"/>
      <c r="H319" s="1"/>
      <c r="I319" s="61"/>
      <c r="J319" s="1"/>
      <c r="K319" s="1"/>
      <c r="L319" s="1"/>
    </row>
    <row r="320" spans="1:12" ht="15.75" customHeight="1">
      <c r="A320" s="2"/>
      <c r="B320" s="1"/>
      <c r="C320" s="1"/>
      <c r="D320" s="1"/>
      <c r="E320" s="1"/>
      <c r="F320" s="1"/>
      <c r="G320" s="1"/>
      <c r="H320" s="1"/>
      <c r="I320" s="61"/>
      <c r="J320" s="1"/>
      <c r="K320" s="1"/>
      <c r="L320" s="1"/>
    </row>
    <row r="321" spans="1:12" ht="15.75" customHeight="1">
      <c r="A321" s="2"/>
      <c r="B321" s="1"/>
      <c r="C321" s="1"/>
      <c r="D321" s="1"/>
      <c r="E321" s="1"/>
      <c r="F321" s="1"/>
      <c r="G321" s="1"/>
      <c r="H321" s="1"/>
      <c r="I321" s="61"/>
      <c r="J321" s="1"/>
      <c r="K321" s="1"/>
      <c r="L321" s="1"/>
    </row>
    <row r="322" spans="1:12" ht="15.75" customHeight="1">
      <c r="A322" s="2"/>
      <c r="B322" s="1"/>
      <c r="C322" s="1"/>
      <c r="D322" s="1"/>
      <c r="E322" s="1"/>
      <c r="F322" s="1"/>
      <c r="G322" s="1"/>
      <c r="H322" s="1"/>
      <c r="I322" s="61"/>
      <c r="J322" s="1"/>
      <c r="K322" s="1"/>
      <c r="L322" s="1"/>
    </row>
    <row r="323" spans="1:12" ht="15.75" customHeight="1">
      <c r="A323" s="2"/>
      <c r="B323" s="1"/>
      <c r="C323" s="1"/>
      <c r="D323" s="1"/>
      <c r="E323" s="1"/>
      <c r="F323" s="1"/>
      <c r="G323" s="1"/>
      <c r="H323" s="1"/>
      <c r="I323" s="61"/>
      <c r="J323" s="1"/>
      <c r="K323" s="1"/>
      <c r="L323" s="1"/>
    </row>
    <row r="324" spans="1:12" ht="15.75" customHeight="1">
      <c r="A324" s="2"/>
      <c r="B324" s="1"/>
      <c r="C324" s="1"/>
      <c r="D324" s="1"/>
      <c r="E324" s="1"/>
      <c r="F324" s="1"/>
      <c r="G324" s="1"/>
      <c r="H324" s="1"/>
      <c r="I324" s="61"/>
      <c r="J324" s="1"/>
      <c r="K324" s="1"/>
      <c r="L324" s="1"/>
    </row>
    <row r="325" spans="1:12" ht="15.75" customHeight="1">
      <c r="A325" s="2"/>
      <c r="B325" s="1"/>
      <c r="C325" s="1"/>
      <c r="D325" s="1"/>
      <c r="E325" s="1"/>
      <c r="F325" s="1"/>
      <c r="G325" s="1"/>
      <c r="H325" s="1"/>
      <c r="I325" s="61"/>
      <c r="J325" s="1"/>
      <c r="K325" s="1"/>
      <c r="L325" s="1"/>
    </row>
    <row r="326" spans="1:12" ht="15.75" customHeight="1">
      <c r="A326" s="2"/>
      <c r="B326" s="1"/>
      <c r="C326" s="1"/>
      <c r="D326" s="1"/>
      <c r="E326" s="1"/>
      <c r="F326" s="1"/>
      <c r="G326" s="1"/>
      <c r="H326" s="1"/>
      <c r="I326" s="61"/>
      <c r="J326" s="1"/>
      <c r="K326" s="1"/>
      <c r="L326" s="1"/>
    </row>
    <row r="327" spans="1:12" ht="15.75" customHeight="1">
      <c r="A327" s="2"/>
      <c r="B327" s="1"/>
      <c r="C327" s="1"/>
      <c r="D327" s="1"/>
      <c r="E327" s="1"/>
      <c r="F327" s="1"/>
      <c r="G327" s="1"/>
      <c r="H327" s="1"/>
      <c r="I327" s="61"/>
      <c r="J327" s="1"/>
      <c r="K327" s="1"/>
      <c r="L327" s="1"/>
    </row>
    <row r="328" spans="1:12" ht="15.75" customHeight="1">
      <c r="A328" s="2"/>
      <c r="B328" s="1"/>
      <c r="C328" s="1"/>
      <c r="D328" s="1"/>
      <c r="E328" s="1"/>
      <c r="F328" s="1"/>
      <c r="G328" s="1"/>
      <c r="H328" s="1"/>
      <c r="I328" s="61"/>
      <c r="J328" s="1"/>
      <c r="K328" s="1"/>
      <c r="L328" s="1"/>
    </row>
    <row r="329" spans="1:12" ht="15.75" customHeight="1">
      <c r="A329" s="2"/>
      <c r="B329" s="1"/>
      <c r="C329" s="1"/>
      <c r="D329" s="1"/>
      <c r="E329" s="1"/>
      <c r="F329" s="1"/>
      <c r="G329" s="1"/>
      <c r="H329" s="1"/>
      <c r="I329" s="61"/>
      <c r="J329" s="1"/>
      <c r="K329" s="1"/>
      <c r="L329" s="1"/>
    </row>
    <row r="330" spans="1:12" ht="15.75" customHeight="1">
      <c r="A330" s="2"/>
      <c r="B330" s="1"/>
      <c r="C330" s="1"/>
      <c r="D330" s="1"/>
      <c r="E330" s="1"/>
      <c r="F330" s="1"/>
      <c r="G330" s="1"/>
      <c r="H330" s="1"/>
      <c r="I330" s="61"/>
      <c r="J330" s="1"/>
      <c r="K330" s="1"/>
      <c r="L330" s="1"/>
    </row>
    <row r="331" spans="1:12" ht="15.75" customHeight="1">
      <c r="A331" s="2"/>
      <c r="B331" s="1"/>
      <c r="C331" s="1"/>
      <c r="D331" s="1"/>
      <c r="E331" s="1"/>
      <c r="F331" s="1"/>
      <c r="G331" s="1"/>
      <c r="H331" s="1"/>
      <c r="I331" s="61"/>
      <c r="J331" s="1"/>
      <c r="K331" s="1"/>
      <c r="L331" s="1"/>
    </row>
    <row r="332" spans="1:12" ht="15.75" customHeight="1">
      <c r="A332" s="2"/>
      <c r="B332" s="1"/>
      <c r="C332" s="1"/>
      <c r="D332" s="1"/>
      <c r="E332" s="1"/>
      <c r="F332" s="1"/>
      <c r="G332" s="1"/>
      <c r="H332" s="1"/>
      <c r="I332" s="61"/>
      <c r="J332" s="1"/>
      <c r="K332" s="1"/>
      <c r="L332" s="1"/>
    </row>
    <row r="333" spans="1:12" ht="15.75" customHeight="1">
      <c r="A333" s="2"/>
      <c r="B333" s="1"/>
      <c r="C333" s="1"/>
      <c r="D333" s="1"/>
      <c r="E333" s="1"/>
      <c r="F333" s="1"/>
      <c r="G333" s="1"/>
      <c r="H333" s="1"/>
      <c r="I333" s="61"/>
      <c r="J333" s="1"/>
      <c r="K333" s="1"/>
      <c r="L333" s="1"/>
    </row>
    <row r="334" spans="1:12" ht="15.75" customHeight="1">
      <c r="A334" s="2"/>
      <c r="B334" s="1"/>
      <c r="C334" s="1"/>
      <c r="D334" s="1"/>
      <c r="E334" s="1"/>
      <c r="F334" s="1"/>
      <c r="G334" s="1"/>
      <c r="H334" s="1"/>
      <c r="I334" s="61"/>
      <c r="J334" s="1"/>
      <c r="K334" s="1"/>
      <c r="L334" s="1"/>
    </row>
    <row r="335" spans="1:12" ht="15.75" customHeight="1">
      <c r="A335" s="2"/>
      <c r="B335" s="1"/>
      <c r="C335" s="1"/>
      <c r="D335" s="1"/>
      <c r="E335" s="1"/>
      <c r="F335" s="1"/>
      <c r="G335" s="1"/>
      <c r="H335" s="1"/>
      <c r="I335" s="61"/>
      <c r="J335" s="1"/>
      <c r="K335" s="1"/>
      <c r="L335" s="1"/>
    </row>
    <row r="336" spans="1:12" ht="15.75" customHeight="1">
      <c r="A336" s="2"/>
      <c r="B336" s="1"/>
      <c r="C336" s="1"/>
      <c r="D336" s="1"/>
      <c r="E336" s="1"/>
      <c r="F336" s="1"/>
      <c r="G336" s="1"/>
      <c r="H336" s="1"/>
      <c r="I336" s="61"/>
      <c r="J336" s="1"/>
      <c r="K336" s="1"/>
      <c r="L336" s="1"/>
    </row>
    <row r="337" spans="1:12" ht="15.75" customHeight="1">
      <c r="A337" s="2"/>
      <c r="B337" s="1"/>
      <c r="C337" s="1"/>
      <c r="D337" s="1"/>
      <c r="E337" s="1"/>
      <c r="F337" s="1"/>
      <c r="G337" s="1"/>
      <c r="H337" s="1"/>
      <c r="I337" s="61"/>
      <c r="J337" s="1"/>
      <c r="K337" s="1"/>
      <c r="L337" s="1"/>
    </row>
    <row r="338" spans="1:12" ht="15.75" customHeight="1">
      <c r="A338" s="2"/>
      <c r="B338" s="1"/>
      <c r="C338" s="1"/>
      <c r="D338" s="1"/>
      <c r="E338" s="1"/>
      <c r="F338" s="1"/>
      <c r="G338" s="1"/>
      <c r="H338" s="1"/>
      <c r="I338" s="61"/>
      <c r="J338" s="1"/>
      <c r="K338" s="1"/>
      <c r="L338" s="1"/>
    </row>
    <row r="339" spans="1:12" ht="15.75" customHeight="1">
      <c r="A339" s="2"/>
      <c r="B339" s="1"/>
      <c r="C339" s="1"/>
      <c r="D339" s="1"/>
      <c r="E339" s="1"/>
      <c r="F339" s="1"/>
      <c r="G339" s="1"/>
      <c r="H339" s="1"/>
      <c r="I339" s="61"/>
      <c r="J339" s="1"/>
      <c r="K339" s="1"/>
      <c r="L339" s="1"/>
    </row>
    <row r="340" spans="1:12" ht="15.75" customHeight="1">
      <c r="A340" s="2"/>
      <c r="B340" s="1"/>
      <c r="C340" s="1"/>
      <c r="D340" s="1"/>
      <c r="E340" s="1"/>
      <c r="F340" s="1"/>
      <c r="G340" s="1"/>
      <c r="H340" s="1"/>
      <c r="I340" s="61"/>
      <c r="J340" s="1"/>
      <c r="K340" s="1"/>
      <c r="L340" s="1"/>
    </row>
    <row r="341" spans="1:12" ht="15.75" customHeight="1">
      <c r="A341" s="2"/>
      <c r="B341" s="1"/>
      <c r="C341" s="1"/>
      <c r="D341" s="1"/>
      <c r="E341" s="1"/>
      <c r="F341" s="1"/>
      <c r="G341" s="1"/>
      <c r="H341" s="1"/>
      <c r="I341" s="61"/>
      <c r="J341" s="1"/>
      <c r="K341" s="1"/>
      <c r="L341" s="1"/>
    </row>
    <row r="342" spans="1:12" ht="15.75" customHeight="1">
      <c r="A342" s="2"/>
      <c r="B342" s="1"/>
      <c r="C342" s="1"/>
      <c r="D342" s="1"/>
      <c r="E342" s="1"/>
      <c r="F342" s="1"/>
      <c r="G342" s="1"/>
      <c r="H342" s="1"/>
      <c r="I342" s="61"/>
      <c r="J342" s="1"/>
      <c r="K342" s="1"/>
      <c r="L342" s="1"/>
    </row>
    <row r="343" spans="1:12" ht="15.75" customHeight="1">
      <c r="A343" s="2"/>
      <c r="B343" s="1"/>
      <c r="C343" s="1"/>
      <c r="D343" s="1"/>
      <c r="E343" s="1"/>
      <c r="F343" s="1"/>
      <c r="G343" s="1"/>
      <c r="H343" s="1"/>
      <c r="I343" s="61"/>
      <c r="J343" s="1"/>
      <c r="K343" s="1"/>
      <c r="L343" s="1"/>
    </row>
    <row r="344" spans="1:12" ht="15.75" customHeight="1">
      <c r="A344" s="2"/>
      <c r="B344" s="1"/>
      <c r="C344" s="1"/>
      <c r="D344" s="1"/>
      <c r="E344" s="1"/>
      <c r="F344" s="1"/>
      <c r="G344" s="1"/>
      <c r="H344" s="1"/>
      <c r="I344" s="61"/>
      <c r="J344" s="1"/>
      <c r="K344" s="1"/>
      <c r="L344" s="1"/>
    </row>
    <row r="345" spans="1:12" ht="15.75" customHeight="1">
      <c r="A345" s="2"/>
      <c r="B345" s="1"/>
      <c r="C345" s="1"/>
      <c r="D345" s="1"/>
      <c r="E345" s="1"/>
      <c r="F345" s="1"/>
      <c r="G345" s="1"/>
      <c r="H345" s="1"/>
      <c r="I345" s="61"/>
      <c r="J345" s="1"/>
      <c r="K345" s="1"/>
      <c r="L345" s="1"/>
    </row>
    <row r="346" spans="1:12" ht="15.75" customHeight="1">
      <c r="A346" s="2"/>
      <c r="B346" s="1"/>
      <c r="C346" s="1"/>
      <c r="D346" s="1"/>
      <c r="E346" s="1"/>
      <c r="F346" s="1"/>
      <c r="G346" s="1"/>
      <c r="H346" s="1"/>
      <c r="I346" s="61"/>
      <c r="J346" s="1"/>
      <c r="K346" s="1"/>
      <c r="L346" s="1"/>
    </row>
    <row r="347" spans="1:12" ht="15.75" customHeight="1">
      <c r="A347" s="2"/>
      <c r="B347" s="1"/>
      <c r="C347" s="1"/>
      <c r="D347" s="1"/>
      <c r="E347" s="1"/>
      <c r="F347" s="1"/>
      <c r="G347" s="1"/>
      <c r="H347" s="1"/>
      <c r="I347" s="61"/>
      <c r="J347" s="1"/>
      <c r="K347" s="1"/>
      <c r="L347" s="1"/>
    </row>
    <row r="348" spans="1:12" ht="15.75" customHeight="1">
      <c r="A348" s="2"/>
      <c r="B348" s="1"/>
      <c r="C348" s="1"/>
      <c r="D348" s="1"/>
      <c r="E348" s="1"/>
      <c r="F348" s="1"/>
      <c r="G348" s="1"/>
      <c r="H348" s="1"/>
      <c r="I348" s="61"/>
      <c r="J348" s="1"/>
      <c r="K348" s="1"/>
      <c r="L348" s="1"/>
    </row>
    <row r="349" spans="1:12" ht="15.75" customHeight="1">
      <c r="A349" s="2"/>
      <c r="B349" s="1"/>
      <c r="C349" s="1"/>
      <c r="D349" s="1"/>
      <c r="E349" s="1"/>
      <c r="F349" s="1"/>
      <c r="G349" s="1"/>
      <c r="H349" s="1"/>
      <c r="I349" s="61"/>
      <c r="J349" s="1"/>
      <c r="K349" s="1"/>
      <c r="L349" s="1"/>
    </row>
    <row r="350" spans="1:12" ht="15.75" customHeight="1">
      <c r="A350" s="2"/>
      <c r="B350" s="1"/>
      <c r="C350" s="1"/>
      <c r="D350" s="1"/>
      <c r="E350" s="1"/>
      <c r="F350" s="1"/>
      <c r="G350" s="1"/>
      <c r="H350" s="1"/>
      <c r="I350" s="61"/>
      <c r="J350" s="1"/>
      <c r="K350" s="1"/>
      <c r="L350" s="1"/>
    </row>
    <row r="351" spans="1:12" ht="15.75" customHeight="1">
      <c r="A351" s="2"/>
      <c r="B351" s="1"/>
      <c r="C351" s="1"/>
      <c r="D351" s="1"/>
      <c r="E351" s="1"/>
      <c r="F351" s="1"/>
      <c r="G351" s="1"/>
      <c r="H351" s="1"/>
      <c r="I351" s="61"/>
      <c r="J351" s="1"/>
      <c r="K351" s="1"/>
      <c r="L351" s="1"/>
    </row>
    <row r="352" spans="1:12" ht="15.75" customHeight="1">
      <c r="A352" s="2"/>
      <c r="B352" s="1"/>
      <c r="C352" s="1"/>
      <c r="D352" s="1"/>
      <c r="E352" s="1"/>
      <c r="F352" s="1"/>
      <c r="G352" s="1"/>
      <c r="H352" s="1"/>
      <c r="I352" s="61"/>
      <c r="J352" s="1"/>
      <c r="K352" s="1"/>
      <c r="L352" s="1"/>
    </row>
    <row r="353" spans="1:12" ht="15.75" customHeight="1">
      <c r="A353" s="2"/>
      <c r="B353" s="1"/>
      <c r="C353" s="1"/>
      <c r="D353" s="1"/>
      <c r="E353" s="1"/>
      <c r="F353" s="1"/>
      <c r="G353" s="1"/>
      <c r="H353" s="1"/>
      <c r="I353" s="61"/>
      <c r="J353" s="1"/>
      <c r="K353" s="1"/>
      <c r="L353" s="1"/>
    </row>
    <row r="354" spans="1:12" ht="15.75" customHeight="1">
      <c r="A354" s="2"/>
      <c r="B354" s="1"/>
      <c r="C354" s="1"/>
      <c r="D354" s="1"/>
      <c r="E354" s="1"/>
      <c r="F354" s="1"/>
      <c r="G354" s="1"/>
      <c r="H354" s="1"/>
      <c r="I354" s="61"/>
      <c r="J354" s="1"/>
      <c r="K354" s="1"/>
      <c r="L354" s="1"/>
    </row>
    <row r="355" spans="1:12" ht="15.75" customHeight="1">
      <c r="A355" s="2"/>
      <c r="B355" s="1"/>
      <c r="C355" s="1"/>
      <c r="D355" s="1"/>
      <c r="E355" s="1"/>
      <c r="F355" s="1"/>
      <c r="G355" s="1"/>
      <c r="H355" s="1"/>
      <c r="I355" s="61"/>
      <c r="J355" s="1"/>
      <c r="K355" s="1"/>
      <c r="L355" s="1"/>
    </row>
    <row r="356" spans="1:12" ht="15.75" customHeight="1">
      <c r="A356" s="2"/>
      <c r="B356" s="1"/>
      <c r="C356" s="1"/>
      <c r="D356" s="1"/>
      <c r="E356" s="1"/>
      <c r="F356" s="1"/>
      <c r="G356" s="1"/>
      <c r="H356" s="1"/>
      <c r="I356" s="61"/>
      <c r="J356" s="1"/>
      <c r="K356" s="1"/>
      <c r="L356" s="1"/>
    </row>
    <row r="357" spans="1:12" ht="15.75" customHeight="1">
      <c r="A357" s="2"/>
      <c r="B357" s="1"/>
      <c r="C357" s="1"/>
      <c r="D357" s="1"/>
      <c r="E357" s="1"/>
      <c r="F357" s="1"/>
      <c r="G357" s="1"/>
      <c r="H357" s="1"/>
      <c r="I357" s="61"/>
      <c r="J357" s="1"/>
      <c r="K357" s="1"/>
      <c r="L357" s="1"/>
    </row>
    <row r="358" spans="1:12" ht="15.75" customHeight="1">
      <c r="A358" s="2"/>
      <c r="B358" s="1"/>
      <c r="C358" s="1"/>
      <c r="D358" s="1"/>
      <c r="E358" s="1"/>
      <c r="F358" s="1"/>
      <c r="G358" s="1"/>
      <c r="H358" s="1"/>
      <c r="I358" s="61"/>
      <c r="J358" s="1"/>
      <c r="K358" s="1"/>
      <c r="L358" s="1"/>
    </row>
    <row r="359" spans="1:12" ht="15.75" customHeight="1">
      <c r="A359" s="2"/>
      <c r="B359" s="1"/>
      <c r="C359" s="1"/>
      <c r="D359" s="1"/>
      <c r="E359" s="1"/>
      <c r="F359" s="1"/>
      <c r="G359" s="1"/>
      <c r="H359" s="1"/>
      <c r="I359" s="61"/>
      <c r="J359" s="1"/>
      <c r="K359" s="1"/>
      <c r="L359" s="1"/>
    </row>
    <row r="360" spans="1:12" ht="15.75" customHeight="1">
      <c r="A360" s="2"/>
      <c r="B360" s="1"/>
      <c r="C360" s="1"/>
      <c r="D360" s="1"/>
      <c r="E360" s="1"/>
      <c r="F360" s="1"/>
      <c r="G360" s="1"/>
      <c r="H360" s="1"/>
      <c r="I360" s="61"/>
      <c r="J360" s="1"/>
      <c r="K360" s="1"/>
      <c r="L360" s="1"/>
    </row>
    <row r="361" spans="1:12" ht="15.75" customHeight="1">
      <c r="A361" s="2"/>
      <c r="B361" s="1"/>
      <c r="C361" s="1"/>
      <c r="D361" s="1"/>
      <c r="E361" s="1"/>
      <c r="F361" s="1"/>
      <c r="G361" s="1"/>
      <c r="H361" s="1"/>
      <c r="I361" s="61"/>
      <c r="J361" s="1"/>
      <c r="K361" s="1"/>
      <c r="L361" s="1"/>
    </row>
    <row r="362" spans="1:12" ht="15.75" customHeight="1">
      <c r="A362" s="2"/>
      <c r="B362" s="1"/>
      <c r="C362" s="1"/>
      <c r="D362" s="1"/>
      <c r="E362" s="1"/>
      <c r="F362" s="1"/>
      <c r="G362" s="1"/>
      <c r="H362" s="1"/>
      <c r="I362" s="61"/>
      <c r="J362" s="1"/>
      <c r="K362" s="1"/>
      <c r="L362" s="1"/>
    </row>
    <row r="363" spans="1:12" ht="15.75" customHeight="1">
      <c r="A363" s="2"/>
      <c r="B363" s="1"/>
      <c r="C363" s="1"/>
      <c r="D363" s="1"/>
      <c r="E363" s="1"/>
      <c r="F363" s="1"/>
      <c r="G363" s="1"/>
      <c r="H363" s="1"/>
      <c r="I363" s="61"/>
      <c r="J363" s="1"/>
      <c r="K363" s="1"/>
      <c r="L363" s="1"/>
    </row>
    <row r="364" spans="1:12" ht="15.75" customHeight="1">
      <c r="A364" s="2"/>
      <c r="B364" s="1"/>
      <c r="C364" s="1"/>
      <c r="D364" s="1"/>
      <c r="E364" s="1"/>
      <c r="F364" s="1"/>
      <c r="G364" s="1"/>
      <c r="H364" s="1"/>
      <c r="I364" s="61"/>
      <c r="J364" s="1"/>
      <c r="K364" s="1"/>
      <c r="L364" s="1"/>
    </row>
    <row r="365" spans="1:12" ht="15.75" customHeight="1">
      <c r="A365" s="2"/>
      <c r="B365" s="1"/>
      <c r="C365" s="1"/>
      <c r="D365" s="1"/>
      <c r="E365" s="1"/>
      <c r="F365" s="1"/>
      <c r="G365" s="1"/>
      <c r="H365" s="1"/>
      <c r="I365" s="61"/>
      <c r="J365" s="1"/>
      <c r="K365" s="1"/>
      <c r="L365" s="1"/>
    </row>
    <row r="366" spans="1:12" ht="15.75" customHeight="1">
      <c r="A366" s="2"/>
      <c r="B366" s="1"/>
      <c r="C366" s="1"/>
      <c r="D366" s="1"/>
      <c r="E366" s="1"/>
      <c r="F366" s="1"/>
      <c r="G366" s="1"/>
      <c r="H366" s="1"/>
      <c r="I366" s="61"/>
      <c r="J366" s="1"/>
      <c r="K366" s="1"/>
      <c r="L366" s="1"/>
    </row>
    <row r="367" spans="1:12" ht="15.75" customHeight="1">
      <c r="A367" s="2"/>
      <c r="B367" s="1"/>
      <c r="C367" s="1"/>
      <c r="D367" s="1"/>
      <c r="E367" s="1"/>
      <c r="F367" s="1"/>
      <c r="G367" s="1"/>
      <c r="H367" s="1"/>
      <c r="I367" s="61"/>
      <c r="J367" s="1"/>
      <c r="K367" s="1"/>
      <c r="L367" s="1"/>
    </row>
    <row r="368" spans="1:12" ht="15.75" customHeight="1">
      <c r="A368" s="2"/>
      <c r="B368" s="1"/>
      <c r="C368" s="1"/>
      <c r="D368" s="1"/>
      <c r="E368" s="1"/>
      <c r="F368" s="1"/>
      <c r="G368" s="1"/>
      <c r="H368" s="1"/>
      <c r="I368" s="61"/>
      <c r="J368" s="1"/>
      <c r="K368" s="1"/>
      <c r="L368" s="1"/>
    </row>
    <row r="369" spans="1:12" ht="15.75" customHeight="1">
      <c r="A369" s="2"/>
      <c r="B369" s="1"/>
      <c r="C369" s="1"/>
      <c r="D369" s="1"/>
      <c r="E369" s="1"/>
      <c r="F369" s="1"/>
      <c r="G369" s="1"/>
      <c r="H369" s="1"/>
      <c r="I369" s="61"/>
      <c r="J369" s="1"/>
      <c r="K369" s="1"/>
      <c r="L369" s="1"/>
    </row>
    <row r="370" spans="1:12" ht="15.75" customHeight="1">
      <c r="A370" s="2"/>
      <c r="B370" s="1"/>
      <c r="C370" s="1"/>
      <c r="D370" s="1"/>
      <c r="E370" s="1"/>
      <c r="F370" s="1"/>
      <c r="G370" s="1"/>
      <c r="H370" s="1"/>
      <c r="I370" s="61"/>
      <c r="J370" s="1"/>
      <c r="K370" s="1"/>
      <c r="L370" s="1"/>
    </row>
    <row r="371" spans="1:12" ht="15.75" customHeight="1">
      <c r="A371" s="2"/>
      <c r="B371" s="1"/>
      <c r="C371" s="1"/>
      <c r="D371" s="1"/>
      <c r="E371" s="1"/>
      <c r="F371" s="1"/>
      <c r="G371" s="1"/>
      <c r="H371" s="1"/>
      <c r="I371" s="61"/>
      <c r="J371" s="1"/>
      <c r="K371" s="1"/>
      <c r="L371" s="1"/>
    </row>
    <row r="372" spans="1:12" ht="15.75" customHeight="1">
      <c r="A372" s="2"/>
      <c r="B372" s="1"/>
      <c r="C372" s="1"/>
      <c r="D372" s="1"/>
      <c r="E372" s="1"/>
      <c r="F372" s="1"/>
      <c r="G372" s="1"/>
      <c r="H372" s="1"/>
      <c r="I372" s="61"/>
      <c r="J372" s="1"/>
      <c r="K372" s="1"/>
      <c r="L372" s="1"/>
    </row>
    <row r="373" spans="1:12" ht="15.75" customHeight="1">
      <c r="A373" s="2"/>
      <c r="B373" s="1"/>
      <c r="C373" s="1"/>
      <c r="D373" s="1"/>
      <c r="E373" s="1"/>
      <c r="F373" s="1"/>
      <c r="G373" s="1"/>
      <c r="H373" s="1"/>
      <c r="I373" s="61"/>
      <c r="J373" s="1"/>
      <c r="K373" s="1"/>
      <c r="L373" s="1"/>
    </row>
    <row r="374" spans="1:12" ht="15.75" customHeight="1">
      <c r="A374" s="2"/>
      <c r="B374" s="1"/>
      <c r="C374" s="1"/>
      <c r="D374" s="1"/>
      <c r="E374" s="1"/>
      <c r="F374" s="1"/>
      <c r="G374" s="1"/>
      <c r="H374" s="1"/>
      <c r="I374" s="61"/>
      <c r="J374" s="1"/>
      <c r="K374" s="1"/>
      <c r="L374" s="1"/>
    </row>
    <row r="375" spans="1:12" ht="15.75" customHeight="1">
      <c r="A375" s="2"/>
      <c r="B375" s="1"/>
      <c r="C375" s="1"/>
      <c r="D375" s="1"/>
      <c r="E375" s="1"/>
      <c r="F375" s="1"/>
      <c r="G375" s="1"/>
      <c r="H375" s="1"/>
      <c r="I375" s="61"/>
      <c r="J375" s="1"/>
      <c r="K375" s="1"/>
      <c r="L375" s="1"/>
    </row>
    <row r="376" spans="1:12" ht="15.75" customHeight="1">
      <c r="A376" s="2"/>
      <c r="B376" s="1"/>
      <c r="C376" s="1"/>
      <c r="D376" s="1"/>
      <c r="E376" s="1"/>
      <c r="F376" s="1"/>
      <c r="G376" s="1"/>
      <c r="H376" s="1"/>
      <c r="I376" s="61"/>
      <c r="J376" s="1"/>
      <c r="K376" s="1"/>
      <c r="L376" s="1"/>
    </row>
    <row r="377" spans="1:12" ht="15.75" customHeight="1">
      <c r="A377" s="2"/>
      <c r="B377" s="1"/>
      <c r="C377" s="1"/>
      <c r="D377" s="1"/>
      <c r="E377" s="1"/>
      <c r="F377" s="1"/>
      <c r="G377" s="1"/>
      <c r="H377" s="1"/>
      <c r="I377" s="61"/>
      <c r="J377" s="1"/>
      <c r="K377" s="1"/>
      <c r="L377" s="1"/>
    </row>
    <row r="378" spans="1:12" ht="15.75" customHeight="1">
      <c r="A378" s="2"/>
      <c r="B378" s="1"/>
      <c r="C378" s="1"/>
      <c r="D378" s="1"/>
      <c r="E378" s="1"/>
      <c r="F378" s="1"/>
      <c r="G378" s="1"/>
      <c r="H378" s="1"/>
      <c r="I378" s="61"/>
      <c r="J378" s="1"/>
      <c r="K378" s="1"/>
      <c r="L378" s="1"/>
    </row>
    <row r="379" spans="1:12" ht="15.75" customHeight="1">
      <c r="A379" s="2"/>
      <c r="B379" s="1"/>
      <c r="C379" s="1"/>
      <c r="D379" s="1"/>
      <c r="E379" s="1"/>
      <c r="F379" s="1"/>
      <c r="G379" s="1"/>
      <c r="H379" s="1"/>
      <c r="I379" s="61"/>
      <c r="J379" s="1"/>
      <c r="K379" s="1"/>
      <c r="L379" s="1"/>
    </row>
    <row r="380" spans="1:12" ht="15.75" customHeight="1">
      <c r="A380" s="2"/>
      <c r="B380" s="1"/>
      <c r="C380" s="1"/>
      <c r="D380" s="1"/>
      <c r="E380" s="1"/>
      <c r="F380" s="1"/>
      <c r="G380" s="1"/>
      <c r="H380" s="1"/>
      <c r="I380" s="61"/>
      <c r="J380" s="1"/>
      <c r="K380" s="1"/>
      <c r="L380" s="1"/>
    </row>
    <row r="381" spans="1:12" ht="15.75" customHeight="1">
      <c r="A381" s="2"/>
      <c r="B381" s="1"/>
      <c r="C381" s="1"/>
      <c r="D381" s="1"/>
      <c r="E381" s="1"/>
      <c r="F381" s="1"/>
      <c r="G381" s="1"/>
      <c r="H381" s="1"/>
      <c r="I381" s="61"/>
      <c r="J381" s="1"/>
      <c r="K381" s="1"/>
      <c r="L381" s="1"/>
    </row>
    <row r="382" spans="1:12" ht="15.75" customHeight="1">
      <c r="A382" s="2"/>
      <c r="B382" s="1"/>
      <c r="C382" s="1"/>
      <c r="D382" s="1"/>
      <c r="E382" s="1"/>
      <c r="F382" s="1"/>
      <c r="G382" s="1"/>
      <c r="H382" s="1"/>
      <c r="I382" s="61"/>
      <c r="J382" s="1"/>
      <c r="K382" s="1"/>
      <c r="L382" s="1"/>
    </row>
    <row r="383" spans="1:12" ht="15.75" customHeight="1">
      <c r="A383" s="2"/>
      <c r="B383" s="1"/>
      <c r="C383" s="1"/>
      <c r="D383" s="1"/>
      <c r="E383" s="1"/>
      <c r="F383" s="1"/>
      <c r="G383" s="1"/>
      <c r="H383" s="1"/>
      <c r="I383" s="61"/>
      <c r="J383" s="1"/>
      <c r="K383" s="1"/>
      <c r="L383" s="1"/>
    </row>
    <row r="384" spans="1:12" ht="15.75" customHeight="1">
      <c r="A384" s="2"/>
      <c r="B384" s="1"/>
      <c r="C384" s="1"/>
      <c r="D384" s="1"/>
      <c r="E384" s="1"/>
      <c r="F384" s="1"/>
      <c r="G384" s="1"/>
      <c r="H384" s="1"/>
      <c r="I384" s="61"/>
      <c r="J384" s="1"/>
      <c r="K384" s="1"/>
      <c r="L384" s="1"/>
    </row>
    <row r="385" spans="1:12" ht="15.75" customHeight="1">
      <c r="A385" s="2"/>
      <c r="B385" s="1"/>
      <c r="C385" s="1"/>
      <c r="D385" s="1"/>
      <c r="E385" s="1"/>
      <c r="F385" s="1"/>
      <c r="G385" s="1"/>
      <c r="H385" s="1"/>
      <c r="I385" s="61"/>
      <c r="J385" s="1"/>
      <c r="K385" s="1"/>
      <c r="L385" s="1"/>
    </row>
    <row r="386" spans="1:12" ht="15.75" customHeight="1">
      <c r="A386" s="2"/>
      <c r="B386" s="1"/>
      <c r="C386" s="1"/>
      <c r="D386" s="1"/>
      <c r="E386" s="1"/>
      <c r="F386" s="1"/>
      <c r="G386" s="1"/>
      <c r="H386" s="1"/>
      <c r="I386" s="61"/>
      <c r="J386" s="1"/>
      <c r="K386" s="1"/>
      <c r="L386" s="1"/>
    </row>
    <row r="387" spans="1:12" ht="15.75" customHeight="1">
      <c r="A387" s="2"/>
      <c r="B387" s="1"/>
      <c r="C387" s="1"/>
      <c r="D387" s="1"/>
      <c r="E387" s="1"/>
      <c r="F387" s="1"/>
      <c r="G387" s="1"/>
      <c r="H387" s="1"/>
      <c r="I387" s="61"/>
      <c r="J387" s="1"/>
      <c r="K387" s="1"/>
      <c r="L387" s="1"/>
    </row>
    <row r="388" spans="1:12" ht="15.75" customHeight="1">
      <c r="A388" s="2"/>
      <c r="B388" s="1"/>
      <c r="C388" s="1"/>
      <c r="D388" s="1"/>
      <c r="E388" s="1"/>
      <c r="F388" s="1"/>
      <c r="G388" s="1"/>
      <c r="H388" s="1"/>
      <c r="I388" s="61"/>
      <c r="J388" s="1"/>
      <c r="K388" s="1"/>
      <c r="L388" s="1"/>
    </row>
    <row r="389" spans="1:12" ht="15.75" customHeight="1">
      <c r="A389" s="2"/>
      <c r="B389" s="1"/>
      <c r="C389" s="1"/>
      <c r="D389" s="1"/>
      <c r="E389" s="1"/>
      <c r="F389" s="1"/>
      <c r="G389" s="1"/>
      <c r="H389" s="1"/>
      <c r="I389" s="61"/>
      <c r="J389" s="1"/>
      <c r="K389" s="1"/>
      <c r="L389" s="1"/>
    </row>
    <row r="390" spans="1:12" ht="15.75" customHeight="1">
      <c r="A390" s="2"/>
      <c r="B390" s="1"/>
      <c r="C390" s="1"/>
      <c r="D390" s="1"/>
      <c r="E390" s="1"/>
      <c r="F390" s="1"/>
      <c r="G390" s="1"/>
      <c r="H390" s="1"/>
      <c r="I390" s="61"/>
      <c r="J390" s="1"/>
      <c r="K390" s="1"/>
      <c r="L390" s="1"/>
    </row>
    <row r="391" spans="1:12" ht="15.75" customHeight="1">
      <c r="A391" s="2"/>
      <c r="B391" s="1"/>
      <c r="C391" s="1"/>
      <c r="D391" s="1"/>
      <c r="E391" s="1"/>
      <c r="F391" s="1"/>
      <c r="G391" s="1"/>
      <c r="H391" s="1"/>
      <c r="I391" s="61"/>
      <c r="J391" s="1"/>
      <c r="K391" s="1"/>
      <c r="L391" s="1"/>
    </row>
    <row r="392" spans="1:12" ht="15.75" customHeight="1">
      <c r="A392" s="2"/>
      <c r="B392" s="1"/>
      <c r="C392" s="1"/>
      <c r="D392" s="1"/>
      <c r="E392" s="1"/>
      <c r="F392" s="1"/>
      <c r="G392" s="1"/>
      <c r="H392" s="1"/>
      <c r="I392" s="61"/>
      <c r="J392" s="1"/>
      <c r="K392" s="1"/>
      <c r="L392" s="1"/>
    </row>
    <row r="393" spans="1:12" ht="15.75" customHeight="1">
      <c r="A393" s="2"/>
      <c r="B393" s="1"/>
      <c r="C393" s="1"/>
      <c r="D393" s="1"/>
      <c r="E393" s="1"/>
      <c r="F393" s="1"/>
      <c r="G393" s="1"/>
      <c r="H393" s="1"/>
      <c r="I393" s="61"/>
      <c r="J393" s="1"/>
      <c r="K393" s="1"/>
      <c r="L393" s="1"/>
    </row>
    <row r="394" spans="1:12" ht="15.75" customHeight="1">
      <c r="A394" s="2"/>
      <c r="B394" s="1"/>
      <c r="C394" s="1"/>
      <c r="D394" s="1"/>
      <c r="E394" s="1"/>
      <c r="F394" s="1"/>
      <c r="G394" s="1"/>
      <c r="H394" s="1"/>
      <c r="I394" s="61"/>
      <c r="J394" s="1"/>
      <c r="K394" s="1"/>
      <c r="L394" s="1"/>
    </row>
    <row r="395" spans="1:12" ht="15.75" customHeight="1">
      <c r="A395" s="2"/>
      <c r="B395" s="1"/>
      <c r="C395" s="1"/>
      <c r="D395" s="1"/>
      <c r="E395" s="1"/>
      <c r="F395" s="1"/>
      <c r="G395" s="1"/>
      <c r="H395" s="1"/>
      <c r="I395" s="61"/>
      <c r="J395" s="1"/>
      <c r="K395" s="1"/>
      <c r="L395" s="1"/>
    </row>
    <row r="396" spans="1:12" ht="15.75" customHeight="1">
      <c r="A396" s="2"/>
      <c r="B396" s="1"/>
      <c r="C396" s="1"/>
      <c r="D396" s="1"/>
      <c r="E396" s="1"/>
      <c r="F396" s="1"/>
      <c r="G396" s="1"/>
      <c r="H396" s="1"/>
      <c r="I396" s="61"/>
      <c r="J396" s="1"/>
      <c r="K396" s="1"/>
      <c r="L396" s="1"/>
    </row>
    <row r="397" spans="1:12" ht="15.75" customHeight="1">
      <c r="A397" s="2"/>
      <c r="B397" s="1"/>
      <c r="C397" s="1"/>
      <c r="D397" s="1"/>
      <c r="E397" s="1"/>
      <c r="F397" s="1"/>
      <c r="G397" s="1"/>
      <c r="H397" s="1"/>
      <c r="I397" s="61"/>
      <c r="J397" s="1"/>
      <c r="K397" s="1"/>
      <c r="L397" s="1"/>
    </row>
    <row r="398" spans="1:12" ht="15.75" customHeight="1">
      <c r="A398" s="2"/>
      <c r="B398" s="1"/>
      <c r="C398" s="1"/>
      <c r="D398" s="1"/>
      <c r="E398" s="1"/>
      <c r="F398" s="1"/>
      <c r="G398" s="1"/>
      <c r="H398" s="1"/>
      <c r="I398" s="61"/>
      <c r="J398" s="1"/>
      <c r="K398" s="1"/>
      <c r="L398" s="1"/>
    </row>
    <row r="399" spans="1:12" ht="15.75" customHeight="1">
      <c r="A399" s="2"/>
      <c r="B399" s="1"/>
      <c r="C399" s="1"/>
      <c r="D399" s="1"/>
      <c r="E399" s="1"/>
      <c r="F399" s="1"/>
      <c r="G399" s="1"/>
      <c r="H399" s="1"/>
      <c r="I399" s="61"/>
      <c r="J399" s="1"/>
      <c r="K399" s="1"/>
      <c r="L399" s="1"/>
    </row>
    <row r="400" spans="1:12" ht="15.75" customHeight="1">
      <c r="A400" s="2"/>
      <c r="B400" s="1"/>
      <c r="C400" s="1"/>
      <c r="D400" s="1"/>
      <c r="E400" s="1"/>
      <c r="F400" s="1"/>
      <c r="G400" s="1"/>
      <c r="H400" s="1"/>
      <c r="I400" s="61"/>
      <c r="J400" s="1"/>
      <c r="K400" s="1"/>
      <c r="L400" s="1"/>
    </row>
    <row r="401" spans="1:12" ht="15.75" customHeight="1">
      <c r="A401" s="2"/>
      <c r="B401" s="1"/>
      <c r="C401" s="1"/>
      <c r="D401" s="1"/>
      <c r="E401" s="1"/>
      <c r="F401" s="1"/>
      <c r="G401" s="1"/>
      <c r="H401" s="1"/>
      <c r="I401" s="61"/>
      <c r="J401" s="1"/>
      <c r="K401" s="1"/>
      <c r="L401" s="1"/>
    </row>
    <row r="402" spans="1:12" ht="15.75" customHeight="1">
      <c r="A402" s="2"/>
      <c r="B402" s="1"/>
      <c r="C402" s="1"/>
      <c r="D402" s="1"/>
      <c r="E402" s="1"/>
      <c r="F402" s="1"/>
      <c r="G402" s="1"/>
      <c r="H402" s="1"/>
      <c r="I402" s="61"/>
      <c r="J402" s="1"/>
      <c r="K402" s="1"/>
      <c r="L402" s="1"/>
    </row>
    <row r="403" spans="1:12" ht="15.75" customHeight="1">
      <c r="A403" s="2"/>
      <c r="B403" s="1"/>
      <c r="C403" s="1"/>
      <c r="D403" s="1"/>
      <c r="E403" s="1"/>
      <c r="F403" s="1"/>
      <c r="G403" s="1"/>
      <c r="H403" s="1"/>
      <c r="I403" s="61"/>
      <c r="J403" s="1"/>
      <c r="K403" s="1"/>
      <c r="L403" s="1"/>
    </row>
    <row r="404" spans="1:12" ht="15.75" customHeight="1">
      <c r="A404" s="2"/>
      <c r="B404" s="1"/>
      <c r="C404" s="1"/>
      <c r="D404" s="1"/>
      <c r="E404" s="1"/>
      <c r="F404" s="1"/>
      <c r="G404" s="1"/>
      <c r="H404" s="1"/>
      <c r="I404" s="61"/>
      <c r="J404" s="1"/>
      <c r="K404" s="1"/>
      <c r="L404" s="1"/>
    </row>
    <row r="405" spans="1:12" ht="15.75" customHeight="1">
      <c r="A405" s="2"/>
      <c r="B405" s="1"/>
      <c r="C405" s="1"/>
      <c r="D405" s="1"/>
      <c r="E405" s="1"/>
      <c r="F405" s="1"/>
      <c r="G405" s="1"/>
      <c r="H405" s="1"/>
      <c r="I405" s="61"/>
      <c r="J405" s="1"/>
      <c r="K405" s="1"/>
      <c r="L405" s="1"/>
    </row>
    <row r="406" spans="1:12" ht="15.75" customHeight="1">
      <c r="A406" s="2"/>
      <c r="B406" s="1"/>
      <c r="C406" s="1"/>
      <c r="D406" s="1"/>
      <c r="E406" s="1"/>
      <c r="F406" s="1"/>
      <c r="G406" s="1"/>
      <c r="H406" s="1"/>
      <c r="I406" s="61"/>
      <c r="J406" s="1"/>
      <c r="K406" s="1"/>
      <c r="L406" s="1"/>
    </row>
    <row r="407" spans="1:12" ht="15.75" customHeight="1">
      <c r="A407" s="2"/>
      <c r="B407" s="1"/>
      <c r="C407" s="1"/>
      <c r="D407" s="1"/>
      <c r="E407" s="1"/>
      <c r="F407" s="1"/>
      <c r="G407" s="1"/>
      <c r="H407" s="1"/>
      <c r="I407" s="61"/>
      <c r="J407" s="1"/>
      <c r="K407" s="1"/>
      <c r="L407" s="1"/>
    </row>
    <row r="408" spans="1:12" ht="15.75" customHeight="1">
      <c r="A408" s="2"/>
      <c r="B408" s="1"/>
      <c r="C408" s="1"/>
      <c r="D408" s="1"/>
      <c r="E408" s="1"/>
      <c r="F408" s="1"/>
      <c r="G408" s="1"/>
      <c r="H408" s="1"/>
      <c r="I408" s="61"/>
      <c r="J408" s="1"/>
      <c r="K408" s="1"/>
      <c r="L408" s="1"/>
    </row>
    <row r="409" spans="1:12" ht="15.75" customHeight="1">
      <c r="A409" s="2"/>
      <c r="B409" s="1"/>
      <c r="C409" s="1"/>
      <c r="D409" s="1"/>
      <c r="E409" s="1"/>
      <c r="F409" s="1"/>
      <c r="G409" s="1"/>
      <c r="H409" s="1"/>
      <c r="I409" s="61"/>
      <c r="J409" s="1"/>
      <c r="K409" s="1"/>
      <c r="L409" s="1"/>
    </row>
    <row r="410" spans="1:12" ht="15.75" customHeight="1">
      <c r="A410" s="2"/>
      <c r="B410" s="1"/>
      <c r="C410" s="1"/>
      <c r="D410" s="1"/>
      <c r="E410" s="1"/>
      <c r="F410" s="1"/>
      <c r="G410" s="1"/>
      <c r="H410" s="1"/>
      <c r="I410" s="61"/>
      <c r="J410" s="1"/>
      <c r="K410" s="1"/>
      <c r="L410" s="1"/>
    </row>
    <row r="411" spans="1:12" ht="15.75" customHeight="1">
      <c r="A411" s="2"/>
      <c r="B411" s="1"/>
      <c r="C411" s="1"/>
      <c r="D411" s="1"/>
      <c r="E411" s="1"/>
      <c r="F411" s="1"/>
      <c r="G411" s="1"/>
      <c r="H411" s="1"/>
      <c r="I411" s="61"/>
      <c r="J411" s="1"/>
      <c r="K411" s="1"/>
      <c r="L411" s="1"/>
    </row>
    <row r="412" spans="1:12" ht="15.75" customHeight="1">
      <c r="A412" s="2"/>
      <c r="B412" s="1"/>
      <c r="C412" s="1"/>
      <c r="D412" s="1"/>
      <c r="E412" s="1"/>
      <c r="F412" s="1"/>
      <c r="G412" s="1"/>
      <c r="H412" s="1"/>
      <c r="I412" s="61"/>
      <c r="J412" s="1"/>
      <c r="K412" s="1"/>
      <c r="L412" s="1"/>
    </row>
    <row r="413" spans="1:12" ht="15.75" customHeight="1">
      <c r="A413" s="2"/>
      <c r="B413" s="1"/>
      <c r="C413" s="1"/>
      <c r="D413" s="1"/>
      <c r="E413" s="1"/>
      <c r="F413" s="1"/>
      <c r="G413" s="1"/>
      <c r="H413" s="1"/>
      <c r="I413" s="61"/>
      <c r="J413" s="1"/>
      <c r="K413" s="1"/>
      <c r="L413" s="1"/>
    </row>
    <row r="414" spans="1:12" ht="15.75" customHeight="1">
      <c r="A414" s="2"/>
      <c r="B414" s="1"/>
      <c r="C414" s="1"/>
      <c r="D414" s="1"/>
      <c r="E414" s="1"/>
      <c r="F414" s="1"/>
      <c r="G414" s="1"/>
      <c r="H414" s="1"/>
      <c r="I414" s="61"/>
      <c r="J414" s="1"/>
      <c r="K414" s="1"/>
      <c r="L414" s="1"/>
    </row>
    <row r="415" spans="1:12" ht="15.75" customHeight="1">
      <c r="A415" s="2"/>
      <c r="B415" s="1"/>
      <c r="C415" s="1"/>
      <c r="D415" s="1"/>
      <c r="E415" s="1"/>
      <c r="F415" s="1"/>
      <c r="G415" s="1"/>
      <c r="H415" s="1"/>
      <c r="I415" s="61"/>
      <c r="J415" s="1"/>
      <c r="K415" s="1"/>
      <c r="L415" s="1"/>
    </row>
    <row r="416" spans="1:12" ht="15.75" customHeight="1">
      <c r="A416" s="2"/>
      <c r="B416" s="1"/>
      <c r="C416" s="1"/>
      <c r="D416" s="1"/>
      <c r="E416" s="1"/>
      <c r="F416" s="1"/>
      <c r="G416" s="1"/>
      <c r="H416" s="1"/>
      <c r="I416" s="61"/>
      <c r="J416" s="1"/>
      <c r="K416" s="1"/>
      <c r="L416" s="1"/>
    </row>
    <row r="417" spans="1:12" ht="15.75" customHeight="1">
      <c r="A417" s="2"/>
      <c r="B417" s="1"/>
      <c r="C417" s="1"/>
      <c r="D417" s="1"/>
      <c r="E417" s="1"/>
      <c r="F417" s="1"/>
      <c r="G417" s="1"/>
      <c r="H417" s="1"/>
      <c r="I417" s="61"/>
      <c r="J417" s="1"/>
      <c r="K417" s="1"/>
      <c r="L417" s="1"/>
    </row>
    <row r="418" spans="1:12" ht="15.75" customHeight="1">
      <c r="A418" s="2"/>
      <c r="B418" s="1"/>
      <c r="C418" s="1"/>
      <c r="D418" s="1"/>
      <c r="E418" s="1"/>
      <c r="F418" s="1"/>
      <c r="G418" s="1"/>
      <c r="H418" s="1"/>
      <c r="I418" s="61"/>
      <c r="J418" s="1"/>
      <c r="K418" s="1"/>
      <c r="L418" s="1"/>
    </row>
    <row r="419" spans="1:12" ht="15.75" customHeight="1">
      <c r="A419" s="2"/>
      <c r="B419" s="1"/>
      <c r="C419" s="1"/>
      <c r="D419" s="1"/>
      <c r="E419" s="1"/>
      <c r="F419" s="1"/>
      <c r="G419" s="1"/>
      <c r="H419" s="1"/>
      <c r="I419" s="61"/>
      <c r="J419" s="1"/>
      <c r="K419" s="1"/>
      <c r="L419" s="1"/>
    </row>
    <row r="420" spans="1:12" ht="15.75" customHeight="1">
      <c r="A420" s="2"/>
      <c r="B420" s="1"/>
      <c r="C420" s="1"/>
      <c r="D420" s="1"/>
      <c r="E420" s="1"/>
      <c r="F420" s="1"/>
      <c r="G420" s="1"/>
      <c r="H420" s="1"/>
      <c r="I420" s="61"/>
      <c r="J420" s="1"/>
      <c r="K420" s="1"/>
      <c r="L420" s="1"/>
    </row>
    <row r="421" spans="1:12" ht="15.75" customHeight="1">
      <c r="A421" s="2"/>
      <c r="B421" s="1"/>
      <c r="C421" s="1"/>
      <c r="D421" s="1"/>
      <c r="E421" s="1"/>
      <c r="F421" s="1"/>
      <c r="G421" s="1"/>
      <c r="H421" s="1"/>
      <c r="I421" s="61"/>
      <c r="J421" s="1"/>
      <c r="K421" s="1"/>
      <c r="L421" s="1"/>
    </row>
    <row r="422" spans="1:12" ht="15.75" customHeight="1">
      <c r="A422" s="2"/>
      <c r="B422" s="1"/>
      <c r="C422" s="1"/>
      <c r="D422" s="1"/>
      <c r="E422" s="1"/>
      <c r="F422" s="1"/>
      <c r="G422" s="1"/>
      <c r="H422" s="1"/>
      <c r="I422" s="61"/>
      <c r="J422" s="1"/>
      <c r="K422" s="1"/>
      <c r="L422" s="1"/>
    </row>
    <row r="423" spans="1:12" ht="15.75" customHeight="1">
      <c r="A423" s="2"/>
      <c r="B423" s="1"/>
      <c r="C423" s="1"/>
      <c r="D423" s="1"/>
      <c r="E423" s="1"/>
      <c r="F423" s="1"/>
      <c r="G423" s="1"/>
      <c r="H423" s="1"/>
      <c r="I423" s="61"/>
      <c r="J423" s="1"/>
      <c r="K423" s="1"/>
      <c r="L423" s="1"/>
    </row>
    <row r="424" spans="1:12" ht="15.75" customHeight="1">
      <c r="A424" s="2"/>
      <c r="B424" s="1"/>
      <c r="C424" s="1"/>
      <c r="D424" s="1"/>
      <c r="E424" s="1"/>
      <c r="F424" s="1"/>
      <c r="G424" s="1"/>
      <c r="H424" s="1"/>
      <c r="I424" s="61"/>
      <c r="J424" s="1"/>
      <c r="K424" s="1"/>
      <c r="L424" s="1"/>
    </row>
    <row r="425" spans="1:12" ht="15.75" customHeight="1">
      <c r="A425" s="2"/>
      <c r="B425" s="1"/>
      <c r="C425" s="1"/>
      <c r="D425" s="1"/>
      <c r="E425" s="1"/>
      <c r="F425" s="1"/>
      <c r="G425" s="1"/>
      <c r="H425" s="1"/>
      <c r="I425" s="61"/>
      <c r="J425" s="1"/>
      <c r="K425" s="1"/>
      <c r="L425" s="1"/>
    </row>
    <row r="426" spans="1:12" ht="15.75" customHeight="1">
      <c r="A426" s="2"/>
      <c r="B426" s="1"/>
      <c r="C426" s="1"/>
      <c r="D426" s="1"/>
      <c r="E426" s="1"/>
      <c r="F426" s="1"/>
      <c r="G426" s="1"/>
      <c r="H426" s="1"/>
      <c r="I426" s="61"/>
      <c r="J426" s="1"/>
      <c r="K426" s="1"/>
      <c r="L426" s="1"/>
    </row>
    <row r="427" spans="1:12" ht="15.75" customHeight="1">
      <c r="A427" s="2"/>
      <c r="B427" s="1"/>
      <c r="C427" s="1"/>
      <c r="D427" s="1"/>
      <c r="E427" s="1"/>
      <c r="F427" s="1"/>
      <c r="G427" s="1"/>
      <c r="H427" s="1"/>
      <c r="I427" s="61"/>
      <c r="J427" s="1"/>
      <c r="K427" s="1"/>
      <c r="L427" s="1"/>
    </row>
    <row r="428" spans="1:12" ht="15.75" customHeight="1">
      <c r="A428" s="2"/>
      <c r="B428" s="1"/>
      <c r="C428" s="1"/>
      <c r="D428" s="1"/>
      <c r="E428" s="1"/>
      <c r="F428" s="1"/>
      <c r="G428" s="1"/>
      <c r="H428" s="1"/>
      <c r="I428" s="61"/>
      <c r="J428" s="1"/>
      <c r="K428" s="1"/>
      <c r="L428" s="1"/>
    </row>
    <row r="429" spans="1:12" ht="15.75" customHeight="1">
      <c r="A429" s="2"/>
      <c r="B429" s="1"/>
      <c r="C429" s="1"/>
      <c r="D429" s="1"/>
      <c r="E429" s="1"/>
      <c r="F429" s="1"/>
      <c r="G429" s="1"/>
      <c r="H429" s="1"/>
      <c r="I429" s="61"/>
      <c r="J429" s="1"/>
      <c r="K429" s="1"/>
      <c r="L429" s="1"/>
    </row>
    <row r="430" spans="1:12" ht="15.75" customHeight="1">
      <c r="A430" s="2"/>
      <c r="B430" s="1"/>
      <c r="C430" s="1"/>
      <c r="D430" s="1"/>
      <c r="E430" s="1"/>
      <c r="F430" s="1"/>
      <c r="G430" s="1"/>
      <c r="H430" s="1"/>
      <c r="I430" s="61"/>
      <c r="J430" s="1"/>
      <c r="K430" s="1"/>
      <c r="L430" s="1"/>
    </row>
    <row r="431" spans="1:12" ht="15.75" customHeight="1">
      <c r="A431" s="2"/>
      <c r="B431" s="1"/>
      <c r="C431" s="1"/>
      <c r="D431" s="1"/>
      <c r="E431" s="1"/>
      <c r="F431" s="1"/>
      <c r="G431" s="1"/>
      <c r="H431" s="1"/>
      <c r="I431" s="61"/>
      <c r="J431" s="1"/>
      <c r="K431" s="1"/>
      <c r="L431" s="1"/>
    </row>
    <row r="432" spans="1:12" ht="15.75" customHeight="1">
      <c r="A432" s="2"/>
      <c r="B432" s="1"/>
      <c r="C432" s="1"/>
      <c r="D432" s="1"/>
      <c r="E432" s="1"/>
      <c r="F432" s="1"/>
      <c r="G432" s="1"/>
      <c r="H432" s="1"/>
      <c r="I432" s="61"/>
      <c r="J432" s="1"/>
      <c r="K432" s="1"/>
      <c r="L432" s="1"/>
    </row>
    <row r="433" spans="1:12" ht="15.75" customHeight="1">
      <c r="A433" s="2"/>
      <c r="B433" s="1"/>
      <c r="C433" s="1"/>
      <c r="D433" s="1"/>
      <c r="E433" s="1"/>
      <c r="F433" s="1"/>
      <c r="G433" s="1"/>
      <c r="H433" s="1"/>
      <c r="I433" s="61"/>
      <c r="J433" s="1"/>
      <c r="K433" s="1"/>
      <c r="L433" s="1"/>
    </row>
    <row r="434" spans="1:12" ht="15.75" customHeight="1">
      <c r="A434" s="2"/>
      <c r="B434" s="1"/>
      <c r="C434" s="1"/>
      <c r="D434" s="1"/>
      <c r="E434" s="1"/>
      <c r="F434" s="1"/>
      <c r="G434" s="1"/>
      <c r="H434" s="1"/>
      <c r="I434" s="61"/>
      <c r="J434" s="1"/>
      <c r="K434" s="1"/>
      <c r="L434" s="1"/>
    </row>
    <row r="435" spans="1:12" ht="15.75" customHeight="1">
      <c r="A435" s="2"/>
      <c r="B435" s="1"/>
      <c r="C435" s="1"/>
      <c r="D435" s="1"/>
      <c r="E435" s="1"/>
      <c r="F435" s="1"/>
      <c r="G435" s="1"/>
      <c r="H435" s="1"/>
      <c r="I435" s="61"/>
      <c r="J435" s="1"/>
      <c r="K435" s="1"/>
      <c r="L435" s="1"/>
    </row>
    <row r="436" spans="1:12" ht="15.75" customHeight="1">
      <c r="A436" s="2"/>
      <c r="B436" s="1"/>
      <c r="C436" s="1"/>
      <c r="D436" s="1"/>
      <c r="E436" s="1"/>
      <c r="F436" s="1"/>
      <c r="G436" s="1"/>
      <c r="H436" s="1"/>
      <c r="I436" s="61"/>
      <c r="J436" s="1"/>
      <c r="K436" s="1"/>
      <c r="L436" s="1"/>
    </row>
    <row r="437" spans="1:12" ht="15.75" customHeight="1">
      <c r="A437" s="2"/>
      <c r="B437" s="1"/>
      <c r="C437" s="1"/>
      <c r="D437" s="1"/>
      <c r="E437" s="1"/>
      <c r="F437" s="1"/>
      <c r="G437" s="1"/>
      <c r="H437" s="1"/>
      <c r="I437" s="61"/>
      <c r="J437" s="1"/>
      <c r="K437" s="1"/>
      <c r="L437" s="1"/>
    </row>
    <row r="438" spans="1:12" ht="15.75" customHeight="1">
      <c r="A438" s="2"/>
      <c r="B438" s="1"/>
      <c r="C438" s="1"/>
      <c r="D438" s="1"/>
      <c r="E438" s="1"/>
      <c r="F438" s="1"/>
      <c r="G438" s="1"/>
      <c r="H438" s="1"/>
      <c r="I438" s="61"/>
      <c r="J438" s="1"/>
      <c r="K438" s="1"/>
      <c r="L438" s="1"/>
    </row>
    <row r="439" spans="1:12" ht="15.75" customHeight="1">
      <c r="A439" s="2"/>
      <c r="B439" s="1"/>
      <c r="C439" s="1"/>
      <c r="D439" s="1"/>
      <c r="E439" s="1"/>
      <c r="F439" s="1"/>
      <c r="G439" s="1"/>
      <c r="H439" s="1"/>
      <c r="I439" s="61"/>
      <c r="J439" s="1"/>
      <c r="K439" s="1"/>
      <c r="L439" s="1"/>
    </row>
    <row r="440" spans="1:12" ht="15.75" customHeight="1">
      <c r="A440" s="2"/>
      <c r="B440" s="1"/>
      <c r="C440" s="1"/>
      <c r="D440" s="1"/>
      <c r="E440" s="1"/>
      <c r="F440" s="1"/>
      <c r="G440" s="1"/>
      <c r="H440" s="1"/>
      <c r="I440" s="61"/>
      <c r="J440" s="1"/>
      <c r="K440" s="1"/>
      <c r="L440" s="1"/>
    </row>
    <row r="441" spans="1:12" ht="15.75" customHeight="1">
      <c r="A441" s="2"/>
      <c r="B441" s="1"/>
      <c r="C441" s="1"/>
      <c r="D441" s="1"/>
      <c r="E441" s="1"/>
      <c r="F441" s="1"/>
      <c r="G441" s="1"/>
      <c r="H441" s="1"/>
      <c r="I441" s="61"/>
      <c r="J441" s="1"/>
      <c r="K441" s="1"/>
      <c r="L441" s="1"/>
    </row>
    <row r="442" spans="1:12" ht="15.75" customHeight="1">
      <c r="A442" s="2"/>
      <c r="B442" s="1"/>
      <c r="C442" s="1"/>
      <c r="D442" s="1"/>
      <c r="E442" s="1"/>
      <c r="F442" s="1"/>
      <c r="G442" s="1"/>
      <c r="H442" s="1"/>
      <c r="I442" s="61"/>
      <c r="J442" s="1"/>
      <c r="K442" s="1"/>
      <c r="L442" s="1"/>
    </row>
    <row r="443" spans="1:12" ht="15.75" customHeight="1">
      <c r="A443" s="2"/>
      <c r="B443" s="1"/>
      <c r="C443" s="1"/>
      <c r="D443" s="1"/>
      <c r="E443" s="1"/>
      <c r="F443" s="1"/>
      <c r="G443" s="1"/>
      <c r="H443" s="1"/>
      <c r="I443" s="61"/>
      <c r="J443" s="1"/>
      <c r="K443" s="1"/>
      <c r="L443" s="1"/>
    </row>
    <row r="444" spans="1:12" ht="15.75" customHeight="1">
      <c r="A444" s="2"/>
      <c r="B444" s="1"/>
      <c r="C444" s="1"/>
      <c r="D444" s="1"/>
      <c r="E444" s="1"/>
      <c r="F444" s="1"/>
      <c r="G444" s="1"/>
      <c r="H444" s="1"/>
      <c r="I444" s="61"/>
      <c r="J444" s="1"/>
      <c r="K444" s="1"/>
      <c r="L444" s="1"/>
    </row>
    <row r="445" spans="1:12" ht="15.75" customHeight="1">
      <c r="A445" s="2"/>
      <c r="B445" s="1"/>
      <c r="C445" s="1"/>
      <c r="D445" s="1"/>
      <c r="E445" s="1"/>
      <c r="F445" s="1"/>
      <c r="G445" s="1"/>
      <c r="H445" s="1"/>
      <c r="I445" s="61"/>
      <c r="J445" s="1"/>
      <c r="K445" s="1"/>
      <c r="L445" s="1"/>
    </row>
    <row r="446" spans="1:12" ht="15.75" customHeight="1">
      <c r="A446" s="2"/>
      <c r="B446" s="1"/>
      <c r="C446" s="1"/>
      <c r="D446" s="1"/>
      <c r="E446" s="1"/>
      <c r="F446" s="1"/>
      <c r="G446" s="1"/>
      <c r="H446" s="1"/>
      <c r="I446" s="61"/>
      <c r="J446" s="1"/>
      <c r="K446" s="1"/>
      <c r="L446" s="1"/>
    </row>
    <row r="447" spans="1:12" ht="15.75" customHeight="1">
      <c r="A447" s="2"/>
      <c r="B447" s="1"/>
      <c r="C447" s="1"/>
      <c r="D447" s="1"/>
      <c r="E447" s="1"/>
      <c r="F447" s="1"/>
      <c r="G447" s="1"/>
      <c r="H447" s="1"/>
      <c r="I447" s="61"/>
      <c r="J447" s="1"/>
      <c r="K447" s="1"/>
      <c r="L447" s="1"/>
    </row>
    <row r="448" spans="1:12" ht="15.75" customHeight="1">
      <c r="A448" s="2"/>
      <c r="B448" s="1"/>
      <c r="C448" s="1"/>
      <c r="D448" s="1"/>
      <c r="E448" s="1"/>
      <c r="F448" s="1"/>
      <c r="G448" s="1"/>
      <c r="H448" s="1"/>
      <c r="I448" s="61"/>
      <c r="J448" s="1"/>
      <c r="K448" s="1"/>
      <c r="L448" s="1"/>
    </row>
    <row r="449" spans="1:12" ht="15.75" customHeight="1">
      <c r="A449" s="2"/>
      <c r="B449" s="1"/>
      <c r="C449" s="1"/>
      <c r="D449" s="1"/>
      <c r="E449" s="1"/>
      <c r="F449" s="1"/>
      <c r="G449" s="1"/>
      <c r="H449" s="1"/>
      <c r="I449" s="61"/>
      <c r="J449" s="1"/>
      <c r="K449" s="1"/>
      <c r="L449" s="1"/>
    </row>
    <row r="450" spans="1:12" ht="15.75" customHeight="1">
      <c r="A450" s="2"/>
      <c r="B450" s="1"/>
      <c r="C450" s="1"/>
      <c r="D450" s="1"/>
      <c r="E450" s="1"/>
      <c r="F450" s="1"/>
      <c r="G450" s="1"/>
      <c r="H450" s="1"/>
      <c r="I450" s="61"/>
      <c r="J450" s="1"/>
      <c r="K450" s="1"/>
      <c r="L450" s="1"/>
    </row>
    <row r="451" spans="1:12" ht="15.75" customHeight="1">
      <c r="A451" s="2"/>
      <c r="B451" s="1"/>
      <c r="C451" s="1"/>
      <c r="D451" s="1"/>
      <c r="E451" s="1"/>
      <c r="F451" s="1"/>
      <c r="G451" s="1"/>
      <c r="H451" s="1"/>
      <c r="I451" s="61"/>
      <c r="J451" s="1"/>
      <c r="K451" s="1"/>
      <c r="L451" s="1"/>
    </row>
    <row r="452" spans="1:12" ht="15.75" customHeight="1">
      <c r="A452" s="2"/>
      <c r="B452" s="1"/>
      <c r="C452" s="1"/>
      <c r="D452" s="1"/>
      <c r="E452" s="1"/>
      <c r="F452" s="1"/>
      <c r="G452" s="1"/>
      <c r="H452" s="1"/>
      <c r="I452" s="61"/>
      <c r="J452" s="1"/>
      <c r="K452" s="1"/>
      <c r="L452" s="1"/>
    </row>
    <row r="453" spans="1:12" ht="15.75" customHeight="1">
      <c r="A453" s="2"/>
      <c r="B453" s="1"/>
      <c r="C453" s="1"/>
      <c r="D453" s="1"/>
      <c r="E453" s="1"/>
      <c r="F453" s="1"/>
      <c r="G453" s="1"/>
      <c r="H453" s="1"/>
      <c r="I453" s="61"/>
      <c r="J453" s="1"/>
      <c r="K453" s="1"/>
      <c r="L453" s="1"/>
    </row>
    <row r="454" spans="1:12" ht="15.75" customHeight="1">
      <c r="A454" s="2"/>
      <c r="B454" s="1"/>
      <c r="C454" s="1"/>
      <c r="D454" s="1"/>
      <c r="E454" s="1"/>
      <c r="F454" s="1"/>
      <c r="G454" s="1"/>
      <c r="H454" s="1"/>
      <c r="I454" s="61"/>
      <c r="J454" s="1"/>
      <c r="K454" s="1"/>
      <c r="L454" s="1"/>
    </row>
    <row r="455" spans="1:12" ht="15.75" customHeight="1">
      <c r="A455" s="2"/>
      <c r="B455" s="1"/>
      <c r="C455" s="1"/>
      <c r="D455" s="1"/>
      <c r="E455" s="1"/>
      <c r="F455" s="1"/>
      <c r="G455" s="1"/>
      <c r="H455" s="1"/>
      <c r="I455" s="61"/>
      <c r="J455" s="1"/>
      <c r="K455" s="1"/>
      <c r="L455" s="1"/>
    </row>
    <row r="456" spans="1:12" ht="15.75" customHeight="1">
      <c r="A456" s="2"/>
      <c r="B456" s="1"/>
      <c r="C456" s="1"/>
      <c r="D456" s="1"/>
      <c r="E456" s="1"/>
      <c r="F456" s="1"/>
      <c r="G456" s="1"/>
      <c r="H456" s="1"/>
      <c r="I456" s="61"/>
      <c r="J456" s="1"/>
      <c r="K456" s="1"/>
      <c r="L456" s="1"/>
    </row>
    <row r="457" spans="1:12" ht="15.75" customHeight="1">
      <c r="A457" s="2"/>
      <c r="B457" s="1"/>
      <c r="C457" s="1"/>
      <c r="D457" s="1"/>
      <c r="E457" s="1"/>
      <c r="F457" s="1"/>
      <c r="G457" s="1"/>
      <c r="H457" s="1"/>
      <c r="I457" s="61"/>
      <c r="J457" s="1"/>
      <c r="K457" s="1"/>
      <c r="L457" s="1"/>
    </row>
    <row r="458" spans="1:12" ht="15.75" customHeight="1">
      <c r="A458" s="2"/>
      <c r="B458" s="1"/>
      <c r="C458" s="1"/>
      <c r="D458" s="1"/>
      <c r="E458" s="1"/>
      <c r="F458" s="1"/>
      <c r="G458" s="1"/>
      <c r="H458" s="1"/>
      <c r="I458" s="61"/>
      <c r="J458" s="1"/>
      <c r="K458" s="1"/>
      <c r="L458" s="1"/>
    </row>
    <row r="459" spans="1:12" ht="15.75" customHeight="1">
      <c r="A459" s="2"/>
      <c r="B459" s="1"/>
      <c r="C459" s="1"/>
      <c r="D459" s="1"/>
      <c r="E459" s="1"/>
      <c r="F459" s="1"/>
      <c r="G459" s="1"/>
      <c r="H459" s="1"/>
      <c r="I459" s="61"/>
      <c r="J459" s="1"/>
      <c r="K459" s="1"/>
      <c r="L459" s="1"/>
    </row>
    <row r="460" spans="1:12" ht="15.75" customHeight="1">
      <c r="A460" s="2"/>
      <c r="B460" s="1"/>
      <c r="C460" s="1"/>
      <c r="D460" s="1"/>
      <c r="E460" s="1"/>
      <c r="F460" s="1"/>
      <c r="G460" s="1"/>
      <c r="H460" s="1"/>
      <c r="I460" s="61"/>
      <c r="J460" s="1"/>
      <c r="K460" s="1"/>
      <c r="L460" s="1"/>
    </row>
    <row r="461" spans="1:12" ht="15.75" customHeight="1">
      <c r="A461" s="2"/>
      <c r="B461" s="1"/>
      <c r="C461" s="1"/>
      <c r="D461" s="1"/>
      <c r="E461" s="1"/>
      <c r="F461" s="1"/>
      <c r="G461" s="1"/>
      <c r="H461" s="1"/>
      <c r="I461" s="61"/>
      <c r="J461" s="1"/>
      <c r="K461" s="1"/>
      <c r="L461" s="1"/>
    </row>
    <row r="462" spans="1:12" ht="15.75" customHeight="1">
      <c r="A462" s="2"/>
      <c r="B462" s="1"/>
      <c r="C462" s="1"/>
      <c r="D462" s="1"/>
      <c r="E462" s="1"/>
      <c r="F462" s="1"/>
      <c r="G462" s="1"/>
      <c r="H462" s="1"/>
      <c r="I462" s="61"/>
      <c r="J462" s="1"/>
      <c r="K462" s="1"/>
      <c r="L462" s="1"/>
    </row>
    <row r="463" spans="1:12" ht="15.75" customHeight="1">
      <c r="A463" s="2"/>
      <c r="B463" s="1"/>
      <c r="C463" s="1"/>
      <c r="D463" s="1"/>
      <c r="E463" s="1"/>
      <c r="F463" s="1"/>
      <c r="G463" s="1"/>
      <c r="H463" s="1"/>
      <c r="I463" s="61"/>
      <c r="J463" s="1"/>
      <c r="K463" s="1"/>
      <c r="L463" s="1"/>
    </row>
    <row r="464" spans="1:12" ht="15.75" customHeight="1">
      <c r="A464" s="2"/>
      <c r="B464" s="1"/>
      <c r="C464" s="1"/>
      <c r="D464" s="1"/>
      <c r="E464" s="1"/>
      <c r="F464" s="1"/>
      <c r="G464" s="1"/>
      <c r="H464" s="1"/>
      <c r="I464" s="61"/>
      <c r="J464" s="1"/>
      <c r="K464" s="1"/>
      <c r="L464" s="1"/>
    </row>
    <row r="465" spans="1:12" ht="15.75" customHeight="1">
      <c r="A465" s="2"/>
      <c r="B465" s="1"/>
      <c r="C465" s="1"/>
      <c r="D465" s="1"/>
      <c r="E465" s="1"/>
      <c r="F465" s="1"/>
      <c r="G465" s="1"/>
      <c r="H465" s="1"/>
      <c r="I465" s="61"/>
      <c r="J465" s="1"/>
      <c r="K465" s="1"/>
      <c r="L465" s="1"/>
    </row>
    <row r="466" spans="1:12" ht="15.75" customHeight="1">
      <c r="A466" s="2"/>
      <c r="B466" s="1"/>
      <c r="C466" s="1"/>
      <c r="D466" s="1"/>
      <c r="E466" s="1"/>
      <c r="F466" s="1"/>
      <c r="G466" s="1"/>
      <c r="H466" s="1"/>
      <c r="I466" s="61"/>
      <c r="J466" s="1"/>
      <c r="K466" s="1"/>
      <c r="L466" s="1"/>
    </row>
    <row r="467" spans="1:12" ht="15.75" customHeight="1">
      <c r="A467" s="2"/>
      <c r="B467" s="1"/>
      <c r="C467" s="1"/>
      <c r="D467" s="1"/>
      <c r="E467" s="1"/>
      <c r="F467" s="1"/>
      <c r="G467" s="1"/>
      <c r="H467" s="1"/>
      <c r="I467" s="61"/>
      <c r="J467" s="1"/>
      <c r="K467" s="1"/>
      <c r="L467" s="1"/>
    </row>
    <row r="468" spans="1:12" ht="15.75" customHeight="1">
      <c r="A468" s="2"/>
      <c r="B468" s="1"/>
      <c r="C468" s="1"/>
      <c r="D468" s="1"/>
      <c r="E468" s="1"/>
      <c r="F468" s="1"/>
      <c r="G468" s="1"/>
      <c r="H468" s="1"/>
      <c r="I468" s="61"/>
      <c r="J468" s="1"/>
      <c r="K468" s="1"/>
      <c r="L468" s="1"/>
    </row>
    <row r="469" spans="1:12" ht="15.75" customHeight="1">
      <c r="A469" s="2"/>
      <c r="B469" s="1"/>
      <c r="C469" s="1"/>
      <c r="D469" s="1"/>
      <c r="E469" s="1"/>
      <c r="F469" s="1"/>
      <c r="G469" s="1"/>
      <c r="H469" s="1"/>
      <c r="I469" s="61"/>
      <c r="J469" s="1"/>
      <c r="K469" s="1"/>
      <c r="L469" s="1"/>
    </row>
    <row r="470" spans="1:12" ht="15.75" customHeight="1">
      <c r="A470" s="2"/>
      <c r="B470" s="1"/>
      <c r="C470" s="1"/>
      <c r="D470" s="1"/>
      <c r="E470" s="1"/>
      <c r="F470" s="1"/>
      <c r="G470" s="1"/>
      <c r="H470" s="1"/>
      <c r="I470" s="61"/>
      <c r="J470" s="1"/>
      <c r="K470" s="1"/>
      <c r="L470" s="1"/>
    </row>
    <row r="471" spans="1:12" ht="15.75" customHeight="1">
      <c r="A471" s="2"/>
      <c r="B471" s="1"/>
      <c r="C471" s="1"/>
      <c r="D471" s="1"/>
      <c r="E471" s="1"/>
      <c r="F471" s="1"/>
      <c r="G471" s="1"/>
      <c r="H471" s="1"/>
      <c r="I471" s="61"/>
      <c r="J471" s="1"/>
      <c r="K471" s="1"/>
      <c r="L471" s="1"/>
    </row>
    <row r="472" spans="1:12" ht="15.75" customHeight="1">
      <c r="A472" s="2"/>
      <c r="B472" s="1"/>
      <c r="C472" s="1"/>
      <c r="D472" s="1"/>
      <c r="E472" s="1"/>
      <c r="F472" s="1"/>
      <c r="G472" s="1"/>
      <c r="H472" s="1"/>
      <c r="I472" s="61"/>
      <c r="J472" s="1"/>
      <c r="K472" s="1"/>
      <c r="L472" s="1"/>
    </row>
    <row r="473" spans="1:12" ht="15.75" customHeight="1">
      <c r="A473" s="2"/>
      <c r="B473" s="1"/>
      <c r="C473" s="1"/>
      <c r="D473" s="1"/>
      <c r="E473" s="1"/>
      <c r="F473" s="1"/>
      <c r="G473" s="1"/>
      <c r="H473" s="1"/>
      <c r="I473" s="61"/>
      <c r="J473" s="1"/>
      <c r="K473" s="1"/>
      <c r="L473" s="1"/>
    </row>
    <row r="474" spans="1:12" ht="15.75" customHeight="1">
      <c r="A474" s="2"/>
      <c r="B474" s="1"/>
      <c r="C474" s="1"/>
      <c r="D474" s="1"/>
      <c r="E474" s="1"/>
      <c r="F474" s="1"/>
      <c r="G474" s="1"/>
      <c r="H474" s="1"/>
      <c r="I474" s="61"/>
      <c r="J474" s="1"/>
      <c r="K474" s="1"/>
      <c r="L474" s="1"/>
    </row>
    <row r="475" spans="1:12" ht="15.75" customHeight="1">
      <c r="A475" s="2"/>
      <c r="B475" s="1"/>
      <c r="C475" s="1"/>
      <c r="D475" s="1"/>
      <c r="E475" s="1"/>
      <c r="F475" s="1"/>
      <c r="G475" s="1"/>
      <c r="H475" s="1"/>
      <c r="I475" s="61"/>
      <c r="J475" s="1"/>
      <c r="K475" s="1"/>
      <c r="L475" s="1"/>
    </row>
    <row r="476" spans="1:12" ht="15.75" customHeight="1">
      <c r="A476" s="2"/>
      <c r="B476" s="1"/>
      <c r="C476" s="1"/>
      <c r="D476" s="1"/>
      <c r="E476" s="1"/>
      <c r="F476" s="1"/>
      <c r="G476" s="1"/>
      <c r="H476" s="1"/>
      <c r="I476" s="61"/>
      <c r="J476" s="1"/>
      <c r="K476" s="1"/>
      <c r="L476" s="1"/>
    </row>
    <row r="477" spans="1:12" ht="15.75" customHeight="1">
      <c r="A477" s="2"/>
      <c r="B477" s="1"/>
      <c r="C477" s="1"/>
      <c r="D477" s="1"/>
      <c r="E477" s="1"/>
      <c r="F477" s="1"/>
      <c r="G477" s="1"/>
      <c r="H477" s="1"/>
      <c r="I477" s="61"/>
      <c r="J477" s="1"/>
      <c r="K477" s="1"/>
      <c r="L477" s="1"/>
    </row>
    <row r="478" spans="1:12" ht="15.75" customHeight="1">
      <c r="A478" s="2"/>
      <c r="B478" s="1"/>
      <c r="C478" s="1"/>
      <c r="D478" s="1"/>
      <c r="E478" s="1"/>
      <c r="F478" s="1"/>
      <c r="G478" s="1"/>
      <c r="H478" s="1"/>
      <c r="I478" s="61"/>
      <c r="J478" s="1"/>
      <c r="K478" s="1"/>
      <c r="L478" s="1"/>
    </row>
    <row r="479" spans="1:12" ht="15.75" customHeight="1">
      <c r="A479" s="2"/>
      <c r="B479" s="1"/>
      <c r="C479" s="1"/>
      <c r="D479" s="1"/>
      <c r="E479" s="1"/>
      <c r="F479" s="1"/>
      <c r="G479" s="1"/>
      <c r="H479" s="1"/>
      <c r="I479" s="61"/>
      <c r="J479" s="1"/>
      <c r="K479" s="1"/>
      <c r="L479" s="1"/>
    </row>
    <row r="480" spans="1:12" ht="15.75" customHeight="1">
      <c r="A480" s="2"/>
      <c r="B480" s="1"/>
      <c r="C480" s="1"/>
      <c r="D480" s="1"/>
      <c r="E480" s="1"/>
      <c r="F480" s="1"/>
      <c r="G480" s="1"/>
      <c r="H480" s="1"/>
      <c r="I480" s="61"/>
      <c r="J480" s="1"/>
      <c r="K480" s="1"/>
      <c r="L480" s="1"/>
    </row>
    <row r="481" spans="1:12" ht="15.75" customHeight="1">
      <c r="A481" s="2"/>
      <c r="B481" s="1"/>
      <c r="C481" s="1"/>
      <c r="D481" s="1"/>
      <c r="E481" s="1"/>
      <c r="F481" s="1"/>
      <c r="G481" s="1"/>
      <c r="H481" s="1"/>
      <c r="I481" s="61"/>
      <c r="J481" s="1"/>
      <c r="K481" s="1"/>
      <c r="L481" s="1"/>
    </row>
    <row r="482" spans="1:12" ht="15.75" customHeight="1">
      <c r="A482" s="2"/>
      <c r="B482" s="1"/>
      <c r="C482" s="1"/>
      <c r="D482" s="1"/>
      <c r="E482" s="1"/>
      <c r="F482" s="1"/>
      <c r="G482" s="1"/>
      <c r="H482" s="1"/>
      <c r="I482" s="61"/>
      <c r="J482" s="1"/>
      <c r="K482" s="1"/>
      <c r="L482" s="1"/>
    </row>
    <row r="483" spans="1:12" ht="15.75" customHeight="1">
      <c r="A483" s="2"/>
      <c r="B483" s="1"/>
      <c r="C483" s="1"/>
      <c r="D483" s="1"/>
      <c r="E483" s="1"/>
      <c r="F483" s="1"/>
      <c r="G483" s="1"/>
      <c r="H483" s="1"/>
      <c r="I483" s="61"/>
      <c r="J483" s="1"/>
      <c r="K483" s="1"/>
      <c r="L483" s="1"/>
    </row>
    <row r="484" spans="1:12" ht="15.75" customHeight="1">
      <c r="A484" s="2"/>
      <c r="B484" s="1"/>
      <c r="C484" s="1"/>
      <c r="D484" s="1"/>
      <c r="E484" s="1"/>
      <c r="F484" s="1"/>
      <c r="G484" s="1"/>
      <c r="H484" s="1"/>
      <c r="I484" s="61"/>
      <c r="J484" s="1"/>
      <c r="K484" s="1"/>
      <c r="L484" s="1"/>
    </row>
    <row r="485" spans="1:12" ht="15.75" customHeight="1">
      <c r="A485" s="2"/>
      <c r="B485" s="1"/>
      <c r="C485" s="1"/>
      <c r="D485" s="1"/>
      <c r="E485" s="1"/>
      <c r="F485" s="1"/>
      <c r="G485" s="1"/>
      <c r="H485" s="1"/>
      <c r="I485" s="61"/>
      <c r="J485" s="1"/>
      <c r="K485" s="1"/>
      <c r="L485" s="1"/>
    </row>
    <row r="486" spans="1:12" ht="15.75" customHeight="1">
      <c r="A486" s="2"/>
      <c r="B486" s="1"/>
      <c r="C486" s="1"/>
      <c r="D486" s="1"/>
      <c r="E486" s="1"/>
      <c r="F486" s="1"/>
      <c r="G486" s="1"/>
      <c r="H486" s="1"/>
      <c r="I486" s="61"/>
      <c r="J486" s="1"/>
      <c r="K486" s="1"/>
      <c r="L486" s="1"/>
    </row>
    <row r="487" spans="1:12" ht="15.75" customHeight="1">
      <c r="A487" s="2"/>
      <c r="B487" s="1"/>
      <c r="C487" s="1"/>
      <c r="D487" s="1"/>
      <c r="E487" s="1"/>
      <c r="F487" s="1"/>
      <c r="G487" s="1"/>
      <c r="H487" s="1"/>
      <c r="I487" s="61"/>
      <c r="J487" s="1"/>
      <c r="K487" s="1"/>
      <c r="L487" s="1"/>
    </row>
    <row r="488" spans="1:12" ht="15.75" customHeight="1">
      <c r="A488" s="2"/>
      <c r="B488" s="1"/>
      <c r="C488" s="1"/>
      <c r="D488" s="1"/>
      <c r="E488" s="1"/>
      <c r="F488" s="1"/>
      <c r="G488" s="1"/>
      <c r="H488" s="1"/>
      <c r="I488" s="61"/>
      <c r="J488" s="1"/>
      <c r="K488" s="1"/>
      <c r="L488" s="1"/>
    </row>
    <row r="489" spans="1:12" ht="15.75" customHeight="1">
      <c r="A489" s="2"/>
      <c r="B489" s="1"/>
      <c r="C489" s="1"/>
      <c r="D489" s="1"/>
      <c r="E489" s="1"/>
      <c r="F489" s="1"/>
      <c r="G489" s="1"/>
      <c r="H489" s="1"/>
      <c r="I489" s="61"/>
      <c r="J489" s="1"/>
      <c r="K489" s="1"/>
      <c r="L489" s="1"/>
    </row>
    <row r="490" spans="1:12" ht="15.75" customHeight="1">
      <c r="A490" s="2"/>
      <c r="B490" s="1"/>
      <c r="C490" s="1"/>
      <c r="D490" s="1"/>
      <c r="E490" s="1"/>
      <c r="F490" s="1"/>
      <c r="G490" s="1"/>
      <c r="H490" s="1"/>
      <c r="I490" s="61"/>
      <c r="J490" s="1"/>
      <c r="K490" s="1"/>
      <c r="L490" s="1"/>
    </row>
    <row r="491" spans="1:12" ht="15.75" customHeight="1">
      <c r="A491" s="2"/>
      <c r="B491" s="1"/>
      <c r="C491" s="1"/>
      <c r="D491" s="1"/>
      <c r="E491" s="1"/>
      <c r="F491" s="1"/>
      <c r="G491" s="1"/>
      <c r="H491" s="1"/>
      <c r="I491" s="61"/>
      <c r="J491" s="1"/>
      <c r="K491" s="1"/>
      <c r="L491" s="1"/>
    </row>
    <row r="492" spans="1:12" ht="15.75" customHeight="1">
      <c r="A492" s="2"/>
      <c r="B492" s="1"/>
      <c r="C492" s="1"/>
      <c r="D492" s="1"/>
      <c r="E492" s="1"/>
      <c r="F492" s="1"/>
      <c r="G492" s="1"/>
      <c r="H492" s="1"/>
      <c r="I492" s="61"/>
      <c r="J492" s="1"/>
      <c r="K492" s="1"/>
      <c r="L492" s="1"/>
    </row>
    <row r="493" spans="1:12" ht="15.75" customHeight="1">
      <c r="A493" s="2"/>
      <c r="B493" s="1"/>
      <c r="C493" s="1"/>
      <c r="D493" s="1"/>
      <c r="E493" s="1"/>
      <c r="F493" s="1"/>
      <c r="G493" s="1"/>
      <c r="H493" s="1"/>
      <c r="I493" s="61"/>
      <c r="J493" s="1"/>
      <c r="K493" s="1"/>
      <c r="L493" s="1"/>
    </row>
    <row r="494" spans="1:12" ht="15.75" customHeight="1">
      <c r="A494" s="2"/>
      <c r="B494" s="1"/>
      <c r="C494" s="1"/>
      <c r="D494" s="1"/>
      <c r="E494" s="1"/>
      <c r="F494" s="1"/>
      <c r="G494" s="1"/>
      <c r="H494" s="1"/>
      <c r="I494" s="61"/>
      <c r="J494" s="1"/>
      <c r="K494" s="1"/>
      <c r="L494" s="1"/>
    </row>
    <row r="495" spans="1:12" ht="15.75" customHeight="1">
      <c r="A495" s="2"/>
      <c r="B495" s="1"/>
      <c r="C495" s="1"/>
      <c r="D495" s="1"/>
      <c r="E495" s="1"/>
      <c r="F495" s="1"/>
      <c r="G495" s="1"/>
      <c r="H495" s="1"/>
      <c r="I495" s="61"/>
      <c r="J495" s="1"/>
      <c r="K495" s="1"/>
      <c r="L495" s="1"/>
    </row>
    <row r="496" spans="1:12" ht="15.75" customHeight="1">
      <c r="A496" s="2"/>
      <c r="B496" s="1"/>
      <c r="C496" s="1"/>
      <c r="D496" s="1"/>
      <c r="E496" s="1"/>
      <c r="F496" s="1"/>
      <c r="G496" s="1"/>
      <c r="H496" s="1"/>
      <c r="I496" s="61"/>
      <c r="J496" s="1"/>
      <c r="K496" s="1"/>
      <c r="L496" s="1"/>
    </row>
    <row r="497" spans="1:12" ht="15.75" customHeight="1">
      <c r="A497" s="2"/>
      <c r="B497" s="1"/>
      <c r="C497" s="1"/>
      <c r="D497" s="1"/>
      <c r="E497" s="1"/>
      <c r="F497" s="1"/>
      <c r="G497" s="1"/>
      <c r="H497" s="1"/>
      <c r="I497" s="61"/>
      <c r="J497" s="1"/>
      <c r="K497" s="1"/>
      <c r="L497" s="1"/>
    </row>
    <row r="498" spans="1:12" ht="15.75" customHeight="1">
      <c r="A498" s="2"/>
      <c r="B498" s="1"/>
      <c r="C498" s="1"/>
      <c r="D498" s="1"/>
      <c r="E498" s="1"/>
      <c r="F498" s="1"/>
      <c r="G498" s="1"/>
      <c r="H498" s="1"/>
      <c r="I498" s="61"/>
      <c r="J498" s="1"/>
      <c r="K498" s="1"/>
      <c r="L498" s="1"/>
    </row>
    <row r="499" spans="1:12" ht="15.75" customHeight="1">
      <c r="A499" s="2"/>
      <c r="B499" s="1"/>
      <c r="C499" s="1"/>
      <c r="D499" s="1"/>
      <c r="E499" s="1"/>
      <c r="F499" s="1"/>
      <c r="G499" s="1"/>
      <c r="H499" s="1"/>
      <c r="I499" s="61"/>
      <c r="J499" s="1"/>
      <c r="K499" s="1"/>
      <c r="L499" s="1"/>
    </row>
    <row r="500" spans="1:12" ht="15.75" customHeight="1">
      <c r="A500" s="2"/>
      <c r="B500" s="1"/>
      <c r="C500" s="1"/>
      <c r="D500" s="1"/>
      <c r="E500" s="1"/>
      <c r="F500" s="1"/>
      <c r="G500" s="1"/>
      <c r="H500" s="1"/>
      <c r="I500" s="61"/>
      <c r="J500" s="1"/>
      <c r="K500" s="1"/>
      <c r="L500" s="1"/>
    </row>
    <row r="501" spans="1:12" ht="15.75" customHeight="1">
      <c r="A501" s="2"/>
      <c r="B501" s="1"/>
      <c r="C501" s="1"/>
      <c r="D501" s="1"/>
      <c r="E501" s="1"/>
      <c r="F501" s="1"/>
      <c r="G501" s="1"/>
      <c r="H501" s="1"/>
      <c r="I501" s="61"/>
      <c r="J501" s="1"/>
      <c r="K501" s="1"/>
      <c r="L501" s="1"/>
    </row>
    <row r="502" spans="1:12" ht="15.75" customHeight="1">
      <c r="A502" s="2"/>
      <c r="B502" s="1"/>
      <c r="C502" s="1"/>
      <c r="D502" s="1"/>
      <c r="E502" s="1"/>
      <c r="F502" s="1"/>
      <c r="G502" s="1"/>
      <c r="H502" s="1"/>
      <c r="I502" s="61"/>
      <c r="J502" s="1"/>
      <c r="K502" s="1"/>
      <c r="L502" s="1"/>
    </row>
    <row r="503" spans="1:12" ht="15.75" customHeight="1">
      <c r="A503" s="2"/>
      <c r="B503" s="1"/>
      <c r="C503" s="1"/>
      <c r="D503" s="1"/>
      <c r="E503" s="1"/>
      <c r="F503" s="1"/>
      <c r="G503" s="1"/>
      <c r="H503" s="1"/>
      <c r="I503" s="61"/>
      <c r="J503" s="1"/>
      <c r="K503" s="1"/>
      <c r="L503" s="1"/>
    </row>
    <row r="504" spans="1:12" ht="15.75" customHeight="1">
      <c r="A504" s="2"/>
      <c r="B504" s="1"/>
      <c r="C504" s="1"/>
      <c r="D504" s="1"/>
      <c r="E504" s="1"/>
      <c r="F504" s="1"/>
      <c r="G504" s="1"/>
      <c r="H504" s="1"/>
      <c r="I504" s="61"/>
      <c r="J504" s="1"/>
      <c r="K504" s="1"/>
      <c r="L504" s="1"/>
    </row>
    <row r="505" spans="1:12" ht="15.75" customHeight="1">
      <c r="A505" s="2"/>
      <c r="B505" s="1"/>
      <c r="C505" s="1"/>
      <c r="D505" s="1"/>
      <c r="E505" s="1"/>
      <c r="F505" s="1"/>
      <c r="G505" s="1"/>
      <c r="H505" s="1"/>
      <c r="I505" s="61"/>
      <c r="J505" s="1"/>
      <c r="K505" s="1"/>
      <c r="L505" s="1"/>
    </row>
    <row r="506" spans="1:12" ht="15.75" customHeight="1">
      <c r="A506" s="2"/>
      <c r="B506" s="1"/>
      <c r="C506" s="1"/>
      <c r="D506" s="1"/>
      <c r="E506" s="1"/>
      <c r="F506" s="1"/>
      <c r="G506" s="1"/>
      <c r="H506" s="1"/>
      <c r="I506" s="61"/>
      <c r="J506" s="1"/>
      <c r="K506" s="1"/>
      <c r="L506" s="1"/>
    </row>
    <row r="507" spans="1:12" ht="15.75" customHeight="1">
      <c r="A507" s="2"/>
      <c r="B507" s="1"/>
      <c r="C507" s="1"/>
      <c r="D507" s="1"/>
      <c r="E507" s="1"/>
      <c r="F507" s="1"/>
      <c r="G507" s="1"/>
      <c r="H507" s="1"/>
      <c r="I507" s="61"/>
      <c r="J507" s="1"/>
      <c r="K507" s="1"/>
      <c r="L507" s="1"/>
    </row>
    <row r="508" spans="1:12" ht="15.75" customHeight="1">
      <c r="A508" s="2"/>
      <c r="B508" s="1"/>
      <c r="C508" s="1"/>
      <c r="D508" s="1"/>
      <c r="E508" s="1"/>
      <c r="F508" s="1"/>
      <c r="G508" s="1"/>
      <c r="H508" s="1"/>
      <c r="I508" s="61"/>
      <c r="J508" s="1"/>
      <c r="K508" s="1"/>
      <c r="L508" s="1"/>
    </row>
    <row r="509" spans="1:12" ht="15.75" customHeight="1">
      <c r="A509" s="2"/>
      <c r="B509" s="1"/>
      <c r="C509" s="1"/>
      <c r="D509" s="1"/>
      <c r="E509" s="1"/>
      <c r="F509" s="1"/>
      <c r="G509" s="1"/>
      <c r="H509" s="1"/>
      <c r="I509" s="61"/>
      <c r="J509" s="1"/>
      <c r="K509" s="1"/>
      <c r="L509" s="1"/>
    </row>
    <row r="510" spans="1:12" ht="15.75" customHeight="1">
      <c r="A510" s="2"/>
      <c r="B510" s="1"/>
      <c r="C510" s="1"/>
      <c r="D510" s="1"/>
      <c r="E510" s="1"/>
      <c r="F510" s="1"/>
      <c r="G510" s="1"/>
      <c r="H510" s="1"/>
      <c r="I510" s="61"/>
      <c r="J510" s="1"/>
      <c r="K510" s="1"/>
      <c r="L510" s="1"/>
    </row>
    <row r="511" spans="1:12" ht="15.75" customHeight="1">
      <c r="A511" s="2"/>
      <c r="B511" s="1"/>
      <c r="C511" s="1"/>
      <c r="D511" s="1"/>
      <c r="E511" s="1"/>
      <c r="F511" s="1"/>
      <c r="G511" s="1"/>
      <c r="H511" s="1"/>
      <c r="I511" s="61"/>
      <c r="J511" s="1"/>
      <c r="K511" s="1"/>
      <c r="L511" s="1"/>
    </row>
    <row r="512" spans="1:12" ht="15.75" customHeight="1">
      <c r="A512" s="2"/>
      <c r="B512" s="1"/>
      <c r="C512" s="1"/>
      <c r="D512" s="1"/>
      <c r="E512" s="1"/>
      <c r="F512" s="1"/>
      <c r="G512" s="1"/>
      <c r="H512" s="1"/>
      <c r="I512" s="61"/>
      <c r="J512" s="1"/>
      <c r="K512" s="1"/>
      <c r="L512" s="1"/>
    </row>
    <row r="513" spans="1:12" ht="15.75" customHeight="1">
      <c r="A513" s="2"/>
      <c r="B513" s="1"/>
      <c r="C513" s="1"/>
      <c r="D513" s="1"/>
      <c r="E513" s="1"/>
      <c r="F513" s="1"/>
      <c r="G513" s="1"/>
      <c r="H513" s="1"/>
      <c r="I513" s="61"/>
      <c r="J513" s="1"/>
      <c r="K513" s="1"/>
      <c r="L513" s="1"/>
    </row>
    <row r="514" spans="1:12" ht="15.75" customHeight="1">
      <c r="A514" s="2"/>
      <c r="B514" s="1"/>
      <c r="C514" s="1"/>
      <c r="D514" s="1"/>
      <c r="E514" s="1"/>
      <c r="F514" s="1"/>
      <c r="G514" s="1"/>
      <c r="H514" s="1"/>
      <c r="I514" s="61"/>
      <c r="J514" s="1"/>
      <c r="K514" s="1"/>
      <c r="L514" s="1"/>
    </row>
    <row r="515" spans="1:12" ht="15.75" customHeight="1">
      <c r="A515" s="2"/>
      <c r="B515" s="1"/>
      <c r="C515" s="1"/>
      <c r="D515" s="1"/>
      <c r="E515" s="1"/>
      <c r="F515" s="1"/>
      <c r="G515" s="1"/>
      <c r="H515" s="1"/>
      <c r="I515" s="61"/>
      <c r="J515" s="1"/>
      <c r="K515" s="1"/>
      <c r="L515" s="1"/>
    </row>
    <row r="516" spans="1:12" ht="15.75" customHeight="1">
      <c r="A516" s="2"/>
      <c r="B516" s="1"/>
      <c r="C516" s="1"/>
      <c r="D516" s="1"/>
      <c r="E516" s="1"/>
      <c r="F516" s="1"/>
      <c r="G516" s="1"/>
      <c r="H516" s="1"/>
      <c r="I516" s="61"/>
      <c r="J516" s="1"/>
      <c r="K516" s="1"/>
      <c r="L516" s="1"/>
    </row>
    <row r="517" spans="1:12" ht="15.75" customHeight="1">
      <c r="A517" s="2"/>
      <c r="B517" s="1"/>
      <c r="C517" s="1"/>
      <c r="D517" s="1"/>
      <c r="E517" s="1"/>
      <c r="F517" s="1"/>
      <c r="G517" s="1"/>
      <c r="H517" s="1"/>
      <c r="I517" s="61"/>
      <c r="J517" s="1"/>
      <c r="K517" s="1"/>
      <c r="L517" s="1"/>
    </row>
    <row r="518" spans="1:12" ht="15.75" customHeight="1">
      <c r="A518" s="2"/>
      <c r="B518" s="1"/>
      <c r="C518" s="1"/>
      <c r="D518" s="1"/>
      <c r="E518" s="1"/>
      <c r="F518" s="1"/>
      <c r="G518" s="1"/>
      <c r="H518" s="1"/>
      <c r="I518" s="61"/>
      <c r="J518" s="1"/>
      <c r="K518" s="1"/>
      <c r="L518" s="1"/>
    </row>
    <row r="519" spans="1:12" ht="15.75" customHeight="1">
      <c r="A519" s="2"/>
      <c r="B519" s="1"/>
      <c r="C519" s="1"/>
      <c r="D519" s="1"/>
      <c r="E519" s="1"/>
      <c r="F519" s="1"/>
      <c r="G519" s="1"/>
      <c r="H519" s="1"/>
      <c r="I519" s="61"/>
      <c r="J519" s="1"/>
      <c r="K519" s="1"/>
      <c r="L519" s="1"/>
    </row>
    <row r="520" spans="1:12" ht="15.75" customHeight="1">
      <c r="A520" s="2"/>
      <c r="B520" s="1"/>
      <c r="C520" s="1"/>
      <c r="D520" s="1"/>
      <c r="E520" s="1"/>
      <c r="F520" s="1"/>
      <c r="G520" s="1"/>
      <c r="H520" s="1"/>
      <c r="I520" s="61"/>
      <c r="J520" s="1"/>
      <c r="K520" s="1"/>
      <c r="L520" s="1"/>
    </row>
    <row r="521" spans="1:12" ht="15.75" customHeight="1">
      <c r="A521" s="2"/>
      <c r="B521" s="1"/>
      <c r="C521" s="1"/>
      <c r="D521" s="1"/>
      <c r="E521" s="1"/>
      <c r="F521" s="1"/>
      <c r="G521" s="1"/>
      <c r="H521" s="1"/>
      <c r="I521" s="61"/>
      <c r="J521" s="1"/>
      <c r="K521" s="1"/>
      <c r="L521" s="1"/>
    </row>
    <row r="522" spans="1:12" ht="15.75" customHeight="1">
      <c r="A522" s="2"/>
      <c r="B522" s="1"/>
      <c r="C522" s="1"/>
      <c r="D522" s="1"/>
      <c r="E522" s="1"/>
      <c r="F522" s="1"/>
      <c r="G522" s="1"/>
      <c r="H522" s="1"/>
      <c r="I522" s="61"/>
      <c r="J522" s="1"/>
      <c r="K522" s="1"/>
      <c r="L522" s="1"/>
    </row>
    <row r="523" spans="1:12" ht="15.75" customHeight="1">
      <c r="A523" s="2"/>
      <c r="B523" s="1"/>
      <c r="C523" s="1"/>
      <c r="D523" s="1"/>
      <c r="E523" s="1"/>
      <c r="F523" s="1"/>
      <c r="G523" s="1"/>
      <c r="H523" s="1"/>
      <c r="I523" s="61"/>
      <c r="J523" s="1"/>
      <c r="K523" s="1"/>
      <c r="L523" s="1"/>
    </row>
    <row r="524" spans="1:12" ht="15.75" customHeight="1">
      <c r="A524" s="2"/>
      <c r="B524" s="1"/>
      <c r="C524" s="1"/>
      <c r="D524" s="1"/>
      <c r="E524" s="1"/>
      <c r="F524" s="1"/>
      <c r="G524" s="1"/>
      <c r="H524" s="1"/>
      <c r="I524" s="61"/>
      <c r="J524" s="1"/>
      <c r="K524" s="1"/>
      <c r="L524" s="1"/>
    </row>
    <row r="525" spans="1:12" ht="15.75" customHeight="1">
      <c r="A525" s="2"/>
      <c r="B525" s="1"/>
      <c r="C525" s="1"/>
      <c r="D525" s="1"/>
      <c r="E525" s="1"/>
      <c r="F525" s="1"/>
      <c r="G525" s="1"/>
      <c r="H525" s="1"/>
      <c r="I525" s="61"/>
      <c r="J525" s="1"/>
      <c r="K525" s="1"/>
      <c r="L525" s="1"/>
    </row>
    <row r="526" spans="1:12" ht="15.75" customHeight="1">
      <c r="A526" s="2"/>
      <c r="B526" s="1"/>
      <c r="C526" s="1"/>
      <c r="D526" s="1"/>
      <c r="E526" s="1"/>
      <c r="F526" s="1"/>
      <c r="G526" s="1"/>
      <c r="H526" s="1"/>
      <c r="I526" s="61"/>
      <c r="J526" s="1"/>
      <c r="K526" s="1"/>
      <c r="L526" s="1"/>
    </row>
    <row r="527" spans="1:12" ht="15.75" customHeight="1">
      <c r="A527" s="2"/>
      <c r="B527" s="1"/>
      <c r="C527" s="1"/>
      <c r="D527" s="1"/>
      <c r="E527" s="1"/>
      <c r="F527" s="1"/>
      <c r="G527" s="1"/>
      <c r="H527" s="1"/>
      <c r="I527" s="61"/>
      <c r="J527" s="1"/>
      <c r="K527" s="1"/>
      <c r="L527" s="1"/>
    </row>
    <row r="528" spans="1:12" ht="15.75" customHeight="1">
      <c r="A528" s="2"/>
      <c r="B528" s="1"/>
      <c r="C528" s="1"/>
      <c r="D528" s="1"/>
      <c r="E528" s="1"/>
      <c r="F528" s="1"/>
      <c r="G528" s="1"/>
      <c r="H528" s="1"/>
      <c r="I528" s="61"/>
      <c r="J528" s="1"/>
      <c r="K528" s="1"/>
      <c r="L528" s="1"/>
    </row>
    <row r="529" spans="1:12" ht="15.75" customHeight="1">
      <c r="A529" s="2"/>
      <c r="B529" s="1"/>
      <c r="C529" s="1"/>
      <c r="D529" s="1"/>
      <c r="E529" s="1"/>
      <c r="F529" s="1"/>
      <c r="G529" s="1"/>
      <c r="H529" s="1"/>
      <c r="I529" s="61"/>
      <c r="J529" s="1"/>
      <c r="K529" s="1"/>
      <c r="L529" s="1"/>
    </row>
    <row r="530" spans="1:12" ht="15.75" customHeight="1">
      <c r="A530" s="2"/>
      <c r="B530" s="1"/>
      <c r="C530" s="1"/>
      <c r="D530" s="1"/>
      <c r="E530" s="1"/>
      <c r="F530" s="1"/>
      <c r="G530" s="1"/>
      <c r="H530" s="1"/>
      <c r="I530" s="61"/>
      <c r="J530" s="1"/>
      <c r="K530" s="1"/>
      <c r="L530" s="1"/>
    </row>
    <row r="531" spans="1:12" ht="15.75" customHeight="1">
      <c r="A531" s="2"/>
      <c r="B531" s="1"/>
      <c r="C531" s="1"/>
      <c r="D531" s="1"/>
      <c r="E531" s="1"/>
      <c r="F531" s="1"/>
      <c r="G531" s="1"/>
      <c r="H531" s="1"/>
      <c r="I531" s="61"/>
      <c r="J531" s="1"/>
      <c r="K531" s="1"/>
      <c r="L531" s="1"/>
    </row>
    <row r="532" spans="1:12" ht="15.75" customHeight="1">
      <c r="A532" s="2"/>
      <c r="B532" s="1"/>
      <c r="C532" s="1"/>
      <c r="D532" s="1"/>
      <c r="E532" s="1"/>
      <c r="F532" s="1"/>
      <c r="G532" s="1"/>
      <c r="H532" s="1"/>
      <c r="I532" s="61"/>
      <c r="J532" s="1"/>
      <c r="K532" s="1"/>
      <c r="L532" s="1"/>
    </row>
    <row r="533" spans="1:12" ht="15.75" customHeight="1">
      <c r="A533" s="2"/>
      <c r="B533" s="1"/>
      <c r="C533" s="1"/>
      <c r="D533" s="1"/>
      <c r="E533" s="1"/>
      <c r="F533" s="1"/>
      <c r="G533" s="1"/>
      <c r="H533" s="1"/>
      <c r="I533" s="61"/>
      <c r="J533" s="1"/>
      <c r="K533" s="1"/>
      <c r="L533" s="1"/>
    </row>
    <row r="534" spans="1:12" ht="15.75" customHeight="1">
      <c r="A534" s="2"/>
      <c r="B534" s="1"/>
      <c r="C534" s="1"/>
      <c r="D534" s="1"/>
      <c r="E534" s="1"/>
      <c r="F534" s="1"/>
      <c r="G534" s="1"/>
      <c r="H534" s="1"/>
      <c r="I534" s="61"/>
      <c r="J534" s="1"/>
      <c r="K534" s="1"/>
      <c r="L534" s="1"/>
    </row>
    <row r="535" spans="1:12" ht="15.75" customHeight="1">
      <c r="A535" s="2"/>
      <c r="B535" s="1"/>
      <c r="C535" s="1"/>
      <c r="D535" s="1"/>
      <c r="E535" s="1"/>
      <c r="F535" s="1"/>
      <c r="G535" s="1"/>
      <c r="H535" s="1"/>
      <c r="I535" s="61"/>
      <c r="J535" s="1"/>
      <c r="K535" s="1"/>
      <c r="L535" s="1"/>
    </row>
    <row r="536" spans="1:12" ht="15.75" customHeight="1">
      <c r="A536" s="2"/>
      <c r="B536" s="1"/>
      <c r="C536" s="1"/>
      <c r="D536" s="1"/>
      <c r="E536" s="1"/>
      <c r="F536" s="1"/>
      <c r="G536" s="1"/>
      <c r="H536" s="1"/>
      <c r="I536" s="61"/>
      <c r="J536" s="1"/>
      <c r="K536" s="1"/>
      <c r="L536" s="1"/>
    </row>
    <row r="537" spans="1:12" ht="15.75" customHeight="1">
      <c r="A537" s="2"/>
      <c r="B537" s="1"/>
      <c r="C537" s="1"/>
      <c r="D537" s="1"/>
      <c r="E537" s="1"/>
      <c r="F537" s="1"/>
      <c r="G537" s="1"/>
      <c r="H537" s="1"/>
      <c r="I537" s="61"/>
      <c r="J537" s="1"/>
      <c r="K537" s="1"/>
      <c r="L537" s="1"/>
    </row>
    <row r="538" spans="1:12" ht="15.75" customHeight="1">
      <c r="A538" s="2"/>
      <c r="B538" s="1"/>
      <c r="C538" s="1"/>
      <c r="D538" s="1"/>
      <c r="E538" s="1"/>
      <c r="F538" s="1"/>
      <c r="G538" s="1"/>
      <c r="H538" s="1"/>
      <c r="I538" s="61"/>
      <c r="J538" s="1"/>
      <c r="K538" s="1"/>
      <c r="L538" s="1"/>
    </row>
    <row r="539" spans="1:12" ht="15.75" customHeight="1">
      <c r="A539" s="2"/>
      <c r="B539" s="1"/>
      <c r="C539" s="1"/>
      <c r="D539" s="1"/>
      <c r="E539" s="1"/>
      <c r="F539" s="1"/>
      <c r="G539" s="1"/>
      <c r="H539" s="1"/>
      <c r="I539" s="61"/>
      <c r="J539" s="1"/>
      <c r="K539" s="1"/>
      <c r="L539" s="1"/>
    </row>
    <row r="540" spans="1:12" ht="15.75" customHeight="1">
      <c r="A540" s="2"/>
      <c r="B540" s="1"/>
      <c r="C540" s="1"/>
      <c r="D540" s="1"/>
      <c r="E540" s="1"/>
      <c r="F540" s="1"/>
      <c r="G540" s="1"/>
      <c r="H540" s="1"/>
      <c r="I540" s="61"/>
      <c r="J540" s="1"/>
      <c r="K540" s="1"/>
      <c r="L540" s="1"/>
    </row>
    <row r="541" spans="1:12" ht="15.75" customHeight="1">
      <c r="A541" s="2"/>
      <c r="B541" s="1"/>
      <c r="C541" s="1"/>
      <c r="D541" s="1"/>
      <c r="E541" s="1"/>
      <c r="F541" s="1"/>
      <c r="G541" s="1"/>
      <c r="H541" s="1"/>
      <c r="I541" s="61"/>
      <c r="J541" s="1"/>
      <c r="K541" s="1"/>
      <c r="L541" s="1"/>
    </row>
    <row r="542" spans="1:12" ht="15.75" customHeight="1">
      <c r="A542" s="2"/>
      <c r="B542" s="1"/>
      <c r="C542" s="1"/>
      <c r="D542" s="1"/>
      <c r="E542" s="1"/>
      <c r="F542" s="1"/>
      <c r="G542" s="1"/>
      <c r="H542" s="1"/>
      <c r="I542" s="61"/>
      <c r="J542" s="1"/>
      <c r="K542" s="1"/>
      <c r="L542" s="1"/>
    </row>
    <row r="543" spans="1:12" ht="15.75" customHeight="1">
      <c r="A543" s="2"/>
      <c r="B543" s="1"/>
      <c r="C543" s="1"/>
      <c r="D543" s="1"/>
      <c r="E543" s="1"/>
      <c r="F543" s="1"/>
      <c r="G543" s="1"/>
      <c r="H543" s="1"/>
      <c r="I543" s="61"/>
      <c r="J543" s="1"/>
      <c r="K543" s="1"/>
      <c r="L543" s="1"/>
    </row>
    <row r="544" spans="1:12" ht="15.75" customHeight="1">
      <c r="A544" s="2"/>
      <c r="B544" s="1"/>
      <c r="C544" s="1"/>
      <c r="D544" s="1"/>
      <c r="E544" s="1"/>
      <c r="F544" s="1"/>
      <c r="G544" s="1"/>
      <c r="H544" s="1"/>
      <c r="I544" s="61"/>
      <c r="J544" s="1"/>
      <c r="K544" s="1"/>
      <c r="L544" s="1"/>
    </row>
    <row r="545" spans="1:12" ht="15.75" customHeight="1">
      <c r="A545" s="2"/>
      <c r="B545" s="1"/>
      <c r="C545" s="1"/>
      <c r="D545" s="1"/>
      <c r="E545" s="1"/>
      <c r="F545" s="1"/>
      <c r="G545" s="1"/>
      <c r="H545" s="1"/>
      <c r="I545" s="61"/>
      <c r="J545" s="1"/>
      <c r="K545" s="1"/>
      <c r="L545" s="1"/>
    </row>
    <row r="546" spans="1:12" ht="15.75" customHeight="1">
      <c r="A546" s="2"/>
      <c r="B546" s="1"/>
      <c r="C546" s="1"/>
      <c r="D546" s="1"/>
      <c r="E546" s="1"/>
      <c r="F546" s="1"/>
      <c r="G546" s="1"/>
      <c r="H546" s="1"/>
      <c r="I546" s="61"/>
      <c r="J546" s="1"/>
      <c r="K546" s="1"/>
      <c r="L546" s="1"/>
    </row>
    <row r="547" spans="1:12" ht="15.75" customHeight="1">
      <c r="A547" s="2"/>
      <c r="B547" s="1"/>
      <c r="C547" s="1"/>
      <c r="D547" s="1"/>
      <c r="E547" s="1"/>
      <c r="F547" s="1"/>
      <c r="G547" s="1"/>
      <c r="H547" s="1"/>
      <c r="I547" s="61"/>
      <c r="J547" s="1"/>
      <c r="K547" s="1"/>
      <c r="L547" s="1"/>
    </row>
    <row r="548" spans="1:12" ht="15.75" customHeight="1">
      <c r="A548" s="2"/>
      <c r="B548" s="1"/>
      <c r="C548" s="1"/>
      <c r="D548" s="1"/>
      <c r="E548" s="1"/>
      <c r="F548" s="1"/>
      <c r="G548" s="1"/>
      <c r="H548" s="1"/>
      <c r="I548" s="61"/>
      <c r="J548" s="1"/>
      <c r="K548" s="1"/>
      <c r="L548" s="1"/>
    </row>
    <row r="549" spans="1:12" ht="15.75" customHeight="1">
      <c r="A549" s="2"/>
      <c r="B549" s="1"/>
      <c r="C549" s="1"/>
      <c r="D549" s="1"/>
      <c r="E549" s="1"/>
      <c r="F549" s="1"/>
      <c r="G549" s="1"/>
      <c r="H549" s="1"/>
      <c r="I549" s="61"/>
      <c r="J549" s="1"/>
      <c r="K549" s="1"/>
      <c r="L549" s="1"/>
    </row>
    <row r="550" spans="1:12" ht="15.75" customHeight="1">
      <c r="A550" s="2"/>
      <c r="B550" s="1"/>
      <c r="C550" s="1"/>
      <c r="D550" s="1"/>
      <c r="E550" s="1"/>
      <c r="F550" s="1"/>
      <c r="G550" s="1"/>
      <c r="H550" s="1"/>
      <c r="I550" s="61"/>
      <c r="J550" s="1"/>
      <c r="K550" s="1"/>
      <c r="L550" s="1"/>
    </row>
    <row r="551" spans="1:12" ht="15.75" customHeight="1">
      <c r="A551" s="2"/>
      <c r="B551" s="1"/>
      <c r="C551" s="1"/>
      <c r="D551" s="1"/>
      <c r="E551" s="1"/>
      <c r="F551" s="1"/>
      <c r="G551" s="1"/>
      <c r="H551" s="1"/>
      <c r="I551" s="61"/>
      <c r="J551" s="1"/>
      <c r="K551" s="1"/>
      <c r="L551" s="1"/>
    </row>
    <row r="552" spans="1:12" ht="15.75" customHeight="1">
      <c r="A552" s="2"/>
      <c r="B552" s="1"/>
      <c r="C552" s="1"/>
      <c r="D552" s="1"/>
      <c r="E552" s="1"/>
      <c r="F552" s="1"/>
      <c r="G552" s="1"/>
      <c r="H552" s="1"/>
      <c r="I552" s="61"/>
      <c r="J552" s="1"/>
      <c r="K552" s="1"/>
      <c r="L552" s="1"/>
    </row>
    <row r="553" spans="1:12" ht="15.75" customHeight="1">
      <c r="A553" s="2"/>
      <c r="B553" s="1"/>
      <c r="C553" s="1"/>
      <c r="D553" s="1"/>
      <c r="E553" s="1"/>
      <c r="F553" s="1"/>
      <c r="G553" s="1"/>
      <c r="H553" s="1"/>
      <c r="I553" s="61"/>
      <c r="J553" s="1"/>
      <c r="K553" s="1"/>
      <c r="L553" s="1"/>
    </row>
    <row r="554" spans="1:12" ht="15.75" customHeight="1">
      <c r="A554" s="2"/>
      <c r="B554" s="1"/>
      <c r="C554" s="1"/>
      <c r="D554" s="1"/>
      <c r="E554" s="1"/>
      <c r="F554" s="1"/>
      <c r="G554" s="1"/>
      <c r="H554" s="1"/>
      <c r="I554" s="61"/>
      <c r="J554" s="1"/>
      <c r="K554" s="1"/>
      <c r="L554" s="1"/>
    </row>
    <row r="555" spans="1:12" ht="15.75" customHeight="1">
      <c r="A555" s="2"/>
      <c r="B555" s="1"/>
      <c r="C555" s="1"/>
      <c r="D555" s="1"/>
      <c r="E555" s="1"/>
      <c r="F555" s="1"/>
      <c r="G555" s="1"/>
      <c r="H555" s="1"/>
      <c r="I555" s="61"/>
      <c r="J555" s="1"/>
      <c r="K555" s="1"/>
      <c r="L555" s="1"/>
    </row>
    <row r="556" spans="1:12" ht="15.75" customHeight="1">
      <c r="A556" s="2"/>
      <c r="B556" s="1"/>
      <c r="C556" s="1"/>
      <c r="D556" s="1"/>
      <c r="E556" s="1"/>
      <c r="F556" s="1"/>
      <c r="G556" s="1"/>
      <c r="H556" s="1"/>
      <c r="I556" s="61"/>
      <c r="J556" s="1"/>
      <c r="K556" s="1"/>
      <c r="L556" s="1"/>
    </row>
    <row r="557" spans="1:12" ht="15.75" customHeight="1">
      <c r="A557" s="2"/>
      <c r="B557" s="1"/>
      <c r="C557" s="1"/>
      <c r="D557" s="1"/>
      <c r="E557" s="1"/>
      <c r="F557" s="1"/>
      <c r="G557" s="1"/>
      <c r="H557" s="1"/>
      <c r="I557" s="61"/>
      <c r="J557" s="1"/>
      <c r="K557" s="1"/>
      <c r="L557" s="1"/>
    </row>
    <row r="558" spans="1:12" ht="15.75" customHeight="1">
      <c r="A558" s="2"/>
      <c r="B558" s="1"/>
      <c r="C558" s="1"/>
      <c r="D558" s="1"/>
      <c r="E558" s="1"/>
      <c r="F558" s="1"/>
      <c r="G558" s="1"/>
      <c r="H558" s="1"/>
      <c r="I558" s="61"/>
      <c r="J558" s="1"/>
      <c r="K558" s="1"/>
      <c r="L558" s="1"/>
    </row>
    <row r="559" spans="1:12" ht="15.75" customHeight="1">
      <c r="A559" s="2"/>
      <c r="B559" s="1"/>
      <c r="C559" s="1"/>
      <c r="D559" s="1"/>
      <c r="E559" s="1"/>
      <c r="F559" s="1"/>
      <c r="G559" s="1"/>
      <c r="H559" s="1"/>
      <c r="I559" s="61"/>
      <c r="J559" s="1"/>
      <c r="K559" s="1"/>
      <c r="L559" s="1"/>
    </row>
    <row r="560" spans="1:12" ht="15.75" customHeight="1">
      <c r="A560" s="2"/>
      <c r="B560" s="1"/>
      <c r="C560" s="1"/>
      <c r="D560" s="1"/>
      <c r="E560" s="1"/>
      <c r="F560" s="1"/>
      <c r="G560" s="1"/>
      <c r="H560" s="1"/>
      <c r="I560" s="61"/>
      <c r="J560" s="1"/>
      <c r="K560" s="1"/>
      <c r="L560" s="1"/>
    </row>
    <row r="561" spans="1:12" ht="15.75" customHeight="1">
      <c r="A561" s="2"/>
      <c r="B561" s="1"/>
      <c r="C561" s="1"/>
      <c r="D561" s="1"/>
      <c r="E561" s="1"/>
      <c r="F561" s="1"/>
      <c r="G561" s="1"/>
      <c r="H561" s="1"/>
      <c r="I561" s="61"/>
      <c r="J561" s="1"/>
      <c r="K561" s="1"/>
      <c r="L561" s="1"/>
    </row>
    <row r="562" spans="1:12" ht="15.75" customHeight="1">
      <c r="A562" s="2"/>
      <c r="B562" s="1"/>
      <c r="C562" s="1"/>
      <c r="D562" s="1"/>
      <c r="E562" s="1"/>
      <c r="F562" s="1"/>
      <c r="G562" s="1"/>
      <c r="H562" s="1"/>
      <c r="I562" s="61"/>
      <c r="J562" s="1"/>
      <c r="K562" s="1"/>
      <c r="L562" s="1"/>
    </row>
    <row r="563" spans="1:12" ht="15.75" customHeight="1">
      <c r="A563" s="2"/>
      <c r="B563" s="1"/>
      <c r="C563" s="1"/>
      <c r="D563" s="1"/>
      <c r="E563" s="1"/>
      <c r="F563" s="1"/>
      <c r="G563" s="1"/>
      <c r="H563" s="1"/>
      <c r="I563" s="61"/>
      <c r="J563" s="1"/>
      <c r="K563" s="1"/>
      <c r="L563" s="1"/>
    </row>
    <row r="564" spans="1:12" ht="15.75" customHeight="1">
      <c r="A564" s="2"/>
      <c r="B564" s="1"/>
      <c r="C564" s="1"/>
      <c r="D564" s="1"/>
      <c r="E564" s="1"/>
      <c r="F564" s="1"/>
      <c r="G564" s="1"/>
      <c r="H564" s="1"/>
      <c r="I564" s="61"/>
      <c r="J564" s="1"/>
      <c r="K564" s="1"/>
      <c r="L564" s="1"/>
    </row>
    <row r="565" spans="1:12" ht="15.75" customHeight="1">
      <c r="A565" s="2"/>
      <c r="B565" s="1"/>
      <c r="C565" s="1"/>
      <c r="D565" s="1"/>
      <c r="E565" s="1"/>
      <c r="F565" s="1"/>
      <c r="G565" s="1"/>
      <c r="H565" s="1"/>
      <c r="I565" s="61"/>
      <c r="J565" s="1"/>
      <c r="K565" s="1"/>
      <c r="L565" s="1"/>
    </row>
    <row r="566" spans="1:12" ht="15.75" customHeight="1">
      <c r="A566" s="2"/>
      <c r="B566" s="1"/>
      <c r="C566" s="1"/>
      <c r="D566" s="1"/>
      <c r="E566" s="1"/>
      <c r="F566" s="1"/>
      <c r="G566" s="1"/>
      <c r="H566" s="1"/>
      <c r="I566" s="61"/>
      <c r="J566" s="1"/>
      <c r="K566" s="1"/>
      <c r="L566" s="1"/>
    </row>
    <row r="567" spans="1:12" ht="15.75" customHeight="1">
      <c r="A567" s="2"/>
      <c r="B567" s="1"/>
      <c r="C567" s="1"/>
      <c r="D567" s="1"/>
      <c r="E567" s="1"/>
      <c r="F567" s="1"/>
      <c r="G567" s="1"/>
      <c r="H567" s="1"/>
      <c r="I567" s="61"/>
      <c r="J567" s="1"/>
      <c r="K567" s="1"/>
      <c r="L567" s="1"/>
    </row>
    <row r="568" spans="1:12" ht="15.75" customHeight="1">
      <c r="A568" s="2"/>
      <c r="B568" s="1"/>
      <c r="C568" s="1"/>
      <c r="D568" s="1"/>
      <c r="E568" s="1"/>
      <c r="F568" s="1"/>
      <c r="G568" s="1"/>
      <c r="H568" s="1"/>
      <c r="I568" s="61"/>
      <c r="J568" s="1"/>
      <c r="K568" s="1"/>
      <c r="L568" s="1"/>
    </row>
    <row r="569" spans="1:12" ht="15.75" customHeight="1">
      <c r="A569" s="2"/>
      <c r="B569" s="1"/>
      <c r="C569" s="1"/>
      <c r="D569" s="1"/>
      <c r="E569" s="1"/>
      <c r="F569" s="1"/>
      <c r="G569" s="1"/>
      <c r="H569" s="1"/>
      <c r="I569" s="61"/>
      <c r="J569" s="1"/>
      <c r="K569" s="1"/>
      <c r="L569" s="1"/>
    </row>
    <row r="570" spans="1:12" ht="15.75" customHeight="1">
      <c r="A570" s="2"/>
      <c r="B570" s="1"/>
      <c r="C570" s="1"/>
      <c r="D570" s="1"/>
      <c r="E570" s="1"/>
      <c r="F570" s="1"/>
      <c r="G570" s="1"/>
      <c r="H570" s="1"/>
      <c r="I570" s="61"/>
      <c r="J570" s="1"/>
      <c r="K570" s="1"/>
      <c r="L570" s="1"/>
    </row>
    <row r="571" spans="1:12" ht="15.75" customHeight="1">
      <c r="A571" s="2"/>
      <c r="B571" s="1"/>
      <c r="C571" s="1"/>
      <c r="D571" s="1"/>
      <c r="E571" s="1"/>
      <c r="F571" s="1"/>
      <c r="G571" s="1"/>
      <c r="H571" s="1"/>
      <c r="I571" s="61"/>
      <c r="J571" s="1"/>
      <c r="K571" s="1"/>
      <c r="L571" s="1"/>
    </row>
    <row r="572" spans="1:12" ht="15.75" customHeight="1">
      <c r="A572" s="2"/>
      <c r="B572" s="1"/>
      <c r="C572" s="1"/>
      <c r="D572" s="1"/>
      <c r="E572" s="1"/>
      <c r="F572" s="1"/>
      <c r="G572" s="1"/>
      <c r="H572" s="1"/>
      <c r="I572" s="61"/>
      <c r="J572" s="1"/>
      <c r="K572" s="1"/>
      <c r="L572" s="1"/>
    </row>
    <row r="573" spans="1:12" ht="15.75" customHeight="1">
      <c r="A573" s="2"/>
      <c r="B573" s="1"/>
      <c r="C573" s="1"/>
      <c r="D573" s="1"/>
      <c r="E573" s="1"/>
      <c r="F573" s="1"/>
      <c r="G573" s="1"/>
      <c r="H573" s="1"/>
      <c r="I573" s="61"/>
      <c r="J573" s="1"/>
      <c r="K573" s="1"/>
      <c r="L573" s="1"/>
    </row>
    <row r="574" spans="1:12" ht="15.75" customHeight="1">
      <c r="A574" s="2"/>
      <c r="B574" s="1"/>
      <c r="C574" s="1"/>
      <c r="D574" s="1"/>
      <c r="E574" s="1"/>
      <c r="F574" s="1"/>
      <c r="G574" s="1"/>
      <c r="H574" s="1"/>
      <c r="I574" s="61"/>
      <c r="J574" s="1"/>
      <c r="K574" s="1"/>
      <c r="L574" s="1"/>
    </row>
    <row r="575" spans="1:12" ht="15.75" customHeight="1">
      <c r="A575" s="2"/>
      <c r="B575" s="1"/>
      <c r="C575" s="1"/>
      <c r="D575" s="1"/>
      <c r="E575" s="1"/>
      <c r="F575" s="1"/>
      <c r="G575" s="1"/>
      <c r="H575" s="1"/>
      <c r="I575" s="61"/>
      <c r="J575" s="1"/>
      <c r="K575" s="1"/>
      <c r="L575" s="1"/>
    </row>
    <row r="576" spans="1:12" ht="15.75" customHeight="1">
      <c r="A576" s="2"/>
      <c r="B576" s="1"/>
      <c r="C576" s="1"/>
      <c r="D576" s="1"/>
      <c r="E576" s="1"/>
      <c r="F576" s="1"/>
      <c r="G576" s="1"/>
      <c r="H576" s="1"/>
      <c r="I576" s="61"/>
      <c r="J576" s="1"/>
      <c r="K576" s="1"/>
      <c r="L576" s="1"/>
    </row>
    <row r="577" spans="1:12" ht="15.75" customHeight="1">
      <c r="A577" s="2"/>
      <c r="B577" s="1"/>
      <c r="C577" s="1"/>
      <c r="D577" s="1"/>
      <c r="E577" s="1"/>
      <c r="F577" s="1"/>
      <c r="G577" s="1"/>
      <c r="H577" s="1"/>
      <c r="I577" s="61"/>
      <c r="J577" s="1"/>
      <c r="K577" s="1"/>
      <c r="L577" s="1"/>
    </row>
    <row r="578" spans="1:12" ht="15.75" customHeight="1">
      <c r="A578" s="2"/>
      <c r="B578" s="1"/>
      <c r="C578" s="1"/>
      <c r="D578" s="1"/>
      <c r="E578" s="1"/>
      <c r="F578" s="1"/>
      <c r="G578" s="1"/>
      <c r="H578" s="1"/>
      <c r="I578" s="61"/>
      <c r="J578" s="1"/>
      <c r="K578" s="1"/>
      <c r="L578" s="1"/>
    </row>
    <row r="579" spans="1:12" ht="15.75" customHeight="1">
      <c r="A579" s="2"/>
      <c r="B579" s="1"/>
      <c r="C579" s="1"/>
      <c r="D579" s="1"/>
      <c r="E579" s="1"/>
      <c r="F579" s="1"/>
      <c r="G579" s="1"/>
      <c r="H579" s="1"/>
      <c r="I579" s="61"/>
      <c r="J579" s="1"/>
      <c r="K579" s="1"/>
      <c r="L579" s="1"/>
    </row>
    <row r="580" spans="1:12" ht="15.75" customHeight="1">
      <c r="A580" s="2"/>
      <c r="B580" s="1"/>
      <c r="C580" s="1"/>
      <c r="D580" s="1"/>
      <c r="E580" s="1"/>
      <c r="F580" s="1"/>
      <c r="G580" s="1"/>
      <c r="H580" s="1"/>
      <c r="I580" s="61"/>
      <c r="J580" s="1"/>
      <c r="K580" s="1"/>
      <c r="L580" s="1"/>
    </row>
    <row r="581" spans="1:12" ht="15.75" customHeight="1">
      <c r="A581" s="2"/>
      <c r="B581" s="1"/>
      <c r="C581" s="1"/>
      <c r="D581" s="1"/>
      <c r="E581" s="1"/>
      <c r="F581" s="1"/>
      <c r="G581" s="1"/>
      <c r="H581" s="1"/>
      <c r="I581" s="61"/>
      <c r="J581" s="1"/>
      <c r="K581" s="1"/>
      <c r="L581" s="1"/>
    </row>
    <row r="582" spans="1:12" ht="15.75" customHeight="1">
      <c r="A582" s="2"/>
      <c r="B582" s="1"/>
      <c r="C582" s="1"/>
      <c r="D582" s="1"/>
      <c r="E582" s="1"/>
      <c r="F582" s="1"/>
      <c r="G582" s="1"/>
      <c r="H582" s="1"/>
      <c r="I582" s="61"/>
      <c r="J582" s="1"/>
      <c r="K582" s="1"/>
      <c r="L582" s="1"/>
    </row>
    <row r="583" spans="1:12" ht="15.75" customHeight="1">
      <c r="A583" s="2"/>
      <c r="B583" s="1"/>
      <c r="C583" s="1"/>
      <c r="D583" s="1"/>
      <c r="E583" s="1"/>
      <c r="F583" s="1"/>
      <c r="G583" s="1"/>
      <c r="H583" s="1"/>
      <c r="I583" s="61"/>
      <c r="J583" s="1"/>
      <c r="K583" s="1"/>
      <c r="L583" s="1"/>
    </row>
    <row r="584" spans="1:12" ht="15.75" customHeight="1">
      <c r="A584" s="2"/>
      <c r="B584" s="1"/>
      <c r="C584" s="1"/>
      <c r="D584" s="1"/>
      <c r="E584" s="1"/>
      <c r="F584" s="1"/>
      <c r="G584" s="1"/>
      <c r="H584" s="1"/>
      <c r="I584" s="61"/>
      <c r="J584" s="1"/>
      <c r="K584" s="1"/>
      <c r="L584" s="1"/>
    </row>
    <row r="585" spans="1:12" ht="15.75" customHeight="1">
      <c r="A585" s="2"/>
      <c r="B585" s="1"/>
      <c r="C585" s="1"/>
      <c r="D585" s="1"/>
      <c r="E585" s="1"/>
      <c r="F585" s="1"/>
      <c r="G585" s="1"/>
      <c r="H585" s="1"/>
      <c r="I585" s="61"/>
      <c r="J585" s="1"/>
      <c r="K585" s="1"/>
      <c r="L585" s="1"/>
    </row>
    <row r="586" spans="1:12" ht="15.75" customHeight="1">
      <c r="A586" s="2"/>
      <c r="B586" s="1"/>
      <c r="C586" s="1"/>
      <c r="D586" s="1"/>
      <c r="E586" s="1"/>
      <c r="F586" s="1"/>
      <c r="G586" s="1"/>
      <c r="H586" s="1"/>
      <c r="I586" s="61"/>
      <c r="J586" s="1"/>
      <c r="K586" s="1"/>
      <c r="L586" s="1"/>
    </row>
    <row r="587" spans="1:12" ht="15.75" customHeight="1">
      <c r="A587" s="2"/>
      <c r="B587" s="1"/>
      <c r="C587" s="1"/>
      <c r="D587" s="1"/>
      <c r="E587" s="1"/>
      <c r="F587" s="1"/>
      <c r="G587" s="1"/>
      <c r="H587" s="1"/>
      <c r="I587" s="61"/>
      <c r="J587" s="1"/>
      <c r="K587" s="1"/>
      <c r="L587" s="1"/>
    </row>
    <row r="588" spans="1:12" ht="15.75" customHeight="1">
      <c r="A588" s="2"/>
      <c r="B588" s="1"/>
      <c r="C588" s="1"/>
      <c r="D588" s="1"/>
      <c r="E588" s="1"/>
      <c r="F588" s="1"/>
      <c r="G588" s="1"/>
      <c r="H588" s="1"/>
      <c r="I588" s="61"/>
      <c r="J588" s="1"/>
      <c r="K588" s="1"/>
      <c r="L588" s="1"/>
    </row>
    <row r="589" spans="1:12" ht="15.75" customHeight="1">
      <c r="A589" s="2"/>
      <c r="B589" s="1"/>
      <c r="C589" s="1"/>
      <c r="D589" s="1"/>
      <c r="E589" s="1"/>
      <c r="F589" s="1"/>
      <c r="G589" s="1"/>
      <c r="H589" s="1"/>
      <c r="I589" s="61"/>
      <c r="J589" s="1"/>
      <c r="K589" s="1"/>
      <c r="L589" s="1"/>
    </row>
    <row r="590" spans="1:12" ht="15.75" customHeight="1">
      <c r="A590" s="2"/>
      <c r="B590" s="1"/>
      <c r="C590" s="1"/>
      <c r="D590" s="1"/>
      <c r="E590" s="1"/>
      <c r="F590" s="1"/>
      <c r="G590" s="1"/>
      <c r="H590" s="1"/>
      <c r="I590" s="61"/>
      <c r="J590" s="1"/>
      <c r="K590" s="1"/>
      <c r="L590" s="1"/>
    </row>
    <row r="591" spans="1:12" ht="15.75" customHeight="1">
      <c r="A591" s="2"/>
      <c r="B591" s="1"/>
      <c r="C591" s="1"/>
      <c r="D591" s="1"/>
      <c r="E591" s="1"/>
      <c r="F591" s="1"/>
      <c r="G591" s="1"/>
      <c r="H591" s="1"/>
      <c r="I591" s="61"/>
      <c r="J591" s="1"/>
      <c r="K591" s="1"/>
      <c r="L591" s="1"/>
    </row>
    <row r="592" spans="1:12" ht="15.75" customHeight="1">
      <c r="A592" s="2"/>
      <c r="B592" s="1"/>
      <c r="C592" s="1"/>
      <c r="D592" s="1"/>
      <c r="E592" s="1"/>
      <c r="F592" s="1"/>
      <c r="G592" s="1"/>
      <c r="H592" s="1"/>
      <c r="I592" s="61"/>
      <c r="J592" s="1"/>
      <c r="K592" s="1"/>
      <c r="L592" s="1"/>
    </row>
    <row r="593" spans="1:12" ht="15.75" customHeight="1">
      <c r="A593" s="2"/>
      <c r="B593" s="1"/>
      <c r="C593" s="1"/>
      <c r="D593" s="1"/>
      <c r="E593" s="1"/>
      <c r="F593" s="1"/>
      <c r="G593" s="1"/>
      <c r="H593" s="1"/>
      <c r="I593" s="61"/>
      <c r="J593" s="1"/>
      <c r="K593" s="1"/>
      <c r="L593" s="1"/>
    </row>
    <row r="594" spans="1:12" ht="15.75" customHeight="1">
      <c r="A594" s="2"/>
      <c r="B594" s="1"/>
      <c r="C594" s="1"/>
      <c r="D594" s="1"/>
      <c r="E594" s="1"/>
      <c r="F594" s="1"/>
      <c r="G594" s="1"/>
      <c r="H594" s="1"/>
      <c r="I594" s="61"/>
      <c r="J594" s="1"/>
      <c r="K594" s="1"/>
      <c r="L594" s="1"/>
    </row>
    <row r="595" spans="1:12" ht="15.75" customHeight="1">
      <c r="A595" s="2"/>
      <c r="B595" s="1"/>
      <c r="C595" s="1"/>
      <c r="D595" s="1"/>
      <c r="E595" s="1"/>
      <c r="F595" s="1"/>
      <c r="G595" s="1"/>
      <c r="H595" s="1"/>
      <c r="I595" s="61"/>
      <c r="J595" s="1"/>
      <c r="K595" s="1"/>
      <c r="L595" s="1"/>
    </row>
    <row r="596" spans="1:12" ht="15.75" customHeight="1">
      <c r="A596" s="2"/>
      <c r="B596" s="1"/>
      <c r="C596" s="1"/>
      <c r="D596" s="1"/>
      <c r="E596" s="1"/>
      <c r="F596" s="1"/>
      <c r="G596" s="1"/>
      <c r="H596" s="1"/>
      <c r="I596" s="61"/>
      <c r="J596" s="1"/>
      <c r="K596" s="1"/>
      <c r="L596" s="1"/>
    </row>
    <row r="597" spans="1:12" ht="15.75" customHeight="1">
      <c r="A597" s="2"/>
      <c r="B597" s="1"/>
      <c r="C597" s="1"/>
      <c r="D597" s="1"/>
      <c r="E597" s="1"/>
      <c r="F597" s="1"/>
      <c r="G597" s="1"/>
      <c r="H597" s="1"/>
      <c r="I597" s="61"/>
      <c r="J597" s="1"/>
      <c r="K597" s="1"/>
      <c r="L597" s="1"/>
    </row>
    <row r="598" spans="1:12" ht="15.75" customHeight="1">
      <c r="A598" s="2"/>
      <c r="B598" s="1"/>
      <c r="C598" s="1"/>
      <c r="D598" s="1"/>
      <c r="E598" s="1"/>
      <c r="F598" s="1"/>
      <c r="G598" s="1"/>
      <c r="H598" s="1"/>
      <c r="I598" s="61"/>
      <c r="J598" s="1"/>
      <c r="K598" s="1"/>
      <c r="L598" s="1"/>
    </row>
    <row r="599" spans="1:12" ht="15.75" customHeight="1">
      <c r="A599" s="2"/>
      <c r="B599" s="1"/>
      <c r="C599" s="1"/>
      <c r="D599" s="1"/>
      <c r="E599" s="1"/>
      <c r="F599" s="1"/>
      <c r="G599" s="1"/>
      <c r="H599" s="1"/>
      <c r="I599" s="61"/>
      <c r="J599" s="1"/>
      <c r="K599" s="1"/>
      <c r="L599" s="1"/>
    </row>
    <row r="600" spans="1:12" ht="15.75" customHeight="1">
      <c r="A600" s="2"/>
      <c r="B600" s="1"/>
      <c r="C600" s="1"/>
      <c r="D600" s="1"/>
      <c r="E600" s="1"/>
      <c r="F600" s="1"/>
      <c r="G600" s="1"/>
      <c r="H600" s="1"/>
      <c r="I600" s="61"/>
      <c r="J600" s="1"/>
      <c r="K600" s="1"/>
      <c r="L600" s="1"/>
    </row>
    <row r="601" spans="1:12" ht="15.75" customHeight="1">
      <c r="A601" s="2"/>
      <c r="B601" s="1"/>
      <c r="C601" s="1"/>
      <c r="D601" s="1"/>
      <c r="E601" s="1"/>
      <c r="F601" s="1"/>
      <c r="G601" s="1"/>
      <c r="H601" s="1"/>
      <c r="I601" s="61"/>
      <c r="J601" s="1"/>
      <c r="K601" s="1"/>
      <c r="L601" s="1"/>
    </row>
    <row r="602" spans="1:12" ht="15.75" customHeight="1">
      <c r="A602" s="2"/>
      <c r="B602" s="1"/>
      <c r="C602" s="1"/>
      <c r="D602" s="1"/>
      <c r="E602" s="1"/>
      <c r="F602" s="1"/>
      <c r="G602" s="1"/>
      <c r="H602" s="1"/>
      <c r="I602" s="61"/>
      <c r="J602" s="1"/>
      <c r="K602" s="1"/>
      <c r="L602" s="1"/>
    </row>
    <row r="603" spans="1:12" ht="15.75" customHeight="1">
      <c r="A603" s="2"/>
      <c r="B603" s="1"/>
      <c r="C603" s="1"/>
      <c r="D603" s="1"/>
      <c r="E603" s="1"/>
      <c r="F603" s="1"/>
      <c r="G603" s="1"/>
      <c r="H603" s="1"/>
      <c r="I603" s="61"/>
      <c r="J603" s="1"/>
      <c r="K603" s="1"/>
      <c r="L603" s="1"/>
    </row>
    <row r="604" spans="1:12" ht="15.75" customHeight="1">
      <c r="A604" s="2"/>
      <c r="B604" s="1"/>
      <c r="C604" s="1"/>
      <c r="D604" s="1"/>
      <c r="E604" s="1"/>
      <c r="F604" s="1"/>
      <c r="G604" s="1"/>
      <c r="H604" s="1"/>
      <c r="I604" s="61"/>
      <c r="J604" s="1"/>
      <c r="K604" s="1"/>
      <c r="L604" s="1"/>
    </row>
    <row r="605" spans="1:12" ht="15.75" customHeight="1">
      <c r="A605" s="2"/>
      <c r="B605" s="1"/>
      <c r="C605" s="1"/>
      <c r="D605" s="1"/>
      <c r="E605" s="1"/>
      <c r="F605" s="1"/>
      <c r="G605" s="1"/>
      <c r="H605" s="1"/>
      <c r="I605" s="61"/>
      <c r="J605" s="1"/>
      <c r="K605" s="1"/>
      <c r="L605" s="1"/>
    </row>
    <row r="606" spans="1:12" ht="15.75" customHeight="1">
      <c r="A606" s="2"/>
      <c r="B606" s="1"/>
      <c r="C606" s="1"/>
      <c r="D606" s="1"/>
      <c r="E606" s="1"/>
      <c r="F606" s="1"/>
      <c r="G606" s="1"/>
      <c r="H606" s="1"/>
      <c r="I606" s="61"/>
      <c r="J606" s="1"/>
      <c r="K606" s="1"/>
      <c r="L606" s="1"/>
    </row>
    <row r="607" spans="1:12" ht="15.75" customHeight="1">
      <c r="A607" s="2"/>
      <c r="B607" s="1"/>
      <c r="C607" s="1"/>
      <c r="D607" s="1"/>
      <c r="E607" s="1"/>
      <c r="F607" s="1"/>
      <c r="G607" s="1"/>
      <c r="H607" s="1"/>
      <c r="I607" s="61"/>
      <c r="J607" s="1"/>
      <c r="K607" s="1"/>
      <c r="L607" s="1"/>
    </row>
    <row r="608" spans="1:12" ht="15.75" customHeight="1">
      <c r="A608" s="2"/>
      <c r="B608" s="1"/>
      <c r="C608" s="1"/>
      <c r="D608" s="1"/>
      <c r="E608" s="1"/>
      <c r="F608" s="1"/>
      <c r="G608" s="1"/>
      <c r="H608" s="1"/>
      <c r="I608" s="61"/>
      <c r="J608" s="1"/>
      <c r="K608" s="1"/>
      <c r="L608" s="1"/>
    </row>
    <row r="609" spans="1:12" ht="15.75" customHeight="1">
      <c r="A609" s="2"/>
      <c r="B609" s="1"/>
      <c r="C609" s="1"/>
      <c r="D609" s="1"/>
      <c r="E609" s="1"/>
      <c r="F609" s="1"/>
      <c r="G609" s="1"/>
      <c r="H609" s="1"/>
      <c r="I609" s="61"/>
      <c r="J609" s="1"/>
      <c r="K609" s="1"/>
      <c r="L609" s="1"/>
    </row>
    <row r="610" spans="1:12" ht="15.75" customHeight="1">
      <c r="A610" s="2"/>
      <c r="B610" s="1"/>
      <c r="C610" s="1"/>
      <c r="D610" s="1"/>
      <c r="E610" s="1"/>
      <c r="F610" s="1"/>
      <c r="G610" s="1"/>
      <c r="H610" s="1"/>
      <c r="I610" s="61"/>
      <c r="J610" s="1"/>
      <c r="K610" s="1"/>
      <c r="L610" s="1"/>
    </row>
    <row r="611" spans="1:12" ht="15.75" customHeight="1">
      <c r="A611" s="2"/>
      <c r="B611" s="1"/>
      <c r="C611" s="1"/>
      <c r="D611" s="1"/>
      <c r="E611" s="1"/>
      <c r="F611" s="1"/>
      <c r="G611" s="1"/>
      <c r="H611" s="1"/>
      <c r="I611" s="61"/>
      <c r="J611" s="1"/>
      <c r="K611" s="1"/>
      <c r="L611" s="1"/>
    </row>
    <row r="612" spans="1:12" ht="15.75" customHeight="1">
      <c r="A612" s="2"/>
      <c r="B612" s="1"/>
      <c r="C612" s="1"/>
      <c r="D612" s="1"/>
      <c r="E612" s="1"/>
      <c r="F612" s="1"/>
      <c r="G612" s="1"/>
      <c r="H612" s="1"/>
      <c r="I612" s="61"/>
      <c r="J612" s="1"/>
      <c r="K612" s="1"/>
      <c r="L612" s="1"/>
    </row>
    <row r="613" spans="1:12" ht="15.75" customHeight="1">
      <c r="A613" s="2"/>
      <c r="B613" s="1"/>
      <c r="C613" s="1"/>
      <c r="D613" s="1"/>
      <c r="E613" s="1"/>
      <c r="F613" s="1"/>
      <c r="G613" s="1"/>
      <c r="H613" s="1"/>
      <c r="I613" s="61"/>
      <c r="J613" s="1"/>
      <c r="K613" s="1"/>
      <c r="L613" s="1"/>
    </row>
    <row r="614" spans="1:12" ht="15.75" customHeight="1">
      <c r="A614" s="2"/>
      <c r="B614" s="1"/>
      <c r="C614" s="1"/>
      <c r="D614" s="1"/>
      <c r="E614" s="1"/>
      <c r="F614" s="1"/>
      <c r="G614" s="1"/>
      <c r="H614" s="1"/>
      <c r="I614" s="61"/>
      <c r="J614" s="1"/>
      <c r="K614" s="1"/>
      <c r="L614" s="1"/>
    </row>
    <row r="615" spans="1:12" ht="15.75" customHeight="1">
      <c r="A615" s="2"/>
      <c r="B615" s="1"/>
      <c r="C615" s="1"/>
      <c r="D615" s="1"/>
      <c r="E615" s="1"/>
      <c r="F615" s="1"/>
      <c r="G615" s="1"/>
      <c r="H615" s="1"/>
      <c r="I615" s="61"/>
      <c r="J615" s="1"/>
      <c r="K615" s="1"/>
      <c r="L615" s="1"/>
    </row>
    <row r="616" spans="1:12" ht="15.75" customHeight="1">
      <c r="A616" s="2"/>
      <c r="B616" s="1"/>
      <c r="C616" s="1"/>
      <c r="D616" s="1"/>
      <c r="E616" s="1"/>
      <c r="F616" s="1"/>
      <c r="G616" s="1"/>
      <c r="H616" s="1"/>
      <c r="I616" s="61"/>
      <c r="J616" s="1"/>
      <c r="K616" s="1"/>
      <c r="L616" s="1"/>
    </row>
    <row r="617" spans="1:12" ht="15.75" customHeight="1">
      <c r="A617" s="2"/>
      <c r="B617" s="1"/>
      <c r="C617" s="1"/>
      <c r="D617" s="1"/>
      <c r="E617" s="1"/>
      <c r="F617" s="1"/>
      <c r="G617" s="1"/>
      <c r="H617" s="1"/>
      <c r="I617" s="61"/>
      <c r="J617" s="1"/>
      <c r="K617" s="1"/>
      <c r="L617" s="1"/>
    </row>
    <row r="618" spans="1:12" ht="15.75" customHeight="1">
      <c r="A618" s="2"/>
      <c r="B618" s="1"/>
      <c r="C618" s="1"/>
      <c r="D618" s="1"/>
      <c r="E618" s="1"/>
      <c r="F618" s="1"/>
      <c r="G618" s="1"/>
      <c r="H618" s="1"/>
      <c r="I618" s="61"/>
      <c r="J618" s="1"/>
      <c r="K618" s="1"/>
      <c r="L618" s="1"/>
    </row>
    <row r="619" spans="1:12" ht="15.75" customHeight="1">
      <c r="A619" s="2"/>
      <c r="B619" s="1"/>
      <c r="C619" s="1"/>
      <c r="D619" s="1"/>
      <c r="E619" s="1"/>
      <c r="F619" s="1"/>
      <c r="G619" s="1"/>
      <c r="H619" s="1"/>
      <c r="I619" s="61"/>
      <c r="J619" s="1"/>
      <c r="K619" s="1"/>
      <c r="L619" s="1"/>
    </row>
    <row r="620" spans="1:12" ht="15.75" customHeight="1">
      <c r="A620" s="2"/>
      <c r="B620" s="1"/>
      <c r="C620" s="1"/>
      <c r="D620" s="1"/>
      <c r="E620" s="1"/>
      <c r="F620" s="1"/>
      <c r="G620" s="1"/>
      <c r="H620" s="1"/>
      <c r="I620" s="61"/>
      <c r="J620" s="1"/>
      <c r="K620" s="1"/>
      <c r="L620" s="1"/>
    </row>
    <row r="621" spans="1:12" ht="15.75" customHeight="1">
      <c r="A621" s="2"/>
      <c r="B621" s="1"/>
      <c r="C621" s="1"/>
      <c r="D621" s="1"/>
      <c r="E621" s="1"/>
      <c r="F621" s="1"/>
      <c r="G621" s="1"/>
      <c r="H621" s="1"/>
      <c r="I621" s="61"/>
      <c r="J621" s="1"/>
      <c r="K621" s="1"/>
      <c r="L621" s="1"/>
    </row>
    <row r="622" spans="1:12" ht="15.75" customHeight="1">
      <c r="A622" s="2"/>
      <c r="B622" s="1"/>
      <c r="C622" s="1"/>
      <c r="D622" s="1"/>
      <c r="E622" s="1"/>
      <c r="F622" s="1"/>
      <c r="G622" s="1"/>
      <c r="H622" s="1"/>
      <c r="I622" s="61"/>
      <c r="J622" s="1"/>
      <c r="K622" s="1"/>
      <c r="L622" s="1"/>
    </row>
    <row r="623" spans="1:12" ht="15.75" customHeight="1">
      <c r="A623" s="2"/>
      <c r="B623" s="1"/>
      <c r="C623" s="1"/>
      <c r="D623" s="1"/>
      <c r="E623" s="1"/>
      <c r="F623" s="1"/>
      <c r="G623" s="1"/>
      <c r="H623" s="1"/>
      <c r="I623" s="61"/>
      <c r="J623" s="1"/>
      <c r="K623" s="1"/>
      <c r="L623" s="1"/>
    </row>
    <row r="624" spans="1:12" ht="15.75" customHeight="1">
      <c r="A624" s="2"/>
      <c r="B624" s="1"/>
      <c r="C624" s="1"/>
      <c r="D624" s="1"/>
      <c r="E624" s="1"/>
      <c r="F624" s="1"/>
      <c r="G624" s="1"/>
      <c r="H624" s="1"/>
      <c r="I624" s="61"/>
      <c r="J624" s="1"/>
      <c r="K624" s="1"/>
      <c r="L624" s="1"/>
    </row>
    <row r="625" spans="1:12" ht="15.75" customHeight="1">
      <c r="A625" s="2"/>
      <c r="B625" s="1"/>
      <c r="C625" s="1"/>
      <c r="D625" s="1"/>
      <c r="E625" s="1"/>
      <c r="F625" s="1"/>
      <c r="G625" s="1"/>
      <c r="H625" s="1"/>
      <c r="I625" s="61"/>
      <c r="J625" s="1"/>
      <c r="K625" s="1"/>
      <c r="L625" s="1"/>
    </row>
    <row r="626" spans="1:12" ht="15.75" customHeight="1">
      <c r="A626" s="2"/>
      <c r="B626" s="1"/>
      <c r="C626" s="1"/>
      <c r="D626" s="1"/>
      <c r="E626" s="1"/>
      <c r="F626" s="1"/>
      <c r="G626" s="1"/>
      <c r="H626" s="1"/>
      <c r="I626" s="61"/>
      <c r="J626" s="1"/>
      <c r="K626" s="1"/>
      <c r="L626" s="1"/>
    </row>
    <row r="627" spans="1:12" ht="15.75" customHeight="1">
      <c r="A627" s="2"/>
      <c r="B627" s="1"/>
      <c r="C627" s="1"/>
      <c r="D627" s="1"/>
      <c r="E627" s="1"/>
      <c r="F627" s="1"/>
      <c r="G627" s="1"/>
      <c r="H627" s="1"/>
      <c r="I627" s="61"/>
      <c r="J627" s="1"/>
      <c r="K627" s="1"/>
      <c r="L627" s="1"/>
    </row>
    <row r="628" spans="1:12" ht="15.75" customHeight="1">
      <c r="A628" s="2"/>
      <c r="B628" s="1"/>
      <c r="C628" s="1"/>
      <c r="D628" s="1"/>
      <c r="E628" s="1"/>
      <c r="F628" s="1"/>
      <c r="G628" s="1"/>
      <c r="H628" s="1"/>
      <c r="I628" s="61"/>
      <c r="J628" s="1"/>
      <c r="K628" s="1"/>
      <c r="L628" s="1"/>
    </row>
    <row r="629" spans="1:12" ht="15.75" customHeight="1">
      <c r="A629" s="2"/>
      <c r="B629" s="1"/>
      <c r="C629" s="1"/>
      <c r="D629" s="1"/>
      <c r="E629" s="1"/>
      <c r="F629" s="1"/>
      <c r="G629" s="1"/>
      <c r="H629" s="1"/>
      <c r="I629" s="61"/>
      <c r="J629" s="1"/>
      <c r="K629" s="1"/>
      <c r="L629" s="1"/>
    </row>
    <row r="630" spans="1:12" ht="15.75" customHeight="1">
      <c r="A630" s="2"/>
      <c r="B630" s="1"/>
      <c r="C630" s="1"/>
      <c r="D630" s="1"/>
      <c r="E630" s="1"/>
      <c r="F630" s="1"/>
      <c r="G630" s="1"/>
      <c r="H630" s="1"/>
      <c r="I630" s="61"/>
      <c r="J630" s="1"/>
      <c r="K630" s="1"/>
      <c r="L630" s="1"/>
    </row>
    <row r="631" spans="1:12" ht="15.75" customHeight="1">
      <c r="A631" s="2"/>
      <c r="B631" s="1"/>
      <c r="C631" s="1"/>
      <c r="D631" s="1"/>
      <c r="E631" s="1"/>
      <c r="F631" s="1"/>
      <c r="G631" s="1"/>
      <c r="H631" s="1"/>
      <c r="I631" s="61"/>
      <c r="J631" s="1"/>
      <c r="K631" s="1"/>
      <c r="L631" s="1"/>
    </row>
    <row r="632" spans="1:12" ht="15.75" customHeight="1">
      <c r="A632" s="2"/>
      <c r="B632" s="1"/>
      <c r="C632" s="1"/>
      <c r="D632" s="1"/>
      <c r="E632" s="1"/>
      <c r="F632" s="1"/>
      <c r="G632" s="1"/>
      <c r="H632" s="1"/>
      <c r="I632" s="61"/>
      <c r="J632" s="1"/>
      <c r="K632" s="1"/>
      <c r="L632" s="1"/>
    </row>
    <row r="633" spans="1:12" ht="15.75" customHeight="1">
      <c r="A633" s="2"/>
      <c r="B633" s="1"/>
      <c r="C633" s="1"/>
      <c r="D633" s="1"/>
      <c r="E633" s="1"/>
      <c r="F633" s="1"/>
      <c r="G633" s="1"/>
      <c r="H633" s="1"/>
      <c r="I633" s="61"/>
      <c r="J633" s="1"/>
      <c r="K633" s="1"/>
      <c r="L633" s="1"/>
    </row>
    <row r="634" spans="1:12" ht="15.75" customHeight="1">
      <c r="A634" s="2"/>
      <c r="B634" s="1"/>
      <c r="C634" s="1"/>
      <c r="D634" s="1"/>
      <c r="E634" s="1"/>
      <c r="F634" s="1"/>
      <c r="G634" s="1"/>
      <c r="H634" s="1"/>
      <c r="I634" s="61"/>
      <c r="J634" s="1"/>
      <c r="K634" s="1"/>
      <c r="L634" s="1"/>
    </row>
    <row r="635" spans="1:12" ht="15.75" customHeight="1">
      <c r="A635" s="2"/>
      <c r="B635" s="1"/>
      <c r="C635" s="1"/>
      <c r="D635" s="1"/>
      <c r="E635" s="1"/>
      <c r="F635" s="1"/>
      <c r="G635" s="1"/>
      <c r="H635" s="1"/>
      <c r="I635" s="61"/>
      <c r="J635" s="1"/>
      <c r="K635" s="1"/>
      <c r="L635" s="1"/>
    </row>
    <row r="636" spans="1:12" ht="15.75" customHeight="1">
      <c r="A636" s="2"/>
      <c r="B636" s="1"/>
      <c r="C636" s="1"/>
      <c r="D636" s="1"/>
      <c r="E636" s="1"/>
      <c r="F636" s="1"/>
      <c r="G636" s="1"/>
      <c r="H636" s="1"/>
      <c r="I636" s="61"/>
      <c r="J636" s="1"/>
      <c r="K636" s="1"/>
      <c r="L636" s="1"/>
    </row>
    <row r="637" spans="1:12" ht="15.75" customHeight="1">
      <c r="A637" s="2"/>
      <c r="B637" s="1"/>
      <c r="C637" s="1"/>
      <c r="D637" s="1"/>
      <c r="E637" s="1"/>
      <c r="F637" s="1"/>
      <c r="G637" s="1"/>
      <c r="H637" s="1"/>
      <c r="I637" s="61"/>
      <c r="J637" s="1"/>
      <c r="K637" s="1"/>
      <c r="L637" s="1"/>
    </row>
    <row r="638" spans="1:12" ht="15.75" customHeight="1">
      <c r="A638" s="2"/>
      <c r="B638" s="1"/>
      <c r="C638" s="1"/>
      <c r="D638" s="1"/>
      <c r="E638" s="1"/>
      <c r="F638" s="1"/>
      <c r="G638" s="1"/>
      <c r="H638" s="1"/>
      <c r="I638" s="61"/>
      <c r="J638" s="1"/>
      <c r="K638" s="1"/>
      <c r="L638" s="1"/>
    </row>
    <row r="639" spans="1:12" ht="15.75" customHeight="1">
      <c r="A639" s="2"/>
      <c r="B639" s="1"/>
      <c r="C639" s="1"/>
      <c r="D639" s="1"/>
      <c r="E639" s="1"/>
      <c r="F639" s="1"/>
      <c r="G639" s="1"/>
      <c r="H639" s="1"/>
      <c r="I639" s="61"/>
      <c r="J639" s="1"/>
      <c r="K639" s="1"/>
      <c r="L639" s="1"/>
    </row>
    <row r="640" spans="1:12" ht="15.75" customHeight="1">
      <c r="A640" s="2"/>
      <c r="B640" s="1"/>
      <c r="C640" s="1"/>
      <c r="D640" s="1"/>
      <c r="E640" s="1"/>
      <c r="F640" s="1"/>
      <c r="G640" s="1"/>
      <c r="H640" s="1"/>
      <c r="I640" s="61"/>
      <c r="J640" s="1"/>
      <c r="K640" s="1"/>
      <c r="L640" s="1"/>
    </row>
    <row r="641" spans="1:12" ht="15.75" customHeight="1">
      <c r="A641" s="2"/>
      <c r="B641" s="1"/>
      <c r="C641" s="1"/>
      <c r="D641" s="1"/>
      <c r="E641" s="1"/>
      <c r="F641" s="1"/>
      <c r="G641" s="1"/>
      <c r="H641" s="1"/>
      <c r="I641" s="61"/>
      <c r="J641" s="1"/>
      <c r="K641" s="1"/>
      <c r="L641" s="1"/>
    </row>
    <row r="642" spans="1:12" ht="15.75" customHeight="1">
      <c r="A642" s="2"/>
      <c r="B642" s="1"/>
      <c r="C642" s="1"/>
      <c r="D642" s="1"/>
      <c r="E642" s="1"/>
      <c r="F642" s="1"/>
      <c r="G642" s="1"/>
      <c r="H642" s="1"/>
      <c r="I642" s="61"/>
      <c r="J642" s="1"/>
      <c r="K642" s="1"/>
      <c r="L642" s="1"/>
    </row>
    <row r="643" spans="1:12" ht="15.75" customHeight="1">
      <c r="A643" s="2"/>
      <c r="B643" s="1"/>
      <c r="C643" s="1"/>
      <c r="D643" s="1"/>
      <c r="E643" s="1"/>
      <c r="F643" s="1"/>
      <c r="G643" s="1"/>
      <c r="H643" s="1"/>
      <c r="I643" s="61"/>
      <c r="J643" s="1"/>
      <c r="K643" s="1"/>
      <c r="L643" s="1"/>
    </row>
    <row r="644" spans="1:12" ht="15.75" customHeight="1">
      <c r="A644" s="2"/>
      <c r="B644" s="1"/>
      <c r="C644" s="1"/>
      <c r="D644" s="1"/>
      <c r="E644" s="1"/>
      <c r="F644" s="1"/>
      <c r="G644" s="1"/>
      <c r="H644" s="1"/>
      <c r="I644" s="61"/>
      <c r="J644" s="1"/>
      <c r="K644" s="1"/>
      <c r="L644" s="1"/>
    </row>
    <row r="645" spans="1:12" ht="15.75" customHeight="1">
      <c r="A645" s="2"/>
      <c r="B645" s="1"/>
      <c r="C645" s="1"/>
      <c r="D645" s="1"/>
      <c r="E645" s="1"/>
      <c r="F645" s="1"/>
      <c r="G645" s="1"/>
      <c r="H645" s="1"/>
      <c r="I645" s="61"/>
      <c r="J645" s="1"/>
      <c r="K645" s="1"/>
      <c r="L645" s="1"/>
    </row>
    <row r="646" spans="1:12" ht="15.75" customHeight="1">
      <c r="A646" s="2"/>
      <c r="B646" s="1"/>
      <c r="C646" s="1"/>
      <c r="D646" s="1"/>
      <c r="E646" s="1"/>
      <c r="F646" s="1"/>
      <c r="G646" s="1"/>
      <c r="H646" s="1"/>
      <c r="I646" s="61"/>
      <c r="J646" s="1"/>
      <c r="K646" s="1"/>
      <c r="L646" s="1"/>
    </row>
    <row r="647" spans="1:12" ht="15.75" customHeight="1">
      <c r="A647" s="2"/>
      <c r="B647" s="1"/>
      <c r="C647" s="1"/>
      <c r="D647" s="1"/>
      <c r="E647" s="1"/>
      <c r="F647" s="1"/>
      <c r="G647" s="1"/>
      <c r="H647" s="1"/>
      <c r="I647" s="61"/>
      <c r="J647" s="1"/>
      <c r="K647" s="1"/>
      <c r="L647" s="1"/>
    </row>
    <row r="648" spans="1:12" ht="15.75" customHeight="1">
      <c r="A648" s="2"/>
      <c r="B648" s="1"/>
      <c r="C648" s="1"/>
      <c r="D648" s="1"/>
      <c r="E648" s="1"/>
      <c r="F648" s="1"/>
      <c r="G648" s="1"/>
      <c r="H648" s="1"/>
      <c r="I648" s="61"/>
      <c r="J648" s="1"/>
      <c r="K648" s="1"/>
      <c r="L648" s="1"/>
    </row>
    <row r="649" spans="1:12" ht="15.75" customHeight="1">
      <c r="A649" s="2"/>
      <c r="B649" s="1"/>
      <c r="C649" s="1"/>
      <c r="D649" s="1"/>
      <c r="E649" s="1"/>
      <c r="F649" s="1"/>
      <c r="G649" s="1"/>
      <c r="H649" s="1"/>
      <c r="I649" s="61"/>
      <c r="J649" s="1"/>
      <c r="K649" s="1"/>
      <c r="L649" s="1"/>
    </row>
    <row r="650" spans="1:12" ht="15.75" customHeight="1">
      <c r="A650" s="2"/>
      <c r="B650" s="1"/>
      <c r="C650" s="1"/>
      <c r="D650" s="1"/>
      <c r="E650" s="1"/>
      <c r="F650" s="1"/>
      <c r="G650" s="1"/>
      <c r="H650" s="1"/>
      <c r="I650" s="61"/>
      <c r="J650" s="1"/>
      <c r="K650" s="1"/>
      <c r="L650" s="1"/>
    </row>
    <row r="651" spans="1:12" ht="15.75" customHeight="1">
      <c r="A651" s="2"/>
      <c r="B651" s="1"/>
      <c r="C651" s="1"/>
      <c r="D651" s="1"/>
      <c r="E651" s="1"/>
      <c r="F651" s="1"/>
      <c r="G651" s="1"/>
      <c r="H651" s="1"/>
      <c r="I651" s="61"/>
      <c r="J651" s="1"/>
      <c r="K651" s="1"/>
      <c r="L651" s="1"/>
    </row>
    <row r="652" spans="1:12" ht="15.75" customHeight="1">
      <c r="A652" s="2"/>
      <c r="B652" s="1"/>
      <c r="C652" s="1"/>
      <c r="D652" s="1"/>
      <c r="E652" s="1"/>
      <c r="F652" s="1"/>
      <c r="G652" s="1"/>
      <c r="H652" s="1"/>
      <c r="I652" s="61"/>
      <c r="J652" s="1"/>
      <c r="K652" s="1"/>
      <c r="L652" s="1"/>
    </row>
    <row r="653" spans="1:12" ht="15.75" customHeight="1">
      <c r="A653" s="2"/>
      <c r="B653" s="1"/>
      <c r="C653" s="1"/>
      <c r="D653" s="1"/>
      <c r="E653" s="1"/>
      <c r="F653" s="1"/>
      <c r="G653" s="1"/>
      <c r="H653" s="1"/>
      <c r="I653" s="61"/>
      <c r="J653" s="1"/>
      <c r="K653" s="1"/>
      <c r="L653" s="1"/>
    </row>
    <row r="654" spans="1:12" ht="15.75" customHeight="1">
      <c r="A654" s="2"/>
      <c r="B654" s="1"/>
      <c r="C654" s="1"/>
      <c r="D654" s="1"/>
      <c r="E654" s="1"/>
      <c r="F654" s="1"/>
      <c r="G654" s="1"/>
      <c r="H654" s="1"/>
      <c r="I654" s="61"/>
      <c r="J654" s="1"/>
      <c r="K654" s="1"/>
      <c r="L654" s="1"/>
    </row>
    <row r="655" spans="1:12" ht="15.75" customHeight="1">
      <c r="A655" s="2"/>
      <c r="B655" s="1"/>
      <c r="C655" s="1"/>
      <c r="D655" s="1"/>
      <c r="E655" s="1"/>
      <c r="F655" s="1"/>
      <c r="G655" s="1"/>
      <c r="H655" s="1"/>
      <c r="I655" s="61"/>
      <c r="J655" s="1"/>
      <c r="K655" s="1"/>
      <c r="L655" s="1"/>
    </row>
    <row r="656" spans="1:12" ht="15.75" customHeight="1">
      <c r="A656" s="2"/>
      <c r="B656" s="1"/>
      <c r="C656" s="1"/>
      <c r="D656" s="1"/>
      <c r="E656" s="1"/>
      <c r="F656" s="1"/>
      <c r="G656" s="1"/>
      <c r="H656" s="1"/>
      <c r="I656" s="61"/>
      <c r="J656" s="1"/>
      <c r="K656" s="1"/>
      <c r="L656" s="1"/>
    </row>
    <row r="657" spans="1:12" ht="15.75" customHeight="1">
      <c r="A657" s="2"/>
      <c r="B657" s="1"/>
      <c r="C657" s="1"/>
      <c r="D657" s="1"/>
      <c r="E657" s="1"/>
      <c r="F657" s="1"/>
      <c r="G657" s="1"/>
      <c r="H657" s="1"/>
      <c r="I657" s="61"/>
      <c r="J657" s="1"/>
      <c r="K657" s="1"/>
      <c r="L657" s="1"/>
    </row>
    <row r="658" spans="1:12" ht="15.75" customHeight="1">
      <c r="A658" s="2"/>
      <c r="B658" s="1"/>
      <c r="C658" s="1"/>
      <c r="D658" s="1"/>
      <c r="E658" s="1"/>
      <c r="F658" s="1"/>
      <c r="G658" s="1"/>
      <c r="H658" s="1"/>
      <c r="I658" s="61"/>
      <c r="J658" s="1"/>
      <c r="K658" s="1"/>
      <c r="L658" s="1"/>
    </row>
    <row r="659" spans="1:12" ht="15.75" customHeight="1">
      <c r="A659" s="2"/>
      <c r="B659" s="1"/>
      <c r="C659" s="1"/>
      <c r="D659" s="1"/>
      <c r="E659" s="1"/>
      <c r="F659" s="1"/>
      <c r="G659" s="1"/>
      <c r="H659" s="1"/>
      <c r="I659" s="61"/>
      <c r="J659" s="1"/>
      <c r="K659" s="1"/>
      <c r="L659" s="1"/>
    </row>
    <row r="660" spans="1:12" ht="15.75" customHeight="1">
      <c r="A660" s="2"/>
      <c r="B660" s="1"/>
      <c r="C660" s="1"/>
      <c r="D660" s="1"/>
      <c r="E660" s="1"/>
      <c r="F660" s="1"/>
      <c r="G660" s="1"/>
      <c r="H660" s="1"/>
      <c r="I660" s="61"/>
      <c r="J660" s="1"/>
      <c r="K660" s="1"/>
      <c r="L660" s="1"/>
    </row>
    <row r="661" spans="1:12" ht="15.75" customHeight="1">
      <c r="A661" s="2"/>
      <c r="B661" s="1"/>
      <c r="C661" s="1"/>
      <c r="D661" s="1"/>
      <c r="E661" s="1"/>
      <c r="F661" s="1"/>
      <c r="G661" s="1"/>
      <c r="H661" s="1"/>
      <c r="I661" s="61"/>
      <c r="J661" s="1"/>
      <c r="K661" s="1"/>
      <c r="L661" s="1"/>
    </row>
    <row r="662" spans="1:12" ht="15.75" customHeight="1">
      <c r="A662" s="2"/>
      <c r="B662" s="1"/>
      <c r="C662" s="1"/>
      <c r="D662" s="1"/>
      <c r="E662" s="1"/>
      <c r="F662" s="1"/>
      <c r="G662" s="1"/>
      <c r="H662" s="1"/>
      <c r="I662" s="61"/>
      <c r="J662" s="1"/>
      <c r="K662" s="1"/>
      <c r="L662" s="1"/>
    </row>
    <row r="663" spans="1:12" ht="15.75" customHeight="1">
      <c r="A663" s="2"/>
      <c r="B663" s="1"/>
      <c r="C663" s="1"/>
      <c r="D663" s="1"/>
      <c r="E663" s="1"/>
      <c r="F663" s="1"/>
      <c r="G663" s="1"/>
      <c r="H663" s="1"/>
      <c r="I663" s="61"/>
      <c r="J663" s="1"/>
      <c r="K663" s="1"/>
      <c r="L663" s="1"/>
    </row>
    <row r="664" spans="1:12" ht="15.75" customHeight="1">
      <c r="A664" s="2"/>
      <c r="B664" s="1"/>
      <c r="C664" s="1"/>
      <c r="D664" s="1"/>
      <c r="E664" s="1"/>
      <c r="F664" s="1"/>
      <c r="G664" s="1"/>
      <c r="H664" s="1"/>
      <c r="I664" s="61"/>
      <c r="J664" s="1"/>
      <c r="K664" s="1"/>
      <c r="L664" s="1"/>
    </row>
    <row r="665" spans="1:12" ht="15.75" customHeight="1">
      <c r="A665" s="2"/>
      <c r="B665" s="1"/>
      <c r="C665" s="1"/>
      <c r="D665" s="1"/>
      <c r="E665" s="1"/>
      <c r="F665" s="1"/>
      <c r="G665" s="1"/>
      <c r="H665" s="1"/>
      <c r="I665" s="61"/>
      <c r="J665" s="1"/>
      <c r="K665" s="1"/>
      <c r="L665" s="1"/>
    </row>
    <row r="666" spans="1:12" ht="15.75" customHeight="1">
      <c r="A666" s="2"/>
      <c r="B666" s="1"/>
      <c r="C666" s="1"/>
      <c r="D666" s="1"/>
      <c r="E666" s="1"/>
      <c r="F666" s="1"/>
      <c r="G666" s="1"/>
      <c r="H666" s="1"/>
      <c r="I666" s="61"/>
      <c r="J666" s="1"/>
      <c r="K666" s="1"/>
      <c r="L666" s="1"/>
    </row>
    <row r="667" spans="1:12" ht="15.75" customHeight="1">
      <c r="A667" s="2"/>
      <c r="B667" s="1"/>
      <c r="C667" s="1"/>
      <c r="D667" s="1"/>
      <c r="E667" s="1"/>
      <c r="F667" s="1"/>
      <c r="G667" s="1"/>
      <c r="H667" s="1"/>
      <c r="I667" s="61"/>
      <c r="J667" s="1"/>
      <c r="K667" s="1"/>
      <c r="L667" s="1"/>
    </row>
    <row r="668" spans="1:12" ht="15.75" customHeight="1">
      <c r="A668" s="2"/>
      <c r="B668" s="1"/>
      <c r="C668" s="1"/>
      <c r="D668" s="1"/>
      <c r="E668" s="1"/>
      <c r="F668" s="1"/>
      <c r="G668" s="1"/>
      <c r="H668" s="1"/>
      <c r="I668" s="61"/>
      <c r="J668" s="1"/>
      <c r="K668" s="1"/>
      <c r="L668" s="1"/>
    </row>
    <row r="669" spans="1:12" ht="15.75" customHeight="1">
      <c r="A669" s="2"/>
      <c r="B669" s="1"/>
      <c r="C669" s="1"/>
      <c r="D669" s="1"/>
      <c r="E669" s="1"/>
      <c r="F669" s="1"/>
      <c r="G669" s="1"/>
      <c r="H669" s="1"/>
      <c r="I669" s="61"/>
      <c r="J669" s="1"/>
      <c r="K669" s="1"/>
      <c r="L669" s="1"/>
    </row>
    <row r="670" spans="1:12" ht="15.75" customHeight="1">
      <c r="A670" s="2"/>
      <c r="B670" s="1"/>
      <c r="C670" s="1"/>
      <c r="D670" s="1"/>
      <c r="E670" s="1"/>
      <c r="F670" s="1"/>
      <c r="G670" s="1"/>
      <c r="H670" s="1"/>
      <c r="I670" s="61"/>
      <c r="J670" s="1"/>
      <c r="K670" s="1"/>
      <c r="L670" s="1"/>
    </row>
    <row r="671" spans="1:12" ht="15.75" customHeight="1">
      <c r="A671" s="2"/>
      <c r="B671" s="1"/>
      <c r="C671" s="1"/>
      <c r="D671" s="1"/>
      <c r="E671" s="1"/>
      <c r="F671" s="1"/>
      <c r="G671" s="1"/>
      <c r="H671" s="1"/>
      <c r="I671" s="61"/>
      <c r="J671" s="1"/>
      <c r="K671" s="1"/>
      <c r="L671" s="1"/>
    </row>
    <row r="672" spans="1:12" ht="15.75" customHeight="1">
      <c r="A672" s="2"/>
      <c r="B672" s="1"/>
      <c r="C672" s="1"/>
      <c r="D672" s="1"/>
      <c r="E672" s="1"/>
      <c r="F672" s="1"/>
      <c r="G672" s="1"/>
      <c r="H672" s="1"/>
      <c r="I672" s="61"/>
      <c r="J672" s="1"/>
      <c r="K672" s="1"/>
      <c r="L672" s="1"/>
    </row>
    <row r="673" spans="1:12" ht="15.75" customHeight="1">
      <c r="A673" s="2"/>
      <c r="B673" s="1"/>
      <c r="C673" s="1"/>
      <c r="D673" s="1"/>
      <c r="E673" s="1"/>
      <c r="F673" s="1"/>
      <c r="G673" s="1"/>
      <c r="H673" s="1"/>
      <c r="I673" s="61"/>
      <c r="J673" s="1"/>
      <c r="K673" s="1"/>
      <c r="L673" s="1"/>
    </row>
    <row r="674" spans="1:12" ht="15.75" customHeight="1">
      <c r="A674" s="2"/>
      <c r="B674" s="1"/>
      <c r="C674" s="1"/>
      <c r="D674" s="1"/>
      <c r="E674" s="1"/>
      <c r="F674" s="1"/>
      <c r="G674" s="1"/>
      <c r="H674" s="1"/>
      <c r="I674" s="61"/>
      <c r="J674" s="1"/>
      <c r="K674" s="1"/>
      <c r="L674" s="1"/>
    </row>
    <row r="675" spans="1:12" ht="15.75" customHeight="1">
      <c r="A675" s="2"/>
      <c r="B675" s="1"/>
      <c r="C675" s="1"/>
      <c r="D675" s="1"/>
      <c r="E675" s="1"/>
      <c r="F675" s="1"/>
      <c r="G675" s="1"/>
      <c r="H675" s="1"/>
      <c r="I675" s="61"/>
      <c r="J675" s="1"/>
      <c r="K675" s="1"/>
      <c r="L675" s="1"/>
    </row>
    <row r="676" spans="1:12" ht="15.75" customHeight="1">
      <c r="A676" s="2"/>
      <c r="B676" s="1"/>
      <c r="C676" s="1"/>
      <c r="D676" s="1"/>
      <c r="E676" s="1"/>
      <c r="F676" s="1"/>
      <c r="G676" s="1"/>
      <c r="H676" s="1"/>
      <c r="I676" s="61"/>
      <c r="J676" s="1"/>
      <c r="K676" s="1"/>
      <c r="L676" s="1"/>
    </row>
    <row r="677" spans="1:12" ht="15.75" customHeight="1">
      <c r="A677" s="2"/>
      <c r="B677" s="1"/>
      <c r="C677" s="1"/>
      <c r="D677" s="1"/>
      <c r="E677" s="1"/>
      <c r="F677" s="1"/>
      <c r="G677" s="1"/>
      <c r="H677" s="1"/>
      <c r="I677" s="61"/>
      <c r="J677" s="1"/>
      <c r="K677" s="1"/>
      <c r="L677" s="1"/>
    </row>
    <row r="678" spans="1:12" ht="15.75" customHeight="1">
      <c r="A678" s="2"/>
      <c r="B678" s="1"/>
      <c r="C678" s="1"/>
      <c r="D678" s="1"/>
      <c r="E678" s="1"/>
      <c r="F678" s="1"/>
      <c r="G678" s="1"/>
      <c r="H678" s="1"/>
      <c r="I678" s="61"/>
      <c r="J678" s="1"/>
      <c r="K678" s="1"/>
      <c r="L678" s="1"/>
    </row>
    <row r="679" spans="1:12" ht="15.75" customHeight="1">
      <c r="A679" s="2"/>
      <c r="B679" s="1"/>
      <c r="C679" s="1"/>
      <c r="D679" s="1"/>
      <c r="E679" s="1"/>
      <c r="F679" s="1"/>
      <c r="G679" s="1"/>
      <c r="H679" s="1"/>
      <c r="I679" s="61"/>
      <c r="J679" s="1"/>
      <c r="K679" s="1"/>
      <c r="L679" s="1"/>
    </row>
    <row r="680" spans="1:12" ht="15.75" customHeight="1">
      <c r="A680" s="2"/>
      <c r="B680" s="1"/>
      <c r="C680" s="1"/>
      <c r="D680" s="1"/>
      <c r="E680" s="1"/>
      <c r="F680" s="1"/>
      <c r="G680" s="1"/>
      <c r="H680" s="1"/>
      <c r="I680" s="61"/>
      <c r="J680" s="1"/>
      <c r="K680" s="1"/>
      <c r="L680" s="1"/>
    </row>
    <row r="681" spans="1:12" ht="15.75" customHeight="1">
      <c r="A681" s="2"/>
      <c r="B681" s="1"/>
      <c r="C681" s="1"/>
      <c r="D681" s="1"/>
      <c r="E681" s="1"/>
      <c r="F681" s="1"/>
      <c r="G681" s="1"/>
      <c r="H681" s="1"/>
      <c r="I681" s="61"/>
      <c r="J681" s="1"/>
      <c r="K681" s="1"/>
      <c r="L681" s="1"/>
    </row>
    <row r="682" spans="1:12" ht="15.75" customHeight="1">
      <c r="A682" s="2"/>
      <c r="B682" s="1"/>
      <c r="C682" s="1"/>
      <c r="D682" s="1"/>
      <c r="E682" s="1"/>
      <c r="F682" s="1"/>
      <c r="G682" s="1"/>
      <c r="H682" s="1"/>
      <c r="I682" s="61"/>
      <c r="J682" s="1"/>
      <c r="K682" s="1"/>
      <c r="L682" s="1"/>
    </row>
    <row r="683" spans="1:12" ht="15.75" customHeight="1">
      <c r="A683" s="2"/>
      <c r="B683" s="1"/>
      <c r="C683" s="1"/>
      <c r="D683" s="1"/>
      <c r="E683" s="1"/>
      <c r="F683" s="1"/>
      <c r="G683" s="1"/>
      <c r="H683" s="1"/>
      <c r="I683" s="61"/>
      <c r="J683" s="1"/>
      <c r="K683" s="1"/>
      <c r="L683" s="1"/>
    </row>
    <row r="684" spans="1:12" ht="15.75" customHeight="1">
      <c r="A684" s="2"/>
      <c r="B684" s="1"/>
      <c r="C684" s="1"/>
      <c r="D684" s="1"/>
      <c r="E684" s="1"/>
      <c r="F684" s="1"/>
      <c r="G684" s="1"/>
      <c r="H684" s="1"/>
      <c r="I684" s="61"/>
      <c r="J684" s="1"/>
      <c r="K684" s="1"/>
      <c r="L684" s="1"/>
    </row>
    <row r="685" spans="1:12" ht="15.75" customHeight="1">
      <c r="A685" s="2"/>
      <c r="B685" s="1"/>
      <c r="C685" s="1"/>
      <c r="D685" s="1"/>
      <c r="E685" s="1"/>
      <c r="F685" s="1"/>
      <c r="G685" s="1"/>
      <c r="H685" s="1"/>
      <c r="I685" s="61"/>
      <c r="J685" s="1"/>
      <c r="K685" s="1"/>
      <c r="L685" s="1"/>
    </row>
    <row r="686" spans="1:12" ht="15.75" customHeight="1">
      <c r="A686" s="2"/>
      <c r="B686" s="1"/>
      <c r="C686" s="1"/>
      <c r="D686" s="1"/>
      <c r="E686" s="1"/>
      <c r="F686" s="1"/>
      <c r="G686" s="1"/>
      <c r="H686" s="1"/>
      <c r="I686" s="61"/>
      <c r="J686" s="1"/>
      <c r="K686" s="1"/>
      <c r="L686" s="1"/>
    </row>
    <row r="687" spans="1:12" ht="15.75" customHeight="1">
      <c r="A687" s="2"/>
      <c r="B687" s="1"/>
      <c r="C687" s="1"/>
      <c r="D687" s="1"/>
      <c r="E687" s="1"/>
      <c r="F687" s="1"/>
      <c r="G687" s="1"/>
      <c r="H687" s="1"/>
      <c r="I687" s="61"/>
      <c r="J687" s="1"/>
      <c r="K687" s="1"/>
      <c r="L687" s="1"/>
    </row>
    <row r="688" spans="1:12" ht="15.75" customHeight="1">
      <c r="A688" s="2"/>
      <c r="B688" s="1"/>
      <c r="C688" s="1"/>
      <c r="D688" s="1"/>
      <c r="E688" s="1"/>
      <c r="F688" s="1"/>
      <c r="G688" s="1"/>
      <c r="H688" s="1"/>
      <c r="I688" s="61"/>
      <c r="J688" s="1"/>
      <c r="K688" s="1"/>
      <c r="L688" s="1"/>
    </row>
    <row r="689" spans="1:12" ht="15.75" customHeight="1">
      <c r="A689" s="2"/>
      <c r="B689" s="1"/>
      <c r="C689" s="1"/>
      <c r="D689" s="1"/>
      <c r="E689" s="1"/>
      <c r="F689" s="1"/>
      <c r="G689" s="1"/>
      <c r="H689" s="1"/>
      <c r="I689" s="61"/>
      <c r="J689" s="1"/>
      <c r="K689" s="1"/>
      <c r="L689" s="1"/>
    </row>
    <row r="690" spans="1:12" ht="15.75" customHeight="1">
      <c r="A690" s="2"/>
      <c r="B690" s="1"/>
      <c r="C690" s="1"/>
      <c r="D690" s="1"/>
      <c r="E690" s="1"/>
      <c r="F690" s="1"/>
      <c r="G690" s="1"/>
      <c r="H690" s="1"/>
      <c r="I690" s="61"/>
      <c r="J690" s="1"/>
      <c r="K690" s="1"/>
      <c r="L690" s="1"/>
    </row>
    <row r="691" spans="1:12" ht="15.75" customHeight="1">
      <c r="A691" s="2"/>
      <c r="B691" s="1"/>
      <c r="C691" s="1"/>
      <c r="D691" s="1"/>
      <c r="E691" s="1"/>
      <c r="F691" s="1"/>
      <c r="G691" s="1"/>
      <c r="H691" s="1"/>
      <c r="I691" s="61"/>
      <c r="J691" s="1"/>
      <c r="K691" s="1"/>
      <c r="L691" s="1"/>
    </row>
    <row r="692" spans="1:12" ht="15.75" customHeight="1">
      <c r="A692" s="2"/>
      <c r="B692" s="1"/>
      <c r="C692" s="1"/>
      <c r="D692" s="1"/>
      <c r="E692" s="1"/>
      <c r="F692" s="1"/>
      <c r="G692" s="1"/>
      <c r="H692" s="1"/>
      <c r="I692" s="61"/>
      <c r="J692" s="1"/>
      <c r="K692" s="1"/>
      <c r="L692" s="1"/>
    </row>
    <row r="693" spans="1:12" ht="15.75" customHeight="1">
      <c r="A693" s="2"/>
      <c r="B693" s="1"/>
      <c r="C693" s="1"/>
      <c r="D693" s="1"/>
      <c r="E693" s="1"/>
      <c r="F693" s="1"/>
      <c r="G693" s="1"/>
      <c r="H693" s="1"/>
      <c r="I693" s="61"/>
      <c r="J693" s="1"/>
      <c r="K693" s="1"/>
      <c r="L693" s="1"/>
    </row>
    <row r="694" spans="1:12" ht="15.75" customHeight="1">
      <c r="A694" s="2"/>
      <c r="B694" s="1"/>
      <c r="C694" s="1"/>
      <c r="D694" s="1"/>
      <c r="E694" s="1"/>
      <c r="F694" s="1"/>
      <c r="G694" s="1"/>
      <c r="H694" s="1"/>
      <c r="I694" s="61"/>
      <c r="J694" s="1"/>
      <c r="K694" s="1"/>
      <c r="L694" s="1"/>
    </row>
    <row r="695" spans="1:12" ht="15.75" customHeight="1">
      <c r="A695" s="2"/>
      <c r="B695" s="1"/>
      <c r="C695" s="1"/>
      <c r="D695" s="1"/>
      <c r="E695" s="1"/>
      <c r="F695" s="1"/>
      <c r="G695" s="1"/>
      <c r="H695" s="1"/>
      <c r="I695" s="61"/>
      <c r="J695" s="1"/>
      <c r="K695" s="1"/>
      <c r="L695" s="1"/>
    </row>
    <row r="696" spans="1:12" ht="15.75" customHeight="1">
      <c r="A696" s="2"/>
      <c r="B696" s="1"/>
      <c r="C696" s="1"/>
      <c r="D696" s="1"/>
      <c r="E696" s="1"/>
      <c r="F696" s="1"/>
      <c r="G696" s="1"/>
      <c r="H696" s="1"/>
      <c r="I696" s="61"/>
      <c r="J696" s="1"/>
      <c r="K696" s="1"/>
      <c r="L696" s="1"/>
    </row>
    <row r="697" spans="1:12" ht="15.75" customHeight="1">
      <c r="A697" s="2"/>
      <c r="B697" s="1"/>
      <c r="C697" s="1"/>
      <c r="D697" s="1"/>
      <c r="E697" s="1"/>
      <c r="F697" s="1"/>
      <c r="G697" s="1"/>
      <c r="H697" s="1"/>
      <c r="I697" s="61"/>
      <c r="J697" s="1"/>
      <c r="K697" s="1"/>
      <c r="L697" s="1"/>
    </row>
    <row r="698" spans="1:12" ht="15.75" customHeight="1">
      <c r="A698" s="2"/>
      <c r="B698" s="1"/>
      <c r="C698" s="1"/>
      <c r="D698" s="1"/>
      <c r="E698" s="1"/>
      <c r="F698" s="1"/>
      <c r="G698" s="1"/>
      <c r="H698" s="1"/>
      <c r="I698" s="61"/>
      <c r="J698" s="1"/>
      <c r="K698" s="1"/>
      <c r="L698" s="1"/>
    </row>
    <row r="699" spans="1:12" ht="15.75" customHeight="1">
      <c r="A699" s="2"/>
      <c r="B699" s="1"/>
      <c r="C699" s="1"/>
      <c r="D699" s="1"/>
      <c r="E699" s="1"/>
      <c r="F699" s="1"/>
      <c r="G699" s="1"/>
      <c r="H699" s="1"/>
      <c r="I699" s="61"/>
      <c r="J699" s="1"/>
      <c r="K699" s="1"/>
      <c r="L699" s="1"/>
    </row>
    <row r="700" spans="1:12" ht="15.75" customHeight="1">
      <c r="A700" s="2"/>
      <c r="B700" s="1"/>
      <c r="C700" s="1"/>
      <c r="D700" s="1"/>
      <c r="E700" s="1"/>
      <c r="F700" s="1"/>
      <c r="G700" s="1"/>
      <c r="H700" s="1"/>
      <c r="I700" s="61"/>
      <c r="J700" s="1"/>
      <c r="K700" s="1"/>
      <c r="L700" s="1"/>
    </row>
    <row r="701" spans="1:12" ht="15.75" customHeight="1">
      <c r="A701" s="2"/>
      <c r="B701" s="1"/>
      <c r="C701" s="1"/>
      <c r="D701" s="1"/>
      <c r="E701" s="1"/>
      <c r="F701" s="1"/>
      <c r="G701" s="1"/>
      <c r="H701" s="1"/>
      <c r="I701" s="61"/>
      <c r="J701" s="1"/>
      <c r="K701" s="1"/>
      <c r="L701" s="1"/>
    </row>
    <row r="702" spans="1:12" ht="15.75" customHeight="1">
      <c r="A702" s="2"/>
      <c r="B702" s="1"/>
      <c r="C702" s="1"/>
      <c r="D702" s="1"/>
      <c r="E702" s="1"/>
      <c r="F702" s="1"/>
      <c r="G702" s="1"/>
      <c r="H702" s="1"/>
      <c r="I702" s="61"/>
      <c r="J702" s="1"/>
      <c r="K702" s="1"/>
      <c r="L702" s="1"/>
    </row>
    <row r="703" spans="1:12" ht="15.75" customHeight="1">
      <c r="A703" s="2"/>
      <c r="B703" s="1"/>
      <c r="C703" s="1"/>
      <c r="D703" s="1"/>
      <c r="E703" s="1"/>
      <c r="F703" s="1"/>
      <c r="G703" s="1"/>
      <c r="H703" s="1"/>
      <c r="I703" s="61"/>
      <c r="J703" s="1"/>
      <c r="K703" s="1"/>
      <c r="L703" s="1"/>
    </row>
    <row r="704" spans="1:12" ht="15.75" customHeight="1">
      <c r="A704" s="2"/>
      <c r="B704" s="1"/>
      <c r="C704" s="1"/>
      <c r="D704" s="1"/>
      <c r="E704" s="1"/>
      <c r="F704" s="1"/>
      <c r="G704" s="1"/>
      <c r="H704" s="1"/>
      <c r="I704" s="61"/>
      <c r="J704" s="1"/>
      <c r="K704" s="1"/>
      <c r="L704" s="1"/>
    </row>
    <row r="705" spans="1:12" ht="15.75" customHeight="1">
      <c r="A705" s="2"/>
      <c r="B705" s="1"/>
      <c r="C705" s="1"/>
      <c r="D705" s="1"/>
      <c r="E705" s="1"/>
      <c r="F705" s="1"/>
      <c r="G705" s="1"/>
      <c r="H705" s="1"/>
      <c r="I705" s="61"/>
      <c r="J705" s="1"/>
      <c r="K705" s="1"/>
      <c r="L705" s="1"/>
    </row>
    <row r="706" spans="1:12" ht="15.75" customHeight="1">
      <c r="A706" s="2"/>
      <c r="B706" s="1"/>
      <c r="C706" s="1"/>
      <c r="D706" s="1"/>
      <c r="E706" s="1"/>
      <c r="F706" s="1"/>
      <c r="G706" s="1"/>
      <c r="H706" s="1"/>
      <c r="I706" s="61"/>
      <c r="J706" s="1"/>
      <c r="K706" s="1"/>
      <c r="L706" s="1"/>
    </row>
    <row r="707" spans="1:12" ht="15.75" customHeight="1">
      <c r="A707" s="2"/>
      <c r="B707" s="1"/>
      <c r="C707" s="1"/>
      <c r="D707" s="1"/>
      <c r="E707" s="1"/>
      <c r="F707" s="1"/>
      <c r="G707" s="1"/>
      <c r="H707" s="1"/>
      <c r="I707" s="61"/>
      <c r="J707" s="1"/>
      <c r="K707" s="1"/>
      <c r="L707" s="1"/>
    </row>
    <row r="708" spans="1:12" ht="15.75" customHeight="1">
      <c r="A708" s="2"/>
      <c r="B708" s="1"/>
      <c r="C708" s="1"/>
      <c r="D708" s="1"/>
      <c r="E708" s="1"/>
      <c r="F708" s="1"/>
      <c r="G708" s="1"/>
      <c r="H708" s="1"/>
      <c r="I708" s="61"/>
      <c r="J708" s="1"/>
      <c r="K708" s="1"/>
      <c r="L708" s="1"/>
    </row>
    <row r="709" spans="1:12" ht="15.75" customHeight="1">
      <c r="A709" s="2"/>
      <c r="B709" s="1"/>
      <c r="C709" s="1"/>
      <c r="D709" s="1"/>
      <c r="E709" s="1"/>
      <c r="F709" s="1"/>
      <c r="G709" s="1"/>
      <c r="H709" s="1"/>
      <c r="I709" s="61"/>
      <c r="J709" s="1"/>
      <c r="K709" s="1"/>
      <c r="L709" s="1"/>
    </row>
    <row r="710" spans="1:12" ht="15.75" customHeight="1">
      <c r="A710" s="2"/>
      <c r="B710" s="1"/>
      <c r="C710" s="1"/>
      <c r="D710" s="1"/>
      <c r="E710" s="1"/>
      <c r="F710" s="1"/>
      <c r="G710" s="1"/>
      <c r="H710" s="1"/>
      <c r="I710" s="61"/>
      <c r="J710" s="1"/>
      <c r="K710" s="1"/>
      <c r="L710" s="1"/>
    </row>
    <row r="711" spans="1:12" ht="15.75" customHeight="1">
      <c r="A711" s="2"/>
      <c r="B711" s="1"/>
      <c r="C711" s="1"/>
      <c r="D711" s="1"/>
      <c r="E711" s="1"/>
      <c r="F711" s="1"/>
      <c r="G711" s="1"/>
      <c r="H711" s="1"/>
      <c r="I711" s="61"/>
      <c r="J711" s="1"/>
      <c r="K711" s="1"/>
      <c r="L711" s="1"/>
    </row>
    <row r="712" spans="1:12" ht="15.75" customHeight="1">
      <c r="A712" s="2"/>
      <c r="B712" s="1"/>
      <c r="C712" s="1"/>
      <c r="D712" s="1"/>
      <c r="E712" s="1"/>
      <c r="F712" s="1"/>
      <c r="G712" s="1"/>
      <c r="H712" s="1"/>
      <c r="I712" s="61"/>
      <c r="J712" s="1"/>
      <c r="K712" s="1"/>
      <c r="L712" s="1"/>
    </row>
    <row r="713" spans="1:12" ht="15.75" customHeight="1">
      <c r="A713" s="2"/>
      <c r="B713" s="1"/>
      <c r="C713" s="1"/>
      <c r="D713" s="1"/>
      <c r="E713" s="1"/>
      <c r="F713" s="1"/>
      <c r="G713" s="1"/>
      <c r="H713" s="1"/>
      <c r="I713" s="61"/>
      <c r="J713" s="1"/>
      <c r="K713" s="1"/>
      <c r="L713" s="1"/>
    </row>
    <row r="714" spans="1:12" ht="15.75" customHeight="1">
      <c r="A714" s="2"/>
      <c r="B714" s="1"/>
      <c r="C714" s="1"/>
      <c r="D714" s="1"/>
      <c r="E714" s="1"/>
      <c r="F714" s="1"/>
      <c r="G714" s="1"/>
      <c r="H714" s="1"/>
      <c r="I714" s="61"/>
      <c r="J714" s="1"/>
      <c r="K714" s="1"/>
      <c r="L714" s="1"/>
    </row>
    <row r="715" spans="1:12" ht="15.75" customHeight="1">
      <c r="A715" s="2"/>
      <c r="B715" s="1"/>
      <c r="C715" s="1"/>
      <c r="D715" s="1"/>
      <c r="E715" s="1"/>
      <c r="F715" s="1"/>
      <c r="G715" s="1"/>
      <c r="H715" s="1"/>
      <c r="I715" s="61"/>
      <c r="J715" s="1"/>
      <c r="K715" s="1"/>
      <c r="L715" s="1"/>
    </row>
    <row r="716" spans="1:12" ht="15.75" customHeight="1">
      <c r="A716" s="2"/>
      <c r="B716" s="1"/>
      <c r="C716" s="1"/>
      <c r="D716" s="1"/>
      <c r="E716" s="1"/>
      <c r="F716" s="1"/>
      <c r="G716" s="1"/>
      <c r="H716" s="1"/>
      <c r="I716" s="61"/>
      <c r="J716" s="1"/>
      <c r="K716" s="1"/>
      <c r="L716" s="1"/>
    </row>
    <row r="717" spans="1:12" ht="15.75" customHeight="1">
      <c r="A717" s="2"/>
      <c r="B717" s="1"/>
      <c r="C717" s="1"/>
      <c r="D717" s="1"/>
      <c r="E717" s="1"/>
      <c r="F717" s="1"/>
      <c r="G717" s="1"/>
      <c r="H717" s="1"/>
      <c r="I717" s="61"/>
      <c r="J717" s="1"/>
      <c r="K717" s="1"/>
      <c r="L717" s="1"/>
    </row>
    <row r="718" spans="1:12" ht="15.75" customHeight="1">
      <c r="A718" s="2"/>
      <c r="B718" s="1"/>
      <c r="C718" s="1"/>
      <c r="D718" s="1"/>
      <c r="E718" s="1"/>
      <c r="F718" s="1"/>
      <c r="G718" s="1"/>
      <c r="H718" s="1"/>
      <c r="I718" s="61"/>
      <c r="J718" s="1"/>
      <c r="K718" s="1"/>
      <c r="L718" s="1"/>
    </row>
    <row r="719" spans="1:12" ht="15.75" customHeight="1">
      <c r="A719" s="2"/>
      <c r="B719" s="1"/>
      <c r="C719" s="1"/>
      <c r="D719" s="1"/>
      <c r="E719" s="1"/>
      <c r="F719" s="1"/>
      <c r="G719" s="1"/>
      <c r="H719" s="1"/>
      <c r="I719" s="61"/>
      <c r="J719" s="1"/>
      <c r="K719" s="1"/>
      <c r="L719" s="1"/>
    </row>
    <row r="720" spans="1:12" ht="15.75" customHeight="1">
      <c r="A720" s="2"/>
      <c r="B720" s="1"/>
      <c r="C720" s="1"/>
      <c r="D720" s="1"/>
      <c r="E720" s="1"/>
      <c r="F720" s="1"/>
      <c r="G720" s="1"/>
      <c r="H720" s="1"/>
      <c r="I720" s="61"/>
      <c r="J720" s="1"/>
      <c r="K720" s="1"/>
      <c r="L720" s="1"/>
    </row>
    <row r="721" spans="1:12" ht="15.75" customHeight="1">
      <c r="A721" s="2"/>
      <c r="B721" s="1"/>
      <c r="C721" s="1"/>
      <c r="D721" s="1"/>
      <c r="E721" s="1"/>
      <c r="F721" s="1"/>
      <c r="G721" s="1"/>
      <c r="H721" s="1"/>
      <c r="I721" s="61"/>
      <c r="J721" s="1"/>
      <c r="K721" s="1"/>
      <c r="L721" s="1"/>
    </row>
    <row r="722" spans="1:12" ht="15.75" customHeight="1">
      <c r="A722" s="2"/>
      <c r="B722" s="1"/>
      <c r="C722" s="1"/>
      <c r="D722" s="1"/>
      <c r="E722" s="1"/>
      <c r="F722" s="1"/>
      <c r="G722" s="1"/>
      <c r="H722" s="1"/>
      <c r="I722" s="61"/>
      <c r="J722" s="1"/>
      <c r="K722" s="1"/>
      <c r="L722" s="1"/>
    </row>
    <row r="723" spans="1:12" ht="15.75" customHeight="1">
      <c r="A723" s="2"/>
      <c r="B723" s="1"/>
      <c r="C723" s="1"/>
      <c r="D723" s="1"/>
      <c r="E723" s="1"/>
      <c r="F723" s="1"/>
      <c r="G723" s="1"/>
      <c r="H723" s="1"/>
      <c r="I723" s="61"/>
      <c r="J723" s="1"/>
      <c r="K723" s="1"/>
      <c r="L723" s="1"/>
    </row>
    <row r="724" spans="1:12" ht="15.75" customHeight="1">
      <c r="A724" s="2"/>
      <c r="B724" s="1"/>
      <c r="C724" s="1"/>
      <c r="D724" s="1"/>
      <c r="E724" s="1"/>
      <c r="F724" s="1"/>
      <c r="G724" s="1"/>
      <c r="H724" s="1"/>
      <c r="I724" s="61"/>
      <c r="J724" s="1"/>
      <c r="K724" s="1"/>
      <c r="L724" s="1"/>
    </row>
    <row r="725" spans="1:12" ht="15.75" customHeight="1">
      <c r="A725" s="2"/>
      <c r="B725" s="1"/>
      <c r="C725" s="1"/>
      <c r="D725" s="1"/>
      <c r="E725" s="1"/>
      <c r="F725" s="1"/>
      <c r="G725" s="1"/>
      <c r="H725" s="1"/>
      <c r="I725" s="61"/>
      <c r="J725" s="1"/>
      <c r="K725" s="1"/>
      <c r="L725" s="1"/>
    </row>
    <row r="726" spans="1:12" ht="15.75" customHeight="1">
      <c r="A726" s="2"/>
      <c r="B726" s="1"/>
      <c r="C726" s="1"/>
      <c r="D726" s="1"/>
      <c r="E726" s="1"/>
      <c r="F726" s="1"/>
      <c r="G726" s="1"/>
      <c r="H726" s="1"/>
      <c r="I726" s="61"/>
      <c r="J726" s="1"/>
      <c r="K726" s="1"/>
      <c r="L726" s="1"/>
    </row>
    <row r="727" spans="1:12" ht="15.75" customHeight="1">
      <c r="A727" s="2"/>
      <c r="B727" s="1"/>
      <c r="C727" s="1"/>
      <c r="D727" s="1"/>
      <c r="E727" s="1"/>
      <c r="F727" s="1"/>
      <c r="G727" s="1"/>
      <c r="H727" s="1"/>
      <c r="I727" s="61"/>
      <c r="J727" s="1"/>
      <c r="K727" s="1"/>
      <c r="L727" s="1"/>
    </row>
    <row r="728" spans="1:12" ht="15.75" customHeight="1">
      <c r="A728" s="2"/>
      <c r="B728" s="1"/>
      <c r="C728" s="1"/>
      <c r="D728" s="1"/>
      <c r="E728" s="1"/>
      <c r="F728" s="1"/>
      <c r="G728" s="1"/>
      <c r="H728" s="1"/>
      <c r="I728" s="61"/>
      <c r="J728" s="1"/>
      <c r="K728" s="1"/>
      <c r="L728" s="1"/>
    </row>
    <row r="729" spans="1:12" ht="15.75" customHeight="1">
      <c r="A729" s="2"/>
      <c r="B729" s="1"/>
      <c r="C729" s="1"/>
      <c r="D729" s="1"/>
      <c r="E729" s="1"/>
      <c r="F729" s="1"/>
      <c r="G729" s="1"/>
      <c r="H729" s="1"/>
      <c r="I729" s="61"/>
      <c r="J729" s="1"/>
      <c r="K729" s="1"/>
      <c r="L729" s="1"/>
    </row>
    <row r="730" spans="1:12" ht="15.75" customHeight="1">
      <c r="A730" s="2"/>
      <c r="B730" s="1"/>
      <c r="C730" s="1"/>
      <c r="D730" s="1"/>
      <c r="E730" s="1"/>
      <c r="F730" s="1"/>
      <c r="G730" s="1"/>
      <c r="H730" s="1"/>
      <c r="I730" s="61"/>
      <c r="J730" s="1"/>
      <c r="K730" s="1"/>
      <c r="L730" s="1"/>
    </row>
    <row r="731" spans="1:12" ht="15.75" customHeight="1">
      <c r="A731" s="2"/>
      <c r="B731" s="1"/>
      <c r="C731" s="1"/>
      <c r="D731" s="1"/>
      <c r="E731" s="1"/>
      <c r="F731" s="1"/>
      <c r="G731" s="1"/>
      <c r="H731" s="1"/>
      <c r="I731" s="61"/>
      <c r="J731" s="1"/>
      <c r="K731" s="1"/>
      <c r="L731" s="1"/>
    </row>
    <row r="732" spans="1:12" ht="15.75" customHeight="1">
      <c r="A732" s="2"/>
      <c r="B732" s="1"/>
      <c r="C732" s="1"/>
      <c r="D732" s="1"/>
      <c r="E732" s="1"/>
      <c r="F732" s="1"/>
      <c r="G732" s="1"/>
      <c r="H732" s="1"/>
      <c r="I732" s="61"/>
      <c r="J732" s="1"/>
      <c r="K732" s="1"/>
      <c r="L732" s="1"/>
    </row>
    <row r="733" spans="1:12" ht="15.75" customHeight="1">
      <c r="A733" s="2"/>
      <c r="B733" s="1"/>
      <c r="C733" s="1"/>
      <c r="D733" s="1"/>
      <c r="E733" s="1"/>
      <c r="F733" s="1"/>
      <c r="G733" s="1"/>
      <c r="H733" s="1"/>
      <c r="I733" s="61"/>
      <c r="J733" s="1"/>
      <c r="K733" s="1"/>
      <c r="L733" s="1"/>
    </row>
    <row r="734" spans="1:12" ht="15.75" customHeight="1">
      <c r="A734" s="2"/>
      <c r="B734" s="1"/>
      <c r="C734" s="1"/>
      <c r="D734" s="1"/>
      <c r="E734" s="1"/>
      <c r="F734" s="1"/>
      <c r="G734" s="1"/>
      <c r="H734" s="1"/>
      <c r="I734" s="61"/>
      <c r="J734" s="1"/>
      <c r="K734" s="1"/>
      <c r="L734" s="1"/>
    </row>
    <row r="735" spans="1:12" ht="15.75" customHeight="1">
      <c r="A735" s="2"/>
      <c r="B735" s="1"/>
      <c r="C735" s="1"/>
      <c r="D735" s="1"/>
      <c r="E735" s="1"/>
      <c r="F735" s="1"/>
      <c r="G735" s="1"/>
      <c r="H735" s="1"/>
      <c r="I735" s="61"/>
      <c r="J735" s="1"/>
      <c r="K735" s="1"/>
      <c r="L735" s="1"/>
    </row>
    <row r="736" spans="1:12" ht="15.75" customHeight="1">
      <c r="A736" s="2"/>
      <c r="B736" s="1"/>
      <c r="C736" s="1"/>
      <c r="D736" s="1"/>
      <c r="E736" s="1"/>
      <c r="F736" s="1"/>
      <c r="G736" s="1"/>
      <c r="H736" s="1"/>
      <c r="I736" s="61"/>
      <c r="J736" s="1"/>
      <c r="K736" s="1"/>
      <c r="L736" s="1"/>
    </row>
    <row r="737" spans="1:12" ht="15.75" customHeight="1">
      <c r="A737" s="2"/>
      <c r="B737" s="1"/>
      <c r="C737" s="1"/>
      <c r="D737" s="1"/>
      <c r="E737" s="1"/>
      <c r="F737" s="1"/>
      <c r="G737" s="1"/>
      <c r="H737" s="1"/>
      <c r="I737" s="61"/>
      <c r="J737" s="1"/>
      <c r="K737" s="1"/>
      <c r="L737" s="1"/>
    </row>
    <row r="738" spans="1:12" ht="15.75" customHeight="1">
      <c r="A738" s="2"/>
      <c r="B738" s="1"/>
      <c r="C738" s="1"/>
      <c r="D738" s="1"/>
      <c r="E738" s="1"/>
      <c r="F738" s="1"/>
      <c r="G738" s="1"/>
      <c r="H738" s="1"/>
      <c r="I738" s="61"/>
      <c r="J738" s="1"/>
      <c r="K738" s="1"/>
      <c r="L738" s="1"/>
    </row>
    <row r="739" spans="1:12" ht="15.75" customHeight="1">
      <c r="A739" s="2"/>
      <c r="B739" s="1"/>
      <c r="C739" s="1"/>
      <c r="D739" s="1"/>
      <c r="E739" s="1"/>
      <c r="F739" s="1"/>
      <c r="G739" s="1"/>
      <c r="H739" s="1"/>
      <c r="I739" s="61"/>
      <c r="J739" s="1"/>
      <c r="K739" s="1"/>
      <c r="L739" s="1"/>
    </row>
    <row r="740" spans="1:12" ht="15.75" customHeight="1">
      <c r="A740" s="2"/>
      <c r="B740" s="1"/>
      <c r="C740" s="1"/>
      <c r="D740" s="1"/>
      <c r="E740" s="1"/>
      <c r="F740" s="1"/>
      <c r="G740" s="1"/>
      <c r="H740" s="1"/>
      <c r="I740" s="61"/>
      <c r="J740" s="1"/>
      <c r="K740" s="1"/>
      <c r="L740" s="1"/>
    </row>
    <row r="741" spans="1:12" ht="15.75" customHeight="1">
      <c r="A741" s="2"/>
      <c r="B741" s="1"/>
      <c r="C741" s="1"/>
      <c r="D741" s="1"/>
      <c r="E741" s="1"/>
      <c r="F741" s="1"/>
      <c r="G741" s="1"/>
      <c r="H741" s="1"/>
      <c r="I741" s="61"/>
      <c r="J741" s="1"/>
      <c r="K741" s="1"/>
      <c r="L741" s="1"/>
    </row>
    <row r="742" spans="1:12" ht="15.75" customHeight="1">
      <c r="A742" s="2"/>
      <c r="B742" s="1"/>
      <c r="C742" s="1"/>
      <c r="D742" s="1"/>
      <c r="E742" s="1"/>
      <c r="F742" s="1"/>
      <c r="G742" s="1"/>
      <c r="H742" s="1"/>
      <c r="I742" s="61"/>
      <c r="J742" s="1"/>
      <c r="K742" s="1"/>
      <c r="L742" s="1"/>
    </row>
    <row r="743" spans="1:12" ht="15.75" customHeight="1">
      <c r="A743" s="2"/>
      <c r="B743" s="1"/>
      <c r="C743" s="1"/>
      <c r="D743" s="1"/>
      <c r="E743" s="1"/>
      <c r="F743" s="1"/>
      <c r="G743" s="1"/>
      <c r="H743" s="1"/>
      <c r="I743" s="61"/>
      <c r="J743" s="1"/>
      <c r="K743" s="1"/>
      <c r="L743" s="1"/>
    </row>
    <row r="744" spans="1:12" ht="15.75" customHeight="1">
      <c r="A744" s="2"/>
      <c r="B744" s="1"/>
      <c r="C744" s="1"/>
      <c r="D744" s="1"/>
      <c r="E744" s="1"/>
      <c r="F744" s="1"/>
      <c r="G744" s="1"/>
      <c r="H744" s="1"/>
      <c r="I744" s="61"/>
      <c r="J744" s="1"/>
      <c r="K744" s="1"/>
      <c r="L744" s="1"/>
    </row>
    <row r="745" spans="1:12" ht="15.75" customHeight="1">
      <c r="A745" s="2"/>
      <c r="B745" s="1"/>
      <c r="C745" s="1"/>
      <c r="D745" s="1"/>
      <c r="E745" s="1"/>
      <c r="F745" s="1"/>
      <c r="G745" s="1"/>
      <c r="H745" s="1"/>
      <c r="I745" s="61"/>
      <c r="J745" s="1"/>
      <c r="K745" s="1"/>
      <c r="L745" s="1"/>
    </row>
    <row r="746" spans="1:12" ht="15.75" customHeight="1">
      <c r="A746" s="2"/>
      <c r="B746" s="1"/>
      <c r="C746" s="1"/>
      <c r="D746" s="1"/>
      <c r="E746" s="1"/>
      <c r="F746" s="1"/>
      <c r="G746" s="1"/>
      <c r="H746" s="1"/>
      <c r="I746" s="61"/>
      <c r="J746" s="1"/>
      <c r="K746" s="1"/>
      <c r="L746" s="1"/>
    </row>
    <row r="747" spans="1:12" ht="15.75" customHeight="1">
      <c r="A747" s="2"/>
      <c r="B747" s="1"/>
      <c r="C747" s="1"/>
      <c r="D747" s="1"/>
      <c r="E747" s="1"/>
      <c r="F747" s="1"/>
      <c r="G747" s="1"/>
      <c r="H747" s="1"/>
      <c r="I747" s="61"/>
      <c r="J747" s="1"/>
      <c r="K747" s="1"/>
      <c r="L747" s="1"/>
    </row>
    <row r="748" spans="1:12" ht="15.75" customHeight="1">
      <c r="A748" s="2"/>
      <c r="B748" s="1"/>
      <c r="C748" s="1"/>
      <c r="D748" s="1"/>
      <c r="E748" s="1"/>
      <c r="F748" s="1"/>
      <c r="G748" s="1"/>
      <c r="H748" s="1"/>
      <c r="I748" s="61"/>
      <c r="J748" s="1"/>
      <c r="K748" s="1"/>
      <c r="L748" s="1"/>
    </row>
    <row r="749" spans="1:12" ht="15.75" customHeight="1">
      <c r="A749" s="2"/>
      <c r="B749" s="1"/>
      <c r="C749" s="1"/>
      <c r="D749" s="1"/>
      <c r="E749" s="1"/>
      <c r="F749" s="1"/>
      <c r="G749" s="1"/>
      <c r="H749" s="1"/>
      <c r="I749" s="61"/>
      <c r="J749" s="1"/>
      <c r="K749" s="1"/>
      <c r="L749" s="1"/>
    </row>
    <row r="750" spans="1:12" ht="15.75" customHeight="1">
      <c r="A750" s="2"/>
      <c r="B750" s="1"/>
      <c r="C750" s="1"/>
      <c r="D750" s="1"/>
      <c r="E750" s="1"/>
      <c r="F750" s="1"/>
      <c r="G750" s="1"/>
      <c r="H750" s="1"/>
      <c r="I750" s="61"/>
      <c r="J750" s="1"/>
      <c r="K750" s="1"/>
      <c r="L750" s="1"/>
    </row>
    <row r="751" spans="1:12" ht="15.75" customHeight="1">
      <c r="A751" s="2"/>
      <c r="B751" s="1"/>
      <c r="C751" s="1"/>
      <c r="D751" s="1"/>
      <c r="E751" s="1"/>
      <c r="F751" s="1"/>
      <c r="G751" s="1"/>
      <c r="H751" s="1"/>
      <c r="I751" s="61"/>
      <c r="J751" s="1"/>
      <c r="K751" s="1"/>
      <c r="L751" s="1"/>
    </row>
    <row r="752" spans="1:12" ht="15.75" customHeight="1">
      <c r="A752" s="2"/>
      <c r="B752" s="1"/>
      <c r="C752" s="1"/>
      <c r="D752" s="1"/>
      <c r="E752" s="1"/>
      <c r="F752" s="1"/>
      <c r="G752" s="1"/>
      <c r="H752" s="1"/>
      <c r="I752" s="61"/>
      <c r="J752" s="1"/>
      <c r="K752" s="1"/>
      <c r="L752" s="1"/>
    </row>
    <row r="753" spans="1:12" ht="15.75" customHeight="1">
      <c r="A753" s="2"/>
      <c r="B753" s="1"/>
      <c r="C753" s="1"/>
      <c r="D753" s="1"/>
      <c r="E753" s="1"/>
      <c r="F753" s="1"/>
      <c r="G753" s="1"/>
      <c r="H753" s="1"/>
      <c r="I753" s="61"/>
      <c r="J753" s="1"/>
      <c r="K753" s="1"/>
      <c r="L753" s="1"/>
    </row>
    <row r="754" spans="1:12" ht="15.75" customHeight="1">
      <c r="A754" s="2"/>
      <c r="B754" s="1"/>
      <c r="C754" s="1"/>
      <c r="D754" s="1"/>
      <c r="E754" s="1"/>
      <c r="F754" s="1"/>
      <c r="G754" s="1"/>
      <c r="H754" s="1"/>
      <c r="I754" s="61"/>
      <c r="J754" s="1"/>
      <c r="K754" s="1"/>
      <c r="L754" s="1"/>
    </row>
    <row r="755" spans="1:12" ht="15.75" customHeight="1">
      <c r="A755" s="2"/>
      <c r="B755" s="1"/>
      <c r="C755" s="1"/>
      <c r="D755" s="1"/>
      <c r="E755" s="1"/>
      <c r="F755" s="1"/>
      <c r="G755" s="1"/>
      <c r="H755" s="1"/>
      <c r="I755" s="61"/>
      <c r="J755" s="1"/>
      <c r="K755" s="1"/>
      <c r="L755" s="1"/>
    </row>
    <row r="756" spans="1:12" ht="15.75" customHeight="1">
      <c r="A756" s="2"/>
      <c r="B756" s="1"/>
      <c r="C756" s="1"/>
      <c r="D756" s="1"/>
      <c r="E756" s="1"/>
      <c r="F756" s="1"/>
      <c r="G756" s="1"/>
      <c r="H756" s="1"/>
      <c r="I756" s="61"/>
      <c r="J756" s="1"/>
      <c r="K756" s="1"/>
      <c r="L756" s="1"/>
    </row>
    <row r="757" spans="1:12" ht="15.75" customHeight="1">
      <c r="A757" s="2"/>
      <c r="B757" s="1"/>
      <c r="C757" s="1"/>
      <c r="D757" s="1"/>
      <c r="E757" s="1"/>
      <c r="F757" s="1"/>
      <c r="G757" s="1"/>
      <c r="H757" s="1"/>
      <c r="I757" s="61"/>
      <c r="J757" s="1"/>
      <c r="K757" s="1"/>
      <c r="L757" s="1"/>
    </row>
    <row r="758" spans="1:12" ht="15.75" customHeight="1">
      <c r="A758" s="2"/>
      <c r="B758" s="1"/>
      <c r="C758" s="1"/>
      <c r="D758" s="1"/>
      <c r="E758" s="1"/>
      <c r="F758" s="1"/>
      <c r="G758" s="1"/>
      <c r="H758" s="1"/>
      <c r="I758" s="61"/>
      <c r="J758" s="1"/>
      <c r="K758" s="1"/>
      <c r="L758" s="1"/>
    </row>
    <row r="759" spans="1:12" ht="15.75" customHeight="1">
      <c r="A759" s="2"/>
      <c r="B759" s="1"/>
      <c r="C759" s="1"/>
      <c r="D759" s="1"/>
      <c r="E759" s="1"/>
      <c r="F759" s="1"/>
      <c r="G759" s="1"/>
      <c r="H759" s="1"/>
      <c r="I759" s="61"/>
      <c r="J759" s="1"/>
      <c r="K759" s="1"/>
      <c r="L759" s="1"/>
    </row>
    <row r="760" spans="1:12" ht="15.75" customHeight="1">
      <c r="A760" s="2"/>
      <c r="B760" s="1"/>
      <c r="C760" s="1"/>
      <c r="D760" s="1"/>
      <c r="E760" s="1"/>
      <c r="F760" s="1"/>
      <c r="G760" s="1"/>
      <c r="H760" s="1"/>
      <c r="I760" s="61"/>
      <c r="J760" s="1"/>
      <c r="K760" s="1"/>
      <c r="L760" s="1"/>
    </row>
    <row r="761" spans="1:12" ht="15.75" customHeight="1">
      <c r="A761" s="2"/>
      <c r="B761" s="1"/>
      <c r="C761" s="1"/>
      <c r="D761" s="1"/>
      <c r="E761" s="1"/>
      <c r="F761" s="1"/>
      <c r="G761" s="1"/>
      <c r="H761" s="1"/>
      <c r="I761" s="61"/>
      <c r="J761" s="1"/>
      <c r="K761" s="1"/>
      <c r="L761" s="1"/>
    </row>
    <row r="762" spans="1:12" ht="15.75" customHeight="1">
      <c r="A762" s="2"/>
      <c r="B762" s="1"/>
      <c r="C762" s="1"/>
      <c r="D762" s="1"/>
      <c r="E762" s="1"/>
      <c r="F762" s="1"/>
      <c r="G762" s="1"/>
      <c r="H762" s="1"/>
      <c r="I762" s="61"/>
      <c r="J762" s="1"/>
      <c r="K762" s="1"/>
      <c r="L762" s="1"/>
    </row>
    <row r="763" spans="1:12" ht="15.75" customHeight="1">
      <c r="A763" s="2"/>
      <c r="B763" s="1"/>
      <c r="C763" s="1"/>
      <c r="D763" s="1"/>
      <c r="E763" s="1"/>
      <c r="F763" s="1"/>
      <c r="G763" s="1"/>
      <c r="H763" s="1"/>
      <c r="I763" s="61"/>
      <c r="J763" s="1"/>
      <c r="K763" s="1"/>
      <c r="L763" s="1"/>
    </row>
    <row r="764" spans="1:12" ht="15.75" customHeight="1">
      <c r="A764" s="2"/>
      <c r="B764" s="1"/>
      <c r="C764" s="1"/>
      <c r="D764" s="1"/>
      <c r="E764" s="1"/>
      <c r="F764" s="1"/>
      <c r="G764" s="1"/>
      <c r="H764" s="1"/>
      <c r="I764" s="61"/>
      <c r="J764" s="1"/>
      <c r="K764" s="1"/>
      <c r="L764" s="1"/>
    </row>
    <row r="765" spans="1:12" ht="15.75" customHeight="1">
      <c r="A765" s="2"/>
      <c r="B765" s="1"/>
      <c r="C765" s="1"/>
      <c r="D765" s="1"/>
      <c r="E765" s="1"/>
      <c r="F765" s="1"/>
      <c r="G765" s="1"/>
      <c r="H765" s="1"/>
      <c r="I765" s="61"/>
      <c r="J765" s="1"/>
      <c r="K765" s="1"/>
      <c r="L765" s="1"/>
    </row>
    <row r="766" spans="1:12" ht="15.75" customHeight="1">
      <c r="A766" s="2"/>
      <c r="B766" s="1"/>
      <c r="C766" s="1"/>
      <c r="D766" s="1"/>
      <c r="E766" s="1"/>
      <c r="F766" s="1"/>
      <c r="G766" s="1"/>
      <c r="H766" s="1"/>
      <c r="I766" s="61"/>
      <c r="J766" s="1"/>
      <c r="K766" s="1"/>
      <c r="L766" s="1"/>
    </row>
    <row r="767" spans="1:12" ht="15.75" customHeight="1">
      <c r="A767" s="2"/>
      <c r="B767" s="1"/>
      <c r="C767" s="1"/>
      <c r="D767" s="1"/>
      <c r="E767" s="1"/>
      <c r="F767" s="1"/>
      <c r="G767" s="1"/>
      <c r="H767" s="1"/>
      <c r="I767" s="61"/>
      <c r="J767" s="1"/>
      <c r="K767" s="1"/>
      <c r="L767" s="1"/>
    </row>
    <row r="768" spans="1:12" ht="15.75" customHeight="1">
      <c r="A768" s="2"/>
      <c r="B768" s="1"/>
      <c r="C768" s="1"/>
      <c r="D768" s="1"/>
      <c r="E768" s="1"/>
      <c r="F768" s="1"/>
      <c r="G768" s="1"/>
      <c r="H768" s="1"/>
      <c r="I768" s="61"/>
      <c r="J768" s="1"/>
      <c r="K768" s="1"/>
      <c r="L768" s="1"/>
    </row>
    <row r="769" spans="1:12" ht="15.75" customHeight="1">
      <c r="A769" s="2"/>
      <c r="B769" s="1"/>
      <c r="C769" s="1"/>
      <c r="D769" s="1"/>
      <c r="E769" s="1"/>
      <c r="F769" s="1"/>
      <c r="G769" s="1"/>
      <c r="H769" s="1"/>
      <c r="I769" s="61"/>
      <c r="J769" s="1"/>
      <c r="K769" s="1"/>
      <c r="L769" s="1"/>
    </row>
    <row r="770" spans="1:12" ht="15.75" customHeight="1">
      <c r="A770" s="2"/>
      <c r="B770" s="1"/>
      <c r="C770" s="1"/>
      <c r="D770" s="1"/>
      <c r="E770" s="1"/>
      <c r="F770" s="1"/>
      <c r="G770" s="1"/>
      <c r="H770" s="1"/>
      <c r="I770" s="61"/>
      <c r="J770" s="1"/>
      <c r="K770" s="1"/>
      <c r="L770" s="1"/>
    </row>
    <row r="771" spans="1:12" ht="15.75" customHeight="1">
      <c r="A771" s="2"/>
      <c r="B771" s="1"/>
      <c r="C771" s="1"/>
      <c r="D771" s="1"/>
      <c r="E771" s="1"/>
      <c r="F771" s="1"/>
      <c r="G771" s="1"/>
      <c r="H771" s="1"/>
      <c r="I771" s="61"/>
      <c r="J771" s="1"/>
      <c r="K771" s="1"/>
      <c r="L771" s="1"/>
    </row>
    <row r="772" spans="1:12" ht="15.75" customHeight="1">
      <c r="A772" s="2"/>
      <c r="B772" s="1"/>
      <c r="C772" s="1"/>
      <c r="D772" s="1"/>
      <c r="E772" s="1"/>
      <c r="F772" s="1"/>
      <c r="G772" s="1"/>
      <c r="H772" s="1"/>
      <c r="I772" s="61"/>
      <c r="J772" s="1"/>
      <c r="K772" s="1"/>
      <c r="L772" s="1"/>
    </row>
    <row r="773" spans="1:12" ht="15.75" customHeight="1">
      <c r="A773" s="2"/>
      <c r="B773" s="1"/>
      <c r="C773" s="1"/>
      <c r="D773" s="1"/>
      <c r="E773" s="1"/>
      <c r="F773" s="1"/>
      <c r="G773" s="1"/>
      <c r="H773" s="1"/>
      <c r="I773" s="61"/>
      <c r="J773" s="1"/>
      <c r="K773" s="1"/>
      <c r="L773" s="1"/>
    </row>
    <row r="774" spans="1:12" ht="15.75" customHeight="1">
      <c r="A774" s="2"/>
      <c r="B774" s="1"/>
      <c r="C774" s="1"/>
      <c r="D774" s="1"/>
      <c r="E774" s="1"/>
      <c r="F774" s="1"/>
      <c r="G774" s="1"/>
      <c r="H774" s="1"/>
      <c r="I774" s="61"/>
      <c r="J774" s="1"/>
      <c r="K774" s="1"/>
      <c r="L774" s="1"/>
    </row>
    <row r="775" spans="1:12" ht="15.75" customHeight="1">
      <c r="A775" s="2"/>
      <c r="B775" s="1"/>
      <c r="C775" s="1"/>
      <c r="D775" s="1"/>
      <c r="E775" s="1"/>
      <c r="F775" s="1"/>
      <c r="G775" s="1"/>
      <c r="H775" s="1"/>
      <c r="I775" s="61"/>
      <c r="J775" s="1"/>
      <c r="K775" s="1"/>
      <c r="L775" s="1"/>
    </row>
    <row r="776" spans="1:12" ht="15.75" customHeight="1">
      <c r="A776" s="2"/>
      <c r="B776" s="1"/>
      <c r="C776" s="1"/>
      <c r="D776" s="1"/>
      <c r="E776" s="1"/>
      <c r="F776" s="1"/>
      <c r="G776" s="1"/>
      <c r="H776" s="1"/>
      <c r="I776" s="61"/>
      <c r="J776" s="1"/>
      <c r="K776" s="1"/>
      <c r="L776" s="1"/>
    </row>
    <row r="777" spans="1:12" ht="15.75" customHeight="1">
      <c r="A777" s="2"/>
      <c r="B777" s="1"/>
      <c r="C777" s="1"/>
      <c r="D777" s="1"/>
      <c r="E777" s="1"/>
      <c r="F777" s="1"/>
      <c r="G777" s="1"/>
      <c r="H777" s="1"/>
      <c r="I777" s="61"/>
      <c r="J777" s="1"/>
      <c r="K777" s="1"/>
      <c r="L777" s="1"/>
    </row>
    <row r="778" spans="1:12" ht="15.75" customHeight="1">
      <c r="A778" s="2"/>
      <c r="B778" s="1"/>
      <c r="C778" s="1"/>
      <c r="D778" s="1"/>
      <c r="E778" s="1"/>
      <c r="F778" s="1"/>
      <c r="G778" s="1"/>
      <c r="H778" s="1"/>
      <c r="I778" s="61"/>
      <c r="J778" s="1"/>
      <c r="K778" s="1"/>
      <c r="L778" s="1"/>
    </row>
    <row r="779" spans="1:12" ht="15.75" customHeight="1">
      <c r="A779" s="2"/>
      <c r="B779" s="1"/>
      <c r="C779" s="1"/>
      <c r="D779" s="1"/>
      <c r="E779" s="1"/>
      <c r="F779" s="1"/>
      <c r="G779" s="1"/>
      <c r="H779" s="1"/>
      <c r="I779" s="61"/>
      <c r="J779" s="1"/>
      <c r="K779" s="1"/>
      <c r="L779" s="1"/>
    </row>
    <row r="780" spans="1:12" ht="15.75" customHeight="1">
      <c r="A780" s="2"/>
      <c r="B780" s="1"/>
      <c r="C780" s="1"/>
      <c r="D780" s="1"/>
      <c r="E780" s="1"/>
      <c r="F780" s="1"/>
      <c r="G780" s="1"/>
      <c r="H780" s="1"/>
      <c r="I780" s="61"/>
      <c r="J780" s="1"/>
      <c r="K780" s="1"/>
      <c r="L780" s="1"/>
    </row>
    <row r="781" spans="1:12" ht="15.75" customHeight="1">
      <c r="A781" s="2"/>
      <c r="B781" s="1"/>
      <c r="C781" s="1"/>
      <c r="D781" s="1"/>
      <c r="E781" s="1"/>
      <c r="F781" s="1"/>
      <c r="G781" s="1"/>
      <c r="H781" s="1"/>
      <c r="I781" s="61"/>
      <c r="J781" s="1"/>
      <c r="K781" s="1"/>
      <c r="L781" s="1"/>
    </row>
    <row r="782" spans="1:12" ht="15.75" customHeight="1">
      <c r="A782" s="2"/>
      <c r="B782" s="1"/>
      <c r="C782" s="1"/>
      <c r="D782" s="1"/>
      <c r="E782" s="1"/>
      <c r="F782" s="1"/>
      <c r="G782" s="1"/>
      <c r="H782" s="1"/>
      <c r="I782" s="61"/>
      <c r="J782" s="1"/>
      <c r="K782" s="1"/>
      <c r="L782" s="1"/>
    </row>
    <row r="783" spans="1:12" ht="15.75" customHeight="1">
      <c r="A783" s="2"/>
      <c r="B783" s="1"/>
      <c r="C783" s="1"/>
      <c r="D783" s="1"/>
      <c r="E783" s="1"/>
      <c r="F783" s="1"/>
      <c r="G783" s="1"/>
      <c r="H783" s="1"/>
      <c r="I783" s="61"/>
      <c r="J783" s="1"/>
      <c r="K783" s="1"/>
      <c r="L783" s="1"/>
    </row>
    <row r="784" spans="1:12" ht="15.75" customHeight="1">
      <c r="A784" s="2"/>
      <c r="B784" s="1"/>
      <c r="C784" s="1"/>
      <c r="D784" s="1"/>
      <c r="E784" s="1"/>
      <c r="F784" s="1"/>
      <c r="G784" s="1"/>
      <c r="H784" s="1"/>
      <c r="I784" s="61"/>
      <c r="J784" s="1"/>
      <c r="K784" s="1"/>
      <c r="L784" s="1"/>
    </row>
    <row r="785" spans="1:12" ht="15.75" customHeight="1">
      <c r="A785" s="2"/>
      <c r="B785" s="1"/>
      <c r="C785" s="1"/>
      <c r="D785" s="1"/>
      <c r="E785" s="1"/>
      <c r="F785" s="1"/>
      <c r="G785" s="1"/>
      <c r="H785" s="1"/>
      <c r="I785" s="61"/>
      <c r="J785" s="1"/>
      <c r="K785" s="1"/>
      <c r="L785" s="1"/>
    </row>
    <row r="786" spans="1:12" ht="15.75" customHeight="1">
      <c r="A786" s="2"/>
      <c r="B786" s="1"/>
      <c r="C786" s="1"/>
      <c r="D786" s="1"/>
      <c r="E786" s="1"/>
      <c r="F786" s="1"/>
      <c r="G786" s="1"/>
      <c r="H786" s="1"/>
      <c r="I786" s="61"/>
      <c r="J786" s="1"/>
      <c r="K786" s="1"/>
      <c r="L786" s="1"/>
    </row>
    <row r="787" spans="1:12" ht="15.75" customHeight="1">
      <c r="A787" s="2"/>
      <c r="B787" s="1"/>
      <c r="C787" s="1"/>
      <c r="D787" s="1"/>
      <c r="E787" s="1"/>
      <c r="F787" s="1"/>
      <c r="G787" s="1"/>
      <c r="H787" s="1"/>
      <c r="I787" s="61"/>
      <c r="J787" s="1"/>
      <c r="K787" s="1"/>
      <c r="L787" s="1"/>
    </row>
    <row r="788" spans="1:12" ht="15.75" customHeight="1">
      <c r="A788" s="2"/>
      <c r="B788" s="1"/>
      <c r="C788" s="1"/>
      <c r="D788" s="1"/>
      <c r="E788" s="1"/>
      <c r="F788" s="1"/>
      <c r="G788" s="1"/>
      <c r="H788" s="1"/>
      <c r="I788" s="61"/>
      <c r="J788" s="1"/>
      <c r="K788" s="1"/>
      <c r="L788" s="1"/>
    </row>
    <row r="789" spans="1:12" ht="15.75" customHeight="1">
      <c r="A789" s="2"/>
      <c r="B789" s="1"/>
      <c r="C789" s="1"/>
      <c r="D789" s="1"/>
      <c r="E789" s="1"/>
      <c r="F789" s="1"/>
      <c r="G789" s="1"/>
      <c r="H789" s="1"/>
      <c r="I789" s="61"/>
      <c r="J789" s="1"/>
      <c r="K789" s="1"/>
      <c r="L789" s="1"/>
    </row>
    <row r="790" spans="1:12" ht="15.75" customHeight="1">
      <c r="A790" s="2"/>
      <c r="B790" s="1"/>
      <c r="C790" s="1"/>
      <c r="D790" s="1"/>
      <c r="E790" s="1"/>
      <c r="F790" s="1"/>
      <c r="G790" s="1"/>
      <c r="H790" s="1"/>
      <c r="I790" s="61"/>
      <c r="J790" s="1"/>
      <c r="K790" s="1"/>
      <c r="L790" s="1"/>
    </row>
    <row r="791" spans="1:12" ht="15.75" customHeight="1">
      <c r="A791" s="2"/>
      <c r="B791" s="1"/>
      <c r="C791" s="1"/>
      <c r="D791" s="1"/>
      <c r="E791" s="1"/>
      <c r="F791" s="1"/>
      <c r="G791" s="1"/>
      <c r="H791" s="1"/>
      <c r="I791" s="61"/>
      <c r="J791" s="1"/>
      <c r="K791" s="1"/>
      <c r="L791" s="1"/>
    </row>
    <row r="792" spans="1:12" ht="15.75" customHeight="1">
      <c r="A792" s="2"/>
      <c r="B792" s="1"/>
      <c r="C792" s="1"/>
      <c r="D792" s="1"/>
      <c r="E792" s="1"/>
      <c r="F792" s="1"/>
      <c r="G792" s="1"/>
      <c r="H792" s="1"/>
      <c r="I792" s="61"/>
      <c r="J792" s="1"/>
      <c r="K792" s="1"/>
      <c r="L792" s="1"/>
    </row>
    <row r="793" spans="1:12" ht="15.75" customHeight="1">
      <c r="A793" s="2"/>
      <c r="B793" s="1"/>
      <c r="C793" s="1"/>
      <c r="D793" s="1"/>
      <c r="E793" s="1"/>
      <c r="F793" s="1"/>
      <c r="G793" s="1"/>
      <c r="H793" s="1"/>
      <c r="I793" s="61"/>
      <c r="J793" s="1"/>
      <c r="K793" s="1"/>
      <c r="L793" s="1"/>
    </row>
    <row r="794" spans="1:12" ht="15.75" customHeight="1">
      <c r="A794" s="2"/>
      <c r="B794" s="1"/>
      <c r="C794" s="1"/>
      <c r="D794" s="1"/>
      <c r="E794" s="1"/>
      <c r="F794" s="1"/>
      <c r="G794" s="1"/>
      <c r="H794" s="1"/>
      <c r="I794" s="61"/>
      <c r="J794" s="1"/>
      <c r="K794" s="1"/>
      <c r="L794" s="1"/>
    </row>
    <row r="795" spans="1:12" ht="15.75" customHeight="1">
      <c r="A795" s="2"/>
      <c r="B795" s="1"/>
      <c r="C795" s="1"/>
      <c r="D795" s="1"/>
      <c r="E795" s="1"/>
      <c r="F795" s="1"/>
      <c r="G795" s="1"/>
      <c r="H795" s="1"/>
      <c r="I795" s="61"/>
      <c r="J795" s="1"/>
      <c r="K795" s="1"/>
      <c r="L795" s="1"/>
    </row>
    <row r="796" spans="1:12" ht="15.75" customHeight="1">
      <c r="A796" s="2"/>
      <c r="B796" s="1"/>
      <c r="C796" s="1"/>
      <c r="D796" s="1"/>
      <c r="E796" s="1"/>
      <c r="F796" s="1"/>
      <c r="G796" s="1"/>
      <c r="H796" s="1"/>
      <c r="I796" s="61"/>
      <c r="J796" s="1"/>
      <c r="K796" s="1"/>
      <c r="L796" s="1"/>
    </row>
    <row r="797" spans="1:12" ht="15.75" customHeight="1">
      <c r="A797" s="2"/>
      <c r="B797" s="1"/>
      <c r="C797" s="1"/>
      <c r="D797" s="1"/>
      <c r="E797" s="1"/>
      <c r="F797" s="1"/>
      <c r="G797" s="1"/>
      <c r="H797" s="1"/>
      <c r="I797" s="61"/>
      <c r="J797" s="1"/>
      <c r="K797" s="1"/>
      <c r="L797" s="1"/>
    </row>
    <row r="798" spans="1:12" ht="15.75" customHeight="1">
      <c r="A798" s="2"/>
      <c r="B798" s="1"/>
      <c r="C798" s="1"/>
      <c r="D798" s="1"/>
      <c r="E798" s="1"/>
      <c r="F798" s="1"/>
      <c r="G798" s="1"/>
      <c r="H798" s="1"/>
      <c r="I798" s="61"/>
      <c r="J798" s="1"/>
      <c r="K798" s="1"/>
      <c r="L798" s="1"/>
    </row>
    <row r="799" spans="1:12" ht="15.75" customHeight="1">
      <c r="A799" s="2"/>
      <c r="B799" s="1"/>
      <c r="C799" s="1"/>
      <c r="D799" s="1"/>
      <c r="E799" s="1"/>
      <c r="F799" s="1"/>
      <c r="G799" s="1"/>
      <c r="H799" s="1"/>
      <c r="I799" s="61"/>
      <c r="J799" s="1"/>
      <c r="K799" s="1"/>
      <c r="L799" s="1"/>
    </row>
    <row r="800" spans="1:12" ht="15.75" customHeight="1">
      <c r="A800" s="2"/>
      <c r="B800" s="1"/>
      <c r="C800" s="1"/>
      <c r="D800" s="1"/>
      <c r="E800" s="1"/>
      <c r="F800" s="1"/>
      <c r="G800" s="1"/>
      <c r="H800" s="1"/>
      <c r="I800" s="61"/>
      <c r="J800" s="1"/>
      <c r="K800" s="1"/>
      <c r="L800" s="1"/>
    </row>
    <row r="801" spans="1:12" ht="15.75" customHeight="1">
      <c r="A801" s="2"/>
      <c r="B801" s="1"/>
      <c r="C801" s="1"/>
      <c r="D801" s="1"/>
      <c r="E801" s="1"/>
      <c r="F801" s="1"/>
      <c r="G801" s="1"/>
      <c r="H801" s="1"/>
      <c r="I801" s="61"/>
      <c r="J801" s="1"/>
      <c r="K801" s="1"/>
      <c r="L801" s="1"/>
    </row>
    <row r="802" spans="1:12" ht="15.75" customHeight="1">
      <c r="A802" s="2"/>
      <c r="B802" s="1"/>
      <c r="C802" s="1"/>
      <c r="D802" s="1"/>
      <c r="E802" s="1"/>
      <c r="F802" s="1"/>
      <c r="G802" s="1"/>
      <c r="H802" s="1"/>
      <c r="I802" s="61"/>
      <c r="J802" s="1"/>
      <c r="K802" s="1"/>
      <c r="L802" s="1"/>
    </row>
    <row r="803" spans="1:12" ht="15.75" customHeight="1">
      <c r="A803" s="2"/>
      <c r="B803" s="1"/>
      <c r="C803" s="1"/>
      <c r="D803" s="1"/>
      <c r="E803" s="1"/>
      <c r="F803" s="1"/>
      <c r="G803" s="1"/>
      <c r="H803" s="1"/>
      <c r="I803" s="61"/>
      <c r="J803" s="1"/>
      <c r="K803" s="1"/>
      <c r="L803" s="1"/>
    </row>
    <row r="804" spans="1:12" ht="15.75" customHeight="1">
      <c r="A804" s="2"/>
      <c r="B804" s="1"/>
      <c r="C804" s="1"/>
      <c r="D804" s="1"/>
      <c r="E804" s="1"/>
      <c r="F804" s="1"/>
      <c r="G804" s="1"/>
      <c r="H804" s="1"/>
      <c r="I804" s="61"/>
      <c r="J804" s="1"/>
      <c r="K804" s="1"/>
      <c r="L804" s="1"/>
    </row>
    <row r="805" spans="1:12" ht="15.75" customHeight="1">
      <c r="A805" s="2"/>
      <c r="B805" s="1"/>
      <c r="C805" s="1"/>
      <c r="D805" s="1"/>
      <c r="E805" s="1"/>
      <c r="F805" s="1"/>
      <c r="G805" s="1"/>
      <c r="H805" s="1"/>
      <c r="I805" s="61"/>
      <c r="J805" s="1"/>
      <c r="K805" s="1"/>
      <c r="L805" s="1"/>
    </row>
    <row r="806" spans="1:12" ht="15.75" customHeight="1">
      <c r="A806" s="2"/>
      <c r="B806" s="1"/>
      <c r="C806" s="1"/>
      <c r="D806" s="1"/>
      <c r="E806" s="1"/>
      <c r="F806" s="1"/>
      <c r="G806" s="1"/>
      <c r="H806" s="1"/>
      <c r="I806" s="61"/>
      <c r="J806" s="1"/>
      <c r="K806" s="1"/>
      <c r="L806" s="1"/>
    </row>
    <row r="807" spans="1:12" ht="15.75" customHeight="1">
      <c r="A807" s="2"/>
      <c r="B807" s="1"/>
      <c r="C807" s="1"/>
      <c r="D807" s="1"/>
      <c r="E807" s="1"/>
      <c r="F807" s="1"/>
      <c r="G807" s="1"/>
      <c r="H807" s="1"/>
      <c r="I807" s="61"/>
      <c r="J807" s="1"/>
      <c r="K807" s="1"/>
      <c r="L807" s="1"/>
    </row>
    <row r="808" spans="1:12" ht="15.75" customHeight="1">
      <c r="A808" s="2"/>
      <c r="B808" s="1"/>
      <c r="C808" s="1"/>
      <c r="D808" s="1"/>
      <c r="E808" s="1"/>
      <c r="F808" s="1"/>
      <c r="G808" s="1"/>
      <c r="H808" s="1"/>
      <c r="I808" s="61"/>
      <c r="J808" s="1"/>
      <c r="K808" s="1"/>
      <c r="L808" s="1"/>
    </row>
    <row r="809" spans="1:12" ht="15.75" customHeight="1">
      <c r="A809" s="2"/>
      <c r="B809" s="1"/>
      <c r="C809" s="1"/>
      <c r="D809" s="1"/>
      <c r="E809" s="1"/>
      <c r="F809" s="1"/>
      <c r="G809" s="1"/>
      <c r="H809" s="1"/>
      <c r="I809" s="61"/>
      <c r="J809" s="1"/>
      <c r="K809" s="1"/>
      <c r="L809" s="1"/>
    </row>
    <row r="810" spans="1:12" ht="15.75" customHeight="1">
      <c r="A810" s="2"/>
      <c r="B810" s="1"/>
      <c r="C810" s="1"/>
      <c r="D810" s="1"/>
      <c r="E810" s="1"/>
      <c r="F810" s="1"/>
      <c r="G810" s="1"/>
      <c r="H810" s="1"/>
      <c r="I810" s="61"/>
      <c r="J810" s="1"/>
      <c r="K810" s="1"/>
      <c r="L810" s="1"/>
    </row>
    <row r="811" spans="1:12" ht="15.75" customHeight="1">
      <c r="A811" s="2"/>
      <c r="B811" s="1"/>
      <c r="C811" s="1"/>
      <c r="D811" s="1"/>
      <c r="E811" s="1"/>
      <c r="F811" s="1"/>
      <c r="G811" s="1"/>
      <c r="H811" s="1"/>
      <c r="I811" s="61"/>
      <c r="J811" s="1"/>
      <c r="K811" s="1"/>
      <c r="L811" s="1"/>
    </row>
    <row r="812" spans="1:12" ht="15.75" customHeight="1">
      <c r="A812" s="2"/>
      <c r="B812" s="1"/>
      <c r="C812" s="1"/>
      <c r="D812" s="1"/>
      <c r="E812" s="1"/>
      <c r="F812" s="1"/>
      <c r="G812" s="1"/>
      <c r="H812" s="1"/>
      <c r="I812" s="61"/>
      <c r="J812" s="1"/>
      <c r="K812" s="1"/>
      <c r="L812" s="1"/>
    </row>
    <row r="813" spans="1:12" ht="15.75" customHeight="1">
      <c r="A813" s="2"/>
      <c r="B813" s="1"/>
      <c r="C813" s="1"/>
      <c r="D813" s="1"/>
      <c r="E813" s="1"/>
      <c r="F813" s="1"/>
      <c r="G813" s="1"/>
      <c r="H813" s="1"/>
      <c r="I813" s="61"/>
      <c r="J813" s="1"/>
      <c r="K813" s="1"/>
      <c r="L813" s="1"/>
    </row>
    <row r="814" spans="1:12" ht="15.75" customHeight="1">
      <c r="A814" s="2"/>
      <c r="B814" s="1"/>
      <c r="C814" s="1"/>
      <c r="D814" s="1"/>
      <c r="E814" s="1"/>
      <c r="F814" s="1"/>
      <c r="G814" s="1"/>
      <c r="H814" s="1"/>
      <c r="I814" s="61"/>
      <c r="J814" s="1"/>
      <c r="K814" s="1"/>
      <c r="L814" s="1"/>
    </row>
    <row r="815" spans="1:12" ht="15.75" customHeight="1">
      <c r="A815" s="2"/>
      <c r="B815" s="1"/>
      <c r="C815" s="1"/>
      <c r="D815" s="1"/>
      <c r="E815" s="1"/>
      <c r="F815" s="1"/>
      <c r="G815" s="1"/>
      <c r="H815" s="1"/>
      <c r="I815" s="61"/>
      <c r="J815" s="1"/>
      <c r="K815" s="1"/>
      <c r="L815" s="1"/>
    </row>
    <row r="816" spans="1:12" ht="15.75" customHeight="1">
      <c r="A816" s="2"/>
      <c r="B816" s="1"/>
      <c r="C816" s="1"/>
      <c r="D816" s="1"/>
      <c r="E816" s="1"/>
      <c r="F816" s="1"/>
      <c r="G816" s="1"/>
      <c r="H816" s="1"/>
      <c r="I816" s="61"/>
      <c r="J816" s="1"/>
      <c r="K816" s="1"/>
      <c r="L816" s="1"/>
    </row>
    <row r="817" spans="1:12" ht="15.75" customHeight="1">
      <c r="A817" s="2"/>
      <c r="B817" s="1"/>
      <c r="C817" s="1"/>
      <c r="D817" s="1"/>
      <c r="E817" s="1"/>
      <c r="F817" s="1"/>
      <c r="G817" s="1"/>
      <c r="H817" s="1"/>
      <c r="I817" s="61"/>
      <c r="J817" s="1"/>
      <c r="K817" s="1"/>
      <c r="L817" s="1"/>
    </row>
    <row r="818" spans="1:12" ht="15.75" customHeight="1">
      <c r="A818" s="2"/>
      <c r="B818" s="1"/>
      <c r="C818" s="1"/>
      <c r="D818" s="1"/>
      <c r="E818" s="1"/>
      <c r="F818" s="1"/>
      <c r="G818" s="1"/>
      <c r="H818" s="1"/>
      <c r="I818" s="61"/>
      <c r="J818" s="1"/>
      <c r="K818" s="1"/>
      <c r="L818" s="1"/>
    </row>
    <row r="819" spans="1:12" ht="15.75" customHeight="1">
      <c r="A819" s="2"/>
      <c r="B819" s="1"/>
      <c r="C819" s="1"/>
      <c r="D819" s="1"/>
      <c r="E819" s="1"/>
      <c r="F819" s="1"/>
      <c r="G819" s="1"/>
      <c r="H819" s="1"/>
      <c r="I819" s="61"/>
      <c r="J819" s="1"/>
      <c r="K819" s="1"/>
      <c r="L819" s="1"/>
    </row>
    <row r="820" spans="1:12" ht="15.75" customHeight="1">
      <c r="A820" s="2"/>
      <c r="B820" s="1"/>
      <c r="C820" s="1"/>
      <c r="D820" s="1"/>
      <c r="E820" s="1"/>
      <c r="F820" s="1"/>
      <c r="G820" s="1"/>
      <c r="H820" s="1"/>
      <c r="I820" s="61"/>
      <c r="J820" s="1"/>
      <c r="K820" s="1"/>
      <c r="L820" s="1"/>
    </row>
    <row r="821" spans="1:12" ht="15.75" customHeight="1">
      <c r="A821" s="2"/>
      <c r="B821" s="1"/>
      <c r="C821" s="1"/>
      <c r="D821" s="1"/>
      <c r="E821" s="1"/>
      <c r="F821" s="1"/>
      <c r="G821" s="1"/>
      <c r="H821" s="1"/>
      <c r="I821" s="61"/>
      <c r="J821" s="1"/>
      <c r="K821" s="1"/>
      <c r="L821" s="1"/>
    </row>
    <row r="822" spans="1:12" ht="15.75" customHeight="1">
      <c r="A822" s="2"/>
      <c r="B822" s="1"/>
      <c r="C822" s="1"/>
      <c r="D822" s="1"/>
      <c r="E822" s="1"/>
      <c r="F822" s="1"/>
      <c r="G822" s="1"/>
      <c r="H822" s="1"/>
      <c r="I822" s="61"/>
      <c r="J822" s="1"/>
      <c r="K822" s="1"/>
      <c r="L822" s="1"/>
    </row>
    <row r="823" spans="1:12" ht="15.75" customHeight="1">
      <c r="A823" s="2"/>
      <c r="B823" s="1"/>
      <c r="C823" s="1"/>
      <c r="D823" s="1"/>
      <c r="E823" s="1"/>
      <c r="F823" s="1"/>
      <c r="G823" s="1"/>
      <c r="H823" s="1"/>
      <c r="I823" s="61"/>
      <c r="J823" s="1"/>
      <c r="K823" s="1"/>
      <c r="L823" s="1"/>
    </row>
    <row r="824" spans="1:12" ht="15.75" customHeight="1">
      <c r="A824" s="2"/>
      <c r="B824" s="1"/>
      <c r="C824" s="1"/>
      <c r="D824" s="1"/>
      <c r="E824" s="1"/>
      <c r="F824" s="1"/>
      <c r="G824" s="1"/>
      <c r="H824" s="1"/>
      <c r="I824" s="61"/>
      <c r="J824" s="1"/>
      <c r="K824" s="1"/>
      <c r="L824" s="1"/>
    </row>
    <row r="825" spans="1:12" ht="15.75" customHeight="1">
      <c r="A825" s="2"/>
      <c r="B825" s="1"/>
      <c r="C825" s="1"/>
      <c r="D825" s="1"/>
      <c r="E825" s="1"/>
      <c r="F825" s="1"/>
      <c r="G825" s="1"/>
      <c r="H825" s="1"/>
      <c r="I825" s="61"/>
      <c r="J825" s="1"/>
      <c r="K825" s="1"/>
      <c r="L825" s="1"/>
    </row>
    <row r="826" spans="1:12" ht="15.75" customHeight="1">
      <c r="A826" s="2"/>
      <c r="B826" s="1"/>
      <c r="C826" s="1"/>
      <c r="D826" s="1"/>
      <c r="E826" s="1"/>
      <c r="F826" s="1"/>
      <c r="G826" s="1"/>
      <c r="H826" s="1"/>
      <c r="I826" s="61"/>
      <c r="J826" s="1"/>
      <c r="K826" s="1"/>
      <c r="L826" s="1"/>
    </row>
    <row r="827" spans="1:12" ht="15.75" customHeight="1">
      <c r="A827" s="2"/>
      <c r="B827" s="1"/>
      <c r="C827" s="1"/>
      <c r="D827" s="1"/>
      <c r="E827" s="1"/>
      <c r="F827" s="1"/>
      <c r="G827" s="1"/>
      <c r="H827" s="1"/>
      <c r="I827" s="61"/>
      <c r="J827" s="1"/>
      <c r="K827" s="1"/>
      <c r="L827" s="1"/>
    </row>
    <row r="828" spans="1:12" ht="15.75" customHeight="1">
      <c r="A828" s="2"/>
      <c r="B828" s="1"/>
      <c r="C828" s="1"/>
      <c r="D828" s="1"/>
      <c r="E828" s="1"/>
      <c r="F828" s="1"/>
      <c r="G828" s="1"/>
      <c r="H828" s="1"/>
      <c r="I828" s="61"/>
      <c r="J828" s="1"/>
      <c r="K828" s="1"/>
      <c r="L828" s="1"/>
    </row>
    <row r="829" spans="1:12" ht="15.75" customHeight="1">
      <c r="A829" s="2"/>
      <c r="B829" s="1"/>
      <c r="C829" s="1"/>
      <c r="D829" s="1"/>
      <c r="E829" s="1"/>
      <c r="F829" s="1"/>
      <c r="G829" s="1"/>
      <c r="H829" s="1"/>
      <c r="I829" s="61"/>
      <c r="J829" s="1"/>
      <c r="K829" s="1"/>
      <c r="L829" s="1"/>
    </row>
    <row r="830" spans="1:12" ht="15.75" customHeight="1">
      <c r="A830" s="2"/>
      <c r="B830" s="1"/>
      <c r="C830" s="1"/>
      <c r="D830" s="1"/>
      <c r="E830" s="1"/>
      <c r="F830" s="1"/>
      <c r="G830" s="1"/>
      <c r="H830" s="1"/>
      <c r="I830" s="61"/>
      <c r="J830" s="1"/>
      <c r="K830" s="1"/>
      <c r="L830" s="1"/>
    </row>
    <row r="831" spans="1:12" ht="15.75" customHeight="1">
      <c r="A831" s="2"/>
      <c r="B831" s="1"/>
      <c r="C831" s="1"/>
      <c r="D831" s="1"/>
      <c r="E831" s="1"/>
      <c r="F831" s="1"/>
      <c r="G831" s="1"/>
      <c r="H831" s="1"/>
      <c r="I831" s="61"/>
      <c r="J831" s="1"/>
      <c r="K831" s="1"/>
      <c r="L831" s="1"/>
    </row>
    <row r="832" spans="1:12" ht="15.75" customHeight="1">
      <c r="A832" s="2"/>
      <c r="B832" s="1"/>
      <c r="C832" s="1"/>
      <c r="D832" s="1"/>
      <c r="E832" s="1"/>
      <c r="F832" s="1"/>
      <c r="G832" s="1"/>
      <c r="H832" s="1"/>
      <c r="I832" s="61"/>
      <c r="J832" s="1"/>
      <c r="K832" s="1"/>
      <c r="L832" s="1"/>
    </row>
    <row r="833" spans="1:12" ht="15.75" customHeight="1">
      <c r="A833" s="2"/>
      <c r="B833" s="1"/>
      <c r="C833" s="1"/>
      <c r="D833" s="1"/>
      <c r="E833" s="1"/>
      <c r="F833" s="1"/>
      <c r="G833" s="1"/>
      <c r="H833" s="1"/>
      <c r="I833" s="61"/>
      <c r="J833" s="1"/>
      <c r="K833" s="1"/>
      <c r="L833" s="1"/>
    </row>
    <row r="834" spans="1:12" ht="15.75" customHeight="1">
      <c r="A834" s="2"/>
      <c r="B834" s="1"/>
      <c r="C834" s="1"/>
      <c r="D834" s="1"/>
      <c r="E834" s="1"/>
      <c r="F834" s="1"/>
      <c r="G834" s="1"/>
      <c r="H834" s="1"/>
      <c r="I834" s="61"/>
      <c r="J834" s="1"/>
      <c r="K834" s="1"/>
      <c r="L834" s="1"/>
    </row>
    <row r="835" spans="1:12" ht="15.75" customHeight="1">
      <c r="A835" s="2"/>
      <c r="B835" s="1"/>
      <c r="C835" s="1"/>
      <c r="D835" s="1"/>
      <c r="E835" s="1"/>
      <c r="F835" s="1"/>
      <c r="G835" s="1"/>
      <c r="H835" s="1"/>
      <c r="I835" s="61"/>
      <c r="J835" s="1"/>
      <c r="K835" s="1"/>
      <c r="L835" s="1"/>
    </row>
    <row r="836" spans="1:12" ht="15.75" customHeight="1">
      <c r="A836" s="2"/>
      <c r="B836" s="1"/>
      <c r="C836" s="1"/>
      <c r="D836" s="1"/>
      <c r="E836" s="1"/>
      <c r="F836" s="1"/>
      <c r="G836" s="1"/>
      <c r="H836" s="1"/>
      <c r="I836" s="61"/>
      <c r="J836" s="1"/>
      <c r="K836" s="1"/>
      <c r="L836" s="1"/>
    </row>
    <row r="837" spans="1:12" ht="15.75" customHeight="1">
      <c r="A837" s="2"/>
      <c r="B837" s="1"/>
      <c r="C837" s="1"/>
      <c r="D837" s="1"/>
      <c r="E837" s="1"/>
      <c r="F837" s="1"/>
      <c r="G837" s="1"/>
      <c r="H837" s="1"/>
      <c r="I837" s="61"/>
      <c r="J837" s="1"/>
      <c r="K837" s="1"/>
      <c r="L837" s="1"/>
    </row>
    <row r="838" spans="1:12" ht="15.75" customHeight="1">
      <c r="A838" s="2"/>
      <c r="B838" s="1"/>
      <c r="C838" s="1"/>
      <c r="D838" s="1"/>
      <c r="E838" s="1"/>
      <c r="F838" s="1"/>
      <c r="G838" s="1"/>
      <c r="H838" s="1"/>
      <c r="I838" s="61"/>
      <c r="J838" s="1"/>
      <c r="K838" s="1"/>
      <c r="L838" s="1"/>
    </row>
    <row r="839" spans="1:12" ht="15.75" customHeight="1">
      <c r="A839" s="2"/>
      <c r="B839" s="1"/>
      <c r="C839" s="1"/>
      <c r="D839" s="1"/>
      <c r="E839" s="1"/>
      <c r="F839" s="1"/>
      <c r="G839" s="1"/>
      <c r="H839" s="1"/>
      <c r="I839" s="61"/>
      <c r="J839" s="1"/>
      <c r="K839" s="1"/>
      <c r="L839" s="1"/>
    </row>
    <row r="840" spans="1:12" ht="15.75" customHeight="1">
      <c r="A840" s="2"/>
      <c r="B840" s="1"/>
      <c r="C840" s="1"/>
      <c r="D840" s="1"/>
      <c r="E840" s="1"/>
      <c r="F840" s="1"/>
      <c r="G840" s="1"/>
      <c r="H840" s="1"/>
      <c r="I840" s="61"/>
      <c r="J840" s="1"/>
      <c r="K840" s="1"/>
      <c r="L840" s="1"/>
    </row>
    <row r="841" spans="1:12" ht="15.75" customHeight="1">
      <c r="A841" s="2"/>
      <c r="B841" s="1"/>
      <c r="C841" s="1"/>
      <c r="D841" s="1"/>
      <c r="E841" s="1"/>
      <c r="F841" s="1"/>
      <c r="G841" s="1"/>
      <c r="H841" s="1"/>
      <c r="I841" s="61"/>
      <c r="J841" s="1"/>
      <c r="K841" s="1"/>
      <c r="L841" s="1"/>
    </row>
    <row r="842" spans="1:12" ht="15.75" customHeight="1">
      <c r="A842" s="2"/>
      <c r="B842" s="1"/>
      <c r="C842" s="1"/>
      <c r="D842" s="1"/>
      <c r="E842" s="1"/>
      <c r="F842" s="1"/>
      <c r="G842" s="1"/>
      <c r="H842" s="1"/>
      <c r="I842" s="61"/>
      <c r="J842" s="1"/>
      <c r="K842" s="1"/>
      <c r="L842" s="1"/>
    </row>
    <row r="843" spans="1:12" ht="15.75" customHeight="1">
      <c r="A843" s="2"/>
      <c r="B843" s="1"/>
      <c r="C843" s="1"/>
      <c r="D843" s="1"/>
      <c r="E843" s="1"/>
      <c r="F843" s="1"/>
      <c r="G843" s="1"/>
      <c r="H843" s="1"/>
      <c r="I843" s="61"/>
      <c r="J843" s="1"/>
      <c r="K843" s="1"/>
      <c r="L843" s="1"/>
    </row>
    <row r="844" spans="1:12" ht="15.75" customHeight="1">
      <c r="A844" s="2"/>
      <c r="B844" s="1"/>
      <c r="C844" s="1"/>
      <c r="D844" s="1"/>
      <c r="E844" s="1"/>
      <c r="F844" s="1"/>
      <c r="G844" s="1"/>
      <c r="H844" s="1"/>
      <c r="I844" s="61"/>
      <c r="J844" s="1"/>
      <c r="K844" s="1"/>
      <c r="L844" s="1"/>
    </row>
    <row r="845" spans="1:12" ht="15.75" customHeight="1">
      <c r="A845" s="2"/>
      <c r="B845" s="1"/>
      <c r="C845" s="1"/>
      <c r="D845" s="1"/>
      <c r="E845" s="1"/>
      <c r="F845" s="1"/>
      <c r="G845" s="1"/>
      <c r="H845" s="1"/>
      <c r="I845" s="61"/>
      <c r="J845" s="1"/>
      <c r="K845" s="1"/>
      <c r="L845" s="1"/>
    </row>
    <row r="846" spans="1:12" ht="15.75" customHeight="1">
      <c r="A846" s="2"/>
      <c r="B846" s="1"/>
      <c r="C846" s="1"/>
      <c r="D846" s="1"/>
      <c r="E846" s="1"/>
      <c r="F846" s="1"/>
      <c r="G846" s="1"/>
      <c r="H846" s="1"/>
      <c r="I846" s="61"/>
      <c r="J846" s="1"/>
      <c r="K846" s="1"/>
      <c r="L846" s="1"/>
    </row>
    <row r="847" spans="1:12" ht="15.75" customHeight="1">
      <c r="A847" s="2"/>
      <c r="B847" s="1"/>
      <c r="C847" s="1"/>
      <c r="D847" s="1"/>
      <c r="E847" s="1"/>
      <c r="F847" s="1"/>
      <c r="G847" s="1"/>
      <c r="H847" s="1"/>
      <c r="I847" s="61"/>
      <c r="J847" s="1"/>
      <c r="K847" s="1"/>
      <c r="L847" s="1"/>
    </row>
    <row r="848" spans="1:12" ht="15.75" customHeight="1">
      <c r="A848" s="2"/>
      <c r="B848" s="1"/>
      <c r="C848" s="1"/>
      <c r="D848" s="1"/>
      <c r="E848" s="1"/>
      <c r="F848" s="1"/>
      <c r="G848" s="1"/>
      <c r="H848" s="1"/>
      <c r="I848" s="61"/>
      <c r="J848" s="1"/>
      <c r="K848" s="1"/>
      <c r="L848" s="1"/>
    </row>
    <row r="849" spans="1:12" ht="15.75" customHeight="1">
      <c r="A849" s="2"/>
      <c r="B849" s="1"/>
      <c r="C849" s="1"/>
      <c r="D849" s="1"/>
      <c r="E849" s="1"/>
      <c r="F849" s="1"/>
      <c r="G849" s="1"/>
      <c r="H849" s="1"/>
      <c r="I849" s="61"/>
      <c r="J849" s="1"/>
      <c r="K849" s="1"/>
      <c r="L849" s="1"/>
    </row>
    <row r="850" spans="1:12" ht="15.75" customHeight="1">
      <c r="A850" s="2"/>
      <c r="B850" s="1"/>
      <c r="C850" s="1"/>
      <c r="D850" s="1"/>
      <c r="E850" s="1"/>
      <c r="F850" s="1"/>
      <c r="G850" s="1"/>
      <c r="H850" s="1"/>
      <c r="I850" s="61"/>
      <c r="J850" s="1"/>
      <c r="K850" s="1"/>
      <c r="L850" s="1"/>
    </row>
    <row r="851" spans="1:12" ht="15.75" customHeight="1">
      <c r="A851" s="2"/>
      <c r="B851" s="1"/>
      <c r="C851" s="1"/>
      <c r="D851" s="1"/>
      <c r="E851" s="1"/>
      <c r="F851" s="1"/>
      <c r="G851" s="1"/>
      <c r="H851" s="1"/>
      <c r="I851" s="61"/>
      <c r="J851" s="1"/>
      <c r="K851" s="1"/>
      <c r="L851" s="1"/>
    </row>
    <row r="852" spans="1:12" ht="15.75" customHeight="1">
      <c r="A852" s="2"/>
      <c r="B852" s="1"/>
      <c r="C852" s="1"/>
      <c r="D852" s="1"/>
      <c r="E852" s="1"/>
      <c r="F852" s="1"/>
      <c r="G852" s="1"/>
      <c r="H852" s="1"/>
      <c r="I852" s="61"/>
      <c r="J852" s="1"/>
      <c r="K852" s="1"/>
      <c r="L852" s="1"/>
    </row>
    <row r="853" spans="1:12" ht="15.75" customHeight="1">
      <c r="A853" s="2"/>
      <c r="B853" s="1"/>
      <c r="C853" s="1"/>
      <c r="D853" s="1"/>
      <c r="E853" s="1"/>
      <c r="F853" s="1"/>
      <c r="G853" s="1"/>
      <c r="H853" s="1"/>
      <c r="I853" s="61"/>
      <c r="J853" s="1"/>
      <c r="K853" s="1"/>
      <c r="L853" s="1"/>
    </row>
    <row r="854" spans="1:12" ht="15.75" customHeight="1">
      <c r="A854" s="2"/>
      <c r="B854" s="1"/>
      <c r="C854" s="1"/>
      <c r="D854" s="1"/>
      <c r="E854" s="1"/>
      <c r="F854" s="1"/>
      <c r="G854" s="1"/>
      <c r="H854" s="1"/>
      <c r="I854" s="61"/>
      <c r="J854" s="1"/>
      <c r="K854" s="1"/>
      <c r="L854" s="1"/>
    </row>
    <row r="855" spans="1:12" ht="15.75" customHeight="1">
      <c r="A855" s="2"/>
      <c r="B855" s="1"/>
      <c r="C855" s="1"/>
      <c r="D855" s="1"/>
      <c r="E855" s="1"/>
      <c r="F855" s="1"/>
      <c r="G855" s="1"/>
      <c r="H855" s="1"/>
      <c r="I855" s="61"/>
      <c r="J855" s="1"/>
      <c r="K855" s="1"/>
      <c r="L855" s="1"/>
    </row>
    <row r="856" spans="1:12" ht="15.75" customHeight="1">
      <c r="A856" s="2"/>
      <c r="B856" s="1"/>
      <c r="C856" s="1"/>
      <c r="D856" s="1"/>
      <c r="E856" s="1"/>
      <c r="F856" s="1"/>
      <c r="G856" s="1"/>
      <c r="H856" s="1"/>
      <c r="I856" s="61"/>
      <c r="J856" s="1"/>
      <c r="K856" s="1"/>
      <c r="L856" s="1"/>
    </row>
    <row r="857" spans="1:12" ht="15.75" customHeight="1">
      <c r="A857" s="2"/>
      <c r="B857" s="1"/>
      <c r="C857" s="1"/>
      <c r="D857" s="1"/>
      <c r="E857" s="1"/>
      <c r="F857" s="1"/>
      <c r="G857" s="1"/>
      <c r="H857" s="1"/>
      <c r="I857" s="61"/>
      <c r="J857" s="1"/>
      <c r="K857" s="1"/>
      <c r="L857" s="1"/>
    </row>
    <row r="858" spans="1:12" ht="15.75" customHeight="1">
      <c r="A858" s="2"/>
      <c r="B858" s="1"/>
      <c r="C858" s="1"/>
      <c r="D858" s="1"/>
      <c r="E858" s="1"/>
      <c r="F858" s="1"/>
      <c r="G858" s="1"/>
      <c r="H858" s="1"/>
      <c r="I858" s="61"/>
      <c r="J858" s="1"/>
      <c r="K858" s="1"/>
      <c r="L858" s="1"/>
    </row>
    <row r="859" spans="1:12" ht="15.75" customHeight="1">
      <c r="A859" s="2"/>
      <c r="B859" s="1"/>
      <c r="C859" s="1"/>
      <c r="D859" s="1"/>
      <c r="E859" s="1"/>
      <c r="F859" s="1"/>
      <c r="G859" s="1"/>
      <c r="H859" s="1"/>
      <c r="I859" s="61"/>
      <c r="J859" s="1"/>
      <c r="K859" s="1"/>
      <c r="L859" s="1"/>
    </row>
    <row r="860" spans="1:12" ht="15.75" customHeight="1">
      <c r="A860" s="2"/>
      <c r="B860" s="1"/>
      <c r="C860" s="1"/>
      <c r="D860" s="1"/>
      <c r="E860" s="1"/>
      <c r="F860" s="1"/>
      <c r="G860" s="1"/>
      <c r="H860" s="1"/>
      <c r="I860" s="61"/>
      <c r="J860" s="1"/>
      <c r="K860" s="1"/>
      <c r="L860" s="1"/>
    </row>
    <row r="861" spans="1:12" ht="15.75" customHeight="1">
      <c r="A861" s="2"/>
      <c r="B861" s="1"/>
      <c r="C861" s="1"/>
      <c r="D861" s="1"/>
      <c r="E861" s="1"/>
      <c r="F861" s="1"/>
      <c r="G861" s="1"/>
      <c r="H861" s="1"/>
      <c r="I861" s="61"/>
      <c r="J861" s="1"/>
      <c r="K861" s="1"/>
      <c r="L861" s="1"/>
    </row>
    <row r="862" spans="1:12" ht="15.75" customHeight="1">
      <c r="A862" s="2"/>
      <c r="B862" s="1"/>
      <c r="C862" s="1"/>
      <c r="D862" s="1"/>
      <c r="E862" s="1"/>
      <c r="F862" s="1"/>
      <c r="G862" s="1"/>
      <c r="H862" s="1"/>
      <c r="I862" s="61"/>
      <c r="J862" s="1"/>
      <c r="K862" s="1"/>
      <c r="L862" s="1"/>
    </row>
    <row r="863" spans="1:12" ht="15.75" customHeight="1">
      <c r="A863" s="2"/>
      <c r="B863" s="1"/>
      <c r="C863" s="1"/>
      <c r="D863" s="1"/>
      <c r="E863" s="1"/>
      <c r="F863" s="1"/>
      <c r="G863" s="1"/>
      <c r="H863" s="1"/>
      <c r="I863" s="61"/>
      <c r="J863" s="1"/>
      <c r="K863" s="1"/>
      <c r="L863" s="1"/>
    </row>
    <row r="864" spans="1:12" ht="15.75" customHeight="1">
      <c r="A864" s="2"/>
      <c r="B864" s="1"/>
      <c r="C864" s="1"/>
      <c r="D864" s="1"/>
      <c r="E864" s="1"/>
      <c r="F864" s="1"/>
      <c r="G864" s="1"/>
      <c r="H864" s="1"/>
      <c r="I864" s="61"/>
      <c r="J864" s="1"/>
      <c r="K864" s="1"/>
      <c r="L864" s="1"/>
    </row>
    <row r="865" spans="1:12" ht="15.75" customHeight="1">
      <c r="A865" s="2"/>
      <c r="B865" s="1"/>
      <c r="C865" s="1"/>
      <c r="D865" s="1"/>
      <c r="E865" s="1"/>
      <c r="F865" s="1"/>
      <c r="G865" s="1"/>
      <c r="H865" s="1"/>
      <c r="I865" s="61"/>
      <c r="J865" s="1"/>
      <c r="K865" s="1"/>
      <c r="L865" s="1"/>
    </row>
    <row r="866" spans="1:12" ht="15.75" customHeight="1">
      <c r="A866" s="2"/>
      <c r="B866" s="1"/>
      <c r="C866" s="1"/>
      <c r="D866" s="1"/>
      <c r="E866" s="1"/>
      <c r="F866" s="1"/>
      <c r="G866" s="1"/>
      <c r="H866" s="1"/>
      <c r="I866" s="61"/>
      <c r="J866" s="1"/>
      <c r="K866" s="1"/>
      <c r="L866" s="1"/>
    </row>
    <row r="867" spans="1:12" ht="15.75" customHeight="1">
      <c r="A867" s="2"/>
      <c r="B867" s="1"/>
      <c r="C867" s="1"/>
      <c r="D867" s="1"/>
      <c r="E867" s="1"/>
      <c r="F867" s="1"/>
      <c r="G867" s="1"/>
      <c r="H867" s="1"/>
      <c r="I867" s="61"/>
      <c r="J867" s="1"/>
      <c r="K867" s="1"/>
      <c r="L867" s="1"/>
    </row>
    <row r="868" spans="1:12" ht="15.75" customHeight="1">
      <c r="A868" s="2"/>
      <c r="B868" s="1"/>
      <c r="C868" s="1"/>
      <c r="D868" s="1"/>
      <c r="E868" s="1"/>
      <c r="F868" s="1"/>
      <c r="G868" s="1"/>
      <c r="H868" s="1"/>
      <c r="I868" s="61"/>
      <c r="J868" s="1"/>
      <c r="K868" s="1"/>
      <c r="L868" s="1"/>
    </row>
    <row r="869" spans="1:12" ht="15.75" customHeight="1">
      <c r="A869" s="2"/>
      <c r="B869" s="1"/>
      <c r="C869" s="1"/>
      <c r="D869" s="1"/>
      <c r="E869" s="1"/>
      <c r="F869" s="1"/>
      <c r="G869" s="1"/>
      <c r="H869" s="1"/>
      <c r="I869" s="61"/>
      <c r="J869" s="1"/>
      <c r="K869" s="1"/>
      <c r="L869" s="1"/>
    </row>
    <row r="870" spans="1:12" ht="15.75" customHeight="1">
      <c r="A870" s="2"/>
      <c r="B870" s="1"/>
      <c r="C870" s="1"/>
      <c r="D870" s="1"/>
      <c r="E870" s="1"/>
      <c r="F870" s="1"/>
      <c r="G870" s="1"/>
      <c r="H870" s="1"/>
      <c r="I870" s="61"/>
      <c r="J870" s="1"/>
      <c r="K870" s="1"/>
      <c r="L870" s="1"/>
    </row>
    <row r="871" spans="1:12" ht="15.75" customHeight="1">
      <c r="A871" s="2"/>
      <c r="B871" s="1"/>
      <c r="C871" s="1"/>
      <c r="D871" s="1"/>
      <c r="E871" s="1"/>
      <c r="F871" s="1"/>
      <c r="G871" s="1"/>
      <c r="H871" s="1"/>
      <c r="I871" s="61"/>
      <c r="J871" s="1"/>
      <c r="K871" s="1"/>
      <c r="L871" s="1"/>
    </row>
    <row r="872" spans="1:12" ht="15.75" customHeight="1">
      <c r="A872" s="2"/>
      <c r="B872" s="1"/>
      <c r="C872" s="1"/>
      <c r="D872" s="1"/>
      <c r="E872" s="1"/>
      <c r="F872" s="1"/>
      <c r="G872" s="1"/>
      <c r="H872" s="1"/>
      <c r="I872" s="61"/>
      <c r="J872" s="1"/>
      <c r="K872" s="1"/>
      <c r="L872" s="1"/>
    </row>
    <row r="873" spans="1:12" ht="15.75" customHeight="1">
      <c r="A873" s="2"/>
      <c r="B873" s="1"/>
      <c r="C873" s="1"/>
      <c r="D873" s="1"/>
      <c r="E873" s="1"/>
      <c r="F873" s="1"/>
      <c r="G873" s="1"/>
      <c r="H873" s="1"/>
      <c r="I873" s="61"/>
      <c r="J873" s="1"/>
      <c r="K873" s="1"/>
      <c r="L873" s="1"/>
    </row>
    <row r="874" spans="1:12" ht="15.75" customHeight="1">
      <c r="A874" s="2"/>
      <c r="B874" s="1"/>
      <c r="C874" s="1"/>
      <c r="D874" s="1"/>
      <c r="E874" s="1"/>
      <c r="F874" s="1"/>
      <c r="G874" s="1"/>
      <c r="H874" s="1"/>
      <c r="I874" s="61"/>
      <c r="J874" s="1"/>
      <c r="K874" s="1"/>
      <c r="L874" s="1"/>
    </row>
    <row r="875" spans="1:12" ht="15.75" customHeight="1">
      <c r="A875" s="2"/>
      <c r="B875" s="1"/>
      <c r="C875" s="1"/>
      <c r="D875" s="1"/>
      <c r="E875" s="1"/>
      <c r="F875" s="1"/>
      <c r="G875" s="1"/>
      <c r="H875" s="1"/>
      <c r="I875" s="61"/>
      <c r="J875" s="1"/>
      <c r="K875" s="1"/>
      <c r="L875" s="1"/>
    </row>
    <row r="876" spans="1:12" ht="15.75" customHeight="1">
      <c r="A876" s="2"/>
      <c r="B876" s="1"/>
      <c r="C876" s="1"/>
      <c r="D876" s="1"/>
      <c r="E876" s="1"/>
      <c r="F876" s="1"/>
      <c r="G876" s="1"/>
      <c r="H876" s="1"/>
      <c r="I876" s="61"/>
      <c r="J876" s="1"/>
      <c r="K876" s="1"/>
      <c r="L876" s="1"/>
    </row>
    <row r="877" spans="1:12" ht="15.75" customHeight="1">
      <c r="A877" s="2"/>
      <c r="B877" s="1"/>
      <c r="C877" s="1"/>
      <c r="D877" s="1"/>
      <c r="E877" s="1"/>
      <c r="F877" s="1"/>
      <c r="G877" s="1"/>
      <c r="H877" s="1"/>
      <c r="I877" s="61"/>
      <c r="J877" s="1"/>
      <c r="K877" s="1"/>
      <c r="L877" s="1"/>
    </row>
    <row r="878" spans="1:12" ht="15.75" customHeight="1">
      <c r="A878" s="2"/>
      <c r="B878" s="1"/>
      <c r="C878" s="1"/>
      <c r="D878" s="1"/>
      <c r="E878" s="1"/>
      <c r="F878" s="1"/>
      <c r="G878" s="1"/>
      <c r="H878" s="1"/>
      <c r="I878" s="61"/>
      <c r="J878" s="1"/>
      <c r="K878" s="1"/>
      <c r="L878" s="1"/>
    </row>
    <row r="879" spans="1:12" ht="15.75" customHeight="1">
      <c r="A879" s="2"/>
      <c r="B879" s="1"/>
      <c r="C879" s="1"/>
      <c r="D879" s="1"/>
      <c r="E879" s="1"/>
      <c r="F879" s="1"/>
      <c r="G879" s="1"/>
      <c r="H879" s="1"/>
      <c r="I879" s="61"/>
      <c r="J879" s="1"/>
      <c r="K879" s="1"/>
      <c r="L879" s="1"/>
    </row>
    <row r="880" spans="1:12" ht="15.75" customHeight="1">
      <c r="A880" s="2"/>
      <c r="B880" s="1"/>
      <c r="C880" s="1"/>
      <c r="D880" s="1"/>
      <c r="E880" s="1"/>
      <c r="F880" s="1"/>
      <c r="G880" s="1"/>
      <c r="H880" s="1"/>
      <c r="I880" s="61"/>
      <c r="J880" s="1"/>
      <c r="K880" s="1"/>
      <c r="L880" s="1"/>
    </row>
    <row r="881" spans="1:12" ht="15.75" customHeight="1">
      <c r="A881" s="2"/>
      <c r="B881" s="1"/>
      <c r="C881" s="1"/>
      <c r="D881" s="1"/>
      <c r="E881" s="1"/>
      <c r="F881" s="1"/>
      <c r="G881" s="1"/>
      <c r="H881" s="1"/>
      <c r="I881" s="61"/>
      <c r="J881" s="1"/>
      <c r="K881" s="1"/>
      <c r="L881" s="1"/>
    </row>
    <row r="882" spans="1:12" ht="15.75" customHeight="1">
      <c r="A882" s="2"/>
      <c r="B882" s="1"/>
      <c r="C882" s="1"/>
      <c r="D882" s="1"/>
      <c r="E882" s="1"/>
      <c r="F882" s="1"/>
      <c r="G882" s="1"/>
      <c r="H882" s="1"/>
      <c r="I882" s="61"/>
      <c r="J882" s="1"/>
      <c r="K882" s="1"/>
      <c r="L882" s="1"/>
    </row>
    <row r="883" spans="1:12" ht="15.75" customHeight="1">
      <c r="A883" s="2"/>
      <c r="B883" s="1"/>
      <c r="C883" s="1"/>
      <c r="D883" s="1"/>
      <c r="E883" s="1"/>
      <c r="F883" s="1"/>
      <c r="G883" s="1"/>
      <c r="H883" s="1"/>
      <c r="I883" s="61"/>
      <c r="J883" s="1"/>
      <c r="K883" s="1"/>
      <c r="L883" s="1"/>
    </row>
    <row r="884" spans="1:12" ht="15.75" customHeight="1">
      <c r="A884" s="2"/>
      <c r="B884" s="1"/>
      <c r="C884" s="1"/>
      <c r="D884" s="1"/>
      <c r="E884" s="1"/>
      <c r="F884" s="1"/>
      <c r="G884" s="1"/>
      <c r="H884" s="1"/>
      <c r="I884" s="61"/>
      <c r="J884" s="1"/>
      <c r="K884" s="1"/>
      <c r="L884" s="1"/>
    </row>
    <row r="885" spans="1:12" ht="15.75" customHeight="1">
      <c r="A885" s="2"/>
      <c r="B885" s="1"/>
      <c r="C885" s="1"/>
      <c r="D885" s="1"/>
      <c r="E885" s="1"/>
      <c r="F885" s="1"/>
      <c r="G885" s="1"/>
      <c r="H885" s="1"/>
      <c r="I885" s="61"/>
      <c r="J885" s="1"/>
      <c r="K885" s="1"/>
      <c r="L885" s="1"/>
    </row>
    <row r="886" spans="1:12" ht="15.75" customHeight="1">
      <c r="A886" s="2"/>
      <c r="B886" s="1"/>
      <c r="C886" s="1"/>
      <c r="D886" s="1"/>
      <c r="E886" s="1"/>
      <c r="F886" s="1"/>
      <c r="G886" s="1"/>
      <c r="H886" s="1"/>
      <c r="I886" s="61"/>
      <c r="J886" s="1"/>
      <c r="K886" s="1"/>
      <c r="L886" s="1"/>
    </row>
    <row r="887" spans="1:12" ht="15.75" customHeight="1">
      <c r="A887" s="2"/>
      <c r="B887" s="1"/>
      <c r="C887" s="1"/>
      <c r="D887" s="1"/>
      <c r="E887" s="1"/>
      <c r="F887" s="1"/>
      <c r="G887" s="1"/>
      <c r="H887" s="1"/>
      <c r="I887" s="61"/>
      <c r="J887" s="1"/>
      <c r="K887" s="1"/>
      <c r="L887" s="1"/>
    </row>
    <row r="888" spans="1:12" ht="15.75" customHeight="1">
      <c r="A888" s="2"/>
      <c r="B888" s="1"/>
      <c r="C888" s="1"/>
      <c r="D888" s="1"/>
      <c r="E888" s="1"/>
      <c r="F888" s="1"/>
      <c r="G888" s="1"/>
      <c r="H888" s="1"/>
      <c r="I888" s="61"/>
      <c r="J888" s="1"/>
      <c r="K888" s="1"/>
      <c r="L888" s="1"/>
    </row>
    <row r="889" spans="1:12" ht="15.75" customHeight="1">
      <c r="A889" s="2"/>
      <c r="B889" s="1"/>
      <c r="C889" s="1"/>
      <c r="D889" s="1"/>
      <c r="E889" s="1"/>
      <c r="F889" s="1"/>
      <c r="G889" s="1"/>
      <c r="H889" s="1"/>
      <c r="I889" s="61"/>
      <c r="J889" s="1"/>
      <c r="K889" s="1"/>
      <c r="L889" s="1"/>
    </row>
    <row r="890" spans="1:12" ht="15.75" customHeight="1">
      <c r="A890" s="2"/>
      <c r="B890" s="1"/>
      <c r="C890" s="1"/>
      <c r="D890" s="1"/>
      <c r="E890" s="1"/>
      <c r="F890" s="1"/>
      <c r="G890" s="1"/>
      <c r="H890" s="1"/>
      <c r="I890" s="61"/>
      <c r="J890" s="1"/>
      <c r="K890" s="1"/>
      <c r="L890" s="1"/>
    </row>
    <row r="891" spans="1:12" ht="15.75" customHeight="1">
      <c r="A891" s="2"/>
      <c r="B891" s="1"/>
      <c r="C891" s="1"/>
      <c r="D891" s="1"/>
      <c r="E891" s="1"/>
      <c r="F891" s="1"/>
      <c r="G891" s="1"/>
      <c r="H891" s="1"/>
      <c r="I891" s="61"/>
      <c r="J891" s="1"/>
      <c r="K891" s="1"/>
      <c r="L891" s="1"/>
    </row>
    <row r="892" spans="1:12" ht="15.75" customHeight="1">
      <c r="A892" s="2"/>
      <c r="B892" s="1"/>
      <c r="C892" s="1"/>
      <c r="D892" s="1"/>
      <c r="E892" s="1"/>
      <c r="F892" s="1"/>
      <c r="G892" s="1"/>
      <c r="H892" s="1"/>
      <c r="I892" s="61"/>
      <c r="J892" s="1"/>
      <c r="K892" s="1"/>
      <c r="L892" s="1"/>
    </row>
    <row r="893" spans="1:12" ht="15.75" customHeight="1">
      <c r="A893" s="2"/>
      <c r="B893" s="1"/>
      <c r="C893" s="1"/>
      <c r="D893" s="1"/>
      <c r="E893" s="1"/>
      <c r="F893" s="1"/>
      <c r="G893" s="1"/>
      <c r="H893" s="1"/>
      <c r="I893" s="61"/>
      <c r="J893" s="1"/>
      <c r="K893" s="1"/>
      <c r="L893" s="1"/>
    </row>
    <row r="894" spans="1:12" ht="15.75" customHeight="1">
      <c r="A894" s="2"/>
      <c r="B894" s="1"/>
      <c r="C894" s="1"/>
      <c r="D894" s="1"/>
      <c r="E894" s="1"/>
      <c r="F894" s="1"/>
      <c r="G894" s="1"/>
      <c r="H894" s="1"/>
      <c r="I894" s="61"/>
      <c r="J894" s="1"/>
      <c r="K894" s="1"/>
      <c r="L894" s="1"/>
    </row>
    <row r="895" spans="1:12" ht="15.75" customHeight="1">
      <c r="A895" s="2"/>
      <c r="B895" s="1"/>
      <c r="C895" s="1"/>
      <c r="D895" s="1"/>
      <c r="E895" s="1"/>
      <c r="F895" s="1"/>
      <c r="G895" s="1"/>
      <c r="H895" s="1"/>
      <c r="I895" s="61"/>
      <c r="J895" s="1"/>
      <c r="K895" s="1"/>
      <c r="L895" s="1"/>
    </row>
    <row r="896" spans="1:12" ht="15.75" customHeight="1">
      <c r="A896" s="2"/>
      <c r="B896" s="1"/>
      <c r="C896" s="1"/>
      <c r="D896" s="1"/>
      <c r="E896" s="1"/>
      <c r="F896" s="1"/>
      <c r="G896" s="1"/>
      <c r="H896" s="1"/>
      <c r="I896" s="61"/>
      <c r="J896" s="1"/>
      <c r="K896" s="1"/>
      <c r="L896" s="1"/>
    </row>
    <row r="897" spans="1:12" ht="15.75" customHeight="1">
      <c r="A897" s="2"/>
      <c r="B897" s="1"/>
      <c r="C897" s="1"/>
      <c r="D897" s="1"/>
      <c r="E897" s="1"/>
      <c r="F897" s="1"/>
      <c r="G897" s="1"/>
      <c r="H897" s="1"/>
      <c r="I897" s="61"/>
      <c r="J897" s="1"/>
      <c r="K897" s="1"/>
      <c r="L897" s="1"/>
    </row>
    <row r="898" spans="1:12" ht="15.75" customHeight="1">
      <c r="A898" s="2"/>
      <c r="B898" s="1"/>
      <c r="C898" s="1"/>
      <c r="D898" s="1"/>
      <c r="E898" s="1"/>
      <c r="F898" s="1"/>
      <c r="G898" s="1"/>
      <c r="H898" s="1"/>
      <c r="I898" s="61"/>
      <c r="J898" s="1"/>
      <c r="K898" s="1"/>
      <c r="L898" s="1"/>
    </row>
    <row r="899" spans="1:12" ht="15.75" customHeight="1">
      <c r="A899" s="2"/>
      <c r="B899" s="1"/>
      <c r="C899" s="1"/>
      <c r="D899" s="1"/>
      <c r="E899" s="1"/>
      <c r="F899" s="1"/>
      <c r="G899" s="1"/>
      <c r="H899" s="1"/>
      <c r="I899" s="61"/>
      <c r="J899" s="1"/>
      <c r="K899" s="1"/>
      <c r="L899" s="1"/>
    </row>
    <row r="900" spans="1:12" ht="15.75" customHeight="1">
      <c r="A900" s="2"/>
      <c r="B900" s="1"/>
      <c r="C900" s="1"/>
      <c r="D900" s="1"/>
      <c r="E900" s="1"/>
      <c r="F900" s="1"/>
      <c r="G900" s="1"/>
      <c r="H900" s="1"/>
      <c r="I900" s="61"/>
      <c r="J900" s="1"/>
      <c r="K900" s="1"/>
      <c r="L900" s="1"/>
    </row>
    <row r="901" spans="1:12" ht="15.75" customHeight="1">
      <c r="A901" s="2"/>
      <c r="B901" s="1"/>
      <c r="C901" s="1"/>
      <c r="D901" s="1"/>
      <c r="E901" s="1"/>
      <c r="F901" s="1"/>
      <c r="G901" s="1"/>
      <c r="H901" s="1"/>
      <c r="I901" s="61"/>
      <c r="J901" s="1"/>
      <c r="K901" s="1"/>
      <c r="L901" s="1"/>
    </row>
    <row r="902" spans="1:12" ht="15.75" customHeight="1">
      <c r="A902" s="2"/>
      <c r="B902" s="1"/>
      <c r="C902" s="1"/>
      <c r="D902" s="1"/>
      <c r="E902" s="1"/>
      <c r="F902" s="1"/>
      <c r="G902" s="1"/>
      <c r="H902" s="1"/>
      <c r="I902" s="61"/>
      <c r="J902" s="1"/>
      <c r="K902" s="1"/>
      <c r="L902" s="1"/>
    </row>
    <row r="903" spans="1:12" ht="15.75" customHeight="1">
      <c r="A903" s="2"/>
      <c r="B903" s="1"/>
      <c r="C903" s="1"/>
      <c r="D903" s="1"/>
      <c r="E903" s="1"/>
      <c r="F903" s="1"/>
      <c r="G903" s="1"/>
      <c r="H903" s="1"/>
      <c r="I903" s="61"/>
      <c r="J903" s="1"/>
      <c r="K903" s="1"/>
      <c r="L903" s="1"/>
    </row>
    <row r="904" spans="1:12" ht="15.75" customHeight="1">
      <c r="A904" s="2"/>
      <c r="B904" s="1"/>
      <c r="C904" s="1"/>
      <c r="D904" s="1"/>
      <c r="E904" s="1"/>
      <c r="F904" s="1"/>
      <c r="G904" s="1"/>
      <c r="H904" s="1"/>
      <c r="I904" s="61"/>
      <c r="J904" s="1"/>
      <c r="K904" s="1"/>
      <c r="L904" s="1"/>
    </row>
    <row r="905" spans="1:12" ht="15.75" customHeight="1">
      <c r="A905" s="2"/>
      <c r="B905" s="1"/>
      <c r="C905" s="1"/>
      <c r="D905" s="1"/>
      <c r="E905" s="1"/>
      <c r="F905" s="1"/>
      <c r="G905" s="1"/>
      <c r="H905" s="1"/>
      <c r="I905" s="61"/>
      <c r="J905" s="1"/>
      <c r="K905" s="1"/>
      <c r="L905" s="1"/>
    </row>
    <row r="906" spans="1:12" ht="15.75" customHeight="1">
      <c r="A906" s="2"/>
      <c r="B906" s="1"/>
      <c r="C906" s="1"/>
      <c r="D906" s="1"/>
      <c r="E906" s="1"/>
      <c r="F906" s="1"/>
      <c r="G906" s="1"/>
      <c r="H906" s="1"/>
      <c r="I906" s="61"/>
      <c r="J906" s="1"/>
      <c r="K906" s="1"/>
      <c r="L906" s="1"/>
    </row>
    <row r="907" spans="1:12" ht="15.75" customHeight="1">
      <c r="A907" s="2"/>
      <c r="B907" s="1"/>
      <c r="C907" s="1"/>
      <c r="D907" s="1"/>
      <c r="E907" s="1"/>
      <c r="F907" s="1"/>
      <c r="G907" s="1"/>
      <c r="H907" s="1"/>
      <c r="I907" s="61"/>
      <c r="J907" s="1"/>
      <c r="K907" s="1"/>
      <c r="L907" s="1"/>
    </row>
    <row r="908" spans="1:12" ht="15.75" customHeight="1">
      <c r="A908" s="2"/>
      <c r="B908" s="1"/>
      <c r="C908" s="1"/>
      <c r="D908" s="1"/>
      <c r="E908" s="1"/>
      <c r="F908" s="1"/>
      <c r="G908" s="1"/>
      <c r="H908" s="1"/>
      <c r="I908" s="61"/>
      <c r="J908" s="1"/>
      <c r="K908" s="1"/>
      <c r="L908" s="1"/>
    </row>
    <row r="909" spans="1:12" ht="15.75" customHeight="1">
      <c r="A909" s="2"/>
      <c r="B909" s="1"/>
      <c r="C909" s="1"/>
      <c r="D909" s="1"/>
      <c r="E909" s="1"/>
      <c r="F909" s="1"/>
      <c r="G909" s="1"/>
      <c r="H909" s="1"/>
      <c r="I909" s="61"/>
      <c r="J909" s="1"/>
      <c r="K909" s="1"/>
      <c r="L909" s="1"/>
    </row>
    <row r="910" spans="1:12" ht="15.75" customHeight="1">
      <c r="A910" s="2"/>
      <c r="B910" s="1"/>
      <c r="C910" s="1"/>
      <c r="D910" s="1"/>
      <c r="E910" s="1"/>
      <c r="F910" s="1"/>
      <c r="G910" s="1"/>
      <c r="H910" s="1"/>
      <c r="I910" s="61"/>
      <c r="J910" s="1"/>
      <c r="K910" s="1"/>
      <c r="L910" s="1"/>
    </row>
    <row r="911" spans="1:12" ht="15.75" customHeight="1">
      <c r="A911" s="2"/>
      <c r="B911" s="1"/>
      <c r="C911" s="1"/>
      <c r="D911" s="1"/>
      <c r="E911" s="1"/>
      <c r="F911" s="1"/>
      <c r="G911" s="1"/>
      <c r="H911" s="1"/>
      <c r="I911" s="61"/>
      <c r="J911" s="1"/>
      <c r="K911" s="1"/>
      <c r="L911" s="1"/>
    </row>
    <row r="912" spans="1:12" ht="15.75" customHeight="1">
      <c r="A912" s="2"/>
      <c r="B912" s="1"/>
      <c r="C912" s="1"/>
      <c r="D912" s="1"/>
      <c r="E912" s="1"/>
      <c r="F912" s="1"/>
      <c r="G912" s="1"/>
      <c r="H912" s="1"/>
      <c r="I912" s="61"/>
      <c r="J912" s="1"/>
      <c r="K912" s="1"/>
      <c r="L912" s="1"/>
    </row>
    <row r="913" spans="1:12" ht="15.75" customHeight="1">
      <c r="A913" s="2"/>
      <c r="B913" s="1"/>
      <c r="C913" s="1"/>
      <c r="D913" s="1"/>
      <c r="E913" s="1"/>
      <c r="F913" s="1"/>
      <c r="G913" s="1"/>
      <c r="H913" s="1"/>
      <c r="I913" s="61"/>
      <c r="J913" s="1"/>
      <c r="K913" s="1"/>
      <c r="L913" s="1"/>
    </row>
    <row r="914" spans="1:12" ht="15.75" customHeight="1">
      <c r="A914" s="2"/>
      <c r="B914" s="1"/>
      <c r="C914" s="1"/>
      <c r="D914" s="1"/>
      <c r="E914" s="1"/>
      <c r="F914" s="1"/>
      <c r="G914" s="1"/>
      <c r="H914" s="1"/>
      <c r="I914" s="61"/>
      <c r="J914" s="1"/>
      <c r="K914" s="1"/>
      <c r="L914" s="1"/>
    </row>
    <row r="915" spans="1:12" ht="15.75" customHeight="1">
      <c r="A915" s="2"/>
      <c r="B915" s="1"/>
      <c r="C915" s="1"/>
      <c r="D915" s="1"/>
      <c r="E915" s="1"/>
      <c r="F915" s="1"/>
      <c r="G915" s="1"/>
      <c r="H915" s="1"/>
      <c r="I915" s="61"/>
      <c r="J915" s="1"/>
      <c r="K915" s="1"/>
      <c r="L915" s="1"/>
    </row>
    <row r="916" spans="1:12" ht="15.75" customHeight="1">
      <c r="A916" s="2"/>
      <c r="B916" s="1"/>
      <c r="C916" s="1"/>
      <c r="D916" s="1"/>
      <c r="E916" s="1"/>
      <c r="F916" s="1"/>
      <c r="G916" s="1"/>
      <c r="H916" s="1"/>
      <c r="I916" s="61"/>
      <c r="J916" s="1"/>
      <c r="K916" s="1"/>
      <c r="L916" s="1"/>
    </row>
    <row r="917" spans="1:12" ht="15.75" customHeight="1">
      <c r="A917" s="2"/>
      <c r="B917" s="1"/>
      <c r="C917" s="1"/>
      <c r="D917" s="1"/>
      <c r="E917" s="1"/>
      <c r="F917" s="1"/>
      <c r="G917" s="1"/>
      <c r="H917" s="1"/>
      <c r="I917" s="61"/>
      <c r="J917" s="1"/>
      <c r="K917" s="1"/>
      <c r="L917" s="1"/>
    </row>
    <row r="918" spans="1:12" ht="15.75" customHeight="1">
      <c r="A918" s="2"/>
      <c r="B918" s="1"/>
      <c r="C918" s="1"/>
      <c r="D918" s="1"/>
      <c r="E918" s="1"/>
      <c r="F918" s="1"/>
      <c r="G918" s="1"/>
      <c r="H918" s="1"/>
      <c r="I918" s="61"/>
      <c r="J918" s="1"/>
      <c r="K918" s="1"/>
      <c r="L918" s="1"/>
    </row>
    <row r="919" spans="1:12" ht="15.75" customHeight="1">
      <c r="A919" s="2"/>
      <c r="B919" s="1"/>
      <c r="C919" s="1"/>
      <c r="D919" s="1"/>
      <c r="E919" s="1"/>
      <c r="F919" s="1"/>
      <c r="G919" s="1"/>
      <c r="H919" s="1"/>
      <c r="I919" s="61"/>
      <c r="J919" s="1"/>
      <c r="K919" s="1"/>
      <c r="L919" s="1"/>
    </row>
    <row r="920" spans="1:12" ht="15.75" customHeight="1">
      <c r="A920" s="2"/>
      <c r="B920" s="1"/>
      <c r="C920" s="1"/>
      <c r="D920" s="1"/>
      <c r="E920" s="1"/>
      <c r="F920" s="1"/>
      <c r="G920" s="1"/>
      <c r="H920" s="1"/>
      <c r="I920" s="61"/>
      <c r="J920" s="1"/>
      <c r="K920" s="1"/>
      <c r="L920" s="1"/>
    </row>
    <row r="921" spans="1:12" ht="15.75" customHeight="1">
      <c r="A921" s="2"/>
      <c r="B921" s="1"/>
      <c r="C921" s="1"/>
      <c r="D921" s="1"/>
      <c r="E921" s="1"/>
      <c r="F921" s="1"/>
      <c r="G921" s="1"/>
      <c r="H921" s="1"/>
      <c r="I921" s="61"/>
      <c r="J921" s="1"/>
      <c r="K921" s="1"/>
      <c r="L921" s="1"/>
    </row>
    <row r="922" spans="1:12" ht="15.75" customHeight="1">
      <c r="A922" s="2"/>
      <c r="B922" s="1"/>
      <c r="C922" s="1"/>
      <c r="D922" s="1"/>
      <c r="E922" s="1"/>
      <c r="F922" s="1"/>
      <c r="G922" s="1"/>
      <c r="H922" s="1"/>
      <c r="I922" s="61"/>
      <c r="J922" s="1"/>
      <c r="K922" s="1"/>
      <c r="L922" s="1"/>
    </row>
    <row r="923" spans="1:12" ht="15.75" customHeight="1">
      <c r="A923" s="2"/>
      <c r="B923" s="1"/>
      <c r="C923" s="1"/>
      <c r="D923" s="1"/>
      <c r="E923" s="1"/>
      <c r="F923" s="1"/>
      <c r="G923" s="1"/>
      <c r="H923" s="1"/>
      <c r="I923" s="61"/>
      <c r="J923" s="1"/>
      <c r="K923" s="1"/>
      <c r="L923" s="1"/>
    </row>
    <row r="924" spans="1:12" ht="15.75" customHeight="1">
      <c r="A924" s="2"/>
      <c r="B924" s="1"/>
      <c r="C924" s="1"/>
      <c r="D924" s="1"/>
      <c r="E924" s="1"/>
      <c r="F924" s="1"/>
      <c r="G924" s="1"/>
      <c r="H924" s="1"/>
      <c r="I924" s="61"/>
      <c r="J924" s="1"/>
      <c r="K924" s="1"/>
      <c r="L924" s="1"/>
    </row>
    <row r="925" spans="1:12" ht="15.75" customHeight="1">
      <c r="A925" s="2"/>
      <c r="B925" s="1"/>
      <c r="C925" s="1"/>
      <c r="D925" s="1"/>
      <c r="E925" s="1"/>
      <c r="F925" s="1"/>
      <c r="G925" s="1"/>
      <c r="H925" s="1"/>
      <c r="I925" s="61"/>
      <c r="J925" s="1"/>
      <c r="K925" s="1"/>
      <c r="L925" s="1"/>
    </row>
    <row r="926" spans="1:12" ht="15.75" customHeight="1">
      <c r="A926" s="2"/>
      <c r="B926" s="1"/>
      <c r="C926" s="1"/>
      <c r="D926" s="1"/>
      <c r="E926" s="1"/>
      <c r="F926" s="1"/>
      <c r="G926" s="1"/>
      <c r="H926" s="1"/>
      <c r="I926" s="61"/>
      <c r="J926" s="1"/>
      <c r="K926" s="1"/>
      <c r="L926" s="1"/>
    </row>
    <row r="927" spans="1:12" ht="15.75" customHeight="1">
      <c r="A927" s="2"/>
      <c r="B927" s="1"/>
      <c r="C927" s="1"/>
      <c r="D927" s="1"/>
      <c r="E927" s="1"/>
      <c r="F927" s="1"/>
      <c r="G927" s="1"/>
      <c r="H927" s="1"/>
      <c r="I927" s="61"/>
      <c r="J927" s="1"/>
      <c r="K927" s="1"/>
      <c r="L927" s="1"/>
    </row>
    <row r="928" spans="1:12" ht="15.75" customHeight="1">
      <c r="A928" s="2"/>
      <c r="B928" s="1"/>
      <c r="C928" s="1"/>
      <c r="D928" s="1"/>
      <c r="E928" s="1"/>
      <c r="F928" s="1"/>
      <c r="G928" s="1"/>
      <c r="H928" s="1"/>
      <c r="I928" s="61"/>
      <c r="J928" s="1"/>
      <c r="K928" s="1"/>
      <c r="L928" s="1"/>
    </row>
    <row r="929" spans="1:12" ht="15.75" customHeight="1">
      <c r="A929" s="2"/>
      <c r="B929" s="1"/>
      <c r="C929" s="1"/>
      <c r="D929" s="1"/>
      <c r="E929" s="1"/>
      <c r="F929" s="1"/>
      <c r="G929" s="1"/>
      <c r="H929" s="1"/>
      <c r="I929" s="61"/>
      <c r="J929" s="1"/>
      <c r="K929" s="1"/>
      <c r="L929" s="1"/>
    </row>
    <row r="930" spans="1:12" ht="15.75" customHeight="1">
      <c r="A930" s="2"/>
      <c r="B930" s="1"/>
      <c r="C930" s="1"/>
      <c r="D930" s="1"/>
      <c r="E930" s="1"/>
      <c r="F930" s="1"/>
      <c r="G930" s="1"/>
      <c r="H930" s="1"/>
      <c r="I930" s="61"/>
      <c r="J930" s="1"/>
      <c r="K930" s="1"/>
      <c r="L930" s="1"/>
    </row>
    <row r="931" spans="1:12" ht="15.75" customHeight="1">
      <c r="A931" s="2"/>
      <c r="B931" s="1"/>
      <c r="C931" s="1"/>
      <c r="D931" s="1"/>
      <c r="E931" s="1"/>
      <c r="F931" s="1"/>
      <c r="G931" s="1"/>
      <c r="H931" s="1"/>
      <c r="I931" s="61"/>
      <c r="J931" s="1"/>
      <c r="K931" s="1"/>
      <c r="L931" s="1"/>
    </row>
    <row r="932" spans="1:12" ht="15.75" customHeight="1">
      <c r="A932" s="2"/>
      <c r="B932" s="1"/>
      <c r="C932" s="1"/>
      <c r="D932" s="1"/>
      <c r="E932" s="1"/>
      <c r="F932" s="1"/>
      <c r="G932" s="1"/>
      <c r="H932" s="1"/>
      <c r="I932" s="61"/>
      <c r="J932" s="1"/>
      <c r="K932" s="1"/>
      <c r="L932" s="1"/>
    </row>
    <row r="933" spans="1:12" ht="15.75" customHeight="1">
      <c r="A933" s="2"/>
      <c r="B933" s="1"/>
      <c r="C933" s="1"/>
      <c r="D933" s="1"/>
      <c r="E933" s="1"/>
      <c r="F933" s="1"/>
      <c r="G933" s="1"/>
      <c r="H933" s="1"/>
      <c r="I933" s="61"/>
      <c r="J933" s="1"/>
      <c r="K933" s="1"/>
      <c r="L933" s="1"/>
    </row>
    <row r="934" spans="1:12" ht="15.75" customHeight="1">
      <c r="A934" s="2"/>
      <c r="B934" s="1"/>
      <c r="C934" s="1"/>
      <c r="D934" s="1"/>
      <c r="E934" s="1"/>
      <c r="F934" s="1"/>
      <c r="G934" s="1"/>
      <c r="H934" s="1"/>
      <c r="I934" s="61"/>
      <c r="J934" s="1"/>
      <c r="K934" s="1"/>
      <c r="L934" s="1"/>
    </row>
    <row r="935" spans="1:12" ht="15.75" customHeight="1">
      <c r="A935" s="2"/>
      <c r="B935" s="1"/>
      <c r="C935" s="1"/>
      <c r="D935" s="1"/>
      <c r="E935" s="1"/>
      <c r="F935" s="1"/>
      <c r="G935" s="1"/>
      <c r="H935" s="1"/>
      <c r="I935" s="61"/>
      <c r="J935" s="1"/>
      <c r="K935" s="1"/>
      <c r="L935" s="1"/>
    </row>
    <row r="936" spans="1:12" ht="15.75" customHeight="1">
      <c r="A936" s="2"/>
      <c r="B936" s="1"/>
      <c r="C936" s="1"/>
      <c r="D936" s="1"/>
      <c r="E936" s="1"/>
      <c r="F936" s="1"/>
      <c r="G936" s="1"/>
      <c r="H936" s="1"/>
      <c r="I936" s="61"/>
      <c r="J936" s="1"/>
      <c r="K936" s="1"/>
      <c r="L936" s="1"/>
    </row>
    <row r="937" spans="1:12" ht="15.75" customHeight="1">
      <c r="A937" s="2"/>
      <c r="B937" s="1"/>
      <c r="C937" s="1"/>
      <c r="D937" s="1"/>
      <c r="E937" s="1"/>
      <c r="F937" s="1"/>
      <c r="G937" s="1"/>
      <c r="H937" s="1"/>
      <c r="I937" s="61"/>
      <c r="J937" s="1"/>
      <c r="K937" s="1"/>
      <c r="L937" s="1"/>
    </row>
    <row r="938" spans="1:12" ht="15.75" customHeight="1">
      <c r="A938" s="2"/>
      <c r="B938" s="1"/>
      <c r="C938" s="1"/>
      <c r="D938" s="1"/>
      <c r="E938" s="1"/>
      <c r="F938" s="1"/>
      <c r="G938" s="1"/>
      <c r="H938" s="1"/>
      <c r="I938" s="61"/>
      <c r="J938" s="1"/>
      <c r="K938" s="1"/>
      <c r="L938" s="1"/>
    </row>
    <row r="939" spans="1:12" ht="15.75" customHeight="1">
      <c r="A939" s="2"/>
      <c r="B939" s="1"/>
      <c r="C939" s="1"/>
      <c r="D939" s="1"/>
      <c r="E939" s="1"/>
      <c r="F939" s="1"/>
      <c r="G939" s="1"/>
      <c r="H939" s="1"/>
      <c r="I939" s="61"/>
      <c r="J939" s="1"/>
      <c r="K939" s="1"/>
      <c r="L939" s="1"/>
    </row>
    <row r="940" spans="1:12" ht="15.75" customHeight="1">
      <c r="A940" s="2"/>
      <c r="B940" s="1"/>
      <c r="C940" s="1"/>
      <c r="D940" s="1"/>
      <c r="E940" s="1"/>
      <c r="F940" s="1"/>
      <c r="G940" s="1"/>
      <c r="H940" s="1"/>
      <c r="I940" s="61"/>
      <c r="J940" s="1"/>
      <c r="K940" s="1"/>
      <c r="L940" s="1"/>
    </row>
    <row r="941" spans="1:12" ht="15.75" customHeight="1">
      <c r="A941" s="2"/>
      <c r="B941" s="1"/>
      <c r="C941" s="1"/>
      <c r="D941" s="1"/>
      <c r="E941" s="1"/>
      <c r="F941" s="1"/>
      <c r="G941" s="1"/>
      <c r="H941" s="1"/>
      <c r="I941" s="61"/>
      <c r="J941" s="1"/>
      <c r="K941" s="1"/>
      <c r="L941" s="1"/>
    </row>
    <row r="942" spans="1:12" ht="15.75" customHeight="1">
      <c r="A942" s="2"/>
      <c r="B942" s="1"/>
      <c r="C942" s="1"/>
      <c r="D942" s="1"/>
      <c r="E942" s="1"/>
      <c r="F942" s="1"/>
      <c r="G942" s="1"/>
      <c r="H942" s="1"/>
      <c r="I942" s="61"/>
      <c r="J942" s="1"/>
      <c r="K942" s="1"/>
      <c r="L942" s="1"/>
    </row>
    <row r="943" spans="1:12" ht="15.75" customHeight="1">
      <c r="A943" s="2"/>
      <c r="B943" s="1"/>
      <c r="C943" s="1"/>
      <c r="D943" s="1"/>
      <c r="E943" s="1"/>
      <c r="F943" s="1"/>
      <c r="G943" s="1"/>
      <c r="H943" s="1"/>
      <c r="I943" s="61"/>
      <c r="J943" s="1"/>
      <c r="K943" s="1"/>
      <c r="L943" s="1"/>
    </row>
    <row r="944" spans="1:12" ht="15.75" customHeight="1">
      <c r="A944" s="2"/>
      <c r="B944" s="1"/>
      <c r="C944" s="1"/>
      <c r="D944" s="1"/>
      <c r="E944" s="1"/>
      <c r="F944" s="1"/>
      <c r="G944" s="1"/>
      <c r="H944" s="1"/>
      <c r="I944" s="61"/>
      <c r="J944" s="1"/>
      <c r="K944" s="1"/>
      <c r="L944" s="1"/>
    </row>
    <row r="945" spans="1:12" ht="15.75" customHeight="1">
      <c r="A945" s="2"/>
      <c r="B945" s="1"/>
      <c r="C945" s="1"/>
      <c r="D945" s="1"/>
      <c r="E945" s="1"/>
      <c r="F945" s="1"/>
      <c r="G945" s="1"/>
      <c r="H945" s="1"/>
      <c r="I945" s="61"/>
      <c r="J945" s="1"/>
      <c r="K945" s="1"/>
      <c r="L945" s="1"/>
    </row>
    <row r="946" spans="1:12" ht="15.75" customHeight="1">
      <c r="A946" s="2"/>
      <c r="B946" s="1"/>
      <c r="C946" s="1"/>
      <c r="D946" s="1"/>
      <c r="E946" s="1"/>
      <c r="F946" s="1"/>
      <c r="G946" s="1"/>
      <c r="H946" s="1"/>
      <c r="I946" s="61"/>
      <c r="J946" s="1"/>
      <c r="K946" s="1"/>
      <c r="L946" s="1"/>
    </row>
    <row r="947" spans="1:12" ht="15.75" customHeight="1">
      <c r="A947" s="2"/>
      <c r="B947" s="1"/>
      <c r="C947" s="1"/>
      <c r="D947" s="1"/>
      <c r="E947" s="1"/>
      <c r="F947" s="1"/>
      <c r="G947" s="1"/>
      <c r="H947" s="1"/>
      <c r="I947" s="61"/>
      <c r="J947" s="1"/>
      <c r="K947" s="1"/>
      <c r="L947" s="1"/>
    </row>
    <row r="948" spans="1:12" ht="15.75" customHeight="1">
      <c r="A948" s="2"/>
      <c r="B948" s="1"/>
      <c r="C948" s="1"/>
      <c r="D948" s="1"/>
      <c r="E948" s="1"/>
      <c r="F948" s="1"/>
      <c r="G948" s="1"/>
      <c r="H948" s="1"/>
      <c r="I948" s="61"/>
      <c r="J948" s="1"/>
      <c r="K948" s="1"/>
      <c r="L948" s="1"/>
    </row>
    <row r="949" spans="1:12" ht="15.75" customHeight="1">
      <c r="A949" s="2"/>
      <c r="B949" s="1"/>
      <c r="C949" s="1"/>
      <c r="D949" s="1"/>
      <c r="E949" s="1"/>
      <c r="F949" s="1"/>
      <c r="G949" s="1"/>
      <c r="H949" s="1"/>
      <c r="I949" s="61"/>
      <c r="J949" s="1"/>
      <c r="K949" s="1"/>
      <c r="L949" s="1"/>
    </row>
    <row r="950" spans="1:12" ht="15.75" customHeight="1">
      <c r="A950" s="2"/>
      <c r="B950" s="1"/>
      <c r="C950" s="1"/>
      <c r="D950" s="1"/>
      <c r="E950" s="1"/>
      <c r="F950" s="1"/>
      <c r="G950" s="1"/>
      <c r="H950" s="1"/>
      <c r="I950" s="61"/>
      <c r="J950" s="1"/>
      <c r="K950" s="1"/>
      <c r="L950" s="1"/>
    </row>
    <row r="951" spans="1:12" ht="15.75" customHeight="1">
      <c r="A951" s="2"/>
      <c r="B951" s="1"/>
      <c r="C951" s="1"/>
      <c r="D951" s="1"/>
      <c r="E951" s="1"/>
      <c r="F951" s="1"/>
      <c r="G951" s="1"/>
      <c r="H951" s="1"/>
      <c r="I951" s="61"/>
      <c r="J951" s="1"/>
      <c r="K951" s="1"/>
      <c r="L951" s="1"/>
    </row>
    <row r="952" spans="1:12" ht="15.75" customHeight="1">
      <c r="A952" s="2"/>
      <c r="B952" s="1"/>
      <c r="C952" s="1"/>
      <c r="D952" s="1"/>
      <c r="E952" s="1"/>
      <c r="F952" s="1"/>
      <c r="G952" s="1"/>
      <c r="H952" s="1"/>
      <c r="I952" s="61"/>
      <c r="J952" s="1"/>
      <c r="K952" s="1"/>
      <c r="L952" s="1"/>
    </row>
    <row r="953" spans="1:12" ht="15.75" customHeight="1">
      <c r="A953" s="2"/>
      <c r="B953" s="1"/>
      <c r="C953" s="1"/>
      <c r="D953" s="1"/>
      <c r="E953" s="1"/>
      <c r="F953" s="1"/>
      <c r="G953" s="1"/>
      <c r="H953" s="1"/>
      <c r="I953" s="61"/>
      <c r="J953" s="1"/>
      <c r="K953" s="1"/>
      <c r="L953" s="1"/>
    </row>
    <row r="954" spans="1:12" ht="15.75" customHeight="1">
      <c r="A954" s="2"/>
      <c r="B954" s="1"/>
      <c r="C954" s="1"/>
      <c r="D954" s="1"/>
      <c r="E954" s="1"/>
      <c r="F954" s="1"/>
      <c r="G954" s="1"/>
      <c r="H954" s="1"/>
      <c r="I954" s="61"/>
      <c r="J954" s="1"/>
      <c r="K954" s="1"/>
      <c r="L954" s="1"/>
    </row>
    <row r="955" spans="1:12" ht="15.75" customHeight="1">
      <c r="A955" s="2"/>
      <c r="B955" s="1"/>
      <c r="C955" s="1"/>
      <c r="D955" s="1"/>
      <c r="E955" s="1"/>
      <c r="F955" s="1"/>
      <c r="G955" s="1"/>
      <c r="H955" s="1"/>
      <c r="I955" s="61"/>
      <c r="J955" s="1"/>
      <c r="K955" s="1"/>
      <c r="L955" s="1"/>
    </row>
    <row r="956" spans="1:12" ht="15.75" customHeight="1">
      <c r="A956" s="2"/>
      <c r="B956" s="1"/>
      <c r="C956" s="1"/>
      <c r="D956" s="1"/>
      <c r="E956" s="1"/>
      <c r="F956" s="1"/>
      <c r="G956" s="1"/>
      <c r="H956" s="1"/>
      <c r="I956" s="61"/>
      <c r="J956" s="1"/>
      <c r="K956" s="1"/>
      <c r="L956" s="1"/>
    </row>
    <row r="957" spans="1:12" ht="15.75" customHeight="1">
      <c r="A957" s="2"/>
      <c r="B957" s="1"/>
      <c r="C957" s="1"/>
      <c r="D957" s="1"/>
      <c r="E957" s="1"/>
      <c r="F957" s="1"/>
      <c r="G957" s="1"/>
      <c r="H957" s="1"/>
      <c r="I957" s="61"/>
      <c r="J957" s="1"/>
      <c r="K957" s="1"/>
      <c r="L957" s="1"/>
    </row>
    <row r="958" spans="1:12" ht="15.75" customHeight="1">
      <c r="A958" s="2"/>
      <c r="B958" s="1"/>
      <c r="C958" s="1"/>
      <c r="D958" s="1"/>
      <c r="E958" s="1"/>
      <c r="F958" s="1"/>
      <c r="G958" s="1"/>
      <c r="H958" s="1"/>
      <c r="I958" s="61"/>
      <c r="J958" s="1"/>
      <c r="K958" s="1"/>
      <c r="L958" s="1"/>
    </row>
    <row r="959" spans="1:12" ht="15.75" customHeight="1">
      <c r="A959" s="2"/>
      <c r="B959" s="1"/>
      <c r="C959" s="1"/>
      <c r="D959" s="1"/>
      <c r="E959" s="1"/>
      <c r="F959" s="1"/>
      <c r="G959" s="1"/>
      <c r="H959" s="1"/>
      <c r="I959" s="61"/>
      <c r="J959" s="1"/>
      <c r="K959" s="1"/>
      <c r="L959" s="1"/>
    </row>
    <row r="960" spans="1:12" ht="15.75" customHeight="1">
      <c r="A960" s="2"/>
      <c r="B960" s="1"/>
      <c r="C960" s="1"/>
      <c r="D960" s="1"/>
      <c r="E960" s="1"/>
      <c r="F960" s="1"/>
      <c r="G960" s="1"/>
      <c r="H960" s="1"/>
      <c r="I960" s="61"/>
      <c r="J960" s="1"/>
      <c r="K960" s="1"/>
      <c r="L960" s="1"/>
    </row>
    <row r="961" spans="1:12" ht="15.75" customHeight="1">
      <c r="A961" s="2"/>
      <c r="B961" s="1"/>
      <c r="C961" s="1"/>
      <c r="D961" s="1"/>
      <c r="E961" s="1"/>
      <c r="F961" s="1"/>
      <c r="G961" s="1"/>
      <c r="H961" s="1"/>
      <c r="I961" s="61"/>
      <c r="J961" s="1"/>
      <c r="K961" s="1"/>
      <c r="L961" s="1"/>
    </row>
    <row r="962" spans="1:12" ht="15.75" customHeight="1">
      <c r="A962" s="2"/>
      <c r="B962" s="1"/>
      <c r="C962" s="1"/>
      <c r="D962" s="1"/>
      <c r="E962" s="1"/>
      <c r="F962" s="1"/>
      <c r="G962" s="1"/>
      <c r="H962" s="1"/>
      <c r="I962" s="61"/>
      <c r="J962" s="1"/>
      <c r="K962" s="1"/>
      <c r="L962" s="1"/>
    </row>
    <row r="963" spans="1:12" ht="15.75" customHeight="1">
      <c r="A963" s="2"/>
      <c r="B963" s="1"/>
      <c r="C963" s="1"/>
      <c r="D963" s="1"/>
      <c r="E963" s="1"/>
      <c r="F963" s="1"/>
      <c r="G963" s="1"/>
      <c r="H963" s="1"/>
      <c r="I963" s="61"/>
      <c r="J963" s="1"/>
      <c r="K963" s="1"/>
      <c r="L963" s="1"/>
    </row>
    <row r="964" spans="1:12" ht="15.75" customHeight="1">
      <c r="A964" s="2"/>
      <c r="B964" s="1"/>
      <c r="C964" s="1"/>
      <c r="D964" s="1"/>
      <c r="E964" s="1"/>
      <c r="F964" s="1"/>
      <c r="G964" s="1"/>
      <c r="H964" s="1"/>
      <c r="I964" s="61"/>
      <c r="J964" s="1"/>
      <c r="K964" s="1"/>
      <c r="L964" s="1"/>
    </row>
    <row r="965" spans="1:12" ht="15.75" customHeight="1">
      <c r="A965" s="2"/>
      <c r="B965" s="1"/>
      <c r="C965" s="1"/>
      <c r="D965" s="1"/>
      <c r="E965" s="1"/>
      <c r="F965" s="1"/>
      <c r="G965" s="1"/>
      <c r="H965" s="1"/>
      <c r="I965" s="61"/>
      <c r="J965" s="1"/>
      <c r="K965" s="1"/>
      <c r="L965" s="1"/>
    </row>
    <row r="966" spans="1:12" ht="15.75" customHeight="1">
      <c r="A966" s="2"/>
      <c r="B966" s="1"/>
      <c r="C966" s="1"/>
      <c r="D966" s="1"/>
      <c r="E966" s="1"/>
      <c r="F966" s="1"/>
      <c r="G966" s="1"/>
      <c r="H966" s="1"/>
      <c r="I966" s="61"/>
      <c r="J966" s="1"/>
      <c r="K966" s="1"/>
      <c r="L966" s="1"/>
    </row>
    <row r="967" spans="1:12" ht="15.75" customHeight="1">
      <c r="A967" s="2"/>
      <c r="B967" s="1"/>
      <c r="C967" s="1"/>
      <c r="D967" s="1"/>
      <c r="E967" s="1"/>
      <c r="F967" s="1"/>
      <c r="G967" s="1"/>
      <c r="H967" s="1"/>
      <c r="I967" s="61"/>
      <c r="J967" s="1"/>
      <c r="K967" s="1"/>
      <c r="L967" s="1"/>
    </row>
    <row r="968" spans="1:12" ht="15.75" customHeight="1">
      <c r="A968" s="2"/>
      <c r="B968" s="1"/>
      <c r="C968" s="1"/>
      <c r="D968" s="1"/>
      <c r="E968" s="1"/>
      <c r="F968" s="1"/>
      <c r="G968" s="1"/>
      <c r="H968" s="1"/>
      <c r="I968" s="61"/>
      <c r="J968" s="1"/>
      <c r="K968" s="1"/>
      <c r="L968" s="1"/>
    </row>
    <row r="969" spans="1:12" ht="15.75" customHeight="1">
      <c r="A969" s="2"/>
      <c r="B969" s="1"/>
      <c r="C969" s="1"/>
      <c r="D969" s="1"/>
      <c r="E969" s="1"/>
      <c r="F969" s="1"/>
      <c r="G969" s="1"/>
      <c r="H969" s="1"/>
      <c r="I969" s="61"/>
      <c r="J969" s="1"/>
      <c r="K969" s="1"/>
      <c r="L969" s="1"/>
    </row>
    <row r="970" spans="1:12" ht="15.75" customHeight="1">
      <c r="A970" s="2"/>
      <c r="B970" s="1"/>
      <c r="C970" s="1"/>
      <c r="D970" s="1"/>
      <c r="E970" s="1"/>
      <c r="F970" s="1"/>
      <c r="G970" s="1"/>
      <c r="H970" s="1"/>
      <c r="I970" s="61"/>
      <c r="J970" s="1"/>
      <c r="K970" s="1"/>
      <c r="L970" s="1"/>
    </row>
    <row r="971" spans="1:12" ht="15.75" customHeight="1">
      <c r="A971" s="2"/>
      <c r="B971" s="1"/>
      <c r="C971" s="1"/>
      <c r="D971" s="1"/>
      <c r="E971" s="1"/>
      <c r="F971" s="1"/>
      <c r="G971" s="1"/>
      <c r="H971" s="1"/>
      <c r="I971" s="61"/>
      <c r="J971" s="1"/>
      <c r="K971" s="1"/>
      <c r="L971" s="1"/>
    </row>
    <row r="972" spans="1:12" ht="15.75" customHeight="1">
      <c r="A972" s="2"/>
      <c r="B972" s="1"/>
      <c r="C972" s="1"/>
      <c r="D972" s="1"/>
      <c r="E972" s="1"/>
      <c r="F972" s="1"/>
      <c r="G972" s="1"/>
      <c r="H972" s="1"/>
      <c r="I972" s="61"/>
      <c r="J972" s="1"/>
      <c r="K972" s="1"/>
      <c r="L972" s="1"/>
    </row>
    <row r="973" spans="1:12" ht="15.75" customHeight="1">
      <c r="A973" s="2"/>
      <c r="B973" s="1"/>
      <c r="C973" s="1"/>
      <c r="D973" s="1"/>
      <c r="E973" s="1"/>
      <c r="F973" s="1"/>
      <c r="G973" s="1"/>
      <c r="H973" s="1"/>
      <c r="I973" s="61"/>
      <c r="J973" s="1"/>
      <c r="K973" s="1"/>
      <c r="L973" s="1"/>
    </row>
    <row r="974" spans="1:12" ht="15.75" customHeight="1">
      <c r="A974" s="2"/>
      <c r="B974" s="1"/>
      <c r="C974" s="1"/>
      <c r="D974" s="1"/>
      <c r="E974" s="1"/>
      <c r="F974" s="1"/>
      <c r="G974" s="1"/>
      <c r="H974" s="1"/>
      <c r="I974" s="61"/>
      <c r="J974" s="1"/>
      <c r="K974" s="1"/>
      <c r="L974" s="1"/>
    </row>
    <row r="975" spans="1:12" ht="15.75" customHeight="1">
      <c r="A975" s="2"/>
      <c r="B975" s="1"/>
      <c r="C975" s="1"/>
      <c r="D975" s="1"/>
      <c r="E975" s="1"/>
      <c r="F975" s="1"/>
      <c r="G975" s="1"/>
      <c r="H975" s="1"/>
      <c r="I975" s="61"/>
      <c r="J975" s="1"/>
      <c r="K975" s="1"/>
      <c r="L975" s="1"/>
    </row>
    <row r="976" spans="1:12" ht="15.75" customHeight="1">
      <c r="A976" s="2"/>
      <c r="B976" s="1"/>
      <c r="C976" s="1"/>
      <c r="D976" s="1"/>
      <c r="E976" s="1"/>
      <c r="F976" s="1"/>
      <c r="G976" s="1"/>
      <c r="H976" s="1"/>
      <c r="I976" s="61"/>
      <c r="J976" s="1"/>
      <c r="K976" s="1"/>
      <c r="L976" s="1"/>
    </row>
    <row r="977" spans="1:12" ht="15.75" customHeight="1">
      <c r="A977" s="2"/>
      <c r="B977" s="1"/>
      <c r="C977" s="1"/>
      <c r="D977" s="1"/>
      <c r="E977" s="1"/>
      <c r="F977" s="1"/>
      <c r="G977" s="1"/>
      <c r="H977" s="1"/>
      <c r="I977" s="61"/>
      <c r="J977" s="1"/>
      <c r="K977" s="1"/>
      <c r="L977" s="1"/>
    </row>
    <row r="978" spans="1:12" ht="15.75" customHeight="1">
      <c r="A978" s="2"/>
      <c r="B978" s="1"/>
      <c r="C978" s="1"/>
      <c r="D978" s="1"/>
      <c r="E978" s="1"/>
      <c r="F978" s="1"/>
      <c r="G978" s="1"/>
      <c r="H978" s="1"/>
      <c r="I978" s="61"/>
      <c r="J978" s="1"/>
      <c r="K978" s="1"/>
      <c r="L978" s="1"/>
    </row>
    <row r="979" spans="1:12" ht="15.75" customHeight="1">
      <c r="A979" s="2"/>
      <c r="B979" s="1"/>
      <c r="C979" s="1"/>
      <c r="D979" s="1"/>
      <c r="E979" s="1"/>
      <c r="F979" s="1"/>
      <c r="G979" s="1"/>
      <c r="H979" s="1"/>
      <c r="I979" s="61"/>
      <c r="J979" s="1"/>
      <c r="K979" s="1"/>
      <c r="L979" s="1"/>
    </row>
    <row r="980" spans="1:12" ht="15.75" customHeight="1">
      <c r="A980" s="2"/>
      <c r="B980" s="1"/>
      <c r="C980" s="1"/>
      <c r="D980" s="1"/>
      <c r="E980" s="1"/>
      <c r="F980" s="1"/>
      <c r="G980" s="1"/>
      <c r="H980" s="1"/>
      <c r="I980" s="61"/>
      <c r="J980" s="1"/>
      <c r="K980" s="1"/>
      <c r="L980" s="1"/>
    </row>
    <row r="981" spans="1:12" ht="15.75" customHeight="1">
      <c r="A981" s="2"/>
      <c r="B981" s="1"/>
      <c r="C981" s="1"/>
      <c r="D981" s="1"/>
      <c r="E981" s="1"/>
      <c r="F981" s="1"/>
      <c r="G981" s="1"/>
      <c r="H981" s="1"/>
      <c r="I981" s="61"/>
      <c r="J981" s="1"/>
      <c r="K981" s="1"/>
      <c r="L981" s="1"/>
    </row>
    <row r="982" spans="1:12" ht="15.75" customHeight="1">
      <c r="A982" s="2"/>
      <c r="B982" s="1"/>
      <c r="C982" s="1"/>
      <c r="D982" s="1"/>
      <c r="E982" s="1"/>
      <c r="F982" s="1"/>
      <c r="G982" s="1"/>
      <c r="H982" s="1"/>
      <c r="I982" s="61"/>
      <c r="J982" s="1"/>
      <c r="K982" s="1"/>
      <c r="L982" s="1"/>
    </row>
    <row r="983" spans="1:12" ht="15.75" customHeight="1">
      <c r="A983" s="2"/>
      <c r="B983" s="1"/>
      <c r="C983" s="1"/>
      <c r="D983" s="1"/>
      <c r="E983" s="1"/>
      <c r="F983" s="1"/>
      <c r="G983" s="1"/>
      <c r="H983" s="1"/>
      <c r="I983" s="61"/>
      <c r="J983" s="1"/>
      <c r="K983" s="1"/>
      <c r="L983" s="1"/>
    </row>
    <row r="984" spans="1:12" ht="15.75" customHeight="1">
      <c r="A984" s="2"/>
      <c r="B984" s="1"/>
      <c r="C984" s="1"/>
      <c r="D984" s="1"/>
      <c r="E984" s="1"/>
      <c r="F984" s="1"/>
      <c r="G984" s="1"/>
      <c r="H984" s="1"/>
      <c r="I984" s="61"/>
      <c r="J984" s="1"/>
      <c r="K984" s="1"/>
      <c r="L984" s="1"/>
    </row>
    <row r="985" spans="1:12" ht="15.75" customHeight="1">
      <c r="A985" s="2"/>
      <c r="B985" s="1"/>
      <c r="C985" s="1"/>
      <c r="D985" s="1"/>
      <c r="E985" s="1"/>
      <c r="F985" s="1"/>
      <c r="G985" s="1"/>
      <c r="H985" s="1"/>
      <c r="I985" s="61"/>
      <c r="J985" s="1"/>
      <c r="K985" s="1"/>
      <c r="L985" s="1"/>
    </row>
    <row r="986" spans="1:12" ht="15.75" customHeight="1">
      <c r="A986" s="2"/>
      <c r="B986" s="1"/>
      <c r="C986" s="1"/>
      <c r="D986" s="1"/>
      <c r="E986" s="1"/>
      <c r="F986" s="1"/>
      <c r="G986" s="1"/>
      <c r="H986" s="1"/>
      <c r="I986" s="61"/>
      <c r="J986" s="1"/>
      <c r="K986" s="1"/>
      <c r="L986" s="1"/>
    </row>
    <row r="987" spans="1:12" ht="15.75" customHeight="1">
      <c r="A987" s="2"/>
      <c r="B987" s="1"/>
      <c r="C987" s="1"/>
      <c r="D987" s="1"/>
      <c r="E987" s="1"/>
      <c r="F987" s="1"/>
      <c r="G987" s="1"/>
      <c r="H987" s="1"/>
      <c r="I987" s="61"/>
      <c r="J987" s="1"/>
      <c r="K987" s="1"/>
      <c r="L987" s="1"/>
    </row>
    <row r="988" spans="1:12" ht="15.75" customHeight="1">
      <c r="A988" s="2"/>
      <c r="B988" s="1"/>
      <c r="C988" s="1"/>
      <c r="D988" s="1"/>
      <c r="E988" s="1"/>
      <c r="F988" s="1"/>
      <c r="G988" s="1"/>
      <c r="H988" s="1"/>
      <c r="I988" s="61"/>
      <c r="J988" s="1"/>
      <c r="K988" s="1"/>
      <c r="L988" s="1"/>
    </row>
    <row r="989" spans="1:12" ht="15.75" customHeight="1">
      <c r="A989" s="2"/>
      <c r="B989" s="1"/>
      <c r="C989" s="1"/>
      <c r="D989" s="1"/>
      <c r="E989" s="1"/>
      <c r="F989" s="1"/>
      <c r="G989" s="1"/>
      <c r="H989" s="1"/>
      <c r="I989" s="61"/>
      <c r="J989" s="1"/>
      <c r="K989" s="1"/>
      <c r="L989" s="1"/>
    </row>
    <row r="990" spans="1:12" ht="15.75" customHeight="1">
      <c r="A990" s="2"/>
      <c r="B990" s="1"/>
      <c r="C990" s="1"/>
      <c r="D990" s="1"/>
      <c r="E990" s="1"/>
      <c r="F990" s="1"/>
      <c r="G990" s="1"/>
      <c r="H990" s="1"/>
      <c r="I990" s="61"/>
      <c r="J990" s="1"/>
      <c r="K990" s="1"/>
      <c r="L990" s="1"/>
    </row>
    <row r="991" spans="1:12" ht="15.75" customHeight="1">
      <c r="A991" s="2"/>
      <c r="B991" s="1"/>
      <c r="C991" s="1"/>
      <c r="D991" s="1"/>
      <c r="E991" s="1"/>
      <c r="F991" s="1"/>
      <c r="G991" s="1"/>
      <c r="H991" s="1"/>
      <c r="I991" s="61"/>
      <c r="J991" s="1"/>
      <c r="K991" s="1"/>
      <c r="L991" s="1"/>
    </row>
    <row r="992" spans="1:12" ht="15.75" customHeight="1">
      <c r="A992" s="2"/>
      <c r="B992" s="1"/>
      <c r="C992" s="1"/>
      <c r="D992" s="1"/>
      <c r="E992" s="1"/>
      <c r="F992" s="1"/>
      <c r="G992" s="1"/>
      <c r="H992" s="1"/>
      <c r="I992" s="61"/>
      <c r="J992" s="1"/>
      <c r="K992" s="1"/>
      <c r="L992" s="1"/>
    </row>
    <row r="993" spans="1:12" ht="15.75" customHeight="1">
      <c r="A993" s="2"/>
      <c r="B993" s="1"/>
      <c r="C993" s="1"/>
      <c r="D993" s="1"/>
      <c r="E993" s="1"/>
      <c r="F993" s="1"/>
      <c r="G993" s="1"/>
      <c r="H993" s="1"/>
      <c r="I993" s="61"/>
      <c r="J993" s="1"/>
      <c r="K993" s="1"/>
      <c r="L993" s="1"/>
    </row>
    <row r="994" spans="1:12" ht="15.75" customHeight="1">
      <c r="A994" s="2"/>
      <c r="B994" s="1"/>
      <c r="C994" s="1"/>
      <c r="D994" s="1"/>
      <c r="E994" s="1"/>
      <c r="F994" s="1"/>
      <c r="G994" s="1"/>
      <c r="H994" s="1"/>
      <c r="I994" s="61"/>
      <c r="J994" s="1"/>
      <c r="K994" s="1"/>
      <c r="L994" s="1"/>
    </row>
    <row r="995" spans="1:12" ht="15.75" customHeight="1">
      <c r="A995" s="2"/>
      <c r="B995" s="1"/>
      <c r="C995" s="1"/>
      <c r="D995" s="1"/>
      <c r="E995" s="1"/>
      <c r="F995" s="1"/>
      <c r="G995" s="1"/>
      <c r="H995" s="1"/>
      <c r="I995" s="61"/>
      <c r="J995" s="1"/>
      <c r="K995" s="1"/>
      <c r="L995" s="1"/>
    </row>
    <row r="996" spans="1:12" ht="15.75" customHeight="1">
      <c r="A996" s="2"/>
      <c r="B996" s="1"/>
      <c r="C996" s="1"/>
      <c r="D996" s="1"/>
      <c r="E996" s="1"/>
      <c r="F996" s="1"/>
      <c r="G996" s="1"/>
      <c r="H996" s="1"/>
      <c r="I996" s="61"/>
      <c r="J996" s="1"/>
      <c r="K996" s="1"/>
      <c r="L996" s="1"/>
    </row>
    <row r="997" spans="1:12" ht="15.75" customHeight="1">
      <c r="A997" s="2"/>
      <c r="B997" s="1"/>
      <c r="C997" s="1"/>
      <c r="D997" s="1"/>
      <c r="E997" s="1"/>
      <c r="F997" s="1"/>
      <c r="G997" s="1"/>
      <c r="H997" s="1"/>
      <c r="I997" s="61"/>
      <c r="J997" s="1"/>
      <c r="K997" s="1"/>
      <c r="L997" s="1"/>
    </row>
    <row r="998" spans="1:12" ht="15.75" customHeight="1">
      <c r="A998" s="2"/>
      <c r="B998" s="1"/>
      <c r="C998" s="1"/>
      <c r="D998" s="1"/>
      <c r="E998" s="1"/>
      <c r="F998" s="1"/>
      <c r="G998" s="1"/>
      <c r="H998" s="1"/>
      <c r="I998" s="61"/>
      <c r="J998" s="1"/>
      <c r="K998" s="1"/>
      <c r="L998" s="1"/>
    </row>
    <row r="999" spans="1:12" ht="15.75" customHeight="1">
      <c r="A999" s="2"/>
      <c r="B999" s="1"/>
      <c r="C999" s="1"/>
      <c r="D999" s="1"/>
      <c r="E999" s="1"/>
      <c r="F999" s="1"/>
      <c r="G999" s="1"/>
      <c r="H999" s="1"/>
      <c r="I999" s="61"/>
      <c r="J999" s="1"/>
      <c r="K999" s="1"/>
      <c r="L999" s="1"/>
    </row>
    <row r="1000" spans="1:12" ht="15.75" customHeight="1">
      <c r="A1000" s="2"/>
      <c r="B1000" s="1"/>
      <c r="C1000" s="1"/>
      <c r="D1000" s="1"/>
      <c r="E1000" s="1"/>
      <c r="F1000" s="1"/>
      <c r="G1000" s="1"/>
      <c r="H1000" s="1"/>
      <c r="I1000" s="61"/>
      <c r="J1000" s="1"/>
      <c r="K1000" s="1"/>
      <c r="L1000" s="1"/>
    </row>
  </sheetData>
  <mergeCells count="24">
    <mergeCell ref="E254:H254"/>
    <mergeCell ref="E255:H255"/>
    <mergeCell ref="P64:Q64"/>
    <mergeCell ref="P65:Q65"/>
    <mergeCell ref="O66:P66"/>
    <mergeCell ref="P67:Q67"/>
    <mergeCell ref="P68:Q68"/>
    <mergeCell ref="P214:Q214"/>
    <mergeCell ref="P217:Q217"/>
    <mergeCell ref="O60:P60"/>
    <mergeCell ref="P61:Q61"/>
    <mergeCell ref="P62:Q62"/>
    <mergeCell ref="O63:P63"/>
    <mergeCell ref="P220:Q220"/>
    <mergeCell ref="F7:H7"/>
    <mergeCell ref="A8:B8"/>
    <mergeCell ref="J7:K7"/>
    <mergeCell ref="P54:Q54"/>
    <mergeCell ref="P58:Q58"/>
    <mergeCell ref="A1:K1"/>
    <mergeCell ref="A2:K2"/>
    <mergeCell ref="J3:K3"/>
    <mergeCell ref="A6:B6"/>
    <mergeCell ref="J6:K6"/>
  </mergeCells>
  <printOptions horizontalCentered="1"/>
  <pageMargins left="0.5" right="0.5" top="0.75" bottom="0.75" header="0" footer="0"/>
  <pageSetup paperSize="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P1000"/>
  <sheetViews>
    <sheetView workbookViewId="0"/>
  </sheetViews>
  <sheetFormatPr defaultColWidth="14.42578125" defaultRowHeight="15" customHeight="1"/>
  <cols>
    <col min="1" max="1" width="4.7109375" customWidth="1"/>
    <col min="2" max="2" width="22" customWidth="1"/>
    <col min="3" max="3" width="9.28515625" customWidth="1"/>
    <col min="4" max="4" width="15.7109375" customWidth="1"/>
    <col min="5" max="5" width="14.85546875" customWidth="1"/>
    <col min="6" max="6" width="16.140625" customWidth="1"/>
    <col min="7" max="7" width="21.85546875" customWidth="1"/>
    <col min="8" max="8" width="12.42578125" customWidth="1"/>
    <col min="9" max="9" width="16.5703125" customWidth="1"/>
    <col min="10" max="10" width="13.7109375" customWidth="1"/>
    <col min="11" max="11" width="8.28515625" customWidth="1"/>
    <col min="12" max="12" width="18.140625" customWidth="1"/>
    <col min="13" max="26" width="8.7109375" customWidth="1"/>
  </cols>
  <sheetData>
    <row r="1" spans="1:15" ht="23.25">
      <c r="A1" s="555" t="s">
        <v>0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</row>
    <row r="2" spans="1:15" ht="18">
      <c r="A2" s="556" t="s">
        <v>528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</row>
    <row r="3" spans="1:15">
      <c r="A3" s="2"/>
      <c r="B3" s="3"/>
      <c r="C3" s="71"/>
      <c r="D3" s="3"/>
      <c r="E3" s="3"/>
      <c r="G3" s="3"/>
      <c r="H3" s="71"/>
      <c r="I3" s="45"/>
      <c r="J3" s="72"/>
      <c r="K3" s="557" t="s">
        <v>1025</v>
      </c>
      <c r="L3" s="558"/>
    </row>
    <row r="4" spans="1:15">
      <c r="A4" s="2"/>
      <c r="B4" s="3"/>
      <c r="C4" s="71"/>
      <c r="D4" s="3"/>
      <c r="E4" s="3"/>
      <c r="G4" s="3"/>
      <c r="H4" s="71"/>
      <c r="I4" s="45"/>
      <c r="J4" s="72"/>
      <c r="K4" s="73" t="s">
        <v>1026</v>
      </c>
      <c r="L4" s="294"/>
    </row>
    <row r="5" spans="1:15">
      <c r="A5" s="2"/>
      <c r="B5" s="3"/>
      <c r="C5" s="71"/>
      <c r="D5" s="3"/>
      <c r="E5" s="3"/>
      <c r="G5" s="3"/>
      <c r="H5" s="71"/>
      <c r="I5" s="45"/>
      <c r="J5" s="72"/>
      <c r="K5" s="73" t="s">
        <v>1027</v>
      </c>
      <c r="L5" s="294"/>
    </row>
    <row r="6" spans="1:15" ht="18">
      <c r="A6" s="567" t="s">
        <v>360</v>
      </c>
      <c r="B6" s="560"/>
      <c r="C6" s="75"/>
      <c r="D6" s="3"/>
      <c r="E6" s="10"/>
      <c r="F6" s="76"/>
      <c r="G6" s="3"/>
      <c r="H6" s="71"/>
      <c r="I6" s="45"/>
      <c r="J6" s="72"/>
      <c r="K6" s="77" t="s">
        <v>1028</v>
      </c>
      <c r="L6" s="53"/>
    </row>
    <row r="7" spans="1:15">
      <c r="A7" s="11"/>
      <c r="B7" s="12"/>
      <c r="C7" s="78" t="s">
        <v>362</v>
      </c>
      <c r="D7" s="14"/>
      <c r="E7" s="14"/>
      <c r="F7" s="79" t="s">
        <v>363</v>
      </c>
      <c r="G7" s="78" t="s">
        <v>364</v>
      </c>
      <c r="H7" s="563" t="s">
        <v>365</v>
      </c>
      <c r="I7" s="558"/>
      <c r="J7" s="80"/>
      <c r="K7" s="550" t="s">
        <v>8</v>
      </c>
      <c r="L7" s="551"/>
    </row>
    <row r="8" spans="1:15">
      <c r="A8" s="565" t="s">
        <v>366</v>
      </c>
      <c r="B8" s="566"/>
      <c r="C8" s="79" t="s">
        <v>367</v>
      </c>
      <c r="D8" s="17" t="s">
        <v>11</v>
      </c>
      <c r="E8" s="18" t="s">
        <v>12</v>
      </c>
      <c r="F8" s="79" t="s">
        <v>368</v>
      </c>
      <c r="G8" s="81" t="s">
        <v>369</v>
      </c>
      <c r="H8" s="82"/>
      <c r="I8" s="83" t="s">
        <v>14</v>
      </c>
      <c r="J8" s="84" t="s">
        <v>15</v>
      </c>
      <c r="K8" s="24"/>
      <c r="L8" s="85"/>
    </row>
    <row r="9" spans="1:15">
      <c r="A9" s="25"/>
      <c r="B9" s="26"/>
      <c r="C9" s="79" t="s">
        <v>370</v>
      </c>
      <c r="D9" s="27"/>
      <c r="E9" s="26"/>
      <c r="F9" s="79" t="s">
        <v>371</v>
      </c>
      <c r="G9" s="81" t="s">
        <v>372</v>
      </c>
      <c r="H9" s="86" t="s">
        <v>17</v>
      </c>
      <c r="I9" s="83" t="s">
        <v>18</v>
      </c>
      <c r="J9" s="87"/>
      <c r="K9" s="17" t="s">
        <v>19</v>
      </c>
      <c r="L9" s="17" t="s">
        <v>20</v>
      </c>
    </row>
    <row r="10" spans="1:15">
      <c r="A10" s="30"/>
      <c r="B10" s="31"/>
      <c r="C10" s="88"/>
      <c r="D10" s="33"/>
      <c r="E10" s="33"/>
      <c r="F10" s="89" t="s">
        <v>373</v>
      </c>
      <c r="G10" s="38"/>
      <c r="H10" s="90"/>
      <c r="I10" s="91" t="s">
        <v>374</v>
      </c>
      <c r="J10" s="92"/>
      <c r="K10" s="34"/>
      <c r="L10" s="38" t="s">
        <v>22</v>
      </c>
    </row>
    <row r="11" spans="1:15">
      <c r="A11" s="39" t="s">
        <v>23</v>
      </c>
      <c r="B11" s="57"/>
      <c r="C11" s="93"/>
      <c r="D11" s="57"/>
      <c r="E11" s="57"/>
      <c r="F11" s="40"/>
      <c r="G11" s="57"/>
      <c r="H11" s="93"/>
      <c r="I11" s="44"/>
      <c r="J11" s="94"/>
      <c r="K11" s="40"/>
      <c r="L11" s="40"/>
    </row>
    <row r="12" spans="1:15">
      <c r="A12" s="569">
        <v>3</v>
      </c>
      <c r="B12" s="597" t="s">
        <v>388</v>
      </c>
      <c r="C12" s="598"/>
      <c r="D12" s="573"/>
      <c r="E12" s="573" t="s">
        <v>389</v>
      </c>
      <c r="F12" s="573"/>
      <c r="G12" s="599" t="s">
        <v>1029</v>
      </c>
      <c r="H12" s="295" t="s">
        <v>29</v>
      </c>
      <c r="I12" s="101">
        <v>1000</v>
      </c>
      <c r="J12" s="596" t="s">
        <v>101</v>
      </c>
      <c r="K12" s="573"/>
      <c r="L12" s="572" t="s">
        <v>31</v>
      </c>
    </row>
    <row r="13" spans="1:15">
      <c r="A13" s="571"/>
      <c r="B13" s="571"/>
      <c r="C13" s="571"/>
      <c r="D13" s="571"/>
      <c r="E13" s="571"/>
      <c r="F13" s="571"/>
      <c r="G13" s="571"/>
      <c r="H13" s="296" t="s">
        <v>1030</v>
      </c>
      <c r="I13" s="101">
        <v>63</v>
      </c>
      <c r="J13" s="570"/>
      <c r="K13" s="571"/>
      <c r="L13" s="570"/>
      <c r="O13" s="65"/>
    </row>
    <row r="14" spans="1:15">
      <c r="A14" s="297">
        <v>4</v>
      </c>
      <c r="B14" s="298" t="s">
        <v>1031</v>
      </c>
      <c r="C14" s="299"/>
      <c r="D14" s="299" t="s">
        <v>1032</v>
      </c>
      <c r="E14" s="300" t="s">
        <v>385</v>
      </c>
      <c r="F14" s="299"/>
      <c r="G14" s="299" t="s">
        <v>1033</v>
      </c>
      <c r="H14" s="301" t="s">
        <v>1034</v>
      </c>
      <c r="I14" s="302">
        <v>16500</v>
      </c>
      <c r="J14" s="303" t="s">
        <v>101</v>
      </c>
      <c r="K14" s="97"/>
      <c r="L14" s="103" t="s">
        <v>31</v>
      </c>
    </row>
    <row r="15" spans="1:15">
      <c r="A15" s="95">
        <v>5</v>
      </c>
      <c r="B15" s="96" t="s">
        <v>1035</v>
      </c>
      <c r="C15" s="97"/>
      <c r="D15" s="97" t="s">
        <v>1032</v>
      </c>
      <c r="E15" s="304" t="s">
        <v>385</v>
      </c>
      <c r="F15" s="99" t="s">
        <v>1036</v>
      </c>
      <c r="G15" s="97" t="s">
        <v>1037</v>
      </c>
      <c r="H15" s="100" t="s">
        <v>29</v>
      </c>
      <c r="I15" s="101">
        <v>2000</v>
      </c>
      <c r="J15" s="102" t="s">
        <v>101</v>
      </c>
      <c r="K15" s="97"/>
      <c r="L15" s="103" t="s">
        <v>31</v>
      </c>
      <c r="O15" s="65"/>
    </row>
    <row r="16" spans="1:15">
      <c r="A16" s="305">
        <v>11</v>
      </c>
      <c r="B16" s="298" t="s">
        <v>1031</v>
      </c>
      <c r="C16" s="299"/>
      <c r="D16" s="299" t="s">
        <v>1032</v>
      </c>
      <c r="E16" s="300" t="s">
        <v>385</v>
      </c>
      <c r="F16" s="299"/>
      <c r="G16" s="299" t="s">
        <v>1033</v>
      </c>
      <c r="H16" s="301" t="s">
        <v>1034</v>
      </c>
      <c r="I16" s="302">
        <v>12000</v>
      </c>
      <c r="J16" s="303" t="s">
        <v>101</v>
      </c>
      <c r="K16" s="97"/>
      <c r="L16" s="103" t="s">
        <v>31</v>
      </c>
    </row>
    <row r="17" spans="1:16">
      <c r="A17" s="569">
        <v>23</v>
      </c>
      <c r="B17" s="572" t="s">
        <v>1038</v>
      </c>
      <c r="C17" s="573"/>
      <c r="D17" s="573"/>
      <c r="E17" s="572" t="s">
        <v>533</v>
      </c>
      <c r="F17" s="600" t="s">
        <v>1039</v>
      </c>
      <c r="G17" s="572" t="s">
        <v>1040</v>
      </c>
      <c r="H17" s="306" t="s">
        <v>29</v>
      </c>
      <c r="I17" s="307">
        <v>7000</v>
      </c>
      <c r="J17" s="308" t="s">
        <v>101</v>
      </c>
      <c r="K17" s="309"/>
      <c r="L17" s="310" t="s">
        <v>31</v>
      </c>
      <c r="M17" s="311" t="s">
        <v>853</v>
      </c>
    </row>
    <row r="18" spans="1:16">
      <c r="A18" s="571"/>
      <c r="B18" s="571"/>
      <c r="C18" s="571"/>
      <c r="D18" s="571"/>
      <c r="E18" s="571"/>
      <c r="F18" s="571"/>
      <c r="G18" s="571"/>
      <c r="H18" s="306" t="s">
        <v>29</v>
      </c>
      <c r="I18" s="307">
        <v>2800</v>
      </c>
      <c r="J18" s="312" t="s">
        <v>101</v>
      </c>
      <c r="K18" s="309"/>
      <c r="L18" s="310" t="s">
        <v>31</v>
      </c>
      <c r="M18" s="311" t="s">
        <v>161</v>
      </c>
    </row>
    <row r="19" spans="1:16">
      <c r="A19" s="95">
        <v>23</v>
      </c>
      <c r="B19" s="97" t="s">
        <v>1041</v>
      </c>
      <c r="C19" s="97"/>
      <c r="D19" s="97"/>
      <c r="E19" s="313" t="s">
        <v>56</v>
      </c>
      <c r="F19" s="99" t="s">
        <v>1042</v>
      </c>
      <c r="G19" s="97" t="s">
        <v>1043</v>
      </c>
      <c r="H19" s="306" t="s">
        <v>29</v>
      </c>
      <c r="I19" s="307">
        <v>5600</v>
      </c>
      <c r="J19" s="312" t="s">
        <v>101</v>
      </c>
      <c r="K19" s="309"/>
      <c r="L19" s="310" t="s">
        <v>31</v>
      </c>
      <c r="M19" s="311" t="s">
        <v>161</v>
      </c>
      <c r="P19" s="65"/>
    </row>
    <row r="20" spans="1:16">
      <c r="A20" s="95">
        <v>23</v>
      </c>
      <c r="B20" s="97" t="s">
        <v>1044</v>
      </c>
      <c r="C20" s="97"/>
      <c r="D20" s="97"/>
      <c r="E20" s="313" t="s">
        <v>540</v>
      </c>
      <c r="F20" s="99" t="s">
        <v>1045</v>
      </c>
      <c r="G20" s="97" t="s">
        <v>1046</v>
      </c>
      <c r="H20" s="306" t="s">
        <v>29</v>
      </c>
      <c r="I20" s="307">
        <v>7000</v>
      </c>
      <c r="J20" s="312" t="s">
        <v>101</v>
      </c>
      <c r="K20" s="309"/>
      <c r="L20" s="310" t="s">
        <v>31</v>
      </c>
      <c r="M20" s="311" t="s">
        <v>1047</v>
      </c>
    </row>
    <row r="21" spans="1:16" ht="15.75" customHeight="1">
      <c r="A21" s="602">
        <v>23</v>
      </c>
      <c r="B21" s="572" t="s">
        <v>1048</v>
      </c>
      <c r="C21" s="573"/>
      <c r="D21" s="573"/>
      <c r="E21" s="603" t="s">
        <v>1049</v>
      </c>
      <c r="F21" s="600" t="s">
        <v>1050</v>
      </c>
      <c r="G21" s="572" t="s">
        <v>1051</v>
      </c>
      <c r="H21" s="601" t="s">
        <v>29</v>
      </c>
      <c r="I21" s="307">
        <v>2800</v>
      </c>
      <c r="J21" s="312" t="s">
        <v>101</v>
      </c>
      <c r="K21" s="309"/>
      <c r="L21" s="310" t="s">
        <v>31</v>
      </c>
      <c r="M21" s="311" t="s">
        <v>1047</v>
      </c>
    </row>
    <row r="22" spans="1:16" ht="15.75" customHeight="1">
      <c r="A22" s="571"/>
      <c r="B22" s="571"/>
      <c r="C22" s="571"/>
      <c r="D22" s="571"/>
      <c r="E22" s="571"/>
      <c r="F22" s="571"/>
      <c r="G22" s="571"/>
      <c r="H22" s="571"/>
      <c r="I22" s="101">
        <v>20000</v>
      </c>
      <c r="J22" s="314" t="s">
        <v>101</v>
      </c>
      <c r="K22" s="98"/>
      <c r="L22" s="96" t="s">
        <v>31</v>
      </c>
      <c r="M22" s="112" t="s">
        <v>1052</v>
      </c>
      <c r="P22" s="65"/>
    </row>
    <row r="23" spans="1:16" ht="15.75" customHeight="1">
      <c r="A23" s="95">
        <v>25</v>
      </c>
      <c r="B23" s="97" t="s">
        <v>1053</v>
      </c>
      <c r="C23" s="97"/>
      <c r="D23" s="97"/>
      <c r="E23" s="313" t="s">
        <v>333</v>
      </c>
      <c r="F23" s="99" t="s">
        <v>1054</v>
      </c>
      <c r="G23" s="97" t="s">
        <v>1055</v>
      </c>
      <c r="H23" s="104" t="s">
        <v>29</v>
      </c>
      <c r="I23" s="307">
        <v>11000</v>
      </c>
      <c r="J23" s="308" t="s">
        <v>101</v>
      </c>
      <c r="K23" s="315"/>
      <c r="L23" s="315" t="s">
        <v>31</v>
      </c>
      <c r="M23" s="311" t="s">
        <v>853</v>
      </c>
    </row>
    <row r="24" spans="1:16" ht="15.75" customHeight="1">
      <c r="A24" s="98"/>
      <c r="B24" s="97"/>
      <c r="C24" s="97"/>
      <c r="D24" s="97"/>
      <c r="E24" s="97"/>
      <c r="F24" s="97"/>
      <c r="G24" s="97"/>
      <c r="H24" s="110"/>
      <c r="I24" s="101"/>
      <c r="J24" s="97"/>
      <c r="K24" s="97"/>
      <c r="L24" s="97"/>
    </row>
    <row r="25" spans="1:16" ht="15.75" customHeight="1">
      <c r="A25" s="98"/>
      <c r="B25" s="97"/>
      <c r="C25" s="97"/>
      <c r="D25" s="97"/>
      <c r="E25" s="97"/>
      <c r="F25" s="97"/>
      <c r="G25" s="97"/>
      <c r="H25" s="110"/>
      <c r="I25" s="97"/>
      <c r="J25" s="97"/>
      <c r="K25" s="97"/>
      <c r="L25" s="97"/>
    </row>
    <row r="26" spans="1:16" ht="15.75" customHeight="1">
      <c r="I26" s="111" t="s">
        <v>335</v>
      </c>
      <c r="J26" s="63"/>
    </row>
    <row r="27" spans="1:16" ht="15.75" customHeight="1">
      <c r="I27" s="63" t="s">
        <v>338</v>
      </c>
      <c r="J27" s="291">
        <v>0</v>
      </c>
      <c r="L27" s="65"/>
      <c r="N27" s="65"/>
    </row>
    <row r="28" spans="1:16" ht="15.75" customHeight="1">
      <c r="I28" s="63" t="s">
        <v>340</v>
      </c>
      <c r="J28" s="291" t="s">
        <v>1056</v>
      </c>
      <c r="N28" s="65"/>
    </row>
    <row r="29" spans="1:16" ht="15.75" customHeight="1">
      <c r="I29" s="63"/>
      <c r="J29" s="291" t="s">
        <v>1057</v>
      </c>
      <c r="K29" s="112" t="s">
        <v>403</v>
      </c>
      <c r="N29" s="65"/>
    </row>
    <row r="30" spans="1:16" ht="15.75" customHeight="1">
      <c r="B30" s="157" t="s">
        <v>336</v>
      </c>
      <c r="E30" s="157" t="s">
        <v>337</v>
      </c>
      <c r="I30" s="63" t="s">
        <v>342</v>
      </c>
      <c r="J30" s="292">
        <v>0</v>
      </c>
    </row>
    <row r="31" spans="1:16" ht="15.75" customHeight="1">
      <c r="I31" s="63" t="s">
        <v>1058</v>
      </c>
      <c r="J31" s="292">
        <v>0</v>
      </c>
    </row>
    <row r="32" spans="1:16" ht="15.75" customHeight="1">
      <c r="I32" s="63" t="s">
        <v>349</v>
      </c>
      <c r="J32" s="292" t="s">
        <v>1059</v>
      </c>
    </row>
    <row r="33" spans="2:10" ht="15.75" customHeight="1">
      <c r="B33" s="70" t="s">
        <v>343</v>
      </c>
      <c r="E33" s="568" t="s">
        <v>344</v>
      </c>
      <c r="F33" s="553"/>
      <c r="G33" s="553"/>
      <c r="H33" s="553"/>
      <c r="I33" s="63" t="s">
        <v>406</v>
      </c>
      <c r="J33" s="292">
        <v>0</v>
      </c>
    </row>
    <row r="34" spans="2:10" ht="15.75" customHeight="1">
      <c r="B34" s="157" t="s">
        <v>347</v>
      </c>
      <c r="E34" s="552" t="s">
        <v>348</v>
      </c>
      <c r="F34" s="553"/>
      <c r="G34" s="553"/>
      <c r="H34" s="553"/>
      <c r="I34" s="63" t="s">
        <v>353</v>
      </c>
      <c r="J34" s="293"/>
    </row>
    <row r="35" spans="2:10" ht="15.75" customHeight="1">
      <c r="I35" s="4" t="s">
        <v>407</v>
      </c>
      <c r="J35" s="291"/>
    </row>
    <row r="36" spans="2:10" ht="15.75" customHeight="1">
      <c r="I36" s="4" t="s">
        <v>1060</v>
      </c>
      <c r="J36" s="291"/>
    </row>
    <row r="37" spans="2:10" ht="15.75" customHeight="1"/>
    <row r="38" spans="2:10" ht="15.75" customHeight="1"/>
    <row r="39" spans="2:10" ht="15.75" customHeight="1"/>
    <row r="40" spans="2:10" ht="15.75" customHeight="1"/>
    <row r="41" spans="2:10" ht="15.75" customHeight="1"/>
    <row r="42" spans="2:10" ht="15.75" customHeight="1"/>
    <row r="43" spans="2:10" ht="15.75" customHeight="1"/>
    <row r="44" spans="2:10" ht="15.75" customHeight="1"/>
    <row r="45" spans="2:10" ht="15.75" customHeight="1"/>
    <row r="46" spans="2:10" ht="15.75" customHeight="1"/>
    <row r="47" spans="2:10" ht="15.75" customHeight="1"/>
    <row r="48" spans="2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21:A22"/>
    <mergeCell ref="B21:B22"/>
    <mergeCell ref="C21:C22"/>
    <mergeCell ref="D21:D22"/>
    <mergeCell ref="E21:E22"/>
    <mergeCell ref="F17:F18"/>
    <mergeCell ref="G17:G18"/>
    <mergeCell ref="H21:H22"/>
    <mergeCell ref="E33:H33"/>
    <mergeCell ref="E34:H34"/>
    <mergeCell ref="F21:F22"/>
    <mergeCell ref="G21:G22"/>
    <mergeCell ref="A17:A18"/>
    <mergeCell ref="B17:B18"/>
    <mergeCell ref="C17:C18"/>
    <mergeCell ref="D17:D18"/>
    <mergeCell ref="E17:E18"/>
    <mergeCell ref="A8:B8"/>
    <mergeCell ref="J12:J13"/>
    <mergeCell ref="K12:K13"/>
    <mergeCell ref="L12:L13"/>
    <mergeCell ref="A12:A13"/>
    <mergeCell ref="B12:B13"/>
    <mergeCell ref="C12:C13"/>
    <mergeCell ref="D12:D13"/>
    <mergeCell ref="E12:E13"/>
    <mergeCell ref="F12:F13"/>
    <mergeCell ref="G12:G13"/>
    <mergeCell ref="A1:L1"/>
    <mergeCell ref="A2:L2"/>
    <mergeCell ref="K3:L3"/>
    <mergeCell ref="A6:B6"/>
    <mergeCell ref="H7:I7"/>
    <mergeCell ref="K7:L7"/>
  </mergeCells>
  <pageMargins left="0.7" right="0.7" top="0.75" bottom="0.75" header="0" footer="0"/>
  <pageSetup orientation="portrait"/>
  <rowBreaks count="1" manualBreakCount="1">
    <brk id="14" man="1"/>
  </rowBreaks>
  <colBreaks count="1" manualBreakCount="1">
    <brk id="8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Z1000"/>
  <sheetViews>
    <sheetView workbookViewId="0"/>
  </sheetViews>
  <sheetFormatPr defaultColWidth="14.42578125" defaultRowHeight="15" customHeight="1"/>
  <cols>
    <col min="1" max="1" width="4.7109375" customWidth="1"/>
    <col min="2" max="2" width="23.7109375" customWidth="1"/>
    <col min="3" max="3" width="8.140625" customWidth="1"/>
    <col min="4" max="4" width="16.140625" customWidth="1"/>
    <col min="5" max="5" width="14.5703125" customWidth="1"/>
    <col min="6" max="6" width="14.85546875" customWidth="1"/>
    <col min="7" max="7" width="14" customWidth="1"/>
    <col min="8" max="8" width="16.42578125" customWidth="1"/>
    <col min="9" max="9" width="16.85546875" customWidth="1"/>
    <col min="10" max="10" width="9.5703125" customWidth="1"/>
    <col min="11" max="11" width="17.85546875" customWidth="1"/>
    <col min="12" max="12" width="8.7109375" customWidth="1"/>
    <col min="13" max="13" width="11.5703125" customWidth="1"/>
    <col min="14" max="26" width="8.7109375" customWidth="1"/>
  </cols>
  <sheetData>
    <row r="1" spans="1:13" ht="23.25">
      <c r="A1" s="555" t="s">
        <v>0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</row>
    <row r="2" spans="1:13" ht="18">
      <c r="A2" s="556" t="s">
        <v>1061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</row>
    <row r="3" spans="1:13">
      <c r="A3" s="2"/>
      <c r="B3" s="3"/>
      <c r="C3" s="4"/>
      <c r="D3" s="3"/>
      <c r="E3" s="3"/>
      <c r="F3" s="1"/>
      <c r="G3" s="4"/>
      <c r="H3" s="5"/>
      <c r="I3" s="6"/>
      <c r="J3" s="557" t="s">
        <v>1062</v>
      </c>
      <c r="K3" s="558"/>
    </row>
    <row r="4" spans="1:13">
      <c r="A4" s="2"/>
      <c r="B4" s="3"/>
      <c r="C4" s="4"/>
      <c r="D4" s="3"/>
      <c r="E4" s="3"/>
      <c r="F4" s="1"/>
      <c r="G4" s="4"/>
      <c r="H4" s="5"/>
      <c r="I4" s="7"/>
      <c r="J4" s="8" t="s">
        <v>3</v>
      </c>
      <c r="K4" s="248">
        <v>215</v>
      </c>
    </row>
    <row r="5" spans="1:13">
      <c r="A5" s="2"/>
      <c r="B5" s="3"/>
      <c r="C5" s="4"/>
      <c r="D5" s="3"/>
      <c r="E5" s="3"/>
      <c r="F5" s="1"/>
      <c r="G5" s="4"/>
      <c r="H5" s="5"/>
      <c r="I5" s="7"/>
      <c r="J5" s="8" t="s">
        <v>4</v>
      </c>
      <c r="K5" s="248">
        <v>23</v>
      </c>
    </row>
    <row r="6" spans="1:13">
      <c r="A6" s="559" t="s">
        <v>5</v>
      </c>
      <c r="B6" s="560"/>
      <c r="C6" s="4"/>
      <c r="D6" s="3"/>
      <c r="E6" s="10"/>
      <c r="F6" s="1"/>
      <c r="G6" s="4"/>
      <c r="H6" s="5"/>
      <c r="I6" s="6"/>
      <c r="J6" s="561" t="s">
        <v>1063</v>
      </c>
      <c r="K6" s="562"/>
    </row>
    <row r="7" spans="1:13">
      <c r="A7" s="11"/>
      <c r="B7" s="12"/>
      <c r="C7" s="13"/>
      <c r="D7" s="14"/>
      <c r="E7" s="14"/>
      <c r="F7" s="563" t="s">
        <v>7</v>
      </c>
      <c r="G7" s="564"/>
      <c r="H7" s="558"/>
      <c r="I7" s="15"/>
      <c r="J7" s="550" t="s">
        <v>8</v>
      </c>
      <c r="K7" s="551"/>
    </row>
    <row r="8" spans="1:13">
      <c r="A8" s="565" t="s">
        <v>9</v>
      </c>
      <c r="B8" s="566"/>
      <c r="C8" s="16" t="s">
        <v>10</v>
      </c>
      <c r="D8" s="17" t="s">
        <v>11</v>
      </c>
      <c r="E8" s="18" t="s">
        <v>12</v>
      </c>
      <c r="F8" s="19" t="s">
        <v>13</v>
      </c>
      <c r="G8" s="20"/>
      <c r="H8" s="21" t="s">
        <v>14</v>
      </c>
      <c r="I8" s="22" t="s">
        <v>15</v>
      </c>
      <c r="J8" s="23"/>
      <c r="K8" s="24"/>
    </row>
    <row r="9" spans="1:13">
      <c r="A9" s="25"/>
      <c r="B9" s="26"/>
      <c r="C9" s="20"/>
      <c r="D9" s="27"/>
      <c r="E9" s="26"/>
      <c r="F9" s="28" t="s">
        <v>16</v>
      </c>
      <c r="G9" s="16" t="s">
        <v>17</v>
      </c>
      <c r="H9" s="21" t="s">
        <v>18</v>
      </c>
      <c r="I9" s="29"/>
      <c r="J9" s="17" t="s">
        <v>19</v>
      </c>
      <c r="K9" s="17" t="s">
        <v>20</v>
      </c>
    </row>
    <row r="10" spans="1:13">
      <c r="A10" s="30"/>
      <c r="B10" s="31"/>
      <c r="C10" s="32"/>
      <c r="D10" s="33"/>
      <c r="E10" s="33"/>
      <c r="F10" s="34"/>
      <c r="G10" s="35"/>
      <c r="H10" s="36" t="s">
        <v>21</v>
      </c>
      <c r="I10" s="37"/>
      <c r="J10" s="34"/>
      <c r="K10" s="38" t="s">
        <v>22</v>
      </c>
    </row>
    <row r="11" spans="1:13">
      <c r="A11" s="39" t="s">
        <v>23</v>
      </c>
      <c r="B11" s="40"/>
      <c r="C11" s="40"/>
      <c r="D11" s="40"/>
      <c r="E11" s="40"/>
      <c r="F11" s="40"/>
      <c r="G11" s="40"/>
      <c r="H11" s="40"/>
      <c r="I11" s="41"/>
      <c r="J11" s="40"/>
      <c r="K11" s="40"/>
    </row>
    <row r="12" spans="1:13">
      <c r="A12" s="42">
        <v>1</v>
      </c>
      <c r="B12" s="40" t="s">
        <v>1064</v>
      </c>
      <c r="C12" s="40" t="s">
        <v>25</v>
      </c>
      <c r="D12" s="40" t="s">
        <v>706</v>
      </c>
      <c r="E12" s="40" t="s">
        <v>38</v>
      </c>
      <c r="F12" s="43" t="s">
        <v>1065</v>
      </c>
      <c r="G12" s="40" t="s">
        <v>29</v>
      </c>
      <c r="H12" s="44">
        <v>1500</v>
      </c>
      <c r="I12" s="41">
        <v>300</v>
      </c>
      <c r="J12" s="40" t="s">
        <v>30</v>
      </c>
      <c r="K12" s="40" t="s">
        <v>31</v>
      </c>
      <c r="M12" s="157">
        <v>600</v>
      </c>
    </row>
    <row r="13" spans="1:13">
      <c r="A13" s="42">
        <v>1</v>
      </c>
      <c r="B13" s="40" t="s">
        <v>1066</v>
      </c>
      <c r="C13" s="40" t="s">
        <v>25</v>
      </c>
      <c r="D13" s="40" t="s">
        <v>245</v>
      </c>
      <c r="E13" s="40" t="s">
        <v>150</v>
      </c>
      <c r="F13" s="43" t="s">
        <v>1067</v>
      </c>
      <c r="G13" s="40" t="s">
        <v>29</v>
      </c>
      <c r="H13" s="44">
        <v>1000</v>
      </c>
      <c r="I13" s="41">
        <v>200</v>
      </c>
      <c r="J13" s="40" t="s">
        <v>30</v>
      </c>
      <c r="K13" s="40" t="s">
        <v>31</v>
      </c>
      <c r="M13" s="157">
        <v>80</v>
      </c>
    </row>
    <row r="14" spans="1:13">
      <c r="A14" s="42">
        <v>1</v>
      </c>
      <c r="B14" s="40" t="s">
        <v>1068</v>
      </c>
      <c r="C14" s="40" t="s">
        <v>25</v>
      </c>
      <c r="D14" s="40" t="s">
        <v>1069</v>
      </c>
      <c r="E14" s="40" t="s">
        <v>96</v>
      </c>
      <c r="F14" s="43" t="s">
        <v>1070</v>
      </c>
      <c r="G14" s="40" t="s">
        <v>29</v>
      </c>
      <c r="H14" s="44">
        <v>10000</v>
      </c>
      <c r="I14" s="41">
        <v>2000</v>
      </c>
      <c r="J14" s="40" t="s">
        <v>30</v>
      </c>
      <c r="K14" s="40" t="s">
        <v>31</v>
      </c>
      <c r="M14" s="157">
        <v>150</v>
      </c>
    </row>
    <row r="15" spans="1:13">
      <c r="A15" s="42">
        <v>1</v>
      </c>
      <c r="B15" s="40" t="s">
        <v>1071</v>
      </c>
      <c r="C15" s="40" t="s">
        <v>25</v>
      </c>
      <c r="D15" s="40" t="s">
        <v>600</v>
      </c>
      <c r="E15" s="40" t="s">
        <v>60</v>
      </c>
      <c r="F15" s="43" t="s">
        <v>1072</v>
      </c>
      <c r="G15" s="40" t="s">
        <v>29</v>
      </c>
      <c r="H15" s="44">
        <v>1000</v>
      </c>
      <c r="I15" s="41">
        <v>200</v>
      </c>
      <c r="J15" s="40" t="s">
        <v>30</v>
      </c>
      <c r="K15" s="40" t="s">
        <v>31</v>
      </c>
      <c r="M15" s="157">
        <v>600</v>
      </c>
    </row>
    <row r="16" spans="1:13">
      <c r="A16" s="42">
        <v>1</v>
      </c>
      <c r="B16" s="40" t="s">
        <v>1073</v>
      </c>
      <c r="C16" s="40" t="s">
        <v>25</v>
      </c>
      <c r="D16" s="40" t="s">
        <v>600</v>
      </c>
      <c r="E16" s="40" t="s">
        <v>60</v>
      </c>
      <c r="F16" s="43" t="s">
        <v>638</v>
      </c>
      <c r="G16" s="40" t="s">
        <v>29</v>
      </c>
      <c r="H16" s="44">
        <v>1000</v>
      </c>
      <c r="I16" s="41">
        <v>200</v>
      </c>
      <c r="J16" s="40" t="s">
        <v>30</v>
      </c>
      <c r="K16" s="40" t="s">
        <v>31</v>
      </c>
      <c r="M16" s="157">
        <v>200</v>
      </c>
    </row>
    <row r="17" spans="1:13">
      <c r="A17" s="42">
        <v>1</v>
      </c>
      <c r="B17" s="40" t="s">
        <v>1074</v>
      </c>
      <c r="C17" s="40" t="s">
        <v>25</v>
      </c>
      <c r="D17" s="40" t="s">
        <v>1075</v>
      </c>
      <c r="E17" s="40" t="s">
        <v>46</v>
      </c>
      <c r="F17" s="43" t="s">
        <v>638</v>
      </c>
      <c r="G17" s="40" t="s">
        <v>29</v>
      </c>
      <c r="H17" s="44">
        <v>500</v>
      </c>
      <c r="I17" s="41">
        <v>100</v>
      </c>
      <c r="J17" s="40" t="s">
        <v>30</v>
      </c>
      <c r="K17" s="40" t="s">
        <v>31</v>
      </c>
      <c r="M17" s="157">
        <f t="shared" ref="M17:M243" si="0">H17/5</f>
        <v>100</v>
      </c>
    </row>
    <row r="18" spans="1:13">
      <c r="A18" s="42">
        <v>1</v>
      </c>
      <c r="B18" s="40" t="s">
        <v>1076</v>
      </c>
      <c r="C18" s="40" t="s">
        <v>25</v>
      </c>
      <c r="D18" s="40" t="s">
        <v>1077</v>
      </c>
      <c r="E18" s="40" t="s">
        <v>561</v>
      </c>
      <c r="F18" s="43" t="s">
        <v>1078</v>
      </c>
      <c r="G18" s="40" t="s">
        <v>29</v>
      </c>
      <c r="H18" s="44">
        <v>6000</v>
      </c>
      <c r="I18" s="41">
        <v>1200</v>
      </c>
      <c r="J18" s="40" t="s">
        <v>30</v>
      </c>
      <c r="K18" s="40" t="s">
        <v>31</v>
      </c>
      <c r="M18" s="157">
        <f t="shared" si="0"/>
        <v>1200</v>
      </c>
    </row>
    <row r="19" spans="1:13">
      <c r="A19" s="42">
        <v>1</v>
      </c>
      <c r="B19" s="40" t="s">
        <v>1079</v>
      </c>
      <c r="C19" s="40" t="s">
        <v>25</v>
      </c>
      <c r="D19" s="40" t="s">
        <v>532</v>
      </c>
      <c r="E19" s="40" t="s">
        <v>150</v>
      </c>
      <c r="F19" s="43" t="s">
        <v>1080</v>
      </c>
      <c r="G19" s="40" t="s">
        <v>29</v>
      </c>
      <c r="H19" s="44">
        <v>1000</v>
      </c>
      <c r="I19" s="41">
        <v>200</v>
      </c>
      <c r="J19" s="40" t="s">
        <v>30</v>
      </c>
      <c r="K19" s="40" t="s">
        <v>31</v>
      </c>
      <c r="M19" s="157">
        <f t="shared" si="0"/>
        <v>200</v>
      </c>
    </row>
    <row r="20" spans="1:13">
      <c r="A20" s="42">
        <v>1</v>
      </c>
      <c r="B20" s="40" t="s">
        <v>1081</v>
      </c>
      <c r="C20" s="40" t="s">
        <v>25</v>
      </c>
      <c r="D20" s="40" t="s">
        <v>1082</v>
      </c>
      <c r="E20" s="40" t="s">
        <v>96</v>
      </c>
      <c r="F20" s="43" t="s">
        <v>1083</v>
      </c>
      <c r="G20" s="40" t="s">
        <v>29</v>
      </c>
      <c r="H20" s="44">
        <v>3500</v>
      </c>
      <c r="I20" s="41">
        <v>700</v>
      </c>
      <c r="J20" s="40" t="s">
        <v>30</v>
      </c>
      <c r="K20" s="40" t="s">
        <v>31</v>
      </c>
      <c r="M20" s="157">
        <f t="shared" si="0"/>
        <v>700</v>
      </c>
    </row>
    <row r="21" spans="1:13" ht="15.75" customHeight="1">
      <c r="A21" s="42">
        <v>1</v>
      </c>
      <c r="B21" s="40" t="s">
        <v>1084</v>
      </c>
      <c r="C21" s="40" t="s">
        <v>25</v>
      </c>
      <c r="D21" s="40" t="s">
        <v>1085</v>
      </c>
      <c r="E21" s="40" t="s">
        <v>34</v>
      </c>
      <c r="F21" s="43" t="s">
        <v>1086</v>
      </c>
      <c r="G21" s="40" t="s">
        <v>29</v>
      </c>
      <c r="H21" s="44">
        <v>1000</v>
      </c>
      <c r="I21" s="41">
        <v>200</v>
      </c>
      <c r="J21" s="40" t="s">
        <v>30</v>
      </c>
      <c r="K21" s="40" t="s">
        <v>31</v>
      </c>
      <c r="M21" s="157">
        <f t="shared" si="0"/>
        <v>200</v>
      </c>
    </row>
    <row r="22" spans="1:13" ht="15.75" customHeight="1">
      <c r="A22" s="42">
        <v>1</v>
      </c>
      <c r="B22" s="40" t="s">
        <v>1087</v>
      </c>
      <c r="C22" s="40" t="s">
        <v>25</v>
      </c>
      <c r="D22" s="40" t="s">
        <v>1088</v>
      </c>
      <c r="E22" s="40" t="s">
        <v>38</v>
      </c>
      <c r="F22" s="43" t="s">
        <v>1089</v>
      </c>
      <c r="G22" s="40" t="s">
        <v>29</v>
      </c>
      <c r="H22" s="44">
        <v>300</v>
      </c>
      <c r="I22" s="41">
        <v>60</v>
      </c>
      <c r="J22" s="40" t="s">
        <v>30</v>
      </c>
      <c r="K22" s="40" t="s">
        <v>31</v>
      </c>
      <c r="M22" s="157">
        <f t="shared" si="0"/>
        <v>60</v>
      </c>
    </row>
    <row r="23" spans="1:13" ht="15.75" customHeight="1">
      <c r="A23" s="42">
        <v>1</v>
      </c>
      <c r="B23" s="40" t="s">
        <v>1090</v>
      </c>
      <c r="C23" s="40" t="s">
        <v>25</v>
      </c>
      <c r="D23" s="40" t="s">
        <v>1091</v>
      </c>
      <c r="E23" s="40" t="s">
        <v>801</v>
      </c>
      <c r="F23" s="43" t="s">
        <v>1092</v>
      </c>
      <c r="G23" s="40" t="s">
        <v>29</v>
      </c>
      <c r="H23" s="44">
        <v>1000</v>
      </c>
      <c r="I23" s="41">
        <v>200</v>
      </c>
      <c r="J23" s="40" t="s">
        <v>30</v>
      </c>
      <c r="K23" s="40" t="s">
        <v>31</v>
      </c>
      <c r="M23" s="157">
        <f t="shared" si="0"/>
        <v>200</v>
      </c>
    </row>
    <row r="24" spans="1:13" ht="15.75" customHeight="1">
      <c r="A24" s="42">
        <v>1</v>
      </c>
      <c r="B24" s="40" t="s">
        <v>1093</v>
      </c>
      <c r="C24" s="40" t="s">
        <v>25</v>
      </c>
      <c r="D24" s="40" t="s">
        <v>63</v>
      </c>
      <c r="E24" s="40" t="s">
        <v>60</v>
      </c>
      <c r="F24" s="43" t="s">
        <v>1094</v>
      </c>
      <c r="G24" s="40" t="s">
        <v>29</v>
      </c>
      <c r="H24" s="44">
        <v>4000</v>
      </c>
      <c r="I24" s="41">
        <v>800</v>
      </c>
      <c r="J24" s="40" t="s">
        <v>30</v>
      </c>
      <c r="K24" s="40" t="s">
        <v>31</v>
      </c>
      <c r="M24" s="157">
        <f t="shared" si="0"/>
        <v>800</v>
      </c>
    </row>
    <row r="25" spans="1:13" ht="15.75" customHeight="1">
      <c r="A25" s="42">
        <v>1</v>
      </c>
      <c r="B25" s="40" t="s">
        <v>1095</v>
      </c>
      <c r="C25" s="40" t="s">
        <v>25</v>
      </c>
      <c r="D25" s="40" t="s">
        <v>1096</v>
      </c>
      <c r="E25" s="40" t="s">
        <v>318</v>
      </c>
      <c r="F25" s="43" t="s">
        <v>1097</v>
      </c>
      <c r="G25" s="40" t="s">
        <v>29</v>
      </c>
      <c r="H25" s="44">
        <v>1000</v>
      </c>
      <c r="I25" s="41">
        <v>200</v>
      </c>
      <c r="J25" s="40" t="s">
        <v>30</v>
      </c>
      <c r="K25" s="40" t="s">
        <v>31</v>
      </c>
      <c r="M25" s="157">
        <f t="shared" si="0"/>
        <v>200</v>
      </c>
    </row>
    <row r="26" spans="1:13" ht="15.75" customHeight="1">
      <c r="A26" s="42">
        <v>1</v>
      </c>
      <c r="B26" s="40" t="s">
        <v>1098</v>
      </c>
      <c r="C26" s="40" t="s">
        <v>25</v>
      </c>
      <c r="D26" s="40" t="s">
        <v>200</v>
      </c>
      <c r="E26" s="40" t="s">
        <v>60</v>
      </c>
      <c r="F26" s="43" t="s">
        <v>1099</v>
      </c>
      <c r="G26" s="40" t="s">
        <v>29</v>
      </c>
      <c r="H26" s="44">
        <v>1000</v>
      </c>
      <c r="I26" s="41">
        <v>200</v>
      </c>
      <c r="J26" s="40" t="s">
        <v>30</v>
      </c>
      <c r="K26" s="40" t="s">
        <v>31</v>
      </c>
      <c r="M26" s="157">
        <f t="shared" si="0"/>
        <v>200</v>
      </c>
    </row>
    <row r="27" spans="1:13" ht="15.75" customHeight="1">
      <c r="A27" s="42">
        <v>1</v>
      </c>
      <c r="B27" s="40" t="s">
        <v>1100</v>
      </c>
      <c r="C27" s="40" t="s">
        <v>25</v>
      </c>
      <c r="D27" s="40" t="s">
        <v>200</v>
      </c>
      <c r="E27" s="40" t="s">
        <v>60</v>
      </c>
      <c r="F27" s="43" t="s">
        <v>638</v>
      </c>
      <c r="G27" s="40" t="s">
        <v>29</v>
      </c>
      <c r="H27" s="44">
        <v>300</v>
      </c>
      <c r="I27" s="41">
        <v>60</v>
      </c>
      <c r="J27" s="40" t="s">
        <v>30</v>
      </c>
      <c r="K27" s="40" t="s">
        <v>31</v>
      </c>
      <c r="M27" s="157">
        <f t="shared" si="0"/>
        <v>60</v>
      </c>
    </row>
    <row r="28" spans="1:13" ht="15.75" customHeight="1">
      <c r="A28" s="42">
        <v>1</v>
      </c>
      <c r="B28" s="40" t="s">
        <v>1101</v>
      </c>
      <c r="C28" s="40" t="s">
        <v>25</v>
      </c>
      <c r="D28" s="40" t="s">
        <v>1102</v>
      </c>
      <c r="E28" s="40" t="s">
        <v>46</v>
      </c>
      <c r="F28" s="43" t="s">
        <v>1103</v>
      </c>
      <c r="G28" s="40" t="s">
        <v>29</v>
      </c>
      <c r="H28" s="44">
        <v>200</v>
      </c>
      <c r="I28" s="41">
        <v>40</v>
      </c>
      <c r="J28" s="40" t="s">
        <v>30</v>
      </c>
      <c r="K28" s="40" t="s">
        <v>31</v>
      </c>
      <c r="M28" s="157">
        <f t="shared" si="0"/>
        <v>40</v>
      </c>
    </row>
    <row r="29" spans="1:13" ht="15.75" customHeight="1">
      <c r="A29" s="42">
        <v>1</v>
      </c>
      <c r="B29" s="40" t="s">
        <v>1104</v>
      </c>
      <c r="C29" s="40" t="s">
        <v>25</v>
      </c>
      <c r="D29" s="40" t="s">
        <v>1105</v>
      </c>
      <c r="E29" s="40" t="s">
        <v>27</v>
      </c>
      <c r="F29" s="43" t="s">
        <v>1106</v>
      </c>
      <c r="G29" s="40" t="s">
        <v>29</v>
      </c>
      <c r="H29" s="44">
        <v>500</v>
      </c>
      <c r="I29" s="41">
        <v>100</v>
      </c>
      <c r="J29" s="40" t="s">
        <v>30</v>
      </c>
      <c r="K29" s="40" t="s">
        <v>31</v>
      </c>
      <c r="M29" s="157">
        <f t="shared" si="0"/>
        <v>100</v>
      </c>
    </row>
    <row r="30" spans="1:13" ht="15.75" customHeight="1">
      <c r="A30" s="42">
        <v>1</v>
      </c>
      <c r="B30" s="40" t="s">
        <v>1107</v>
      </c>
      <c r="C30" s="40" t="s">
        <v>25</v>
      </c>
      <c r="D30" s="40" t="s">
        <v>303</v>
      </c>
      <c r="E30" s="40" t="s">
        <v>96</v>
      </c>
      <c r="F30" s="43" t="s">
        <v>1108</v>
      </c>
      <c r="G30" s="40" t="s">
        <v>29</v>
      </c>
      <c r="H30" s="44">
        <v>2000</v>
      </c>
      <c r="I30" s="41">
        <v>400</v>
      </c>
      <c r="J30" s="40" t="s">
        <v>30</v>
      </c>
      <c r="K30" s="40" t="s">
        <v>31</v>
      </c>
      <c r="M30" s="157">
        <f t="shared" si="0"/>
        <v>400</v>
      </c>
    </row>
    <row r="31" spans="1:13" ht="15.75" customHeight="1">
      <c r="A31" s="42">
        <v>1</v>
      </c>
      <c r="B31" s="40" t="s">
        <v>1109</v>
      </c>
      <c r="C31" s="40" t="s">
        <v>59</v>
      </c>
      <c r="D31" s="40" t="s">
        <v>1110</v>
      </c>
      <c r="E31" s="40" t="s">
        <v>150</v>
      </c>
      <c r="F31" s="43" t="s">
        <v>1111</v>
      </c>
      <c r="G31" s="40" t="s">
        <v>1112</v>
      </c>
      <c r="H31" s="44">
        <v>360</v>
      </c>
      <c r="I31" s="41" t="s">
        <v>101</v>
      </c>
      <c r="J31" s="40" t="s">
        <v>30</v>
      </c>
      <c r="K31" s="40" t="s">
        <v>31</v>
      </c>
      <c r="M31" s="157">
        <f t="shared" si="0"/>
        <v>72</v>
      </c>
    </row>
    <row r="32" spans="1:13" ht="15.75" customHeight="1">
      <c r="A32" s="42">
        <v>1</v>
      </c>
      <c r="B32" s="40" t="s">
        <v>1113</v>
      </c>
      <c r="C32" s="40" t="s">
        <v>59</v>
      </c>
      <c r="D32" s="40" t="s">
        <v>1110</v>
      </c>
      <c r="E32" s="40" t="s">
        <v>150</v>
      </c>
      <c r="F32" s="43" t="s">
        <v>1111</v>
      </c>
      <c r="G32" s="40" t="s">
        <v>1114</v>
      </c>
      <c r="H32" s="44">
        <v>120</v>
      </c>
      <c r="I32" s="41" t="s">
        <v>101</v>
      </c>
      <c r="J32" s="40" t="s">
        <v>30</v>
      </c>
      <c r="K32" s="40" t="s">
        <v>31</v>
      </c>
      <c r="M32" s="157">
        <f t="shared" si="0"/>
        <v>24</v>
      </c>
    </row>
    <row r="33" spans="1:13" ht="15.75" customHeight="1">
      <c r="A33" s="42">
        <v>4</v>
      </c>
      <c r="B33" s="40" t="s">
        <v>1115</v>
      </c>
      <c r="C33" s="40" t="s">
        <v>59</v>
      </c>
      <c r="D33" s="40" t="s">
        <v>86</v>
      </c>
      <c r="E33" s="40" t="s">
        <v>42</v>
      </c>
      <c r="F33" s="43" t="s">
        <v>1116</v>
      </c>
      <c r="G33" s="40" t="s">
        <v>29</v>
      </c>
      <c r="H33" s="44">
        <v>13000</v>
      </c>
      <c r="I33" s="41">
        <v>2600</v>
      </c>
      <c r="J33" s="40" t="s">
        <v>30</v>
      </c>
      <c r="K33" s="40" t="s">
        <v>31</v>
      </c>
      <c r="M33" s="157">
        <f t="shared" si="0"/>
        <v>2600</v>
      </c>
    </row>
    <row r="34" spans="1:13" ht="15.75" customHeight="1">
      <c r="A34" s="42">
        <v>4</v>
      </c>
      <c r="B34" s="40" t="s">
        <v>1117</v>
      </c>
      <c r="C34" s="40" t="s">
        <v>59</v>
      </c>
      <c r="D34" s="40" t="s">
        <v>81</v>
      </c>
      <c r="E34" s="40" t="s">
        <v>50</v>
      </c>
      <c r="F34" s="43" t="s">
        <v>1118</v>
      </c>
      <c r="G34" s="40" t="s">
        <v>29</v>
      </c>
      <c r="H34" s="44">
        <v>10000</v>
      </c>
      <c r="I34" s="41">
        <v>2000</v>
      </c>
      <c r="J34" s="40" t="s">
        <v>30</v>
      </c>
      <c r="K34" s="40" t="s">
        <v>31</v>
      </c>
      <c r="M34" s="157">
        <f t="shared" si="0"/>
        <v>2000</v>
      </c>
    </row>
    <row r="35" spans="1:13" ht="15.75" customHeight="1">
      <c r="A35" s="42">
        <v>4</v>
      </c>
      <c r="B35" s="40" t="s">
        <v>1119</v>
      </c>
      <c r="C35" s="40" t="s">
        <v>25</v>
      </c>
      <c r="D35" s="40" t="s">
        <v>1120</v>
      </c>
      <c r="E35" s="40" t="s">
        <v>56</v>
      </c>
      <c r="F35" s="43" t="s">
        <v>1121</v>
      </c>
      <c r="G35" s="40" t="s">
        <v>29</v>
      </c>
      <c r="H35" s="44">
        <v>500</v>
      </c>
      <c r="I35" s="41">
        <v>100</v>
      </c>
      <c r="J35" s="40" t="s">
        <v>30</v>
      </c>
      <c r="K35" s="40" t="s">
        <v>31</v>
      </c>
      <c r="M35" s="157">
        <f t="shared" si="0"/>
        <v>100</v>
      </c>
    </row>
    <row r="36" spans="1:13" ht="15.75" customHeight="1">
      <c r="A36" s="42">
        <v>4</v>
      </c>
      <c r="B36" s="40" t="s">
        <v>1122</v>
      </c>
      <c r="C36" s="40" t="s">
        <v>25</v>
      </c>
      <c r="D36" s="40" t="s">
        <v>63</v>
      </c>
      <c r="E36" s="40" t="s">
        <v>38</v>
      </c>
      <c r="F36" s="43" t="s">
        <v>1123</v>
      </c>
      <c r="G36" s="40" t="s">
        <v>29</v>
      </c>
      <c r="H36" s="44">
        <v>1000</v>
      </c>
      <c r="I36" s="41">
        <v>200</v>
      </c>
      <c r="J36" s="40" t="s">
        <v>30</v>
      </c>
      <c r="K36" s="40" t="s">
        <v>31</v>
      </c>
      <c r="M36" s="157">
        <f t="shared" si="0"/>
        <v>200</v>
      </c>
    </row>
    <row r="37" spans="1:13" ht="15.75" customHeight="1">
      <c r="A37" s="42">
        <v>4</v>
      </c>
      <c r="B37" s="40" t="s">
        <v>1124</v>
      </c>
      <c r="C37" s="40" t="s">
        <v>25</v>
      </c>
      <c r="D37" s="40" t="s">
        <v>81</v>
      </c>
      <c r="E37" s="40" t="s">
        <v>50</v>
      </c>
      <c r="F37" s="43" t="s">
        <v>1125</v>
      </c>
      <c r="G37" s="40" t="s">
        <v>29</v>
      </c>
      <c r="H37" s="44">
        <v>500</v>
      </c>
      <c r="I37" s="41">
        <v>100</v>
      </c>
      <c r="J37" s="40" t="s">
        <v>30</v>
      </c>
      <c r="K37" s="40" t="s">
        <v>31</v>
      </c>
      <c r="M37" s="157">
        <f t="shared" si="0"/>
        <v>100</v>
      </c>
    </row>
    <row r="38" spans="1:13" ht="15.75" customHeight="1">
      <c r="A38" s="42">
        <v>4</v>
      </c>
      <c r="B38" s="132" t="s">
        <v>1124</v>
      </c>
      <c r="C38" s="132" t="s">
        <v>25</v>
      </c>
      <c r="D38" s="132" t="s">
        <v>81</v>
      </c>
      <c r="E38" s="132" t="s">
        <v>50</v>
      </c>
      <c r="F38" s="262" t="s">
        <v>1125</v>
      </c>
      <c r="G38" s="132" t="s">
        <v>72</v>
      </c>
      <c r="H38" s="254">
        <v>1000</v>
      </c>
      <c r="I38" s="255">
        <v>1000</v>
      </c>
      <c r="J38" s="40" t="s">
        <v>30</v>
      </c>
      <c r="K38" s="40" t="s">
        <v>31</v>
      </c>
      <c r="M38" s="157">
        <f t="shared" si="0"/>
        <v>200</v>
      </c>
    </row>
    <row r="39" spans="1:13" ht="15.75" customHeight="1">
      <c r="A39" s="42">
        <v>4</v>
      </c>
      <c r="B39" s="40" t="s">
        <v>1126</v>
      </c>
      <c r="C39" s="40" t="s">
        <v>25</v>
      </c>
      <c r="D39" s="40" t="s">
        <v>200</v>
      </c>
      <c r="E39" s="40" t="s">
        <v>60</v>
      </c>
      <c r="F39" s="43" t="s">
        <v>1127</v>
      </c>
      <c r="G39" s="40" t="s">
        <v>29</v>
      </c>
      <c r="H39" s="44">
        <v>1000</v>
      </c>
      <c r="I39" s="41">
        <v>200</v>
      </c>
      <c r="J39" s="40" t="s">
        <v>30</v>
      </c>
      <c r="K39" s="40" t="s">
        <v>31</v>
      </c>
      <c r="M39" s="157">
        <f t="shared" si="0"/>
        <v>200</v>
      </c>
    </row>
    <row r="40" spans="1:13" ht="15.75" customHeight="1">
      <c r="A40" s="42">
        <v>4</v>
      </c>
      <c r="B40" s="40" t="s">
        <v>1128</v>
      </c>
      <c r="C40" s="40" t="s">
        <v>25</v>
      </c>
      <c r="D40" s="40" t="s">
        <v>1129</v>
      </c>
      <c r="E40" s="40" t="s">
        <v>311</v>
      </c>
      <c r="F40" s="43" t="s">
        <v>1130</v>
      </c>
      <c r="G40" s="40" t="s">
        <v>29</v>
      </c>
      <c r="H40" s="44">
        <v>500</v>
      </c>
      <c r="I40" s="41">
        <v>100</v>
      </c>
      <c r="J40" s="40" t="s">
        <v>30</v>
      </c>
      <c r="K40" s="40" t="s">
        <v>31</v>
      </c>
      <c r="M40" s="157">
        <f t="shared" si="0"/>
        <v>100</v>
      </c>
    </row>
    <row r="41" spans="1:13" ht="15.75" customHeight="1">
      <c r="A41" s="42">
        <v>4</v>
      </c>
      <c r="B41" s="40" t="s">
        <v>1131</v>
      </c>
      <c r="C41" s="40" t="s">
        <v>59</v>
      </c>
      <c r="D41" s="40" t="s">
        <v>176</v>
      </c>
      <c r="E41" s="40" t="s">
        <v>27</v>
      </c>
      <c r="F41" s="43" t="s">
        <v>1132</v>
      </c>
      <c r="G41" s="40" t="s">
        <v>29</v>
      </c>
      <c r="H41" s="44">
        <v>500</v>
      </c>
      <c r="I41" s="41">
        <v>100</v>
      </c>
      <c r="J41" s="40" t="s">
        <v>30</v>
      </c>
      <c r="K41" s="40" t="s">
        <v>31</v>
      </c>
      <c r="M41" s="157">
        <f t="shared" si="0"/>
        <v>100</v>
      </c>
    </row>
    <row r="42" spans="1:13" ht="15.75" customHeight="1">
      <c r="A42" s="42">
        <v>4</v>
      </c>
      <c r="B42" s="40" t="s">
        <v>1133</v>
      </c>
      <c r="C42" s="40" t="s">
        <v>25</v>
      </c>
      <c r="D42" s="40" t="s">
        <v>74</v>
      </c>
      <c r="E42" s="40" t="s">
        <v>38</v>
      </c>
      <c r="F42" s="43" t="s">
        <v>638</v>
      </c>
      <c r="G42" s="40" t="s">
        <v>29</v>
      </c>
      <c r="H42" s="44">
        <v>500</v>
      </c>
      <c r="I42" s="41" t="s">
        <v>101</v>
      </c>
      <c r="J42" s="40" t="s">
        <v>30</v>
      </c>
      <c r="K42" s="40" t="s">
        <v>31</v>
      </c>
      <c r="M42" s="157">
        <f t="shared" si="0"/>
        <v>100</v>
      </c>
    </row>
    <row r="43" spans="1:13" ht="15.75" customHeight="1">
      <c r="A43" s="42">
        <v>5</v>
      </c>
      <c r="B43" s="40" t="s">
        <v>1134</v>
      </c>
      <c r="C43" s="40" t="s">
        <v>25</v>
      </c>
      <c r="D43" s="40" t="s">
        <v>63</v>
      </c>
      <c r="E43" s="40" t="s">
        <v>318</v>
      </c>
      <c r="F43" s="43" t="s">
        <v>1135</v>
      </c>
      <c r="G43" s="40" t="s">
        <v>29</v>
      </c>
      <c r="H43" s="44">
        <v>25000</v>
      </c>
      <c r="I43" s="41">
        <v>5000</v>
      </c>
      <c r="J43" s="40" t="s">
        <v>30</v>
      </c>
      <c r="K43" s="40" t="s">
        <v>31</v>
      </c>
      <c r="M43" s="157">
        <f t="shared" si="0"/>
        <v>5000</v>
      </c>
    </row>
    <row r="44" spans="1:13" ht="15.75" customHeight="1">
      <c r="A44" s="42">
        <v>5</v>
      </c>
      <c r="B44" s="40" t="s">
        <v>1136</v>
      </c>
      <c r="C44" s="40" t="s">
        <v>25</v>
      </c>
      <c r="D44" s="40" t="s">
        <v>1137</v>
      </c>
      <c r="E44" s="40" t="s">
        <v>38</v>
      </c>
      <c r="F44" s="43" t="s">
        <v>1138</v>
      </c>
      <c r="G44" s="40" t="s">
        <v>29</v>
      </c>
      <c r="H44" s="44">
        <v>7000</v>
      </c>
      <c r="I44" s="41">
        <v>1400</v>
      </c>
      <c r="J44" s="40" t="s">
        <v>30</v>
      </c>
      <c r="K44" s="40" t="s">
        <v>31</v>
      </c>
      <c r="M44" s="157">
        <f t="shared" si="0"/>
        <v>1400</v>
      </c>
    </row>
    <row r="45" spans="1:13" ht="15.75" customHeight="1">
      <c r="A45" s="42">
        <v>5</v>
      </c>
      <c r="B45" s="40" t="s">
        <v>1139</v>
      </c>
      <c r="C45" s="40" t="s">
        <v>25</v>
      </c>
      <c r="D45" s="40" t="s">
        <v>1140</v>
      </c>
      <c r="E45" s="40" t="s">
        <v>725</v>
      </c>
      <c r="F45" s="43" t="s">
        <v>1141</v>
      </c>
      <c r="G45" s="40" t="s">
        <v>29</v>
      </c>
      <c r="H45" s="44">
        <v>1000</v>
      </c>
      <c r="I45" s="41">
        <v>200</v>
      </c>
      <c r="J45" s="40" t="s">
        <v>30</v>
      </c>
      <c r="K45" s="40" t="s">
        <v>31</v>
      </c>
      <c r="M45" s="157">
        <f t="shared" si="0"/>
        <v>200</v>
      </c>
    </row>
    <row r="46" spans="1:13" ht="15.75" customHeight="1">
      <c r="A46" s="42">
        <v>5</v>
      </c>
      <c r="B46" s="40" t="s">
        <v>1142</v>
      </c>
      <c r="C46" s="40" t="s">
        <v>59</v>
      </c>
      <c r="D46" s="40" t="s">
        <v>1143</v>
      </c>
      <c r="E46" s="40" t="s">
        <v>258</v>
      </c>
      <c r="F46" s="43" t="s">
        <v>1144</v>
      </c>
      <c r="G46" s="40" t="s">
        <v>29</v>
      </c>
      <c r="H46" s="44">
        <v>1000</v>
      </c>
      <c r="I46" s="41">
        <v>200</v>
      </c>
      <c r="J46" s="40" t="s">
        <v>30</v>
      </c>
      <c r="K46" s="40" t="s">
        <v>31</v>
      </c>
      <c r="M46" s="157">
        <f t="shared" si="0"/>
        <v>200</v>
      </c>
    </row>
    <row r="47" spans="1:13" ht="15.75" customHeight="1">
      <c r="A47" s="42">
        <v>5</v>
      </c>
      <c r="B47" s="40" t="s">
        <v>1145</v>
      </c>
      <c r="C47" s="40" t="s">
        <v>59</v>
      </c>
      <c r="D47" s="40" t="s">
        <v>1146</v>
      </c>
      <c r="E47" s="40" t="s">
        <v>311</v>
      </c>
      <c r="F47" s="43" t="s">
        <v>1147</v>
      </c>
      <c r="G47" s="40" t="s">
        <v>29</v>
      </c>
      <c r="H47" s="44">
        <v>1000</v>
      </c>
      <c r="I47" s="41">
        <v>200</v>
      </c>
      <c r="J47" s="40" t="s">
        <v>30</v>
      </c>
      <c r="K47" s="40" t="s">
        <v>31</v>
      </c>
      <c r="M47" s="157">
        <f t="shared" si="0"/>
        <v>200</v>
      </c>
    </row>
    <row r="48" spans="1:13" ht="15.75" customHeight="1">
      <c r="A48" s="42">
        <v>5</v>
      </c>
      <c r="B48" s="40" t="s">
        <v>1148</v>
      </c>
      <c r="C48" s="40" t="s">
        <v>25</v>
      </c>
      <c r="D48" s="40" t="s">
        <v>103</v>
      </c>
      <c r="E48" s="40" t="s">
        <v>141</v>
      </c>
      <c r="F48" s="43" t="s">
        <v>1149</v>
      </c>
      <c r="G48" s="40" t="s">
        <v>29</v>
      </c>
      <c r="H48" s="44">
        <v>2000</v>
      </c>
      <c r="I48" s="41">
        <v>400</v>
      </c>
      <c r="J48" s="40" t="s">
        <v>30</v>
      </c>
      <c r="K48" s="40" t="s">
        <v>31</v>
      </c>
      <c r="M48" s="157">
        <f t="shared" si="0"/>
        <v>400</v>
      </c>
    </row>
    <row r="49" spans="1:17" ht="15.75" customHeight="1">
      <c r="A49" s="42">
        <v>5</v>
      </c>
      <c r="B49" s="40" t="s">
        <v>1150</v>
      </c>
      <c r="C49" s="40" t="s">
        <v>25</v>
      </c>
      <c r="D49" s="40" t="s">
        <v>126</v>
      </c>
      <c r="E49" s="40" t="s">
        <v>96</v>
      </c>
      <c r="F49" s="43" t="s">
        <v>1151</v>
      </c>
      <c r="G49" s="40" t="s">
        <v>29</v>
      </c>
      <c r="H49" s="44">
        <v>1000</v>
      </c>
      <c r="I49" s="41">
        <v>200</v>
      </c>
      <c r="J49" s="40" t="s">
        <v>30</v>
      </c>
      <c r="K49" s="40" t="s">
        <v>31</v>
      </c>
      <c r="M49" s="157">
        <f t="shared" si="0"/>
        <v>200</v>
      </c>
    </row>
    <row r="50" spans="1:17" ht="15.75" customHeight="1">
      <c r="A50" s="42">
        <v>5</v>
      </c>
      <c r="B50" s="40" t="s">
        <v>1152</v>
      </c>
      <c r="C50" s="40" t="s">
        <v>59</v>
      </c>
      <c r="D50" s="40" t="s">
        <v>1082</v>
      </c>
      <c r="E50" s="40" t="s">
        <v>96</v>
      </c>
      <c r="F50" s="43" t="s">
        <v>1153</v>
      </c>
      <c r="G50" s="40" t="s">
        <v>29</v>
      </c>
      <c r="H50" s="44">
        <v>500</v>
      </c>
      <c r="I50" s="41" t="s">
        <v>101</v>
      </c>
      <c r="J50" s="40" t="s">
        <v>30</v>
      </c>
      <c r="K50" s="40" t="s">
        <v>31</v>
      </c>
      <c r="M50" s="157">
        <f t="shared" si="0"/>
        <v>100</v>
      </c>
    </row>
    <row r="51" spans="1:17" ht="15.75" customHeight="1">
      <c r="A51" s="42">
        <v>5</v>
      </c>
      <c r="B51" s="40" t="s">
        <v>1152</v>
      </c>
      <c r="C51" s="40" t="s">
        <v>59</v>
      </c>
      <c r="D51" s="40" t="s">
        <v>1082</v>
      </c>
      <c r="E51" s="40" t="s">
        <v>96</v>
      </c>
      <c r="F51" s="43" t="s">
        <v>1153</v>
      </c>
      <c r="G51" s="40" t="s">
        <v>29</v>
      </c>
      <c r="H51" s="44">
        <v>1000</v>
      </c>
      <c r="I51" s="41">
        <v>200</v>
      </c>
      <c r="J51" s="40" t="s">
        <v>30</v>
      </c>
      <c r="K51" s="40" t="s">
        <v>31</v>
      </c>
      <c r="M51" s="157">
        <f t="shared" si="0"/>
        <v>200</v>
      </c>
    </row>
    <row r="52" spans="1:17" ht="15.75" customHeight="1">
      <c r="A52" s="42">
        <v>5</v>
      </c>
      <c r="B52" s="40" t="s">
        <v>1154</v>
      </c>
      <c r="C52" s="40" t="s">
        <v>25</v>
      </c>
      <c r="D52" s="40" t="s">
        <v>593</v>
      </c>
      <c r="E52" s="40" t="s">
        <v>96</v>
      </c>
      <c r="F52" s="43" t="s">
        <v>1155</v>
      </c>
      <c r="G52" s="40" t="s">
        <v>29</v>
      </c>
      <c r="H52" s="44">
        <v>1000</v>
      </c>
      <c r="I52" s="41">
        <v>200</v>
      </c>
      <c r="J52" s="40" t="s">
        <v>30</v>
      </c>
      <c r="K52" s="40" t="s">
        <v>31</v>
      </c>
      <c r="M52" s="157">
        <f t="shared" si="0"/>
        <v>200</v>
      </c>
    </row>
    <row r="53" spans="1:17" ht="15.75" customHeight="1">
      <c r="A53" s="42">
        <v>5</v>
      </c>
      <c r="B53" s="40" t="s">
        <v>1156</v>
      </c>
      <c r="C53" s="40" t="s">
        <v>25</v>
      </c>
      <c r="D53" s="40" t="s">
        <v>1157</v>
      </c>
      <c r="E53" s="40" t="s">
        <v>96</v>
      </c>
      <c r="F53" s="43" t="s">
        <v>1158</v>
      </c>
      <c r="G53" s="40" t="s">
        <v>29</v>
      </c>
      <c r="H53" s="44">
        <v>500</v>
      </c>
      <c r="I53" s="41">
        <v>100</v>
      </c>
      <c r="J53" s="40" t="s">
        <v>30</v>
      </c>
      <c r="K53" s="40" t="s">
        <v>31</v>
      </c>
      <c r="M53" s="157">
        <f t="shared" si="0"/>
        <v>100</v>
      </c>
    </row>
    <row r="54" spans="1:17" ht="15.75" customHeight="1">
      <c r="A54" s="42">
        <v>6</v>
      </c>
      <c r="B54" s="40" t="s">
        <v>1159</v>
      </c>
      <c r="C54" s="40" t="s">
        <v>25</v>
      </c>
      <c r="D54" s="40" t="s">
        <v>1160</v>
      </c>
      <c r="E54" s="40" t="s">
        <v>34</v>
      </c>
      <c r="F54" s="43" t="s">
        <v>1161</v>
      </c>
      <c r="G54" s="40" t="s">
        <v>29</v>
      </c>
      <c r="H54" s="44">
        <v>10000</v>
      </c>
      <c r="I54" s="41">
        <v>2000</v>
      </c>
      <c r="J54" s="40" t="s">
        <v>30</v>
      </c>
      <c r="K54" s="40" t="s">
        <v>31</v>
      </c>
      <c r="M54" s="157">
        <f t="shared" si="0"/>
        <v>2000</v>
      </c>
      <c r="P54" s="552"/>
      <c r="Q54" s="553"/>
    </row>
    <row r="55" spans="1:17" ht="15.75" customHeight="1">
      <c r="A55" s="42">
        <v>6</v>
      </c>
      <c r="B55" s="40" t="s">
        <v>1162</v>
      </c>
      <c r="C55" s="40" t="s">
        <v>25</v>
      </c>
      <c r="D55" s="40" t="s">
        <v>263</v>
      </c>
      <c r="E55" s="40" t="s">
        <v>42</v>
      </c>
      <c r="F55" s="43" t="s">
        <v>1163</v>
      </c>
      <c r="G55" s="40" t="s">
        <v>29</v>
      </c>
      <c r="H55" s="44">
        <v>5000</v>
      </c>
      <c r="I55" s="41">
        <v>1000</v>
      </c>
      <c r="J55" s="40" t="s">
        <v>30</v>
      </c>
      <c r="K55" s="40" t="s">
        <v>31</v>
      </c>
      <c r="M55" s="157">
        <f t="shared" si="0"/>
        <v>1000</v>
      </c>
      <c r="Q55" s="45"/>
    </row>
    <row r="56" spans="1:17" ht="15.75" customHeight="1">
      <c r="A56" s="42">
        <v>6</v>
      </c>
      <c r="B56" s="40" t="s">
        <v>1164</v>
      </c>
      <c r="C56" s="40" t="s">
        <v>25</v>
      </c>
      <c r="D56" s="40" t="s">
        <v>1165</v>
      </c>
      <c r="E56" s="40" t="s">
        <v>96</v>
      </c>
      <c r="F56" s="43" t="s">
        <v>1166</v>
      </c>
      <c r="G56" s="40" t="s">
        <v>29</v>
      </c>
      <c r="H56" s="44">
        <v>1000</v>
      </c>
      <c r="I56" s="41">
        <v>200</v>
      </c>
      <c r="J56" s="40" t="s">
        <v>30</v>
      </c>
      <c r="K56" s="40" t="s">
        <v>31</v>
      </c>
      <c r="M56" s="157">
        <f t="shared" si="0"/>
        <v>200</v>
      </c>
      <c r="Q56" s="45"/>
    </row>
    <row r="57" spans="1:17" ht="15.75" customHeight="1">
      <c r="A57" s="42">
        <v>6</v>
      </c>
      <c r="B57" s="40" t="s">
        <v>565</v>
      </c>
      <c r="C57" s="40" t="s">
        <v>25</v>
      </c>
      <c r="D57" s="40" t="s">
        <v>566</v>
      </c>
      <c r="E57" s="40" t="s">
        <v>96</v>
      </c>
      <c r="F57" s="43" t="s">
        <v>638</v>
      </c>
      <c r="G57" s="40" t="s">
        <v>29</v>
      </c>
      <c r="H57" s="44">
        <v>600</v>
      </c>
      <c r="I57" s="41">
        <v>120</v>
      </c>
      <c r="J57" s="40" t="s">
        <v>30</v>
      </c>
      <c r="K57" s="40" t="s">
        <v>31</v>
      </c>
      <c r="M57" s="157">
        <f t="shared" si="0"/>
        <v>120</v>
      </c>
    </row>
    <row r="58" spans="1:17" ht="15.75" customHeight="1">
      <c r="A58" s="42">
        <v>6</v>
      </c>
      <c r="B58" s="40" t="s">
        <v>1167</v>
      </c>
      <c r="C58" s="40" t="s">
        <v>59</v>
      </c>
      <c r="D58" s="40" t="s">
        <v>700</v>
      </c>
      <c r="E58" s="40" t="s">
        <v>46</v>
      </c>
      <c r="F58" s="43" t="s">
        <v>1168</v>
      </c>
      <c r="G58" s="40" t="s">
        <v>29</v>
      </c>
      <c r="H58" s="44">
        <v>1000</v>
      </c>
      <c r="I58" s="41">
        <v>200</v>
      </c>
      <c r="J58" s="40" t="s">
        <v>30</v>
      </c>
      <c r="K58" s="40" t="s">
        <v>31</v>
      </c>
      <c r="M58" s="157">
        <f t="shared" si="0"/>
        <v>200</v>
      </c>
      <c r="P58" s="552"/>
      <c r="Q58" s="553"/>
    </row>
    <row r="59" spans="1:17" ht="15.75" customHeight="1">
      <c r="A59" s="42">
        <v>6</v>
      </c>
      <c r="B59" s="40" t="s">
        <v>1169</v>
      </c>
      <c r="C59" s="40" t="s">
        <v>59</v>
      </c>
      <c r="D59" s="40" t="s">
        <v>1170</v>
      </c>
      <c r="E59" s="40" t="s">
        <v>46</v>
      </c>
      <c r="F59" s="43" t="s">
        <v>1171</v>
      </c>
      <c r="G59" s="40" t="s">
        <v>29</v>
      </c>
      <c r="H59" s="44">
        <v>1000</v>
      </c>
      <c r="I59" s="41">
        <v>200</v>
      </c>
      <c r="J59" s="40" t="s">
        <v>30</v>
      </c>
      <c r="K59" s="40" t="s">
        <v>31</v>
      </c>
      <c r="M59" s="157">
        <f t="shared" si="0"/>
        <v>200</v>
      </c>
      <c r="Q59" s="45"/>
    </row>
    <row r="60" spans="1:17" ht="15.75" customHeight="1">
      <c r="A60" s="42">
        <v>6</v>
      </c>
      <c r="B60" s="40" t="s">
        <v>1172</v>
      </c>
      <c r="C60" s="40" t="s">
        <v>25</v>
      </c>
      <c r="D60" s="40" t="s">
        <v>1173</v>
      </c>
      <c r="E60" s="40" t="s">
        <v>561</v>
      </c>
      <c r="F60" s="43" t="s">
        <v>1174</v>
      </c>
      <c r="G60" s="40" t="s">
        <v>29</v>
      </c>
      <c r="H60" s="44">
        <v>1000</v>
      </c>
      <c r="I60" s="41">
        <v>200</v>
      </c>
      <c r="J60" s="40" t="s">
        <v>30</v>
      </c>
      <c r="K60" s="40" t="s">
        <v>31</v>
      </c>
      <c r="M60" s="157">
        <f t="shared" si="0"/>
        <v>200</v>
      </c>
    </row>
    <row r="61" spans="1:17" ht="15.75" customHeight="1">
      <c r="A61" s="42">
        <v>6</v>
      </c>
      <c r="B61" s="40" t="s">
        <v>1175</v>
      </c>
      <c r="C61" s="40" t="s">
        <v>25</v>
      </c>
      <c r="D61" s="40" t="s">
        <v>866</v>
      </c>
      <c r="E61" s="40" t="s">
        <v>27</v>
      </c>
      <c r="F61" s="43" t="s">
        <v>1176</v>
      </c>
      <c r="G61" s="40" t="s">
        <v>29</v>
      </c>
      <c r="H61" s="44">
        <v>1000</v>
      </c>
      <c r="I61" s="41">
        <v>200</v>
      </c>
      <c r="J61" s="40" t="s">
        <v>30</v>
      </c>
      <c r="K61" s="40" t="s">
        <v>31</v>
      </c>
      <c r="M61" s="157">
        <f t="shared" si="0"/>
        <v>200</v>
      </c>
      <c r="P61" s="552"/>
      <c r="Q61" s="553"/>
    </row>
    <row r="62" spans="1:17" ht="15.75" customHeight="1">
      <c r="A62" s="42">
        <v>6</v>
      </c>
      <c r="B62" s="40" t="s">
        <v>1177</v>
      </c>
      <c r="C62" s="40" t="s">
        <v>25</v>
      </c>
      <c r="D62" s="40" t="s">
        <v>899</v>
      </c>
      <c r="E62" s="40" t="s">
        <v>249</v>
      </c>
      <c r="F62" s="43" t="s">
        <v>1178</v>
      </c>
      <c r="G62" s="40" t="s">
        <v>29</v>
      </c>
      <c r="H62" s="44">
        <v>1000</v>
      </c>
      <c r="I62" s="41">
        <v>200</v>
      </c>
      <c r="J62" s="40" t="s">
        <v>30</v>
      </c>
      <c r="K62" s="40" t="s">
        <v>31</v>
      </c>
      <c r="M62" s="157">
        <f t="shared" si="0"/>
        <v>200</v>
      </c>
    </row>
    <row r="63" spans="1:17" ht="15.75" customHeight="1">
      <c r="A63" s="42">
        <v>6</v>
      </c>
      <c r="B63" s="40" t="s">
        <v>1179</v>
      </c>
      <c r="C63" s="40" t="s">
        <v>59</v>
      </c>
      <c r="D63" s="40" t="s">
        <v>1110</v>
      </c>
      <c r="E63" s="40" t="s">
        <v>150</v>
      </c>
      <c r="F63" s="43" t="s">
        <v>1180</v>
      </c>
      <c r="G63" s="40" t="s">
        <v>1112</v>
      </c>
      <c r="H63" s="44">
        <v>135</v>
      </c>
      <c r="I63" s="41" t="s">
        <v>101</v>
      </c>
      <c r="J63" s="40" t="s">
        <v>30</v>
      </c>
      <c r="K63" s="40" t="s">
        <v>31</v>
      </c>
      <c r="M63" s="157">
        <f t="shared" si="0"/>
        <v>27</v>
      </c>
    </row>
    <row r="64" spans="1:17" ht="15.75" customHeight="1">
      <c r="A64" s="42">
        <v>7</v>
      </c>
      <c r="B64" s="40" t="s">
        <v>1181</v>
      </c>
      <c r="C64" s="40" t="s">
        <v>25</v>
      </c>
      <c r="D64" s="40" t="s">
        <v>1182</v>
      </c>
      <c r="E64" s="40" t="s">
        <v>50</v>
      </c>
      <c r="F64" s="43" t="s">
        <v>1183</v>
      </c>
      <c r="G64" s="40" t="s">
        <v>29</v>
      </c>
      <c r="H64" s="44">
        <v>100</v>
      </c>
      <c r="I64" s="41">
        <v>20</v>
      </c>
      <c r="J64" s="40" t="s">
        <v>30</v>
      </c>
      <c r="K64" s="40" t="s">
        <v>31</v>
      </c>
      <c r="M64" s="157">
        <f t="shared" si="0"/>
        <v>20</v>
      </c>
      <c r="P64" s="552"/>
      <c r="Q64" s="553"/>
    </row>
    <row r="65" spans="1:17" ht="15.75" customHeight="1">
      <c r="A65" s="42">
        <v>7</v>
      </c>
      <c r="B65" s="40" t="s">
        <v>1184</v>
      </c>
      <c r="C65" s="40" t="s">
        <v>25</v>
      </c>
      <c r="D65" s="40" t="s">
        <v>37</v>
      </c>
      <c r="E65" s="40" t="s">
        <v>38</v>
      </c>
      <c r="F65" s="43" t="s">
        <v>1185</v>
      </c>
      <c r="G65" s="40" t="s">
        <v>29</v>
      </c>
      <c r="H65" s="44">
        <v>300</v>
      </c>
      <c r="I65" s="41">
        <v>60</v>
      </c>
      <c r="J65" s="40" t="s">
        <v>30</v>
      </c>
      <c r="K65" s="40" t="s">
        <v>1186</v>
      </c>
      <c r="M65" s="157">
        <f t="shared" si="0"/>
        <v>60</v>
      </c>
    </row>
    <row r="66" spans="1:17" ht="15.75" customHeight="1">
      <c r="A66" s="42">
        <v>7</v>
      </c>
      <c r="B66" s="40" t="s">
        <v>1187</v>
      </c>
      <c r="C66" s="40" t="s">
        <v>25</v>
      </c>
      <c r="D66" s="40" t="s">
        <v>83</v>
      </c>
      <c r="E66" s="40" t="s">
        <v>46</v>
      </c>
      <c r="F66" s="43" t="s">
        <v>1188</v>
      </c>
      <c r="G66" s="40" t="s">
        <v>29</v>
      </c>
      <c r="H66" s="44">
        <v>300</v>
      </c>
      <c r="I66" s="41">
        <v>60</v>
      </c>
      <c r="J66" s="40" t="s">
        <v>30</v>
      </c>
      <c r="K66" s="40" t="s">
        <v>31</v>
      </c>
      <c r="M66" s="157">
        <f t="shared" si="0"/>
        <v>60</v>
      </c>
    </row>
    <row r="67" spans="1:17" ht="15.75" customHeight="1">
      <c r="A67" s="42">
        <v>7</v>
      </c>
      <c r="B67" s="40" t="s">
        <v>1189</v>
      </c>
      <c r="C67" s="40" t="s">
        <v>25</v>
      </c>
      <c r="D67" s="40" t="s">
        <v>1190</v>
      </c>
      <c r="E67" s="40" t="s">
        <v>42</v>
      </c>
      <c r="F67" s="40"/>
      <c r="G67" s="40" t="s">
        <v>29</v>
      </c>
      <c r="H67" s="44">
        <v>200</v>
      </c>
      <c r="I67" s="41">
        <v>40</v>
      </c>
      <c r="J67" s="40" t="s">
        <v>30</v>
      </c>
      <c r="K67" s="40" t="s">
        <v>31</v>
      </c>
      <c r="M67" s="157">
        <f t="shared" si="0"/>
        <v>40</v>
      </c>
    </row>
    <row r="68" spans="1:17" ht="15.75" customHeight="1">
      <c r="A68" s="47">
        <v>7</v>
      </c>
      <c r="B68" s="48" t="s">
        <v>1191</v>
      </c>
      <c r="C68" s="48" t="s">
        <v>25</v>
      </c>
      <c r="D68" s="49" t="s">
        <v>287</v>
      </c>
      <c r="E68" s="48" t="s">
        <v>78</v>
      </c>
      <c r="F68" s="49" t="s">
        <v>1192</v>
      </c>
      <c r="G68" s="48" t="s">
        <v>1112</v>
      </c>
      <c r="H68" s="50">
        <v>150</v>
      </c>
      <c r="I68" s="51" t="s">
        <v>101</v>
      </c>
      <c r="J68" s="48" t="s">
        <v>30</v>
      </c>
      <c r="K68" s="48" t="s">
        <v>31</v>
      </c>
      <c r="M68" s="157">
        <f t="shared" si="0"/>
        <v>30</v>
      </c>
      <c r="Q68" s="45"/>
    </row>
    <row r="69" spans="1:17" ht="15.75" customHeight="1">
      <c r="A69" s="52">
        <v>14</v>
      </c>
      <c r="B69" s="267" t="s">
        <v>1193</v>
      </c>
      <c r="C69" s="267" t="s">
        <v>25</v>
      </c>
      <c r="D69" s="267" t="s">
        <v>206</v>
      </c>
      <c r="E69" s="267" t="s">
        <v>96</v>
      </c>
      <c r="F69" s="268" t="s">
        <v>1194</v>
      </c>
      <c r="G69" s="267" t="s">
        <v>72</v>
      </c>
      <c r="H69" s="269">
        <v>400</v>
      </c>
      <c r="I69" s="270">
        <v>400</v>
      </c>
      <c r="J69" s="53" t="s">
        <v>30</v>
      </c>
      <c r="K69" s="53" t="s">
        <v>31</v>
      </c>
      <c r="M69" s="157">
        <f t="shared" si="0"/>
        <v>80</v>
      </c>
      <c r="Q69" s="45"/>
    </row>
    <row r="70" spans="1:17" ht="15.75" customHeight="1">
      <c r="A70" s="52">
        <v>14</v>
      </c>
      <c r="B70" s="132" t="s">
        <v>1195</v>
      </c>
      <c r="C70" s="132" t="s">
        <v>25</v>
      </c>
      <c r="D70" s="132" t="s">
        <v>1196</v>
      </c>
      <c r="E70" s="132" t="s">
        <v>1197</v>
      </c>
      <c r="F70" s="262" t="s">
        <v>1198</v>
      </c>
      <c r="G70" s="132" t="s">
        <v>72</v>
      </c>
      <c r="H70" s="254">
        <v>50</v>
      </c>
      <c r="I70" s="255">
        <v>50</v>
      </c>
      <c r="J70" s="40" t="s">
        <v>30</v>
      </c>
      <c r="K70" s="40" t="s">
        <v>31</v>
      </c>
      <c r="M70" s="157">
        <f t="shared" si="0"/>
        <v>10</v>
      </c>
    </row>
    <row r="71" spans="1:17" ht="15.75" customHeight="1">
      <c r="A71" s="52">
        <v>14</v>
      </c>
      <c r="B71" s="132" t="s">
        <v>1199</v>
      </c>
      <c r="C71" s="132" t="s">
        <v>25</v>
      </c>
      <c r="D71" s="132" t="s">
        <v>1200</v>
      </c>
      <c r="E71" s="132" t="s">
        <v>46</v>
      </c>
      <c r="F71" s="262" t="s">
        <v>1201</v>
      </c>
      <c r="G71" s="132" t="s">
        <v>72</v>
      </c>
      <c r="H71" s="254">
        <v>100</v>
      </c>
      <c r="I71" s="255">
        <v>100</v>
      </c>
      <c r="J71" s="40" t="s">
        <v>30</v>
      </c>
      <c r="K71" s="40" t="s">
        <v>31</v>
      </c>
      <c r="M71" s="157">
        <f t="shared" si="0"/>
        <v>20</v>
      </c>
    </row>
    <row r="72" spans="1:17" ht="15.75" customHeight="1">
      <c r="A72" s="52">
        <v>14</v>
      </c>
      <c r="B72" s="40" t="s">
        <v>1202</v>
      </c>
      <c r="C72" s="40" t="s">
        <v>25</v>
      </c>
      <c r="D72" s="40" t="s">
        <v>1082</v>
      </c>
      <c r="E72" s="40" t="s">
        <v>96</v>
      </c>
      <c r="F72" s="43" t="s">
        <v>1203</v>
      </c>
      <c r="G72" s="40" t="s">
        <v>29</v>
      </c>
      <c r="H72" s="44">
        <v>500</v>
      </c>
      <c r="I72" s="41" t="s">
        <v>101</v>
      </c>
      <c r="J72" s="40" t="s">
        <v>30</v>
      </c>
      <c r="K72" s="40" t="s">
        <v>31</v>
      </c>
      <c r="M72" s="157">
        <f t="shared" si="0"/>
        <v>100</v>
      </c>
    </row>
    <row r="73" spans="1:17" ht="15.75" customHeight="1">
      <c r="A73" s="52">
        <v>14</v>
      </c>
      <c r="B73" s="40" t="s">
        <v>1204</v>
      </c>
      <c r="C73" s="40" t="s">
        <v>25</v>
      </c>
      <c r="D73" s="40" t="s">
        <v>548</v>
      </c>
      <c r="E73" s="40" t="s">
        <v>42</v>
      </c>
      <c r="F73" s="40"/>
      <c r="G73" s="40" t="s">
        <v>29</v>
      </c>
      <c r="H73" s="44">
        <v>200</v>
      </c>
      <c r="I73" s="41">
        <v>40</v>
      </c>
      <c r="J73" s="40" t="s">
        <v>30</v>
      </c>
      <c r="K73" s="40" t="s">
        <v>31</v>
      </c>
      <c r="M73" s="157">
        <f t="shared" si="0"/>
        <v>40</v>
      </c>
    </row>
    <row r="74" spans="1:17" ht="15.75" customHeight="1">
      <c r="A74" s="52">
        <v>14</v>
      </c>
      <c r="B74" s="40" t="s">
        <v>1084</v>
      </c>
      <c r="C74" s="40" t="s">
        <v>25</v>
      </c>
      <c r="D74" s="40" t="s">
        <v>1085</v>
      </c>
      <c r="E74" s="40" t="s">
        <v>34</v>
      </c>
      <c r="F74" s="43" t="s">
        <v>1205</v>
      </c>
      <c r="G74" s="40" t="s">
        <v>29</v>
      </c>
      <c r="H74" s="44">
        <v>500</v>
      </c>
      <c r="I74" s="41">
        <v>100</v>
      </c>
      <c r="J74" s="40" t="s">
        <v>30</v>
      </c>
      <c r="K74" s="40" t="s">
        <v>31</v>
      </c>
      <c r="M74" s="157">
        <f t="shared" si="0"/>
        <v>100</v>
      </c>
    </row>
    <row r="75" spans="1:17" ht="15.75" customHeight="1">
      <c r="A75" s="52">
        <v>14</v>
      </c>
      <c r="B75" s="40" t="s">
        <v>1206</v>
      </c>
      <c r="C75" s="40" t="s">
        <v>25</v>
      </c>
      <c r="D75" s="40" t="s">
        <v>1207</v>
      </c>
      <c r="E75" s="40" t="s">
        <v>1049</v>
      </c>
      <c r="F75" s="43" t="s">
        <v>1208</v>
      </c>
      <c r="G75" s="40" t="s">
        <v>29</v>
      </c>
      <c r="H75" s="44">
        <v>500</v>
      </c>
      <c r="I75" s="41">
        <v>100</v>
      </c>
      <c r="J75" s="40" t="s">
        <v>30</v>
      </c>
      <c r="K75" s="40" t="s">
        <v>31</v>
      </c>
      <c r="M75" s="157">
        <f t="shared" si="0"/>
        <v>100</v>
      </c>
    </row>
    <row r="76" spans="1:17" ht="15.75" customHeight="1">
      <c r="A76" s="52">
        <v>14</v>
      </c>
      <c r="B76" s="40" t="s">
        <v>1209</v>
      </c>
      <c r="C76" s="40" t="s">
        <v>25</v>
      </c>
      <c r="D76" s="40" t="s">
        <v>176</v>
      </c>
      <c r="E76" s="40" t="s">
        <v>27</v>
      </c>
      <c r="F76" s="43" t="s">
        <v>1210</v>
      </c>
      <c r="G76" s="40" t="s">
        <v>29</v>
      </c>
      <c r="H76" s="44">
        <v>500</v>
      </c>
      <c r="I76" s="41" t="s">
        <v>101</v>
      </c>
      <c r="J76" s="40" t="s">
        <v>30</v>
      </c>
      <c r="K76" s="40" t="s">
        <v>31</v>
      </c>
      <c r="M76" s="157">
        <f t="shared" si="0"/>
        <v>100</v>
      </c>
    </row>
    <row r="77" spans="1:17" ht="15.75" customHeight="1">
      <c r="A77" s="52">
        <v>14</v>
      </c>
      <c r="B77" s="40" t="s">
        <v>1209</v>
      </c>
      <c r="C77" s="40" t="s">
        <v>25</v>
      </c>
      <c r="D77" s="40" t="s">
        <v>176</v>
      </c>
      <c r="E77" s="40" t="s">
        <v>27</v>
      </c>
      <c r="F77" s="40"/>
      <c r="G77" s="40" t="s">
        <v>29</v>
      </c>
      <c r="H77" s="44">
        <v>500</v>
      </c>
      <c r="I77" s="41">
        <v>100</v>
      </c>
      <c r="J77" s="40" t="s">
        <v>30</v>
      </c>
      <c r="K77" s="40" t="s">
        <v>31</v>
      </c>
      <c r="M77" s="157">
        <f t="shared" si="0"/>
        <v>100</v>
      </c>
    </row>
    <row r="78" spans="1:17" ht="15.75" customHeight="1">
      <c r="A78" s="52">
        <v>14</v>
      </c>
      <c r="B78" s="40" t="s">
        <v>1211</v>
      </c>
      <c r="C78" s="40" t="s">
        <v>25</v>
      </c>
      <c r="D78" s="40" t="s">
        <v>1200</v>
      </c>
      <c r="E78" s="40" t="s">
        <v>46</v>
      </c>
      <c r="F78" s="43" t="s">
        <v>1212</v>
      </c>
      <c r="G78" s="40" t="s">
        <v>29</v>
      </c>
      <c r="H78" s="44">
        <v>500</v>
      </c>
      <c r="I78" s="41">
        <v>100</v>
      </c>
      <c r="J78" s="40" t="s">
        <v>30</v>
      </c>
      <c r="K78" s="40" t="s">
        <v>31</v>
      </c>
      <c r="M78" s="157">
        <f t="shared" si="0"/>
        <v>100</v>
      </c>
    </row>
    <row r="79" spans="1:17" ht="15.75" customHeight="1">
      <c r="A79" s="52">
        <v>14</v>
      </c>
      <c r="B79" s="40" t="s">
        <v>1213</v>
      </c>
      <c r="C79" s="40" t="s">
        <v>25</v>
      </c>
      <c r="D79" s="40" t="s">
        <v>200</v>
      </c>
      <c r="E79" s="40" t="s">
        <v>60</v>
      </c>
      <c r="F79" s="43" t="s">
        <v>1214</v>
      </c>
      <c r="G79" s="40" t="s">
        <v>29</v>
      </c>
      <c r="H79" s="44">
        <v>500</v>
      </c>
      <c r="I79" s="41">
        <v>100</v>
      </c>
      <c r="J79" s="40" t="s">
        <v>30</v>
      </c>
      <c r="K79" s="40" t="s">
        <v>31</v>
      </c>
      <c r="M79" s="157">
        <f t="shared" si="0"/>
        <v>100</v>
      </c>
    </row>
    <row r="80" spans="1:17" ht="15.75" customHeight="1">
      <c r="A80" s="52">
        <v>14</v>
      </c>
      <c r="B80" s="40" t="s">
        <v>1215</v>
      </c>
      <c r="C80" s="40" t="s">
        <v>25</v>
      </c>
      <c r="D80" s="40" t="s">
        <v>1082</v>
      </c>
      <c r="E80" s="40" t="s">
        <v>96</v>
      </c>
      <c r="F80" s="43" t="s">
        <v>79</v>
      </c>
      <c r="G80" s="40" t="s">
        <v>29</v>
      </c>
      <c r="H80" s="44">
        <v>500</v>
      </c>
      <c r="I80" s="41">
        <v>100</v>
      </c>
      <c r="J80" s="40" t="s">
        <v>30</v>
      </c>
      <c r="K80" s="40" t="s">
        <v>31</v>
      </c>
      <c r="M80" s="157">
        <f t="shared" si="0"/>
        <v>100</v>
      </c>
    </row>
    <row r="81" spans="1:17" ht="15.75" customHeight="1">
      <c r="A81" s="52">
        <v>14</v>
      </c>
      <c r="B81" s="40" t="s">
        <v>1216</v>
      </c>
      <c r="C81" s="40" t="s">
        <v>25</v>
      </c>
      <c r="D81" s="40" t="s">
        <v>548</v>
      </c>
      <c r="E81" s="40" t="s">
        <v>42</v>
      </c>
      <c r="F81" s="43" t="s">
        <v>1217</v>
      </c>
      <c r="G81" s="40" t="s">
        <v>29</v>
      </c>
      <c r="H81" s="44">
        <v>200</v>
      </c>
      <c r="I81" s="41">
        <v>40</v>
      </c>
      <c r="J81" s="40" t="s">
        <v>30</v>
      </c>
      <c r="K81" s="40" t="s">
        <v>31</v>
      </c>
      <c r="M81" s="157">
        <f t="shared" si="0"/>
        <v>40</v>
      </c>
    </row>
    <row r="82" spans="1:17" ht="15.75" customHeight="1">
      <c r="A82" s="52">
        <v>14</v>
      </c>
      <c r="B82" s="40" t="s">
        <v>1218</v>
      </c>
      <c r="C82" s="40" t="s">
        <v>25</v>
      </c>
      <c r="D82" s="40" t="s">
        <v>55</v>
      </c>
      <c r="E82" s="40" t="s">
        <v>38</v>
      </c>
      <c r="F82" s="43" t="s">
        <v>1219</v>
      </c>
      <c r="G82" s="40" t="s">
        <v>29</v>
      </c>
      <c r="H82" s="44">
        <v>150</v>
      </c>
      <c r="I82" s="41">
        <v>30</v>
      </c>
      <c r="J82" s="40" t="s">
        <v>30</v>
      </c>
      <c r="K82" s="40" t="s">
        <v>31</v>
      </c>
      <c r="M82" s="157">
        <f t="shared" si="0"/>
        <v>30</v>
      </c>
    </row>
    <row r="83" spans="1:17" ht="15.75" customHeight="1">
      <c r="A83" s="52">
        <v>14</v>
      </c>
      <c r="B83" s="40" t="s">
        <v>1220</v>
      </c>
      <c r="C83" s="40" t="s">
        <v>25</v>
      </c>
      <c r="D83" s="40" t="s">
        <v>657</v>
      </c>
      <c r="E83" s="40" t="s">
        <v>38</v>
      </c>
      <c r="F83" s="43" t="s">
        <v>1221</v>
      </c>
      <c r="G83" s="40" t="s">
        <v>29</v>
      </c>
      <c r="H83" s="44">
        <v>500</v>
      </c>
      <c r="I83" s="41" t="s">
        <v>101</v>
      </c>
      <c r="J83" s="40" t="s">
        <v>30</v>
      </c>
      <c r="K83" s="40" t="s">
        <v>31</v>
      </c>
      <c r="M83" s="157">
        <f t="shared" si="0"/>
        <v>100</v>
      </c>
    </row>
    <row r="84" spans="1:17" ht="15.75" customHeight="1">
      <c r="A84" s="52">
        <v>14</v>
      </c>
      <c r="B84" s="40" t="s">
        <v>1222</v>
      </c>
      <c r="C84" s="40" t="s">
        <v>25</v>
      </c>
      <c r="D84" s="40" t="s">
        <v>89</v>
      </c>
      <c r="E84" s="40" t="s">
        <v>46</v>
      </c>
      <c r="F84" s="43" t="s">
        <v>1223</v>
      </c>
      <c r="G84" s="40" t="s">
        <v>29</v>
      </c>
      <c r="H84" s="44">
        <v>500</v>
      </c>
      <c r="I84" s="41">
        <v>100</v>
      </c>
      <c r="J84" s="40" t="s">
        <v>30</v>
      </c>
      <c r="K84" s="40" t="s">
        <v>31</v>
      </c>
      <c r="M84" s="157">
        <f t="shared" si="0"/>
        <v>100</v>
      </c>
      <c r="Q84" s="45"/>
    </row>
    <row r="85" spans="1:17" ht="15.75" customHeight="1">
      <c r="A85" s="52">
        <v>14</v>
      </c>
      <c r="B85" s="40" t="s">
        <v>1224</v>
      </c>
      <c r="C85" s="40" t="s">
        <v>25</v>
      </c>
      <c r="D85" s="40" t="s">
        <v>548</v>
      </c>
      <c r="E85" s="40" t="s">
        <v>42</v>
      </c>
      <c r="F85" s="43" t="s">
        <v>1225</v>
      </c>
      <c r="G85" s="40" t="s">
        <v>29</v>
      </c>
      <c r="H85" s="44">
        <v>500</v>
      </c>
      <c r="I85" s="41">
        <v>100</v>
      </c>
      <c r="J85" s="40" t="s">
        <v>30</v>
      </c>
      <c r="K85" s="40" t="s">
        <v>31</v>
      </c>
      <c r="M85" s="157">
        <f t="shared" si="0"/>
        <v>100</v>
      </c>
      <c r="Q85" s="45"/>
    </row>
    <row r="86" spans="1:17" ht="15.75" customHeight="1">
      <c r="A86" s="52">
        <v>14</v>
      </c>
      <c r="B86" s="40" t="s">
        <v>1226</v>
      </c>
      <c r="C86" s="40" t="s">
        <v>25</v>
      </c>
      <c r="D86" s="40" t="s">
        <v>141</v>
      </c>
      <c r="E86" s="40" t="s">
        <v>27</v>
      </c>
      <c r="F86" s="43" t="s">
        <v>1227</v>
      </c>
      <c r="G86" s="40" t="s">
        <v>29</v>
      </c>
      <c r="H86" s="44">
        <v>500</v>
      </c>
      <c r="I86" s="41">
        <v>100</v>
      </c>
      <c r="J86" s="40" t="s">
        <v>30</v>
      </c>
      <c r="K86" s="40" t="s">
        <v>31</v>
      </c>
      <c r="M86" s="157">
        <f t="shared" si="0"/>
        <v>100</v>
      </c>
    </row>
    <row r="87" spans="1:17" ht="15.75" customHeight="1">
      <c r="A87" s="52">
        <v>14</v>
      </c>
      <c r="B87" s="40" t="s">
        <v>1228</v>
      </c>
      <c r="C87" s="40" t="s">
        <v>25</v>
      </c>
      <c r="D87" s="40" t="s">
        <v>1229</v>
      </c>
      <c r="E87" s="40" t="s">
        <v>38</v>
      </c>
      <c r="F87" s="43" t="s">
        <v>1230</v>
      </c>
      <c r="G87" s="40" t="s">
        <v>29</v>
      </c>
      <c r="H87" s="44">
        <v>500</v>
      </c>
      <c r="I87" s="41">
        <v>100</v>
      </c>
      <c r="J87" s="40" t="s">
        <v>30</v>
      </c>
      <c r="K87" s="40" t="s">
        <v>31</v>
      </c>
      <c r="M87" s="157">
        <f t="shared" si="0"/>
        <v>100</v>
      </c>
    </row>
    <row r="88" spans="1:17" ht="15.75" customHeight="1">
      <c r="A88" s="52">
        <v>14</v>
      </c>
      <c r="B88" s="40" t="s">
        <v>1231</v>
      </c>
      <c r="C88" s="40" t="s">
        <v>25</v>
      </c>
      <c r="D88" s="40" t="s">
        <v>621</v>
      </c>
      <c r="E88" s="40" t="s">
        <v>540</v>
      </c>
      <c r="F88" s="43" t="s">
        <v>1232</v>
      </c>
      <c r="G88" s="40" t="s">
        <v>29</v>
      </c>
      <c r="H88" s="44">
        <v>500</v>
      </c>
      <c r="I88" s="41">
        <v>100</v>
      </c>
      <c r="J88" s="40" t="s">
        <v>30</v>
      </c>
      <c r="K88" s="40" t="s">
        <v>31</v>
      </c>
      <c r="M88" s="157">
        <f t="shared" si="0"/>
        <v>100</v>
      </c>
      <c r="Q88" s="45"/>
    </row>
    <row r="89" spans="1:17" ht="15.75" customHeight="1">
      <c r="A89" s="52">
        <v>14</v>
      </c>
      <c r="B89" s="40" t="s">
        <v>1233</v>
      </c>
      <c r="C89" s="40" t="s">
        <v>25</v>
      </c>
      <c r="D89" s="40" t="s">
        <v>1234</v>
      </c>
      <c r="E89" s="40" t="s">
        <v>42</v>
      </c>
      <c r="F89" s="43" t="s">
        <v>1235</v>
      </c>
      <c r="G89" s="40" t="s">
        <v>29</v>
      </c>
      <c r="H89" s="44">
        <v>500</v>
      </c>
      <c r="I89" s="41">
        <v>100</v>
      </c>
      <c r="J89" s="40" t="s">
        <v>30</v>
      </c>
      <c r="K89" s="40" t="s">
        <v>31</v>
      </c>
      <c r="M89" s="157">
        <f t="shared" si="0"/>
        <v>100</v>
      </c>
    </row>
    <row r="90" spans="1:17" ht="15.75" customHeight="1">
      <c r="A90" s="52">
        <v>14</v>
      </c>
      <c r="B90" s="40" t="s">
        <v>1236</v>
      </c>
      <c r="C90" s="40" t="s">
        <v>25</v>
      </c>
      <c r="D90" s="40" t="s">
        <v>600</v>
      </c>
      <c r="E90" s="40" t="s">
        <v>60</v>
      </c>
      <c r="F90" s="43" t="s">
        <v>1237</v>
      </c>
      <c r="G90" s="40" t="s">
        <v>29</v>
      </c>
      <c r="H90" s="44">
        <v>500</v>
      </c>
      <c r="I90" s="41">
        <v>100</v>
      </c>
      <c r="J90" s="40" t="s">
        <v>30</v>
      </c>
      <c r="K90" s="40" t="s">
        <v>31</v>
      </c>
      <c r="M90" s="157">
        <f t="shared" si="0"/>
        <v>100</v>
      </c>
    </row>
    <row r="91" spans="1:17" ht="15.75" customHeight="1">
      <c r="A91" s="52">
        <v>14</v>
      </c>
      <c r="B91" s="40" t="s">
        <v>1238</v>
      </c>
      <c r="C91" s="40" t="s">
        <v>25</v>
      </c>
      <c r="D91" s="40" t="s">
        <v>1239</v>
      </c>
      <c r="E91" s="40" t="s">
        <v>78</v>
      </c>
      <c r="F91" s="43" t="s">
        <v>1240</v>
      </c>
      <c r="G91" s="40" t="s">
        <v>29</v>
      </c>
      <c r="H91" s="44">
        <v>300</v>
      </c>
      <c r="I91" s="41">
        <v>60</v>
      </c>
      <c r="J91" s="40" t="s">
        <v>30</v>
      </c>
      <c r="K91" s="40" t="s">
        <v>31</v>
      </c>
      <c r="M91" s="157">
        <f t="shared" si="0"/>
        <v>60</v>
      </c>
    </row>
    <row r="92" spans="1:17" ht="15.75" customHeight="1">
      <c r="A92" s="52">
        <v>14</v>
      </c>
      <c r="B92" s="40" t="s">
        <v>1241</v>
      </c>
      <c r="C92" s="40" t="s">
        <v>25</v>
      </c>
      <c r="D92" s="40" t="s">
        <v>1082</v>
      </c>
      <c r="E92" s="40" t="s">
        <v>96</v>
      </c>
      <c r="F92" s="43" t="s">
        <v>1242</v>
      </c>
      <c r="G92" s="40" t="s">
        <v>29</v>
      </c>
      <c r="H92" s="44">
        <v>500</v>
      </c>
      <c r="I92" s="41" t="s">
        <v>101</v>
      </c>
      <c r="J92" s="40" t="s">
        <v>30</v>
      </c>
      <c r="K92" s="40" t="s">
        <v>31</v>
      </c>
      <c r="M92" s="157">
        <f t="shared" si="0"/>
        <v>100</v>
      </c>
    </row>
    <row r="93" spans="1:17" ht="15.75" customHeight="1">
      <c r="A93" s="42">
        <v>14</v>
      </c>
      <c r="B93" s="40" t="s">
        <v>1243</v>
      </c>
      <c r="C93" s="40" t="s">
        <v>25</v>
      </c>
      <c r="D93" s="40" t="s">
        <v>1082</v>
      </c>
      <c r="E93" s="40" t="s">
        <v>96</v>
      </c>
      <c r="F93" s="43" t="s">
        <v>1244</v>
      </c>
      <c r="G93" s="40" t="s">
        <v>29</v>
      </c>
      <c r="H93" s="44">
        <v>500</v>
      </c>
      <c r="I93" s="41" t="s">
        <v>101</v>
      </c>
      <c r="J93" s="40" t="s">
        <v>30</v>
      </c>
      <c r="K93" s="40" t="s">
        <v>31</v>
      </c>
      <c r="M93" s="157">
        <f t="shared" si="0"/>
        <v>100</v>
      </c>
      <c r="Q93" s="45"/>
    </row>
    <row r="94" spans="1:17" ht="15.75" customHeight="1">
      <c r="A94" s="42">
        <v>15</v>
      </c>
      <c r="B94" s="40" t="s">
        <v>1245</v>
      </c>
      <c r="C94" s="40" t="s">
        <v>25</v>
      </c>
      <c r="D94" s="40" t="s">
        <v>598</v>
      </c>
      <c r="E94" s="40" t="s">
        <v>27</v>
      </c>
      <c r="F94" s="43" t="s">
        <v>1246</v>
      </c>
      <c r="G94" s="40" t="s">
        <v>29</v>
      </c>
      <c r="H94" s="44">
        <v>1000</v>
      </c>
      <c r="I94" s="41">
        <v>200</v>
      </c>
      <c r="J94" s="40" t="s">
        <v>30</v>
      </c>
      <c r="K94" s="40" t="s">
        <v>31</v>
      </c>
      <c r="M94" s="157">
        <f t="shared" si="0"/>
        <v>200</v>
      </c>
    </row>
    <row r="95" spans="1:17" ht="15.75" customHeight="1">
      <c r="A95" s="42">
        <v>15</v>
      </c>
      <c r="B95" s="40" t="s">
        <v>1247</v>
      </c>
      <c r="C95" s="40" t="s">
        <v>25</v>
      </c>
      <c r="D95" s="40" t="s">
        <v>1248</v>
      </c>
      <c r="E95" s="40" t="s">
        <v>870</v>
      </c>
      <c r="F95" s="43" t="s">
        <v>1249</v>
      </c>
      <c r="G95" s="40" t="s">
        <v>29</v>
      </c>
      <c r="H95" s="44">
        <v>1000</v>
      </c>
      <c r="I95" s="41">
        <v>200</v>
      </c>
      <c r="J95" s="40" t="s">
        <v>30</v>
      </c>
      <c r="K95" s="40" t="s">
        <v>31</v>
      </c>
      <c r="M95" s="157">
        <f t="shared" si="0"/>
        <v>200</v>
      </c>
    </row>
    <row r="96" spans="1:17" ht="15.75" customHeight="1">
      <c r="A96" s="42">
        <v>15</v>
      </c>
      <c r="B96" s="40" t="s">
        <v>1250</v>
      </c>
      <c r="C96" s="40" t="s">
        <v>25</v>
      </c>
      <c r="D96" s="40" t="s">
        <v>841</v>
      </c>
      <c r="E96" s="40" t="s">
        <v>533</v>
      </c>
      <c r="F96" s="43" t="s">
        <v>1251</v>
      </c>
      <c r="G96" s="40" t="s">
        <v>29</v>
      </c>
      <c r="H96" s="44">
        <v>1000</v>
      </c>
      <c r="I96" s="41">
        <v>200</v>
      </c>
      <c r="J96" s="40" t="s">
        <v>30</v>
      </c>
      <c r="K96" s="40" t="s">
        <v>31</v>
      </c>
      <c r="M96" s="157">
        <f t="shared" si="0"/>
        <v>200</v>
      </c>
    </row>
    <row r="97" spans="1:13" ht="15.75" customHeight="1">
      <c r="A97" s="42">
        <v>15</v>
      </c>
      <c r="B97" s="40" t="s">
        <v>1252</v>
      </c>
      <c r="C97" s="40" t="s">
        <v>25</v>
      </c>
      <c r="D97" s="40" t="s">
        <v>200</v>
      </c>
      <c r="E97" s="40" t="s">
        <v>60</v>
      </c>
      <c r="F97" s="43" t="s">
        <v>79</v>
      </c>
      <c r="G97" s="40" t="s">
        <v>29</v>
      </c>
      <c r="H97" s="44">
        <v>1000</v>
      </c>
      <c r="I97" s="41">
        <v>200</v>
      </c>
      <c r="J97" s="40" t="s">
        <v>30</v>
      </c>
      <c r="K97" s="40" t="s">
        <v>31</v>
      </c>
      <c r="M97" s="157">
        <f t="shared" si="0"/>
        <v>200</v>
      </c>
    </row>
    <row r="98" spans="1:13" ht="15.75" customHeight="1">
      <c r="A98" s="42">
        <v>15</v>
      </c>
      <c r="B98" s="40" t="s">
        <v>1253</v>
      </c>
      <c r="C98" s="40" t="s">
        <v>25</v>
      </c>
      <c r="D98" s="40" t="s">
        <v>103</v>
      </c>
      <c r="E98" s="40" t="s">
        <v>249</v>
      </c>
      <c r="F98" s="43" t="s">
        <v>1254</v>
      </c>
      <c r="G98" s="40" t="s">
        <v>29</v>
      </c>
      <c r="H98" s="44">
        <v>1000</v>
      </c>
      <c r="I98" s="41">
        <v>200</v>
      </c>
      <c r="J98" s="40" t="s">
        <v>30</v>
      </c>
      <c r="K98" s="40" t="s">
        <v>31</v>
      </c>
      <c r="M98" s="157">
        <f t="shared" si="0"/>
        <v>200</v>
      </c>
    </row>
    <row r="99" spans="1:13" ht="15.75" customHeight="1">
      <c r="A99" s="42">
        <v>15</v>
      </c>
      <c r="B99" s="40" t="s">
        <v>1255</v>
      </c>
      <c r="C99" s="40" t="s">
        <v>59</v>
      </c>
      <c r="D99" s="40" t="s">
        <v>1256</v>
      </c>
      <c r="E99" s="40" t="s">
        <v>34</v>
      </c>
      <c r="F99" s="43" t="s">
        <v>1257</v>
      </c>
      <c r="G99" s="40" t="s">
        <v>29</v>
      </c>
      <c r="H99" s="44">
        <v>1000</v>
      </c>
      <c r="I99" s="41">
        <v>200</v>
      </c>
      <c r="J99" s="40" t="s">
        <v>30</v>
      </c>
      <c r="K99" s="40" t="s">
        <v>31</v>
      </c>
      <c r="M99" s="157">
        <f t="shared" si="0"/>
        <v>200</v>
      </c>
    </row>
    <row r="100" spans="1:13" ht="15.75" customHeight="1">
      <c r="A100" s="42">
        <v>15</v>
      </c>
      <c r="B100" s="40" t="s">
        <v>1258</v>
      </c>
      <c r="C100" s="40" t="s">
        <v>25</v>
      </c>
      <c r="D100" s="40" t="s">
        <v>33</v>
      </c>
      <c r="E100" s="40" t="s">
        <v>34</v>
      </c>
      <c r="F100" s="43" t="s">
        <v>79</v>
      </c>
      <c r="G100" s="40" t="s">
        <v>29</v>
      </c>
      <c r="H100" s="44">
        <v>1000</v>
      </c>
      <c r="I100" s="41">
        <v>200</v>
      </c>
      <c r="J100" s="40" t="s">
        <v>30</v>
      </c>
      <c r="K100" s="40" t="s">
        <v>31</v>
      </c>
      <c r="M100" s="157">
        <f t="shared" si="0"/>
        <v>200</v>
      </c>
    </row>
    <row r="101" spans="1:13" ht="15.75" customHeight="1">
      <c r="A101" s="42">
        <v>15</v>
      </c>
      <c r="B101" s="40" t="s">
        <v>1259</v>
      </c>
      <c r="C101" s="40" t="s">
        <v>25</v>
      </c>
      <c r="D101" s="40"/>
      <c r="E101" s="40" t="s">
        <v>60</v>
      </c>
      <c r="F101" s="43" t="s">
        <v>1260</v>
      </c>
      <c r="G101" s="40" t="s">
        <v>29</v>
      </c>
      <c r="H101" s="44">
        <v>1000</v>
      </c>
      <c r="I101" s="41">
        <v>200</v>
      </c>
      <c r="J101" s="40" t="s">
        <v>30</v>
      </c>
      <c r="K101" s="40" t="s">
        <v>31</v>
      </c>
      <c r="M101" s="157">
        <f t="shared" si="0"/>
        <v>200</v>
      </c>
    </row>
    <row r="102" spans="1:13" ht="15.75" customHeight="1">
      <c r="A102" s="42">
        <v>15</v>
      </c>
      <c r="B102" s="40" t="s">
        <v>1261</v>
      </c>
      <c r="C102" s="40" t="s">
        <v>25</v>
      </c>
      <c r="D102" s="40" t="s">
        <v>1262</v>
      </c>
      <c r="E102" s="40" t="s">
        <v>60</v>
      </c>
      <c r="F102" s="43" t="s">
        <v>1263</v>
      </c>
      <c r="G102" s="40" t="s">
        <v>29</v>
      </c>
      <c r="H102" s="44">
        <v>1000</v>
      </c>
      <c r="I102" s="41">
        <v>200</v>
      </c>
      <c r="J102" s="40" t="s">
        <v>30</v>
      </c>
      <c r="K102" s="40" t="s">
        <v>31</v>
      </c>
      <c r="M102" s="157">
        <f t="shared" si="0"/>
        <v>200</v>
      </c>
    </row>
    <row r="103" spans="1:13" ht="15.75" customHeight="1">
      <c r="A103" s="42">
        <v>15</v>
      </c>
      <c r="B103" s="40" t="s">
        <v>1264</v>
      </c>
      <c r="C103" s="40" t="s">
        <v>25</v>
      </c>
      <c r="D103" s="40" t="s">
        <v>1190</v>
      </c>
      <c r="E103" s="40" t="s">
        <v>42</v>
      </c>
      <c r="F103" s="43" t="s">
        <v>1265</v>
      </c>
      <c r="G103" s="40" t="s">
        <v>29</v>
      </c>
      <c r="H103" s="44">
        <v>250</v>
      </c>
      <c r="I103" s="41" t="s">
        <v>101</v>
      </c>
      <c r="J103" s="40" t="s">
        <v>30</v>
      </c>
      <c r="K103" s="40" t="s">
        <v>31</v>
      </c>
      <c r="M103" s="157">
        <f t="shared" si="0"/>
        <v>50</v>
      </c>
    </row>
    <row r="104" spans="1:13" ht="15.75" customHeight="1">
      <c r="A104" s="42">
        <v>15</v>
      </c>
      <c r="B104" s="40" t="s">
        <v>1266</v>
      </c>
      <c r="C104" s="40" t="s">
        <v>25</v>
      </c>
      <c r="D104" s="40" t="s">
        <v>779</v>
      </c>
      <c r="E104" s="40" t="s">
        <v>42</v>
      </c>
      <c r="F104" s="43" t="s">
        <v>79</v>
      </c>
      <c r="G104" s="40" t="s">
        <v>29</v>
      </c>
      <c r="H104" s="44">
        <v>2400</v>
      </c>
      <c r="I104" s="41">
        <v>480</v>
      </c>
      <c r="J104" s="40" t="s">
        <v>30</v>
      </c>
      <c r="K104" s="40" t="s">
        <v>31</v>
      </c>
      <c r="M104" s="157">
        <f t="shared" si="0"/>
        <v>480</v>
      </c>
    </row>
    <row r="105" spans="1:13" ht="15.75" customHeight="1">
      <c r="A105" s="42">
        <v>15</v>
      </c>
      <c r="B105" s="132" t="s">
        <v>1266</v>
      </c>
      <c r="C105" s="132" t="s">
        <v>25</v>
      </c>
      <c r="D105" s="132" t="s">
        <v>779</v>
      </c>
      <c r="E105" s="132" t="s">
        <v>42</v>
      </c>
      <c r="F105" s="132"/>
      <c r="G105" s="132" t="s">
        <v>72</v>
      </c>
      <c r="H105" s="254">
        <v>100</v>
      </c>
      <c r="I105" s="255">
        <v>100</v>
      </c>
      <c r="J105" s="40" t="s">
        <v>30</v>
      </c>
      <c r="K105" s="40" t="s">
        <v>31</v>
      </c>
      <c r="M105" s="157">
        <f t="shared" si="0"/>
        <v>20</v>
      </c>
    </row>
    <row r="106" spans="1:13" ht="15.75" customHeight="1">
      <c r="A106" s="42">
        <v>15</v>
      </c>
      <c r="B106" s="40" t="s">
        <v>1267</v>
      </c>
      <c r="C106" s="40" t="s">
        <v>25</v>
      </c>
      <c r="D106" s="40" t="s">
        <v>55</v>
      </c>
      <c r="E106" s="40" t="s">
        <v>96</v>
      </c>
      <c r="F106" s="43" t="s">
        <v>1268</v>
      </c>
      <c r="G106" s="40" t="s">
        <v>29</v>
      </c>
      <c r="H106" s="44">
        <v>1000</v>
      </c>
      <c r="I106" s="41">
        <v>200</v>
      </c>
      <c r="J106" s="40" t="s">
        <v>30</v>
      </c>
      <c r="K106" s="40" t="s">
        <v>31</v>
      </c>
      <c r="M106" s="157">
        <f t="shared" si="0"/>
        <v>200</v>
      </c>
    </row>
    <row r="107" spans="1:13" ht="15.75" customHeight="1">
      <c r="A107" s="42">
        <v>15</v>
      </c>
      <c r="B107" s="132" t="s">
        <v>1267</v>
      </c>
      <c r="C107" s="132" t="s">
        <v>25</v>
      </c>
      <c r="D107" s="132" t="s">
        <v>55</v>
      </c>
      <c r="E107" s="132" t="s">
        <v>96</v>
      </c>
      <c r="F107" s="132"/>
      <c r="G107" s="132" t="s">
        <v>72</v>
      </c>
      <c r="H107" s="254">
        <v>500</v>
      </c>
      <c r="I107" s="255">
        <v>500</v>
      </c>
      <c r="J107" s="40" t="s">
        <v>30</v>
      </c>
      <c r="K107" s="40" t="s">
        <v>31</v>
      </c>
      <c r="M107" s="157">
        <f t="shared" si="0"/>
        <v>100</v>
      </c>
    </row>
    <row r="108" spans="1:13" ht="15.75" customHeight="1">
      <c r="A108" s="42">
        <v>15</v>
      </c>
      <c r="B108" s="40" t="s">
        <v>1269</v>
      </c>
      <c r="C108" s="40" t="s">
        <v>25</v>
      </c>
      <c r="D108" s="40" t="s">
        <v>593</v>
      </c>
      <c r="E108" s="40" t="s">
        <v>96</v>
      </c>
      <c r="F108" s="43" t="s">
        <v>1270</v>
      </c>
      <c r="G108" s="40" t="s">
        <v>29</v>
      </c>
      <c r="H108" s="44">
        <v>500</v>
      </c>
      <c r="I108" s="41">
        <v>100</v>
      </c>
      <c r="J108" s="40" t="s">
        <v>30</v>
      </c>
      <c r="K108" s="40" t="s">
        <v>31</v>
      </c>
      <c r="M108" s="157">
        <f t="shared" si="0"/>
        <v>100</v>
      </c>
    </row>
    <row r="109" spans="1:13" ht="15.75" customHeight="1">
      <c r="A109" s="42">
        <v>15</v>
      </c>
      <c r="B109" s="132" t="s">
        <v>1269</v>
      </c>
      <c r="C109" s="132" t="s">
        <v>25</v>
      </c>
      <c r="D109" s="132" t="s">
        <v>593</v>
      </c>
      <c r="E109" s="132" t="s">
        <v>96</v>
      </c>
      <c r="F109" s="132"/>
      <c r="G109" s="132" t="s">
        <v>72</v>
      </c>
      <c r="H109" s="254">
        <v>100</v>
      </c>
      <c r="I109" s="255">
        <v>100</v>
      </c>
      <c r="J109" s="40" t="s">
        <v>30</v>
      </c>
      <c r="K109" s="40" t="s">
        <v>31</v>
      </c>
      <c r="M109" s="157">
        <f t="shared" si="0"/>
        <v>20</v>
      </c>
    </row>
    <row r="110" spans="1:13" ht="15.75" customHeight="1">
      <c r="A110" s="42">
        <v>15</v>
      </c>
      <c r="B110" s="40" t="s">
        <v>1271</v>
      </c>
      <c r="C110" s="40" t="s">
        <v>25</v>
      </c>
      <c r="D110" s="40" t="s">
        <v>155</v>
      </c>
      <c r="E110" s="40" t="s">
        <v>42</v>
      </c>
      <c r="F110" s="43" t="s">
        <v>1272</v>
      </c>
      <c r="G110" s="40" t="s">
        <v>72</v>
      </c>
      <c r="H110" s="44">
        <v>100</v>
      </c>
      <c r="I110" s="41">
        <v>100</v>
      </c>
      <c r="J110" s="40" t="s">
        <v>30</v>
      </c>
      <c r="K110" s="40" t="s">
        <v>31</v>
      </c>
      <c r="M110" s="157">
        <f t="shared" si="0"/>
        <v>20</v>
      </c>
    </row>
    <row r="111" spans="1:13" ht="15.75" customHeight="1">
      <c r="A111" s="42">
        <v>15</v>
      </c>
      <c r="B111" s="40" t="s">
        <v>1273</v>
      </c>
      <c r="C111" s="40" t="s">
        <v>25</v>
      </c>
      <c r="D111" s="40" t="s">
        <v>328</v>
      </c>
      <c r="E111" s="40" t="s">
        <v>60</v>
      </c>
      <c r="F111" s="43" t="s">
        <v>1274</v>
      </c>
      <c r="G111" s="40" t="s">
        <v>29</v>
      </c>
      <c r="H111" s="44">
        <v>500</v>
      </c>
      <c r="I111" s="41" t="s">
        <v>101</v>
      </c>
      <c r="J111" s="40" t="s">
        <v>30</v>
      </c>
      <c r="K111" s="40" t="s">
        <v>31</v>
      </c>
      <c r="M111" s="157">
        <f t="shared" si="0"/>
        <v>100</v>
      </c>
    </row>
    <row r="112" spans="1:13" ht="15.75" customHeight="1">
      <c r="A112" s="42">
        <v>15</v>
      </c>
      <c r="B112" s="40" t="s">
        <v>1273</v>
      </c>
      <c r="C112" s="40" t="s">
        <v>25</v>
      </c>
      <c r="D112" s="40" t="s">
        <v>328</v>
      </c>
      <c r="E112" s="40" t="s">
        <v>60</v>
      </c>
      <c r="F112" s="40"/>
      <c r="G112" s="40" t="s">
        <v>29</v>
      </c>
      <c r="H112" s="44">
        <v>500</v>
      </c>
      <c r="I112" s="41">
        <v>100</v>
      </c>
      <c r="J112" s="40" t="s">
        <v>30</v>
      </c>
      <c r="K112" s="40" t="s">
        <v>31</v>
      </c>
      <c r="M112" s="157">
        <f t="shared" si="0"/>
        <v>100</v>
      </c>
    </row>
    <row r="113" spans="1:13" ht="15.75" customHeight="1">
      <c r="A113" s="42">
        <v>15</v>
      </c>
      <c r="B113" s="40" t="s">
        <v>224</v>
      </c>
      <c r="C113" s="40" t="s">
        <v>25</v>
      </c>
      <c r="D113" s="40" t="s">
        <v>63</v>
      </c>
      <c r="E113" s="40" t="s">
        <v>103</v>
      </c>
      <c r="F113" s="43" t="s">
        <v>225</v>
      </c>
      <c r="G113" s="40" t="s">
        <v>29</v>
      </c>
      <c r="H113" s="44">
        <v>500</v>
      </c>
      <c r="I113" s="41">
        <v>100</v>
      </c>
      <c r="J113" s="40" t="s">
        <v>30</v>
      </c>
      <c r="K113" s="40" t="s">
        <v>31</v>
      </c>
      <c r="M113" s="157">
        <f t="shared" si="0"/>
        <v>100</v>
      </c>
    </row>
    <row r="114" spans="1:13" ht="15.75" customHeight="1">
      <c r="A114" s="42">
        <v>15</v>
      </c>
      <c r="B114" s="40" t="s">
        <v>1275</v>
      </c>
      <c r="C114" s="40" t="s">
        <v>25</v>
      </c>
      <c r="D114" s="40" t="s">
        <v>332</v>
      </c>
      <c r="E114" s="40" t="s">
        <v>46</v>
      </c>
      <c r="F114" s="43" t="s">
        <v>1276</v>
      </c>
      <c r="G114" s="40" t="s">
        <v>29</v>
      </c>
      <c r="H114" s="44">
        <v>200</v>
      </c>
      <c r="I114" s="41">
        <v>40</v>
      </c>
      <c r="J114" s="40" t="s">
        <v>30</v>
      </c>
      <c r="K114" s="40" t="s">
        <v>31</v>
      </c>
      <c r="M114" s="157">
        <f t="shared" si="0"/>
        <v>40</v>
      </c>
    </row>
    <row r="115" spans="1:13" ht="15.75" customHeight="1">
      <c r="A115" s="42">
        <v>15</v>
      </c>
      <c r="B115" s="40" t="s">
        <v>1277</v>
      </c>
      <c r="C115" s="40" t="s">
        <v>25</v>
      </c>
      <c r="D115" s="40" t="s">
        <v>1278</v>
      </c>
      <c r="E115" s="40" t="s">
        <v>42</v>
      </c>
      <c r="F115" s="43" t="s">
        <v>1279</v>
      </c>
      <c r="G115" s="40" t="s">
        <v>29</v>
      </c>
      <c r="H115" s="44">
        <v>1200</v>
      </c>
      <c r="I115" s="41">
        <v>240</v>
      </c>
      <c r="J115" s="40" t="s">
        <v>30</v>
      </c>
      <c r="K115" s="40" t="s">
        <v>31</v>
      </c>
      <c r="M115" s="157">
        <f t="shared" si="0"/>
        <v>240</v>
      </c>
    </row>
    <row r="116" spans="1:13" ht="15.75" customHeight="1">
      <c r="A116" s="42">
        <v>15</v>
      </c>
      <c r="B116" s="40" t="s">
        <v>1280</v>
      </c>
      <c r="C116" s="40" t="s">
        <v>25</v>
      </c>
      <c r="D116" s="40" t="s">
        <v>63</v>
      </c>
      <c r="E116" s="40" t="s">
        <v>60</v>
      </c>
      <c r="F116" s="40"/>
      <c r="G116" s="40" t="s">
        <v>29</v>
      </c>
      <c r="H116" s="44">
        <v>2000</v>
      </c>
      <c r="I116" s="41">
        <v>400</v>
      </c>
      <c r="J116" s="40" t="s">
        <v>30</v>
      </c>
      <c r="K116" s="40" t="s">
        <v>31</v>
      </c>
      <c r="M116" s="157">
        <f t="shared" si="0"/>
        <v>400</v>
      </c>
    </row>
    <row r="117" spans="1:13" ht="15.75" customHeight="1">
      <c r="A117" s="42">
        <v>15</v>
      </c>
      <c r="B117" s="40" t="s">
        <v>1281</v>
      </c>
      <c r="C117" s="40" t="s">
        <v>25</v>
      </c>
      <c r="D117" s="40" t="s">
        <v>1282</v>
      </c>
      <c r="E117" s="40" t="s">
        <v>38</v>
      </c>
      <c r="F117" s="43" t="s">
        <v>1283</v>
      </c>
      <c r="G117" s="40" t="s">
        <v>29</v>
      </c>
      <c r="H117" s="44">
        <v>750</v>
      </c>
      <c r="I117" s="41" t="s">
        <v>101</v>
      </c>
      <c r="J117" s="40" t="s">
        <v>30</v>
      </c>
      <c r="K117" s="40" t="s">
        <v>31</v>
      </c>
      <c r="M117" s="157">
        <f t="shared" si="0"/>
        <v>150</v>
      </c>
    </row>
    <row r="118" spans="1:13" ht="15.75" customHeight="1">
      <c r="A118" s="42">
        <v>18</v>
      </c>
      <c r="B118" s="40" t="s">
        <v>1284</v>
      </c>
      <c r="C118" s="40" t="s">
        <v>25</v>
      </c>
      <c r="D118" s="40" t="s">
        <v>68</v>
      </c>
      <c r="E118" s="40" t="s">
        <v>38</v>
      </c>
      <c r="F118" s="43" t="s">
        <v>1285</v>
      </c>
      <c r="G118" s="40" t="s">
        <v>29</v>
      </c>
      <c r="H118" s="44">
        <v>1000</v>
      </c>
      <c r="I118" s="41">
        <v>200</v>
      </c>
      <c r="J118" s="40" t="s">
        <v>30</v>
      </c>
      <c r="K118" s="40" t="s">
        <v>31</v>
      </c>
      <c r="M118" s="157">
        <f t="shared" si="0"/>
        <v>200</v>
      </c>
    </row>
    <row r="119" spans="1:13" ht="15.75" customHeight="1">
      <c r="A119" s="42">
        <v>18</v>
      </c>
      <c r="B119" s="40" t="s">
        <v>1286</v>
      </c>
      <c r="C119" s="40" t="s">
        <v>25</v>
      </c>
      <c r="D119" s="40" t="s">
        <v>1287</v>
      </c>
      <c r="E119" s="40" t="s">
        <v>42</v>
      </c>
      <c r="F119" s="43" t="s">
        <v>1288</v>
      </c>
      <c r="G119" s="40" t="s">
        <v>29</v>
      </c>
      <c r="H119" s="44">
        <v>1000</v>
      </c>
      <c r="I119" s="41">
        <v>200</v>
      </c>
      <c r="J119" s="40" t="s">
        <v>30</v>
      </c>
      <c r="K119" s="40" t="s">
        <v>31</v>
      </c>
      <c r="M119" s="157">
        <f t="shared" si="0"/>
        <v>200</v>
      </c>
    </row>
    <row r="120" spans="1:13" ht="15.75" customHeight="1">
      <c r="A120" s="42">
        <v>18</v>
      </c>
      <c r="B120" s="40" t="s">
        <v>1289</v>
      </c>
      <c r="C120" s="40" t="s">
        <v>59</v>
      </c>
      <c r="D120" s="40" t="s">
        <v>1290</v>
      </c>
      <c r="E120" s="40" t="s">
        <v>333</v>
      </c>
      <c r="F120" s="43" t="s">
        <v>1291</v>
      </c>
      <c r="G120" s="40" t="s">
        <v>29</v>
      </c>
      <c r="H120" s="44">
        <v>1000</v>
      </c>
      <c r="I120" s="41">
        <v>200</v>
      </c>
      <c r="J120" s="40" t="s">
        <v>30</v>
      </c>
      <c r="K120" s="40" t="s">
        <v>31</v>
      </c>
      <c r="M120" s="157">
        <f t="shared" si="0"/>
        <v>200</v>
      </c>
    </row>
    <row r="121" spans="1:13" ht="15.75" customHeight="1">
      <c r="A121" s="42">
        <v>18</v>
      </c>
      <c r="B121" s="40" t="s">
        <v>1292</v>
      </c>
      <c r="C121" s="40" t="s">
        <v>25</v>
      </c>
      <c r="D121" s="40" t="s">
        <v>700</v>
      </c>
      <c r="E121" s="40" t="s">
        <v>46</v>
      </c>
      <c r="F121" s="43" t="s">
        <v>1019</v>
      </c>
      <c r="G121" s="40" t="s">
        <v>29</v>
      </c>
      <c r="H121" s="44">
        <v>1000</v>
      </c>
      <c r="I121" s="41">
        <v>200</v>
      </c>
      <c r="J121" s="40" t="s">
        <v>30</v>
      </c>
      <c r="K121" s="40" t="s">
        <v>31</v>
      </c>
      <c r="M121" s="157">
        <f t="shared" si="0"/>
        <v>200</v>
      </c>
    </row>
    <row r="122" spans="1:13" ht="15.75" customHeight="1">
      <c r="A122" s="42">
        <v>18</v>
      </c>
      <c r="B122" s="40" t="s">
        <v>1293</v>
      </c>
      <c r="C122" s="40" t="s">
        <v>25</v>
      </c>
      <c r="D122" s="40" t="s">
        <v>1294</v>
      </c>
      <c r="E122" s="40" t="s">
        <v>870</v>
      </c>
      <c r="F122" s="40"/>
      <c r="G122" s="40" t="s">
        <v>29</v>
      </c>
      <c r="H122" s="44">
        <v>1000</v>
      </c>
      <c r="I122" s="41">
        <v>200</v>
      </c>
      <c r="J122" s="40" t="s">
        <v>30</v>
      </c>
      <c r="K122" s="40" t="s">
        <v>31</v>
      </c>
      <c r="M122" s="157">
        <f t="shared" si="0"/>
        <v>200</v>
      </c>
    </row>
    <row r="123" spans="1:13" ht="15.75" customHeight="1">
      <c r="A123" s="42">
        <v>18</v>
      </c>
      <c r="B123" s="40" t="s">
        <v>1295</v>
      </c>
      <c r="C123" s="40" t="s">
        <v>25</v>
      </c>
      <c r="D123" s="40" t="s">
        <v>1256</v>
      </c>
      <c r="E123" s="40" t="s">
        <v>34</v>
      </c>
      <c r="F123" s="40"/>
      <c r="G123" s="40" t="s">
        <v>29</v>
      </c>
      <c r="H123" s="44">
        <v>1000</v>
      </c>
      <c r="I123" s="41">
        <v>200</v>
      </c>
      <c r="J123" s="40" t="s">
        <v>30</v>
      </c>
      <c r="K123" s="40" t="s">
        <v>31</v>
      </c>
      <c r="M123" s="157">
        <f t="shared" si="0"/>
        <v>200</v>
      </c>
    </row>
    <row r="124" spans="1:13" ht="15.75" customHeight="1">
      <c r="A124" s="42">
        <v>18</v>
      </c>
      <c r="B124" s="40" t="s">
        <v>1296</v>
      </c>
      <c r="C124" s="40" t="s">
        <v>25</v>
      </c>
      <c r="D124" s="40" t="s">
        <v>1297</v>
      </c>
      <c r="E124" s="40" t="s">
        <v>46</v>
      </c>
      <c r="F124" s="40"/>
      <c r="G124" s="40" t="s">
        <v>29</v>
      </c>
      <c r="H124" s="44">
        <v>4000</v>
      </c>
      <c r="I124" s="41">
        <v>800</v>
      </c>
      <c r="J124" s="40" t="s">
        <v>30</v>
      </c>
      <c r="K124" s="40" t="s">
        <v>31</v>
      </c>
      <c r="M124" s="157">
        <f t="shared" si="0"/>
        <v>800</v>
      </c>
    </row>
    <row r="125" spans="1:13" ht="15.75" customHeight="1">
      <c r="A125" s="42">
        <v>18</v>
      </c>
      <c r="B125" s="132" t="s">
        <v>1298</v>
      </c>
      <c r="C125" s="132" t="s">
        <v>25</v>
      </c>
      <c r="D125" s="132" t="s">
        <v>103</v>
      </c>
      <c r="E125" s="132" t="s">
        <v>318</v>
      </c>
      <c r="F125" s="262" t="s">
        <v>1299</v>
      </c>
      <c r="G125" s="132" t="s">
        <v>72</v>
      </c>
      <c r="H125" s="254">
        <v>3000</v>
      </c>
      <c r="I125" s="255">
        <v>3000</v>
      </c>
      <c r="J125" s="40" t="s">
        <v>30</v>
      </c>
      <c r="K125" s="40" t="s">
        <v>31</v>
      </c>
      <c r="M125" s="157">
        <f t="shared" si="0"/>
        <v>600</v>
      </c>
    </row>
    <row r="126" spans="1:13" ht="15.75" customHeight="1">
      <c r="A126" s="42">
        <v>18</v>
      </c>
      <c r="B126" s="40" t="s">
        <v>1300</v>
      </c>
      <c r="C126" s="40" t="s">
        <v>59</v>
      </c>
      <c r="D126" s="40" t="s">
        <v>1301</v>
      </c>
      <c r="E126" s="40" t="s">
        <v>801</v>
      </c>
      <c r="F126" s="43" t="s">
        <v>1302</v>
      </c>
      <c r="G126" s="40" t="s">
        <v>29</v>
      </c>
      <c r="H126" s="44">
        <v>10000</v>
      </c>
      <c r="I126" s="41">
        <v>2000</v>
      </c>
      <c r="J126" s="40" t="s">
        <v>30</v>
      </c>
      <c r="K126" s="40" t="s">
        <v>31</v>
      </c>
      <c r="M126" s="157">
        <f t="shared" si="0"/>
        <v>2000</v>
      </c>
    </row>
    <row r="127" spans="1:13" ht="15.75" customHeight="1">
      <c r="A127" s="42">
        <v>18</v>
      </c>
      <c r="B127" s="40" t="s">
        <v>1303</v>
      </c>
      <c r="C127" s="40" t="s">
        <v>25</v>
      </c>
      <c r="D127" s="40" t="s">
        <v>1304</v>
      </c>
      <c r="E127" s="40" t="s">
        <v>141</v>
      </c>
      <c r="F127" s="43" t="s">
        <v>1305</v>
      </c>
      <c r="G127" s="40" t="s">
        <v>29</v>
      </c>
      <c r="H127" s="44">
        <v>1500</v>
      </c>
      <c r="I127" s="41">
        <v>300</v>
      </c>
      <c r="J127" s="40" t="s">
        <v>30</v>
      </c>
      <c r="K127" s="40" t="s">
        <v>31</v>
      </c>
      <c r="M127" s="157">
        <f t="shared" si="0"/>
        <v>300</v>
      </c>
    </row>
    <row r="128" spans="1:13" ht="15.75" customHeight="1">
      <c r="A128" s="42">
        <v>18</v>
      </c>
      <c r="B128" s="40" t="s">
        <v>1306</v>
      </c>
      <c r="C128" s="40" t="s">
        <v>25</v>
      </c>
      <c r="D128" s="40" t="s">
        <v>1307</v>
      </c>
      <c r="E128" s="40" t="s">
        <v>1308</v>
      </c>
      <c r="F128" s="43" t="s">
        <v>1309</v>
      </c>
      <c r="G128" s="40" t="s">
        <v>29</v>
      </c>
      <c r="H128" s="44">
        <v>10000</v>
      </c>
      <c r="I128" s="41">
        <v>2000</v>
      </c>
      <c r="J128" s="40" t="s">
        <v>30</v>
      </c>
      <c r="K128" s="40" t="s">
        <v>31</v>
      </c>
      <c r="M128" s="157">
        <f t="shared" si="0"/>
        <v>2000</v>
      </c>
    </row>
    <row r="129" spans="1:13" ht="15.75" customHeight="1">
      <c r="A129" s="42">
        <v>18</v>
      </c>
      <c r="B129" s="40" t="s">
        <v>1310</v>
      </c>
      <c r="C129" s="40" t="s">
        <v>25</v>
      </c>
      <c r="D129" s="40" t="s">
        <v>63</v>
      </c>
      <c r="E129" s="40" t="s">
        <v>50</v>
      </c>
      <c r="F129" s="43" t="s">
        <v>1311</v>
      </c>
      <c r="G129" s="40" t="s">
        <v>29</v>
      </c>
      <c r="H129" s="44">
        <v>5000</v>
      </c>
      <c r="I129" s="41">
        <v>1000</v>
      </c>
      <c r="J129" s="40" t="s">
        <v>30</v>
      </c>
      <c r="K129" s="40" t="s">
        <v>31</v>
      </c>
      <c r="M129" s="157">
        <f t="shared" si="0"/>
        <v>1000</v>
      </c>
    </row>
    <row r="130" spans="1:13" ht="15.75" customHeight="1">
      <c r="A130" s="42">
        <v>18</v>
      </c>
      <c r="B130" s="40" t="s">
        <v>1312</v>
      </c>
      <c r="C130" s="40" t="s">
        <v>59</v>
      </c>
      <c r="D130" s="40" t="s">
        <v>1313</v>
      </c>
      <c r="E130" s="40" t="s">
        <v>258</v>
      </c>
      <c r="F130" s="43" t="s">
        <v>1314</v>
      </c>
      <c r="G130" s="40" t="s">
        <v>29</v>
      </c>
      <c r="H130" s="44">
        <v>1000</v>
      </c>
      <c r="I130" s="41">
        <v>200</v>
      </c>
      <c r="J130" s="40" t="s">
        <v>30</v>
      </c>
      <c r="K130" s="40" t="s">
        <v>31</v>
      </c>
      <c r="M130" s="157">
        <f t="shared" si="0"/>
        <v>200</v>
      </c>
    </row>
    <row r="131" spans="1:13" ht="15.75" customHeight="1">
      <c r="A131" s="42">
        <v>18</v>
      </c>
      <c r="B131" s="40" t="s">
        <v>1315</v>
      </c>
      <c r="C131" s="40" t="s">
        <v>59</v>
      </c>
      <c r="D131" s="40" t="s">
        <v>570</v>
      </c>
      <c r="E131" s="40" t="s">
        <v>60</v>
      </c>
      <c r="F131" s="43" t="s">
        <v>1316</v>
      </c>
      <c r="G131" s="40" t="s">
        <v>29</v>
      </c>
      <c r="H131" s="44">
        <v>600</v>
      </c>
      <c r="I131" s="41">
        <v>120</v>
      </c>
      <c r="J131" s="40" t="s">
        <v>30</v>
      </c>
      <c r="K131" s="40" t="s">
        <v>31</v>
      </c>
      <c r="M131" s="157">
        <f t="shared" si="0"/>
        <v>120</v>
      </c>
    </row>
    <row r="132" spans="1:13" ht="15.75" customHeight="1">
      <c r="A132" s="42">
        <v>18</v>
      </c>
      <c r="B132" s="40" t="s">
        <v>1317</v>
      </c>
      <c r="C132" s="40" t="s">
        <v>25</v>
      </c>
      <c r="D132" s="40" t="s">
        <v>332</v>
      </c>
      <c r="E132" s="40" t="s">
        <v>46</v>
      </c>
      <c r="F132" s="43" t="s">
        <v>1318</v>
      </c>
      <c r="G132" s="40" t="s">
        <v>29</v>
      </c>
      <c r="H132" s="44">
        <v>500</v>
      </c>
      <c r="I132" s="41">
        <v>100</v>
      </c>
      <c r="J132" s="40" t="s">
        <v>30</v>
      </c>
      <c r="K132" s="40" t="s">
        <v>31</v>
      </c>
      <c r="M132" s="157">
        <f t="shared" si="0"/>
        <v>100</v>
      </c>
    </row>
    <row r="133" spans="1:13" ht="15.75" customHeight="1">
      <c r="A133" s="42">
        <v>18</v>
      </c>
      <c r="B133" s="40" t="s">
        <v>1319</v>
      </c>
      <c r="C133" s="40" t="s">
        <v>25</v>
      </c>
      <c r="D133" s="40" t="s">
        <v>63</v>
      </c>
      <c r="E133" s="40" t="s">
        <v>96</v>
      </c>
      <c r="F133" s="43" t="s">
        <v>1320</v>
      </c>
      <c r="G133" s="40" t="s">
        <v>29</v>
      </c>
      <c r="H133" s="44">
        <v>500</v>
      </c>
      <c r="I133" s="41">
        <v>100</v>
      </c>
      <c r="J133" s="40" t="s">
        <v>30</v>
      </c>
      <c r="K133" s="40" t="s">
        <v>31</v>
      </c>
      <c r="M133" s="157">
        <f t="shared" si="0"/>
        <v>100</v>
      </c>
    </row>
    <row r="134" spans="1:13" ht="15.75" customHeight="1">
      <c r="A134" s="42">
        <v>18</v>
      </c>
      <c r="B134" s="40" t="s">
        <v>1321</v>
      </c>
      <c r="C134" s="40" t="s">
        <v>25</v>
      </c>
      <c r="D134" s="40" t="s">
        <v>328</v>
      </c>
      <c r="E134" s="40" t="s">
        <v>311</v>
      </c>
      <c r="F134" s="43" t="s">
        <v>1322</v>
      </c>
      <c r="G134" s="40" t="s">
        <v>29</v>
      </c>
      <c r="H134" s="44">
        <v>500</v>
      </c>
      <c r="I134" s="41">
        <v>100</v>
      </c>
      <c r="J134" s="40" t="s">
        <v>30</v>
      </c>
      <c r="K134" s="40" t="s">
        <v>31</v>
      </c>
      <c r="M134" s="157">
        <f t="shared" si="0"/>
        <v>100</v>
      </c>
    </row>
    <row r="135" spans="1:13" ht="15.75" customHeight="1">
      <c r="A135" s="42">
        <v>18</v>
      </c>
      <c r="B135" s="132" t="s">
        <v>1323</v>
      </c>
      <c r="C135" s="132" t="s">
        <v>25</v>
      </c>
      <c r="D135" s="132" t="s">
        <v>1105</v>
      </c>
      <c r="E135" s="132" t="s">
        <v>27</v>
      </c>
      <c r="F135" s="262" t="s">
        <v>1324</v>
      </c>
      <c r="G135" s="132" t="s">
        <v>72</v>
      </c>
      <c r="H135" s="254">
        <v>300</v>
      </c>
      <c r="I135" s="255">
        <v>300</v>
      </c>
      <c r="J135" s="40" t="s">
        <v>30</v>
      </c>
      <c r="K135" s="40" t="s">
        <v>31</v>
      </c>
      <c r="M135" s="157">
        <f t="shared" si="0"/>
        <v>60</v>
      </c>
    </row>
    <row r="136" spans="1:13" ht="15.75" customHeight="1">
      <c r="A136" s="42">
        <v>18</v>
      </c>
      <c r="B136" s="132" t="s">
        <v>714</v>
      </c>
      <c r="C136" s="132" t="s">
        <v>25</v>
      </c>
      <c r="D136" s="132" t="s">
        <v>163</v>
      </c>
      <c r="E136" s="132" t="s">
        <v>150</v>
      </c>
      <c r="F136" s="262" t="s">
        <v>716</v>
      </c>
      <c r="G136" s="132" t="s">
        <v>72</v>
      </c>
      <c r="H136" s="254">
        <v>500</v>
      </c>
      <c r="I136" s="255" t="s">
        <v>101</v>
      </c>
      <c r="J136" s="40" t="s">
        <v>30</v>
      </c>
      <c r="K136" s="40" t="s">
        <v>31</v>
      </c>
      <c r="M136" s="157">
        <f t="shared" si="0"/>
        <v>100</v>
      </c>
    </row>
    <row r="137" spans="1:13" ht="15.75" customHeight="1">
      <c r="A137" s="256">
        <v>18</v>
      </c>
      <c r="B137" s="316" t="s">
        <v>1325</v>
      </c>
      <c r="C137" s="48" t="s">
        <v>25</v>
      </c>
      <c r="D137" s="48" t="s">
        <v>103</v>
      </c>
      <c r="E137" s="48" t="s">
        <v>150</v>
      </c>
      <c r="F137" s="49" t="s">
        <v>1326</v>
      </c>
      <c r="G137" s="48" t="s">
        <v>1114</v>
      </c>
      <c r="H137" s="50">
        <v>200</v>
      </c>
      <c r="I137" s="51" t="s">
        <v>101</v>
      </c>
      <c r="J137" s="48" t="s">
        <v>30</v>
      </c>
      <c r="K137" s="48" t="s">
        <v>31</v>
      </c>
      <c r="M137" s="157">
        <f t="shared" si="0"/>
        <v>40</v>
      </c>
    </row>
    <row r="138" spans="1:13" ht="15.75" customHeight="1">
      <c r="A138" s="52">
        <v>19</v>
      </c>
      <c r="B138" s="53" t="s">
        <v>1327</v>
      </c>
      <c r="C138" s="53" t="s">
        <v>25</v>
      </c>
      <c r="D138" s="53" t="s">
        <v>732</v>
      </c>
      <c r="E138" s="53" t="s">
        <v>38</v>
      </c>
      <c r="F138" s="60" t="s">
        <v>1328</v>
      </c>
      <c r="G138" s="53" t="s">
        <v>29</v>
      </c>
      <c r="H138" s="54">
        <v>500</v>
      </c>
      <c r="I138" s="55" t="s">
        <v>101</v>
      </c>
      <c r="J138" s="53" t="s">
        <v>30</v>
      </c>
      <c r="K138" s="53" t="s">
        <v>31</v>
      </c>
      <c r="M138" s="157">
        <f t="shared" si="0"/>
        <v>100</v>
      </c>
    </row>
    <row r="139" spans="1:13" ht="15.75" customHeight="1">
      <c r="A139" s="52">
        <v>19</v>
      </c>
      <c r="B139" s="40" t="s">
        <v>1327</v>
      </c>
      <c r="C139" s="40" t="s">
        <v>25</v>
      </c>
      <c r="D139" s="40" t="s">
        <v>732</v>
      </c>
      <c r="E139" s="40" t="s">
        <v>38</v>
      </c>
      <c r="F139" s="40"/>
      <c r="G139" s="40" t="s">
        <v>29</v>
      </c>
      <c r="H139" s="44">
        <v>500</v>
      </c>
      <c r="I139" s="41">
        <v>100</v>
      </c>
      <c r="J139" s="40" t="s">
        <v>30</v>
      </c>
      <c r="K139" s="40" t="s">
        <v>31</v>
      </c>
      <c r="M139" s="157">
        <f t="shared" si="0"/>
        <v>100</v>
      </c>
    </row>
    <row r="140" spans="1:13" ht="15.75" customHeight="1">
      <c r="A140" s="52">
        <v>19</v>
      </c>
      <c r="B140" s="40" t="s">
        <v>1329</v>
      </c>
      <c r="C140" s="40" t="s">
        <v>25</v>
      </c>
      <c r="D140" s="40" t="s">
        <v>732</v>
      </c>
      <c r="E140" s="40" t="s">
        <v>38</v>
      </c>
      <c r="F140" s="43" t="s">
        <v>79</v>
      </c>
      <c r="G140" s="40" t="s">
        <v>29</v>
      </c>
      <c r="H140" s="44">
        <v>500</v>
      </c>
      <c r="I140" s="41" t="s">
        <v>101</v>
      </c>
      <c r="J140" s="40" t="s">
        <v>30</v>
      </c>
      <c r="K140" s="40" t="s">
        <v>31</v>
      </c>
      <c r="M140" s="157">
        <f t="shared" si="0"/>
        <v>100</v>
      </c>
    </row>
    <row r="141" spans="1:13" ht="15.75" customHeight="1">
      <c r="A141" s="52">
        <v>19</v>
      </c>
      <c r="B141" s="40" t="s">
        <v>1329</v>
      </c>
      <c r="C141" s="40" t="s">
        <v>25</v>
      </c>
      <c r="D141" s="40" t="s">
        <v>1330</v>
      </c>
      <c r="E141" s="40" t="s">
        <v>38</v>
      </c>
      <c r="F141" s="40"/>
      <c r="G141" s="40" t="s">
        <v>29</v>
      </c>
      <c r="H141" s="44">
        <v>500</v>
      </c>
      <c r="I141" s="41">
        <v>100</v>
      </c>
      <c r="J141" s="40" t="s">
        <v>30</v>
      </c>
      <c r="K141" s="40" t="s">
        <v>31</v>
      </c>
      <c r="M141" s="157">
        <f t="shared" si="0"/>
        <v>100</v>
      </c>
    </row>
    <row r="142" spans="1:13" ht="15.75" customHeight="1">
      <c r="A142" s="52">
        <v>19</v>
      </c>
      <c r="B142" s="40" t="s">
        <v>1331</v>
      </c>
      <c r="C142" s="40" t="s">
        <v>25</v>
      </c>
      <c r="D142" s="40" t="s">
        <v>732</v>
      </c>
      <c r="E142" s="40" t="s">
        <v>38</v>
      </c>
      <c r="F142" s="43" t="s">
        <v>1332</v>
      </c>
      <c r="G142" s="40" t="s">
        <v>29</v>
      </c>
      <c r="H142" s="44">
        <v>500</v>
      </c>
      <c r="I142" s="41" t="s">
        <v>101</v>
      </c>
      <c r="J142" s="40" t="s">
        <v>30</v>
      </c>
      <c r="K142" s="40" t="s">
        <v>31</v>
      </c>
      <c r="M142" s="157">
        <f t="shared" si="0"/>
        <v>100</v>
      </c>
    </row>
    <row r="143" spans="1:13" ht="15.75" customHeight="1">
      <c r="A143" s="52">
        <v>19</v>
      </c>
      <c r="B143" s="40" t="s">
        <v>1331</v>
      </c>
      <c r="C143" s="40" t="s">
        <v>25</v>
      </c>
      <c r="D143" s="40" t="s">
        <v>732</v>
      </c>
      <c r="E143" s="40" t="s">
        <v>38</v>
      </c>
      <c r="F143" s="40"/>
      <c r="G143" s="40" t="s">
        <v>29</v>
      </c>
      <c r="H143" s="44">
        <v>500</v>
      </c>
      <c r="I143" s="41">
        <v>100</v>
      </c>
      <c r="J143" s="40" t="s">
        <v>30</v>
      </c>
      <c r="K143" s="40" t="s">
        <v>31</v>
      </c>
      <c r="M143" s="157">
        <f t="shared" si="0"/>
        <v>100</v>
      </c>
    </row>
    <row r="144" spans="1:13" ht="15.75" customHeight="1">
      <c r="A144" s="52">
        <v>19</v>
      </c>
      <c r="B144" s="40" t="s">
        <v>1333</v>
      </c>
      <c r="C144" s="40" t="s">
        <v>25</v>
      </c>
      <c r="D144" s="40" t="s">
        <v>68</v>
      </c>
      <c r="E144" s="40" t="s">
        <v>38</v>
      </c>
      <c r="F144" s="43" t="s">
        <v>1334</v>
      </c>
      <c r="G144" s="40" t="s">
        <v>29</v>
      </c>
      <c r="H144" s="44">
        <v>500</v>
      </c>
      <c r="I144" s="41">
        <v>100</v>
      </c>
      <c r="J144" s="40" t="s">
        <v>30</v>
      </c>
      <c r="K144" s="40" t="s">
        <v>31</v>
      </c>
      <c r="M144" s="157">
        <f t="shared" si="0"/>
        <v>100</v>
      </c>
    </row>
    <row r="145" spans="1:16" ht="15.75" customHeight="1">
      <c r="A145" s="52">
        <v>19</v>
      </c>
      <c r="B145" s="40" t="s">
        <v>1335</v>
      </c>
      <c r="C145" s="40" t="s">
        <v>25</v>
      </c>
      <c r="D145" s="40" t="s">
        <v>1336</v>
      </c>
      <c r="E145" s="40" t="s">
        <v>38</v>
      </c>
      <c r="F145" s="43" t="s">
        <v>79</v>
      </c>
      <c r="G145" s="40" t="s">
        <v>29</v>
      </c>
      <c r="H145" s="44">
        <v>500</v>
      </c>
      <c r="I145" s="41">
        <v>100</v>
      </c>
      <c r="J145" s="40" t="s">
        <v>30</v>
      </c>
      <c r="K145" s="40" t="s">
        <v>31</v>
      </c>
      <c r="M145" s="157">
        <f t="shared" si="0"/>
        <v>100</v>
      </c>
      <c r="P145" s="45"/>
    </row>
    <row r="146" spans="1:16" ht="15.75" customHeight="1">
      <c r="A146" s="52">
        <v>19</v>
      </c>
      <c r="B146" s="40" t="s">
        <v>1337</v>
      </c>
      <c r="C146" s="40" t="s">
        <v>25</v>
      </c>
      <c r="D146" s="40" t="s">
        <v>1282</v>
      </c>
      <c r="E146" s="40" t="s">
        <v>38</v>
      </c>
      <c r="F146" s="43" t="s">
        <v>1338</v>
      </c>
      <c r="G146" s="40" t="s">
        <v>29</v>
      </c>
      <c r="H146" s="44">
        <v>500</v>
      </c>
      <c r="I146" s="41">
        <v>100</v>
      </c>
      <c r="J146" s="40" t="s">
        <v>30</v>
      </c>
      <c r="K146" s="40" t="s">
        <v>31</v>
      </c>
      <c r="M146" s="157">
        <f t="shared" si="0"/>
        <v>100</v>
      </c>
      <c r="P146" s="45"/>
    </row>
    <row r="147" spans="1:16" ht="15.75" customHeight="1">
      <c r="A147" s="52">
        <v>19</v>
      </c>
      <c r="B147" s="40" t="s">
        <v>1339</v>
      </c>
      <c r="C147" s="40" t="s">
        <v>25</v>
      </c>
      <c r="D147" s="40" t="s">
        <v>258</v>
      </c>
      <c r="E147" s="40" t="s">
        <v>96</v>
      </c>
      <c r="F147" s="43" t="s">
        <v>1340</v>
      </c>
      <c r="G147" s="40" t="s">
        <v>29</v>
      </c>
      <c r="H147" s="44">
        <v>500</v>
      </c>
      <c r="I147" s="41">
        <v>100</v>
      </c>
      <c r="J147" s="40" t="s">
        <v>30</v>
      </c>
      <c r="K147" s="40" t="s">
        <v>31</v>
      </c>
      <c r="M147" s="157">
        <f t="shared" si="0"/>
        <v>100</v>
      </c>
      <c r="P147" s="45"/>
    </row>
    <row r="148" spans="1:16" ht="15.75" customHeight="1">
      <c r="A148" s="52">
        <v>19</v>
      </c>
      <c r="B148" s="40" t="s">
        <v>1341</v>
      </c>
      <c r="C148" s="40" t="s">
        <v>25</v>
      </c>
      <c r="D148" s="40" t="s">
        <v>593</v>
      </c>
      <c r="E148" s="40" t="s">
        <v>96</v>
      </c>
      <c r="F148" s="43" t="s">
        <v>1342</v>
      </c>
      <c r="G148" s="40" t="s">
        <v>29</v>
      </c>
      <c r="H148" s="44">
        <v>500</v>
      </c>
      <c r="I148" s="41">
        <v>100</v>
      </c>
      <c r="J148" s="40" t="s">
        <v>30</v>
      </c>
      <c r="K148" s="40" t="s">
        <v>31</v>
      </c>
      <c r="M148" s="157">
        <f t="shared" si="0"/>
        <v>100</v>
      </c>
      <c r="P148" s="45"/>
    </row>
    <row r="149" spans="1:16" ht="15.75" customHeight="1">
      <c r="A149" s="52">
        <v>19</v>
      </c>
      <c r="B149" s="40" t="s">
        <v>1343</v>
      </c>
      <c r="C149" s="40" t="s">
        <v>59</v>
      </c>
      <c r="D149" s="40" t="s">
        <v>1173</v>
      </c>
      <c r="E149" s="40" t="s">
        <v>561</v>
      </c>
      <c r="F149" s="43" t="s">
        <v>1174</v>
      </c>
      <c r="G149" s="40" t="s">
        <v>29</v>
      </c>
      <c r="H149" s="44">
        <v>500</v>
      </c>
      <c r="I149" s="41">
        <v>100</v>
      </c>
      <c r="J149" s="40" t="s">
        <v>30</v>
      </c>
      <c r="K149" s="40" t="s">
        <v>31</v>
      </c>
      <c r="M149" s="157">
        <f t="shared" si="0"/>
        <v>100</v>
      </c>
    </row>
    <row r="150" spans="1:16" ht="15.75" customHeight="1">
      <c r="A150" s="52">
        <v>19</v>
      </c>
      <c r="B150" s="40" t="s">
        <v>551</v>
      </c>
      <c r="C150" s="40" t="s">
        <v>25</v>
      </c>
      <c r="D150" s="40" t="s">
        <v>552</v>
      </c>
      <c r="E150" s="40" t="s">
        <v>46</v>
      </c>
      <c r="F150" s="40"/>
      <c r="G150" s="40" t="s">
        <v>29</v>
      </c>
      <c r="H150" s="44">
        <v>500</v>
      </c>
      <c r="I150" s="41">
        <v>100</v>
      </c>
      <c r="J150" s="40" t="s">
        <v>30</v>
      </c>
      <c r="K150" s="40" t="s">
        <v>31</v>
      </c>
      <c r="M150" s="157">
        <f t="shared" si="0"/>
        <v>100</v>
      </c>
    </row>
    <row r="151" spans="1:16" ht="15.75" customHeight="1">
      <c r="A151" s="52">
        <v>19</v>
      </c>
      <c r="B151" s="40" t="s">
        <v>1344</v>
      </c>
      <c r="C151" s="40" t="s">
        <v>25</v>
      </c>
      <c r="D151" s="40" t="s">
        <v>63</v>
      </c>
      <c r="E151" s="40" t="s">
        <v>96</v>
      </c>
      <c r="F151" s="43" t="s">
        <v>1345</v>
      </c>
      <c r="G151" s="40" t="s">
        <v>29</v>
      </c>
      <c r="H151" s="44">
        <v>1000</v>
      </c>
      <c r="I151" s="41">
        <v>200</v>
      </c>
      <c r="J151" s="40" t="s">
        <v>30</v>
      </c>
      <c r="K151" s="40" t="s">
        <v>31</v>
      </c>
      <c r="M151" s="157">
        <f t="shared" si="0"/>
        <v>200</v>
      </c>
    </row>
    <row r="152" spans="1:16" ht="15.75" customHeight="1">
      <c r="A152" s="52">
        <v>19</v>
      </c>
      <c r="B152" s="40" t="s">
        <v>1346</v>
      </c>
      <c r="C152" s="40" t="s">
        <v>25</v>
      </c>
      <c r="D152" s="40" t="s">
        <v>303</v>
      </c>
      <c r="E152" s="40" t="s">
        <v>96</v>
      </c>
      <c r="F152" s="43" t="s">
        <v>1347</v>
      </c>
      <c r="G152" s="40" t="s">
        <v>29</v>
      </c>
      <c r="H152" s="44">
        <v>1000</v>
      </c>
      <c r="I152" s="41">
        <v>200</v>
      </c>
      <c r="J152" s="40" t="s">
        <v>30</v>
      </c>
      <c r="K152" s="40" t="s">
        <v>31</v>
      </c>
      <c r="M152" s="157">
        <f t="shared" si="0"/>
        <v>200</v>
      </c>
    </row>
    <row r="153" spans="1:16" ht="15.75" customHeight="1">
      <c r="A153" s="52">
        <v>19</v>
      </c>
      <c r="B153" s="40" t="s">
        <v>1348</v>
      </c>
      <c r="C153" s="40" t="s">
        <v>25</v>
      </c>
      <c r="D153" s="40" t="s">
        <v>1349</v>
      </c>
      <c r="E153" s="40" t="s">
        <v>249</v>
      </c>
      <c r="F153" s="43" t="s">
        <v>1350</v>
      </c>
      <c r="G153" s="40" t="s">
        <v>29</v>
      </c>
      <c r="H153" s="44">
        <v>1000</v>
      </c>
      <c r="I153" s="41">
        <v>200</v>
      </c>
      <c r="J153" s="40" t="s">
        <v>30</v>
      </c>
      <c r="K153" s="40" t="s">
        <v>31</v>
      </c>
      <c r="M153" s="157">
        <f t="shared" si="0"/>
        <v>200</v>
      </c>
    </row>
    <row r="154" spans="1:16" ht="15.75" customHeight="1">
      <c r="A154" s="52">
        <v>19</v>
      </c>
      <c r="B154" s="40" t="s">
        <v>1351</v>
      </c>
      <c r="C154" s="40" t="s">
        <v>25</v>
      </c>
      <c r="D154" s="40" t="s">
        <v>263</v>
      </c>
      <c r="E154" s="40" t="s">
        <v>42</v>
      </c>
      <c r="F154" s="43" t="s">
        <v>79</v>
      </c>
      <c r="G154" s="40" t="s">
        <v>29</v>
      </c>
      <c r="H154" s="44">
        <v>1500</v>
      </c>
      <c r="I154" s="41">
        <v>300</v>
      </c>
      <c r="J154" s="40" t="s">
        <v>30</v>
      </c>
      <c r="K154" s="40" t="s">
        <v>31</v>
      </c>
      <c r="M154" s="157">
        <f t="shared" si="0"/>
        <v>300</v>
      </c>
    </row>
    <row r="155" spans="1:16" ht="15.75" customHeight="1">
      <c r="A155" s="52">
        <v>19</v>
      </c>
      <c r="B155" s="40" t="s">
        <v>1352</v>
      </c>
      <c r="C155" s="40" t="s">
        <v>25</v>
      </c>
      <c r="D155" s="40" t="s">
        <v>27</v>
      </c>
      <c r="E155" s="40" t="s">
        <v>60</v>
      </c>
      <c r="F155" s="43" t="s">
        <v>1353</v>
      </c>
      <c r="G155" s="40" t="s">
        <v>29</v>
      </c>
      <c r="H155" s="44">
        <v>2000</v>
      </c>
      <c r="I155" s="41">
        <v>400</v>
      </c>
      <c r="J155" s="40" t="s">
        <v>30</v>
      </c>
      <c r="K155" s="40" t="s">
        <v>31</v>
      </c>
      <c r="M155" s="157">
        <f t="shared" si="0"/>
        <v>400</v>
      </c>
    </row>
    <row r="156" spans="1:16" ht="15.75" customHeight="1">
      <c r="A156" s="52">
        <v>19</v>
      </c>
      <c r="B156" s="40" t="s">
        <v>1354</v>
      </c>
      <c r="C156" s="40" t="s">
        <v>25</v>
      </c>
      <c r="D156" s="40" t="s">
        <v>235</v>
      </c>
      <c r="E156" s="40" t="s">
        <v>78</v>
      </c>
      <c r="F156" s="43" t="s">
        <v>1355</v>
      </c>
      <c r="G156" s="40" t="s">
        <v>29</v>
      </c>
      <c r="H156" s="44">
        <v>300</v>
      </c>
      <c r="I156" s="41">
        <v>60</v>
      </c>
      <c r="J156" s="40" t="s">
        <v>30</v>
      </c>
      <c r="K156" s="40" t="s">
        <v>31</v>
      </c>
      <c r="M156" s="157">
        <f t="shared" si="0"/>
        <v>60</v>
      </c>
    </row>
    <row r="157" spans="1:16" ht="15.75" customHeight="1">
      <c r="A157" s="52">
        <v>19</v>
      </c>
      <c r="B157" s="40" t="s">
        <v>1356</v>
      </c>
      <c r="C157" s="40" t="s">
        <v>25</v>
      </c>
      <c r="D157" s="40" t="s">
        <v>1190</v>
      </c>
      <c r="E157" s="40" t="s">
        <v>42</v>
      </c>
      <c r="F157" s="43" t="s">
        <v>79</v>
      </c>
      <c r="G157" s="40" t="s">
        <v>29</v>
      </c>
      <c r="H157" s="44">
        <v>10000</v>
      </c>
      <c r="I157" s="41">
        <v>2000</v>
      </c>
      <c r="J157" s="40" t="s">
        <v>30</v>
      </c>
      <c r="K157" s="40" t="s">
        <v>31</v>
      </c>
      <c r="M157" s="157">
        <f t="shared" si="0"/>
        <v>2000</v>
      </c>
    </row>
    <row r="158" spans="1:16" ht="15.75" customHeight="1">
      <c r="A158" s="52">
        <v>19</v>
      </c>
      <c r="B158" s="40" t="s">
        <v>1357</v>
      </c>
      <c r="C158" s="40" t="s">
        <v>25</v>
      </c>
      <c r="D158" s="40" t="s">
        <v>263</v>
      </c>
      <c r="E158" s="40" t="s">
        <v>42</v>
      </c>
      <c r="F158" s="40"/>
      <c r="G158" s="40" t="s">
        <v>29</v>
      </c>
      <c r="H158" s="44">
        <v>200</v>
      </c>
      <c r="I158" s="41">
        <v>40</v>
      </c>
      <c r="J158" s="40" t="s">
        <v>30</v>
      </c>
      <c r="K158" s="40" t="s">
        <v>31</v>
      </c>
      <c r="M158" s="157">
        <f t="shared" si="0"/>
        <v>40</v>
      </c>
    </row>
    <row r="159" spans="1:16" ht="15.75" customHeight="1">
      <c r="A159" s="52">
        <v>19</v>
      </c>
      <c r="B159" s="132" t="s">
        <v>1191</v>
      </c>
      <c r="C159" s="132" t="s">
        <v>25</v>
      </c>
      <c r="D159" s="132" t="s">
        <v>287</v>
      </c>
      <c r="E159" s="132" t="s">
        <v>78</v>
      </c>
      <c r="F159" s="262" t="s">
        <v>1358</v>
      </c>
      <c r="G159" s="132" t="s">
        <v>72</v>
      </c>
      <c r="H159" s="254">
        <v>200</v>
      </c>
      <c r="I159" s="255" t="s">
        <v>101</v>
      </c>
      <c r="J159" s="40" t="s">
        <v>30</v>
      </c>
      <c r="K159" s="40" t="s">
        <v>31</v>
      </c>
      <c r="M159" s="157">
        <f t="shared" si="0"/>
        <v>40</v>
      </c>
    </row>
    <row r="160" spans="1:16" ht="15.75" customHeight="1">
      <c r="A160" s="256">
        <v>19</v>
      </c>
      <c r="B160" s="317" t="s">
        <v>1359</v>
      </c>
      <c r="C160" s="317" t="s">
        <v>25</v>
      </c>
      <c r="D160" s="317" t="s">
        <v>1360</v>
      </c>
      <c r="E160" s="317" t="s">
        <v>150</v>
      </c>
      <c r="F160" s="318" t="s">
        <v>1361</v>
      </c>
      <c r="G160" s="317" t="s">
        <v>72</v>
      </c>
      <c r="H160" s="319">
        <v>180</v>
      </c>
      <c r="I160" s="320" t="s">
        <v>101</v>
      </c>
      <c r="J160" s="48" t="s">
        <v>30</v>
      </c>
      <c r="K160" s="48" t="s">
        <v>31</v>
      </c>
      <c r="M160" s="157">
        <f t="shared" si="0"/>
        <v>36</v>
      </c>
    </row>
    <row r="161" spans="1:17" ht="15.75" customHeight="1">
      <c r="A161" s="52">
        <v>20</v>
      </c>
      <c r="B161" s="53" t="s">
        <v>944</v>
      </c>
      <c r="C161" s="53" t="s">
        <v>25</v>
      </c>
      <c r="D161" s="53" t="s">
        <v>63</v>
      </c>
      <c r="E161" s="53" t="s">
        <v>38</v>
      </c>
      <c r="F161" s="60" t="s">
        <v>945</v>
      </c>
      <c r="G161" s="53" t="s">
        <v>29</v>
      </c>
      <c r="H161" s="54">
        <v>5000</v>
      </c>
      <c r="I161" s="55">
        <v>1000</v>
      </c>
      <c r="J161" s="53" t="s">
        <v>30</v>
      </c>
      <c r="K161" s="53" t="s">
        <v>31</v>
      </c>
      <c r="M161" s="157">
        <f t="shared" si="0"/>
        <v>1000</v>
      </c>
    </row>
    <row r="162" spans="1:17" ht="15.75" customHeight="1">
      <c r="A162" s="52">
        <v>20</v>
      </c>
      <c r="B162" s="132" t="s">
        <v>944</v>
      </c>
      <c r="C162" s="132" t="s">
        <v>25</v>
      </c>
      <c r="D162" s="132" t="s">
        <v>63</v>
      </c>
      <c r="E162" s="132" t="s">
        <v>38</v>
      </c>
      <c r="F162" s="132"/>
      <c r="G162" s="132" t="s">
        <v>72</v>
      </c>
      <c r="H162" s="254">
        <v>50</v>
      </c>
      <c r="I162" s="255">
        <v>50</v>
      </c>
      <c r="J162" s="40" t="s">
        <v>30</v>
      </c>
      <c r="K162" s="40" t="s">
        <v>31</v>
      </c>
      <c r="M162" s="157">
        <f t="shared" si="0"/>
        <v>10</v>
      </c>
    </row>
    <row r="163" spans="1:17" ht="15.75" customHeight="1">
      <c r="A163" s="52">
        <v>20</v>
      </c>
      <c r="B163" s="40" t="s">
        <v>1362</v>
      </c>
      <c r="C163" s="40" t="s">
        <v>25</v>
      </c>
      <c r="D163" s="40" t="s">
        <v>63</v>
      </c>
      <c r="E163" s="40" t="s">
        <v>60</v>
      </c>
      <c r="F163" s="43" t="s">
        <v>1363</v>
      </c>
      <c r="G163" s="40" t="s">
        <v>29</v>
      </c>
      <c r="H163" s="44">
        <v>4000</v>
      </c>
      <c r="I163" s="41">
        <v>800</v>
      </c>
      <c r="J163" s="40" t="s">
        <v>30</v>
      </c>
      <c r="K163" s="40" t="s">
        <v>31</v>
      </c>
      <c r="M163" s="157">
        <f t="shared" si="0"/>
        <v>800</v>
      </c>
    </row>
    <row r="164" spans="1:17" ht="15.75" customHeight="1">
      <c r="A164" s="52">
        <v>20</v>
      </c>
      <c r="B164" s="132" t="s">
        <v>1362</v>
      </c>
      <c r="C164" s="132" t="s">
        <v>25</v>
      </c>
      <c r="D164" s="132" t="s">
        <v>63</v>
      </c>
      <c r="E164" s="132" t="s">
        <v>60</v>
      </c>
      <c r="F164" s="132"/>
      <c r="G164" s="132" t="s">
        <v>72</v>
      </c>
      <c r="H164" s="254">
        <v>2000</v>
      </c>
      <c r="I164" s="255">
        <v>2000</v>
      </c>
      <c r="J164" s="40" t="s">
        <v>30</v>
      </c>
      <c r="K164" s="40" t="s">
        <v>31</v>
      </c>
      <c r="M164" s="157">
        <f t="shared" si="0"/>
        <v>400</v>
      </c>
    </row>
    <row r="165" spans="1:17" ht="15.75" customHeight="1">
      <c r="A165" s="52">
        <v>20</v>
      </c>
      <c r="B165" s="40" t="s">
        <v>1364</v>
      </c>
      <c r="C165" s="40" t="s">
        <v>25</v>
      </c>
      <c r="D165" s="40" t="s">
        <v>1365</v>
      </c>
      <c r="E165" s="40" t="s">
        <v>96</v>
      </c>
      <c r="F165" s="43" t="s">
        <v>1366</v>
      </c>
      <c r="G165" s="40" t="s">
        <v>29</v>
      </c>
      <c r="H165" s="44">
        <v>2500</v>
      </c>
      <c r="I165" s="41">
        <v>500</v>
      </c>
      <c r="J165" s="40" t="s">
        <v>30</v>
      </c>
      <c r="K165" s="40" t="s">
        <v>31</v>
      </c>
      <c r="M165" s="157">
        <f t="shared" si="0"/>
        <v>500</v>
      </c>
    </row>
    <row r="166" spans="1:17" ht="15.75" customHeight="1">
      <c r="A166" s="52">
        <v>20</v>
      </c>
      <c r="B166" s="40" t="s">
        <v>1367</v>
      </c>
      <c r="C166" s="40" t="s">
        <v>59</v>
      </c>
      <c r="D166" s="40" t="s">
        <v>779</v>
      </c>
      <c r="E166" s="40" t="s">
        <v>42</v>
      </c>
      <c r="F166" s="43" t="s">
        <v>1368</v>
      </c>
      <c r="G166" s="40" t="s">
        <v>29</v>
      </c>
      <c r="H166" s="44">
        <v>1500</v>
      </c>
      <c r="I166" s="41">
        <v>300</v>
      </c>
      <c r="J166" s="40" t="s">
        <v>30</v>
      </c>
      <c r="K166" s="40" t="s">
        <v>31</v>
      </c>
      <c r="M166" s="157">
        <f t="shared" si="0"/>
        <v>300</v>
      </c>
    </row>
    <row r="167" spans="1:17" ht="15.75" customHeight="1">
      <c r="A167" s="52">
        <v>20</v>
      </c>
      <c r="B167" s="40" t="s">
        <v>1369</v>
      </c>
      <c r="C167" s="40" t="s">
        <v>25</v>
      </c>
      <c r="D167" s="40" t="s">
        <v>831</v>
      </c>
      <c r="E167" s="40" t="s">
        <v>50</v>
      </c>
      <c r="F167" s="43" t="s">
        <v>79</v>
      </c>
      <c r="G167" s="40" t="s">
        <v>29</v>
      </c>
      <c r="H167" s="44">
        <v>1200</v>
      </c>
      <c r="I167" s="41">
        <v>240</v>
      </c>
      <c r="J167" s="40" t="s">
        <v>30</v>
      </c>
      <c r="K167" s="40" t="s">
        <v>31</v>
      </c>
      <c r="M167" s="157">
        <f t="shared" si="0"/>
        <v>240</v>
      </c>
    </row>
    <row r="168" spans="1:17" ht="15.75" customHeight="1">
      <c r="A168" s="52">
        <v>20</v>
      </c>
      <c r="B168" s="40" t="s">
        <v>1370</v>
      </c>
      <c r="C168" s="40" t="s">
        <v>59</v>
      </c>
      <c r="D168" s="40" t="s">
        <v>1371</v>
      </c>
      <c r="E168" s="40" t="s">
        <v>96</v>
      </c>
      <c r="F168" s="43" t="s">
        <v>1372</v>
      </c>
      <c r="G168" s="40" t="s">
        <v>29</v>
      </c>
      <c r="H168" s="44">
        <v>3500</v>
      </c>
      <c r="I168" s="41">
        <v>700</v>
      </c>
      <c r="J168" s="40" t="s">
        <v>30</v>
      </c>
      <c r="K168" s="40" t="s">
        <v>31</v>
      </c>
      <c r="M168" s="157">
        <f t="shared" si="0"/>
        <v>700</v>
      </c>
    </row>
    <row r="169" spans="1:17" ht="15.75" customHeight="1">
      <c r="A169" s="52">
        <v>20</v>
      </c>
      <c r="B169" s="40" t="s">
        <v>1373</v>
      </c>
      <c r="C169" s="40" t="s">
        <v>25</v>
      </c>
      <c r="D169" s="40" t="s">
        <v>1374</v>
      </c>
      <c r="E169" s="40" t="s">
        <v>166</v>
      </c>
      <c r="F169" s="43" t="s">
        <v>1375</v>
      </c>
      <c r="G169" s="40" t="s">
        <v>29</v>
      </c>
      <c r="H169" s="44">
        <v>5000</v>
      </c>
      <c r="I169" s="41">
        <v>1000</v>
      </c>
      <c r="J169" s="40" t="s">
        <v>30</v>
      </c>
      <c r="K169" s="40" t="s">
        <v>31</v>
      </c>
      <c r="M169" s="157">
        <f t="shared" si="0"/>
        <v>1000</v>
      </c>
    </row>
    <row r="170" spans="1:17" ht="15.75" customHeight="1">
      <c r="A170" s="52">
        <v>20</v>
      </c>
      <c r="B170" s="132" t="s">
        <v>1273</v>
      </c>
      <c r="C170" s="132" t="s">
        <v>25</v>
      </c>
      <c r="D170" s="132" t="s">
        <v>328</v>
      </c>
      <c r="E170" s="132" t="s">
        <v>60</v>
      </c>
      <c r="F170" s="262" t="s">
        <v>1274</v>
      </c>
      <c r="G170" s="132" t="s">
        <v>72</v>
      </c>
      <c r="H170" s="254">
        <v>600</v>
      </c>
      <c r="I170" s="255">
        <v>600</v>
      </c>
      <c r="J170" s="40" t="s">
        <v>30</v>
      </c>
      <c r="K170" s="40" t="s">
        <v>31</v>
      </c>
      <c r="M170" s="157">
        <f t="shared" si="0"/>
        <v>120</v>
      </c>
      <c r="Q170" s="45"/>
    </row>
    <row r="171" spans="1:17" ht="15.75" customHeight="1">
      <c r="A171" s="52">
        <v>20</v>
      </c>
      <c r="B171" s="132" t="s">
        <v>165</v>
      </c>
      <c r="C171" s="132" t="s">
        <v>25</v>
      </c>
      <c r="D171" s="132" t="s">
        <v>63</v>
      </c>
      <c r="E171" s="132" t="s">
        <v>166</v>
      </c>
      <c r="F171" s="262" t="s">
        <v>167</v>
      </c>
      <c r="G171" s="132" t="s">
        <v>72</v>
      </c>
      <c r="H171" s="254">
        <v>200</v>
      </c>
      <c r="I171" s="255" t="s">
        <v>101</v>
      </c>
      <c r="J171" s="40" t="s">
        <v>30</v>
      </c>
      <c r="K171" s="40" t="s">
        <v>31</v>
      </c>
      <c r="M171" s="157">
        <f t="shared" si="0"/>
        <v>40</v>
      </c>
      <c r="Q171" s="45"/>
    </row>
    <row r="172" spans="1:17" ht="15.75" customHeight="1">
      <c r="A172" s="52">
        <v>20</v>
      </c>
      <c r="B172" s="40" t="s">
        <v>165</v>
      </c>
      <c r="C172" s="40" t="s">
        <v>25</v>
      </c>
      <c r="D172" s="40" t="s">
        <v>63</v>
      </c>
      <c r="E172" s="40" t="s">
        <v>166</v>
      </c>
      <c r="F172" s="40"/>
      <c r="G172" s="40" t="s">
        <v>1114</v>
      </c>
      <c r="H172" s="44">
        <v>20</v>
      </c>
      <c r="I172" s="41" t="s">
        <v>101</v>
      </c>
      <c r="J172" s="40" t="s">
        <v>30</v>
      </c>
      <c r="K172" s="40" t="s">
        <v>31</v>
      </c>
      <c r="M172" s="157">
        <f t="shared" si="0"/>
        <v>4</v>
      </c>
    </row>
    <row r="173" spans="1:17" ht="15.75" customHeight="1">
      <c r="A173" s="52">
        <v>20</v>
      </c>
      <c r="B173" s="40" t="s">
        <v>1376</v>
      </c>
      <c r="C173" s="40" t="s">
        <v>25</v>
      </c>
      <c r="D173" s="40" t="s">
        <v>1377</v>
      </c>
      <c r="E173" s="40" t="s">
        <v>50</v>
      </c>
      <c r="F173" s="43" t="s">
        <v>1378</v>
      </c>
      <c r="G173" s="40" t="s">
        <v>29</v>
      </c>
      <c r="H173" s="44">
        <v>700</v>
      </c>
      <c r="I173" s="41">
        <v>140</v>
      </c>
      <c r="J173" s="40" t="s">
        <v>30</v>
      </c>
      <c r="K173" s="40" t="s">
        <v>31</v>
      </c>
      <c r="M173" s="157">
        <f t="shared" si="0"/>
        <v>140</v>
      </c>
      <c r="Q173" s="45"/>
    </row>
    <row r="174" spans="1:17" ht="15.75" customHeight="1">
      <c r="A174" s="52">
        <v>20</v>
      </c>
      <c r="B174" s="40" t="s">
        <v>1379</v>
      </c>
      <c r="C174" s="40" t="s">
        <v>25</v>
      </c>
      <c r="D174" s="40" t="s">
        <v>706</v>
      </c>
      <c r="E174" s="40" t="s">
        <v>38</v>
      </c>
      <c r="F174" s="40"/>
      <c r="G174" s="40" t="s">
        <v>29</v>
      </c>
      <c r="H174" s="44">
        <v>500</v>
      </c>
      <c r="I174" s="41">
        <v>100</v>
      </c>
      <c r="J174" s="40" t="s">
        <v>30</v>
      </c>
      <c r="K174" s="40" t="s">
        <v>31</v>
      </c>
      <c r="M174" s="157">
        <f t="shared" si="0"/>
        <v>100</v>
      </c>
      <c r="Q174" s="45"/>
    </row>
    <row r="175" spans="1:17" ht="15.75" customHeight="1">
      <c r="A175" s="52">
        <v>20</v>
      </c>
      <c r="B175" s="40" t="s">
        <v>1380</v>
      </c>
      <c r="C175" s="40" t="s">
        <v>25</v>
      </c>
      <c r="D175" s="40" t="s">
        <v>779</v>
      </c>
      <c r="E175" s="40" t="s">
        <v>42</v>
      </c>
      <c r="F175" s="43" t="s">
        <v>1381</v>
      </c>
      <c r="G175" s="40" t="s">
        <v>29</v>
      </c>
      <c r="H175" s="44">
        <v>1500</v>
      </c>
      <c r="I175" s="41">
        <v>300</v>
      </c>
      <c r="J175" s="40" t="s">
        <v>30</v>
      </c>
      <c r="K175" s="40" t="s">
        <v>31</v>
      </c>
      <c r="M175" s="157">
        <f t="shared" si="0"/>
        <v>300</v>
      </c>
    </row>
    <row r="176" spans="1:17" ht="15.75" customHeight="1">
      <c r="A176" s="52">
        <v>20</v>
      </c>
      <c r="B176" s="40" t="s">
        <v>1382</v>
      </c>
      <c r="C176" s="40" t="s">
        <v>25</v>
      </c>
      <c r="D176" s="40" t="s">
        <v>836</v>
      </c>
      <c r="E176" s="40" t="s">
        <v>42</v>
      </c>
      <c r="F176" s="43" t="s">
        <v>1383</v>
      </c>
      <c r="G176" s="40" t="s">
        <v>29</v>
      </c>
      <c r="H176" s="44">
        <v>5200</v>
      </c>
      <c r="I176" s="41">
        <v>1040</v>
      </c>
      <c r="J176" s="40" t="s">
        <v>30</v>
      </c>
      <c r="K176" s="40" t="s">
        <v>31</v>
      </c>
      <c r="M176" s="157">
        <f t="shared" si="0"/>
        <v>1040</v>
      </c>
      <c r="Q176" s="45"/>
    </row>
    <row r="177" spans="1:13" ht="15.75" customHeight="1">
      <c r="A177" s="52">
        <v>20</v>
      </c>
      <c r="B177" s="40" t="s">
        <v>1384</v>
      </c>
      <c r="C177" s="40" t="s">
        <v>59</v>
      </c>
      <c r="D177" s="40" t="s">
        <v>86</v>
      </c>
      <c r="E177" s="40" t="s">
        <v>42</v>
      </c>
      <c r="F177" s="43" t="s">
        <v>1385</v>
      </c>
      <c r="G177" s="40" t="s">
        <v>29</v>
      </c>
      <c r="H177" s="44">
        <v>12000</v>
      </c>
      <c r="I177" s="41">
        <v>2400</v>
      </c>
      <c r="J177" s="40" t="s">
        <v>30</v>
      </c>
      <c r="K177" s="40" t="s">
        <v>31</v>
      </c>
      <c r="M177" s="157">
        <f t="shared" si="0"/>
        <v>2400</v>
      </c>
    </row>
    <row r="178" spans="1:13" ht="15.75" customHeight="1">
      <c r="A178" s="52">
        <v>20</v>
      </c>
      <c r="B178" s="40" t="s">
        <v>1074</v>
      </c>
      <c r="C178" s="40" t="s">
        <v>25</v>
      </c>
      <c r="D178" s="40" t="s">
        <v>1075</v>
      </c>
      <c r="E178" s="40" t="s">
        <v>46</v>
      </c>
      <c r="F178" s="40"/>
      <c r="G178" s="40" t="s">
        <v>29</v>
      </c>
      <c r="H178" s="44">
        <v>1000</v>
      </c>
      <c r="I178" s="41">
        <v>200</v>
      </c>
      <c r="J178" s="40" t="s">
        <v>30</v>
      </c>
      <c r="K178" s="40" t="s">
        <v>31</v>
      </c>
      <c r="M178" s="157">
        <f t="shared" si="0"/>
        <v>200</v>
      </c>
    </row>
    <row r="179" spans="1:13" ht="15.75" customHeight="1">
      <c r="A179" s="52">
        <v>20</v>
      </c>
      <c r="B179" s="40" t="s">
        <v>1386</v>
      </c>
      <c r="C179" s="40" t="s">
        <v>59</v>
      </c>
      <c r="D179" s="40" t="s">
        <v>63</v>
      </c>
      <c r="E179" s="40" t="s">
        <v>96</v>
      </c>
      <c r="F179" s="43" t="s">
        <v>1387</v>
      </c>
      <c r="G179" s="40" t="s">
        <v>29</v>
      </c>
      <c r="H179" s="44">
        <v>1000</v>
      </c>
      <c r="I179" s="41">
        <v>200</v>
      </c>
      <c r="J179" s="40" t="s">
        <v>30</v>
      </c>
      <c r="K179" s="40" t="s">
        <v>31</v>
      </c>
      <c r="M179" s="157">
        <f t="shared" si="0"/>
        <v>200</v>
      </c>
    </row>
    <row r="180" spans="1:13" ht="15.75" customHeight="1">
      <c r="A180" s="52">
        <v>20</v>
      </c>
      <c r="B180" s="40" t="s">
        <v>1388</v>
      </c>
      <c r="C180" s="40" t="s">
        <v>25</v>
      </c>
      <c r="D180" s="40" t="s">
        <v>99</v>
      </c>
      <c r="E180" s="40" t="s">
        <v>42</v>
      </c>
      <c r="F180" s="43" t="s">
        <v>79</v>
      </c>
      <c r="G180" s="40" t="s">
        <v>29</v>
      </c>
      <c r="H180" s="44">
        <v>1000</v>
      </c>
      <c r="I180" s="41">
        <v>200</v>
      </c>
      <c r="J180" s="40" t="s">
        <v>30</v>
      </c>
      <c r="K180" s="40" t="s">
        <v>31</v>
      </c>
      <c r="M180" s="157">
        <f t="shared" si="0"/>
        <v>200</v>
      </c>
    </row>
    <row r="181" spans="1:13" ht="15.75" customHeight="1">
      <c r="A181" s="52">
        <v>20</v>
      </c>
      <c r="B181" s="132" t="s">
        <v>1389</v>
      </c>
      <c r="C181" s="132" t="s">
        <v>25</v>
      </c>
      <c r="D181" s="132" t="s">
        <v>1390</v>
      </c>
      <c r="E181" s="132" t="s">
        <v>50</v>
      </c>
      <c r="F181" s="262" t="s">
        <v>79</v>
      </c>
      <c r="G181" s="132" t="s">
        <v>72</v>
      </c>
      <c r="H181" s="254">
        <v>2400</v>
      </c>
      <c r="I181" s="255">
        <v>2400</v>
      </c>
      <c r="J181" s="40" t="s">
        <v>30</v>
      </c>
      <c r="K181" s="40" t="s">
        <v>31</v>
      </c>
      <c r="M181" s="157">
        <f t="shared" si="0"/>
        <v>480</v>
      </c>
    </row>
    <row r="182" spans="1:13" ht="15.75" customHeight="1">
      <c r="A182" s="52">
        <v>20</v>
      </c>
      <c r="B182" s="132" t="s">
        <v>1391</v>
      </c>
      <c r="C182" s="132" t="s">
        <v>25</v>
      </c>
      <c r="D182" s="132" t="s">
        <v>1392</v>
      </c>
      <c r="E182" s="132" t="s">
        <v>311</v>
      </c>
      <c r="F182" s="262" t="s">
        <v>1393</v>
      </c>
      <c r="G182" s="132" t="s">
        <v>72</v>
      </c>
      <c r="H182" s="254">
        <v>200</v>
      </c>
      <c r="I182" s="255">
        <v>200</v>
      </c>
      <c r="J182" s="40" t="s">
        <v>30</v>
      </c>
      <c r="K182" s="40" t="s">
        <v>31</v>
      </c>
      <c r="M182" s="157">
        <f t="shared" si="0"/>
        <v>40</v>
      </c>
    </row>
    <row r="183" spans="1:13" ht="15.75" customHeight="1">
      <c r="A183" s="42">
        <v>20</v>
      </c>
      <c r="B183" s="40" t="s">
        <v>1394</v>
      </c>
      <c r="C183" s="40" t="s">
        <v>25</v>
      </c>
      <c r="D183" s="40" t="s">
        <v>1082</v>
      </c>
      <c r="E183" s="40" t="s">
        <v>96</v>
      </c>
      <c r="F183" s="43" t="s">
        <v>1395</v>
      </c>
      <c r="G183" s="40" t="s">
        <v>29</v>
      </c>
      <c r="H183" s="44">
        <v>2500</v>
      </c>
      <c r="I183" s="41" t="s">
        <v>101</v>
      </c>
      <c r="J183" s="40" t="s">
        <v>30</v>
      </c>
      <c r="K183" s="40" t="s">
        <v>31</v>
      </c>
      <c r="M183" s="157">
        <f t="shared" si="0"/>
        <v>500</v>
      </c>
    </row>
    <row r="184" spans="1:13" ht="15.75" customHeight="1">
      <c r="A184" s="42">
        <v>21</v>
      </c>
      <c r="B184" s="40" t="s">
        <v>1286</v>
      </c>
      <c r="C184" s="40" t="s">
        <v>25</v>
      </c>
      <c r="D184" s="40" t="s">
        <v>41</v>
      </c>
      <c r="E184" s="40" t="s">
        <v>42</v>
      </c>
      <c r="F184" s="43" t="s">
        <v>1288</v>
      </c>
      <c r="G184" s="40" t="s">
        <v>29</v>
      </c>
      <c r="H184" s="44">
        <v>500</v>
      </c>
      <c r="I184" s="41" t="s">
        <v>101</v>
      </c>
      <c r="J184" s="40" t="s">
        <v>30</v>
      </c>
      <c r="K184" s="40" t="s">
        <v>31</v>
      </c>
      <c r="M184" s="157">
        <f t="shared" si="0"/>
        <v>100</v>
      </c>
    </row>
    <row r="185" spans="1:13" ht="15.75" customHeight="1">
      <c r="A185" s="42">
        <v>21</v>
      </c>
      <c r="B185" s="40" t="s">
        <v>1286</v>
      </c>
      <c r="C185" s="40" t="s">
        <v>25</v>
      </c>
      <c r="D185" s="40" t="s">
        <v>41</v>
      </c>
      <c r="E185" s="40" t="s">
        <v>42</v>
      </c>
      <c r="F185" s="40"/>
      <c r="G185" s="40" t="s">
        <v>29</v>
      </c>
      <c r="H185" s="44">
        <v>500</v>
      </c>
      <c r="I185" s="41">
        <v>100</v>
      </c>
      <c r="J185" s="40" t="s">
        <v>30</v>
      </c>
      <c r="K185" s="40" t="s">
        <v>31</v>
      </c>
      <c r="M185" s="157">
        <f t="shared" si="0"/>
        <v>100</v>
      </c>
    </row>
    <row r="186" spans="1:13" ht="15.75" customHeight="1">
      <c r="A186" s="42">
        <v>21</v>
      </c>
      <c r="B186" s="40" t="s">
        <v>1396</v>
      </c>
      <c r="C186" s="40" t="s">
        <v>59</v>
      </c>
      <c r="D186" s="40" t="s">
        <v>185</v>
      </c>
      <c r="E186" s="40" t="s">
        <v>42</v>
      </c>
      <c r="F186" s="43" t="s">
        <v>1397</v>
      </c>
      <c r="G186" s="40" t="s">
        <v>29</v>
      </c>
      <c r="H186" s="44">
        <v>1000</v>
      </c>
      <c r="I186" s="41">
        <v>200</v>
      </c>
      <c r="J186" s="40" t="s">
        <v>30</v>
      </c>
      <c r="K186" s="40" t="s">
        <v>31</v>
      </c>
      <c r="M186" s="157">
        <f t="shared" si="0"/>
        <v>200</v>
      </c>
    </row>
    <row r="187" spans="1:13" ht="15.75" customHeight="1">
      <c r="A187" s="42">
        <v>21</v>
      </c>
      <c r="B187" s="40" t="s">
        <v>1398</v>
      </c>
      <c r="C187" s="40" t="s">
        <v>25</v>
      </c>
      <c r="D187" s="40" t="s">
        <v>63</v>
      </c>
      <c r="E187" s="40" t="s">
        <v>38</v>
      </c>
      <c r="F187" s="43" t="s">
        <v>1399</v>
      </c>
      <c r="G187" s="40" t="s">
        <v>29</v>
      </c>
      <c r="H187" s="44">
        <v>1000</v>
      </c>
      <c r="I187" s="41">
        <v>200</v>
      </c>
      <c r="J187" s="40" t="s">
        <v>30</v>
      </c>
      <c r="K187" s="40" t="s">
        <v>31</v>
      </c>
      <c r="M187" s="157">
        <f t="shared" si="0"/>
        <v>200</v>
      </c>
    </row>
    <row r="188" spans="1:13" ht="15.75" customHeight="1">
      <c r="A188" s="42">
        <v>21</v>
      </c>
      <c r="B188" s="40" t="s">
        <v>1400</v>
      </c>
      <c r="C188" s="40" t="s">
        <v>25</v>
      </c>
      <c r="D188" s="40" t="s">
        <v>89</v>
      </c>
      <c r="E188" s="40" t="s">
        <v>46</v>
      </c>
      <c r="F188" s="43" t="s">
        <v>1401</v>
      </c>
      <c r="G188" s="40" t="s">
        <v>29</v>
      </c>
      <c r="H188" s="44">
        <v>1000</v>
      </c>
      <c r="I188" s="41">
        <v>200</v>
      </c>
      <c r="J188" s="40" t="s">
        <v>30</v>
      </c>
      <c r="K188" s="40" t="s">
        <v>31</v>
      </c>
      <c r="M188" s="157">
        <f t="shared" si="0"/>
        <v>200</v>
      </c>
    </row>
    <row r="189" spans="1:13" ht="15.75" customHeight="1">
      <c r="A189" s="42">
        <v>21</v>
      </c>
      <c r="B189" s="40" t="s">
        <v>1402</v>
      </c>
      <c r="C189" s="40" t="s">
        <v>25</v>
      </c>
      <c r="D189" s="40" t="s">
        <v>1403</v>
      </c>
      <c r="E189" s="40" t="s">
        <v>46</v>
      </c>
      <c r="F189" s="43" t="s">
        <v>1404</v>
      </c>
      <c r="G189" s="40" t="s">
        <v>29</v>
      </c>
      <c r="H189" s="44">
        <v>6000</v>
      </c>
      <c r="I189" s="41">
        <v>1200</v>
      </c>
      <c r="J189" s="40" t="s">
        <v>30</v>
      </c>
      <c r="K189" s="40" t="s">
        <v>31</v>
      </c>
      <c r="M189" s="157">
        <f t="shared" si="0"/>
        <v>1200</v>
      </c>
    </row>
    <row r="190" spans="1:13" ht="15.75" customHeight="1">
      <c r="A190" s="42">
        <v>21</v>
      </c>
      <c r="B190" s="40" t="s">
        <v>1405</v>
      </c>
      <c r="C190" s="40" t="s">
        <v>25</v>
      </c>
      <c r="D190" s="40" t="s">
        <v>1082</v>
      </c>
      <c r="E190" s="40" t="s">
        <v>96</v>
      </c>
      <c r="F190" s="43" t="s">
        <v>1406</v>
      </c>
      <c r="G190" s="40" t="s">
        <v>29</v>
      </c>
      <c r="H190" s="44">
        <v>7000</v>
      </c>
      <c r="I190" s="41">
        <v>1400</v>
      </c>
      <c r="J190" s="40" t="s">
        <v>30</v>
      </c>
      <c r="K190" s="40" t="s">
        <v>31</v>
      </c>
      <c r="M190" s="157">
        <f t="shared" si="0"/>
        <v>1400</v>
      </c>
    </row>
    <row r="191" spans="1:13" ht="15.75" customHeight="1">
      <c r="A191" s="42">
        <v>21</v>
      </c>
      <c r="B191" s="40" t="s">
        <v>1407</v>
      </c>
      <c r="C191" s="40" t="s">
        <v>25</v>
      </c>
      <c r="D191" s="40" t="s">
        <v>1349</v>
      </c>
      <c r="E191" s="40" t="s">
        <v>249</v>
      </c>
      <c r="F191" s="43" t="s">
        <v>1408</v>
      </c>
      <c r="G191" s="40" t="s">
        <v>29</v>
      </c>
      <c r="H191" s="44">
        <v>15000</v>
      </c>
      <c r="I191" s="41">
        <v>3000</v>
      </c>
      <c r="J191" s="40" t="s">
        <v>30</v>
      </c>
      <c r="K191" s="40" t="s">
        <v>31</v>
      </c>
      <c r="M191" s="157">
        <f t="shared" si="0"/>
        <v>3000</v>
      </c>
    </row>
    <row r="192" spans="1:13" ht="15.75" customHeight="1">
      <c r="A192" s="42">
        <v>21</v>
      </c>
      <c r="B192" s="132" t="s">
        <v>1407</v>
      </c>
      <c r="C192" s="132" t="s">
        <v>25</v>
      </c>
      <c r="D192" s="132" t="s">
        <v>1349</v>
      </c>
      <c r="E192" s="132" t="s">
        <v>249</v>
      </c>
      <c r="F192" s="132"/>
      <c r="G192" s="132" t="s">
        <v>72</v>
      </c>
      <c r="H192" s="254">
        <v>500</v>
      </c>
      <c r="I192" s="255">
        <v>500</v>
      </c>
      <c r="J192" s="40" t="s">
        <v>30</v>
      </c>
      <c r="K192" s="40" t="s">
        <v>31</v>
      </c>
      <c r="M192" s="157">
        <f t="shared" si="0"/>
        <v>100</v>
      </c>
    </row>
    <row r="193" spans="1:13" ht="15.75" customHeight="1">
      <c r="A193" s="42">
        <v>21</v>
      </c>
      <c r="B193" s="40" t="s">
        <v>1409</v>
      </c>
      <c r="C193" s="40" t="s">
        <v>25</v>
      </c>
      <c r="D193" s="40" t="s">
        <v>328</v>
      </c>
      <c r="E193" s="40" t="s">
        <v>34</v>
      </c>
      <c r="F193" s="43" t="s">
        <v>1410</v>
      </c>
      <c r="G193" s="40" t="s">
        <v>29</v>
      </c>
      <c r="H193" s="44">
        <v>25000</v>
      </c>
      <c r="I193" s="41">
        <v>5000</v>
      </c>
      <c r="J193" s="40" t="s">
        <v>30</v>
      </c>
      <c r="K193" s="40" t="s">
        <v>31</v>
      </c>
      <c r="M193" s="157">
        <f t="shared" si="0"/>
        <v>5000</v>
      </c>
    </row>
    <row r="194" spans="1:13" ht="15.75" customHeight="1">
      <c r="A194" s="42">
        <v>21</v>
      </c>
      <c r="B194" s="40" t="s">
        <v>1411</v>
      </c>
      <c r="C194" s="40" t="s">
        <v>25</v>
      </c>
      <c r="D194" s="40" t="s">
        <v>103</v>
      </c>
      <c r="E194" s="40" t="s">
        <v>540</v>
      </c>
      <c r="F194" s="43" t="s">
        <v>1412</v>
      </c>
      <c r="G194" s="40" t="s">
        <v>29</v>
      </c>
      <c r="H194" s="44">
        <v>500</v>
      </c>
      <c r="I194" s="41" t="s">
        <v>101</v>
      </c>
      <c r="J194" s="40" t="s">
        <v>30</v>
      </c>
      <c r="K194" s="40" t="s">
        <v>31</v>
      </c>
      <c r="M194" s="157">
        <f t="shared" si="0"/>
        <v>100</v>
      </c>
    </row>
    <row r="195" spans="1:13" ht="15.75" customHeight="1">
      <c r="A195" s="47">
        <v>21</v>
      </c>
      <c r="B195" s="48" t="s">
        <v>1413</v>
      </c>
      <c r="C195" s="48" t="s">
        <v>25</v>
      </c>
      <c r="D195" s="48" t="s">
        <v>621</v>
      </c>
      <c r="E195" s="48" t="s">
        <v>540</v>
      </c>
      <c r="F195" s="49" t="s">
        <v>1414</v>
      </c>
      <c r="G195" s="48" t="s">
        <v>29</v>
      </c>
      <c r="H195" s="50">
        <v>500</v>
      </c>
      <c r="I195" s="51" t="s">
        <v>101</v>
      </c>
      <c r="J195" s="48" t="s">
        <v>30</v>
      </c>
      <c r="K195" s="48" t="s">
        <v>31</v>
      </c>
      <c r="M195" s="157">
        <f t="shared" si="0"/>
        <v>100</v>
      </c>
    </row>
    <row r="196" spans="1:13" ht="15.75" customHeight="1">
      <c r="A196" s="52">
        <v>21</v>
      </c>
      <c r="B196" s="53" t="s">
        <v>1415</v>
      </c>
      <c r="C196" s="53" t="s">
        <v>25</v>
      </c>
      <c r="D196" s="53" t="s">
        <v>195</v>
      </c>
      <c r="E196" s="53" t="s">
        <v>96</v>
      </c>
      <c r="F196" s="60" t="s">
        <v>1416</v>
      </c>
      <c r="G196" s="321" t="s">
        <v>29</v>
      </c>
      <c r="H196" s="322">
        <v>1000</v>
      </c>
      <c r="I196" s="323">
        <v>200</v>
      </c>
      <c r="J196" s="53" t="s">
        <v>30</v>
      </c>
      <c r="K196" s="53" t="s">
        <v>31</v>
      </c>
      <c r="M196" s="157">
        <f t="shared" si="0"/>
        <v>200</v>
      </c>
    </row>
    <row r="197" spans="1:13" ht="15.75" customHeight="1">
      <c r="A197" s="42">
        <v>21</v>
      </c>
      <c r="B197" s="40" t="s">
        <v>1417</v>
      </c>
      <c r="C197" s="40" t="s">
        <v>25</v>
      </c>
      <c r="D197" s="40" t="s">
        <v>1418</v>
      </c>
      <c r="E197" s="40" t="s">
        <v>284</v>
      </c>
      <c r="F197" s="43" t="s">
        <v>1419</v>
      </c>
      <c r="G197" s="324" t="s">
        <v>29</v>
      </c>
      <c r="H197" s="325">
        <v>1000</v>
      </c>
      <c r="I197" s="326">
        <v>200</v>
      </c>
      <c r="J197" s="40" t="s">
        <v>30</v>
      </c>
      <c r="K197" s="40" t="s">
        <v>31</v>
      </c>
      <c r="M197" s="157">
        <f t="shared" si="0"/>
        <v>200</v>
      </c>
    </row>
    <row r="198" spans="1:13" ht="15.75" customHeight="1">
      <c r="A198" s="42">
        <v>21</v>
      </c>
      <c r="B198" s="40" t="s">
        <v>1420</v>
      </c>
      <c r="C198" s="40" t="s">
        <v>25</v>
      </c>
      <c r="D198" s="40" t="s">
        <v>185</v>
      </c>
      <c r="E198" s="40" t="s">
        <v>42</v>
      </c>
      <c r="F198" s="43" t="s">
        <v>1421</v>
      </c>
      <c r="G198" s="324" t="s">
        <v>29</v>
      </c>
      <c r="H198" s="325">
        <v>200</v>
      </c>
      <c r="I198" s="326">
        <v>40</v>
      </c>
      <c r="J198" s="40" t="s">
        <v>30</v>
      </c>
      <c r="K198" s="40" t="s">
        <v>31</v>
      </c>
      <c r="M198" s="157">
        <f t="shared" si="0"/>
        <v>40</v>
      </c>
    </row>
    <row r="199" spans="1:13" ht="15.75" customHeight="1">
      <c r="A199" s="42">
        <v>21</v>
      </c>
      <c r="B199" s="40" t="s">
        <v>1422</v>
      </c>
      <c r="C199" s="40" t="s">
        <v>25</v>
      </c>
      <c r="D199" s="40" t="s">
        <v>1390</v>
      </c>
      <c r="E199" s="40" t="s">
        <v>50</v>
      </c>
      <c r="F199" s="43" t="s">
        <v>1423</v>
      </c>
      <c r="G199" s="324" t="s">
        <v>29</v>
      </c>
      <c r="H199" s="325">
        <v>200</v>
      </c>
      <c r="I199" s="326">
        <v>40</v>
      </c>
      <c r="J199" s="40" t="s">
        <v>30</v>
      </c>
      <c r="K199" s="40" t="s">
        <v>31</v>
      </c>
      <c r="M199" s="157">
        <f t="shared" si="0"/>
        <v>40</v>
      </c>
    </row>
    <row r="200" spans="1:13" ht="15.75" customHeight="1">
      <c r="A200" s="42">
        <v>21</v>
      </c>
      <c r="B200" s="40" t="s">
        <v>1424</v>
      </c>
      <c r="C200" s="40" t="s">
        <v>25</v>
      </c>
      <c r="D200" s="40" t="s">
        <v>63</v>
      </c>
      <c r="E200" s="40" t="s">
        <v>60</v>
      </c>
      <c r="F200" s="43" t="s">
        <v>1425</v>
      </c>
      <c r="G200" s="324" t="s">
        <v>29</v>
      </c>
      <c r="H200" s="325">
        <v>2000</v>
      </c>
      <c r="I200" s="326">
        <v>400</v>
      </c>
      <c r="J200" s="40" t="s">
        <v>30</v>
      </c>
      <c r="K200" s="40" t="s">
        <v>31</v>
      </c>
      <c r="M200" s="157">
        <f t="shared" si="0"/>
        <v>400</v>
      </c>
    </row>
    <row r="201" spans="1:13" ht="15.75" customHeight="1">
      <c r="A201" s="42">
        <v>21</v>
      </c>
      <c r="B201" s="40" t="s">
        <v>1426</v>
      </c>
      <c r="C201" s="40" t="s">
        <v>25</v>
      </c>
      <c r="D201" s="40" t="s">
        <v>1427</v>
      </c>
      <c r="E201" s="40" t="s">
        <v>78</v>
      </c>
      <c r="F201" s="43" t="s">
        <v>1428</v>
      </c>
      <c r="G201" s="324" t="s">
        <v>29</v>
      </c>
      <c r="H201" s="325">
        <v>500</v>
      </c>
      <c r="I201" s="326">
        <v>100</v>
      </c>
      <c r="J201" s="40" t="s">
        <v>30</v>
      </c>
      <c r="K201" s="40" t="s">
        <v>31</v>
      </c>
      <c r="M201" s="157">
        <f t="shared" si="0"/>
        <v>100</v>
      </c>
    </row>
    <row r="202" spans="1:13" ht="15.75" customHeight="1">
      <c r="A202" s="42">
        <v>21</v>
      </c>
      <c r="B202" s="40" t="s">
        <v>1429</v>
      </c>
      <c r="C202" s="40" t="s">
        <v>25</v>
      </c>
      <c r="D202" s="40" t="s">
        <v>155</v>
      </c>
      <c r="E202" s="40" t="s">
        <v>42</v>
      </c>
      <c r="F202" s="43" t="s">
        <v>1430</v>
      </c>
      <c r="G202" s="324" t="s">
        <v>29</v>
      </c>
      <c r="H202" s="325">
        <v>500</v>
      </c>
      <c r="I202" s="326">
        <v>100</v>
      </c>
      <c r="J202" s="40" t="s">
        <v>30</v>
      </c>
      <c r="K202" s="40" t="s">
        <v>31</v>
      </c>
      <c r="M202" s="157">
        <f t="shared" si="0"/>
        <v>100</v>
      </c>
    </row>
    <row r="203" spans="1:13" ht="15.75" customHeight="1">
      <c r="A203" s="42">
        <v>21</v>
      </c>
      <c r="B203" s="40" t="s">
        <v>1431</v>
      </c>
      <c r="C203" s="40" t="s">
        <v>59</v>
      </c>
      <c r="D203" s="40" t="s">
        <v>1432</v>
      </c>
      <c r="E203" s="40" t="s">
        <v>130</v>
      </c>
      <c r="F203" s="43" t="s">
        <v>1433</v>
      </c>
      <c r="G203" s="324" t="s">
        <v>29</v>
      </c>
      <c r="H203" s="325">
        <v>20000</v>
      </c>
      <c r="I203" s="326">
        <v>4000</v>
      </c>
      <c r="J203" s="40" t="s">
        <v>30</v>
      </c>
      <c r="K203" s="40" t="s">
        <v>31</v>
      </c>
      <c r="M203" s="157">
        <f t="shared" si="0"/>
        <v>4000</v>
      </c>
    </row>
    <row r="204" spans="1:13" ht="15.75" customHeight="1">
      <c r="A204" s="42">
        <v>21</v>
      </c>
      <c r="B204" s="40" t="s">
        <v>1434</v>
      </c>
      <c r="C204" s="40" t="s">
        <v>25</v>
      </c>
      <c r="D204" s="40" t="s">
        <v>81</v>
      </c>
      <c r="E204" s="40" t="s">
        <v>318</v>
      </c>
      <c r="F204" s="43" t="s">
        <v>1435</v>
      </c>
      <c r="G204" s="324" t="s">
        <v>29</v>
      </c>
      <c r="H204" s="325">
        <v>25000</v>
      </c>
      <c r="I204" s="326">
        <v>5000</v>
      </c>
      <c r="J204" s="40" t="s">
        <v>30</v>
      </c>
      <c r="K204" s="40" t="s">
        <v>31</v>
      </c>
      <c r="M204" s="157">
        <f t="shared" si="0"/>
        <v>5000</v>
      </c>
    </row>
    <row r="205" spans="1:13" ht="15.75" customHeight="1">
      <c r="A205" s="42">
        <v>22</v>
      </c>
      <c r="B205" s="40" t="s">
        <v>1436</v>
      </c>
      <c r="C205" s="40" t="s">
        <v>25</v>
      </c>
      <c r="D205" s="40" t="s">
        <v>63</v>
      </c>
      <c r="E205" s="40" t="s">
        <v>38</v>
      </c>
      <c r="F205" s="43" t="s">
        <v>79</v>
      </c>
      <c r="G205" s="324" t="s">
        <v>29</v>
      </c>
      <c r="H205" s="325">
        <v>8000</v>
      </c>
      <c r="I205" s="326">
        <v>1600</v>
      </c>
      <c r="J205" s="40" t="s">
        <v>30</v>
      </c>
      <c r="K205" s="40" t="s">
        <v>31</v>
      </c>
      <c r="M205" s="157">
        <f t="shared" si="0"/>
        <v>1600</v>
      </c>
    </row>
    <row r="206" spans="1:13" ht="15.75" customHeight="1">
      <c r="A206" s="42">
        <v>22</v>
      </c>
      <c r="B206" s="40" t="s">
        <v>1437</v>
      </c>
      <c r="C206" s="40" t="s">
        <v>25</v>
      </c>
      <c r="D206" s="40" t="s">
        <v>86</v>
      </c>
      <c r="E206" s="40" t="s">
        <v>42</v>
      </c>
      <c r="F206" s="43" t="s">
        <v>79</v>
      </c>
      <c r="G206" s="324" t="s">
        <v>29</v>
      </c>
      <c r="H206" s="325">
        <v>8600</v>
      </c>
      <c r="I206" s="326">
        <v>1720</v>
      </c>
      <c r="J206" s="40" t="s">
        <v>30</v>
      </c>
      <c r="K206" s="40" t="s">
        <v>31</v>
      </c>
      <c r="M206" s="157">
        <f t="shared" si="0"/>
        <v>1720</v>
      </c>
    </row>
    <row r="207" spans="1:13" ht="15.75" customHeight="1">
      <c r="A207" s="42">
        <v>22</v>
      </c>
      <c r="B207" s="40" t="s">
        <v>1438</v>
      </c>
      <c r="C207" s="40" t="s">
        <v>25</v>
      </c>
      <c r="D207" s="40" t="s">
        <v>63</v>
      </c>
      <c r="E207" s="40" t="s">
        <v>38</v>
      </c>
      <c r="F207" s="43" t="s">
        <v>1439</v>
      </c>
      <c r="G207" s="324" t="s">
        <v>29</v>
      </c>
      <c r="H207" s="325">
        <v>5000</v>
      </c>
      <c r="I207" s="326">
        <v>1000</v>
      </c>
      <c r="J207" s="40" t="s">
        <v>30</v>
      </c>
      <c r="K207" s="40" t="s">
        <v>31</v>
      </c>
      <c r="M207" s="157">
        <f t="shared" si="0"/>
        <v>1000</v>
      </c>
    </row>
    <row r="208" spans="1:13" ht="15.75" customHeight="1">
      <c r="A208" s="42">
        <v>22</v>
      </c>
      <c r="B208" s="40" t="s">
        <v>1440</v>
      </c>
      <c r="C208" s="40" t="s">
        <v>25</v>
      </c>
      <c r="D208" s="40" t="s">
        <v>55</v>
      </c>
      <c r="E208" s="40" t="s">
        <v>38</v>
      </c>
      <c r="F208" s="43" t="s">
        <v>1441</v>
      </c>
      <c r="G208" s="324" t="s">
        <v>29</v>
      </c>
      <c r="H208" s="325">
        <v>5000</v>
      </c>
      <c r="I208" s="326">
        <v>1000</v>
      </c>
      <c r="J208" s="40" t="s">
        <v>30</v>
      </c>
      <c r="K208" s="40" t="s">
        <v>31</v>
      </c>
      <c r="M208" s="157">
        <f t="shared" si="0"/>
        <v>1000</v>
      </c>
    </row>
    <row r="209" spans="1:17" ht="15.75" customHeight="1">
      <c r="A209" s="42">
        <v>22</v>
      </c>
      <c r="B209" s="40" t="s">
        <v>1442</v>
      </c>
      <c r="C209" s="40" t="s">
        <v>25</v>
      </c>
      <c r="D209" s="40" t="s">
        <v>1160</v>
      </c>
      <c r="E209" s="40" t="s">
        <v>34</v>
      </c>
      <c r="F209" s="43" t="s">
        <v>1443</v>
      </c>
      <c r="G209" s="324" t="s">
        <v>29</v>
      </c>
      <c r="H209" s="325">
        <v>50000</v>
      </c>
      <c r="I209" s="326">
        <v>10000</v>
      </c>
      <c r="J209" s="40" t="s">
        <v>30</v>
      </c>
      <c r="K209" s="40" t="s">
        <v>31</v>
      </c>
      <c r="M209" s="157">
        <f t="shared" si="0"/>
        <v>10000</v>
      </c>
    </row>
    <row r="210" spans="1:17" ht="15.75" customHeight="1">
      <c r="A210" s="42">
        <v>22</v>
      </c>
      <c r="B210" s="40" t="s">
        <v>1444</v>
      </c>
      <c r="C210" s="40" t="s">
        <v>25</v>
      </c>
      <c r="D210" s="40" t="s">
        <v>1105</v>
      </c>
      <c r="E210" s="40" t="s">
        <v>27</v>
      </c>
      <c r="F210" s="43" t="s">
        <v>1445</v>
      </c>
      <c r="G210" s="324" t="s">
        <v>29</v>
      </c>
      <c r="H210" s="325">
        <v>3000</v>
      </c>
      <c r="I210" s="326">
        <v>600</v>
      </c>
      <c r="J210" s="40" t="s">
        <v>30</v>
      </c>
      <c r="K210" s="40" t="s">
        <v>31</v>
      </c>
      <c r="M210" s="157">
        <f t="shared" si="0"/>
        <v>600</v>
      </c>
    </row>
    <row r="211" spans="1:17" ht="15.75" customHeight="1">
      <c r="A211" s="42">
        <v>22</v>
      </c>
      <c r="B211" s="40" t="s">
        <v>1446</v>
      </c>
      <c r="C211" s="40" t="s">
        <v>25</v>
      </c>
      <c r="D211" s="40" t="s">
        <v>1447</v>
      </c>
      <c r="E211" s="40" t="s">
        <v>318</v>
      </c>
      <c r="F211" s="43" t="s">
        <v>1448</v>
      </c>
      <c r="G211" s="324" t="s">
        <v>29</v>
      </c>
      <c r="H211" s="325">
        <v>4000</v>
      </c>
      <c r="I211" s="326">
        <v>800</v>
      </c>
      <c r="J211" s="40" t="s">
        <v>30</v>
      </c>
      <c r="K211" s="40" t="s">
        <v>31</v>
      </c>
      <c r="M211" s="157">
        <f t="shared" si="0"/>
        <v>800</v>
      </c>
    </row>
    <row r="212" spans="1:17" ht="15.75" customHeight="1">
      <c r="A212" s="42">
        <v>22</v>
      </c>
      <c r="B212" s="40" t="s">
        <v>1449</v>
      </c>
      <c r="C212" s="40" t="s">
        <v>25</v>
      </c>
      <c r="D212" s="40" t="s">
        <v>258</v>
      </c>
      <c r="E212" s="40" t="s">
        <v>130</v>
      </c>
      <c r="F212" s="43" t="s">
        <v>1450</v>
      </c>
      <c r="G212" s="324" t="s">
        <v>29</v>
      </c>
      <c r="H212" s="325">
        <v>10000</v>
      </c>
      <c r="I212" s="326">
        <v>2000</v>
      </c>
      <c r="J212" s="40" t="s">
        <v>30</v>
      </c>
      <c r="K212" s="40" t="s">
        <v>31</v>
      </c>
      <c r="M212" s="157">
        <f t="shared" si="0"/>
        <v>2000</v>
      </c>
    </row>
    <row r="213" spans="1:17" ht="15.75" customHeight="1">
      <c r="A213" s="42">
        <v>22</v>
      </c>
      <c r="B213" s="132" t="s">
        <v>1449</v>
      </c>
      <c r="C213" s="132" t="s">
        <v>25</v>
      </c>
      <c r="D213" s="132" t="s">
        <v>258</v>
      </c>
      <c r="E213" s="132" t="s">
        <v>130</v>
      </c>
      <c r="F213" s="132"/>
      <c r="G213" s="132" t="s">
        <v>72</v>
      </c>
      <c r="H213" s="254">
        <v>500</v>
      </c>
      <c r="I213" s="255">
        <v>500</v>
      </c>
      <c r="J213" s="40" t="s">
        <v>30</v>
      </c>
      <c r="K213" s="40" t="s">
        <v>31</v>
      </c>
      <c r="M213" s="157">
        <f t="shared" si="0"/>
        <v>100</v>
      </c>
    </row>
    <row r="214" spans="1:17" ht="15.75" customHeight="1">
      <c r="A214" s="42">
        <v>22</v>
      </c>
      <c r="B214" s="132" t="s">
        <v>1451</v>
      </c>
      <c r="C214" s="132" t="s">
        <v>25</v>
      </c>
      <c r="D214" s="132" t="s">
        <v>1390</v>
      </c>
      <c r="E214" s="132" t="s">
        <v>50</v>
      </c>
      <c r="F214" s="262" t="s">
        <v>1452</v>
      </c>
      <c r="G214" s="132" t="s">
        <v>72</v>
      </c>
      <c r="H214" s="254">
        <v>250</v>
      </c>
      <c r="I214" s="255">
        <v>250</v>
      </c>
      <c r="J214" s="40" t="s">
        <v>30</v>
      </c>
      <c r="K214" s="40" t="s">
        <v>31</v>
      </c>
      <c r="M214" s="157">
        <f t="shared" si="0"/>
        <v>50</v>
      </c>
      <c r="P214" s="552"/>
      <c r="Q214" s="553"/>
    </row>
    <row r="215" spans="1:17" ht="15.75" customHeight="1">
      <c r="A215" s="42">
        <v>22</v>
      </c>
      <c r="B215" s="40" t="s">
        <v>1453</v>
      </c>
      <c r="C215" s="40" t="s">
        <v>59</v>
      </c>
      <c r="D215" s="40" t="s">
        <v>841</v>
      </c>
      <c r="E215" s="40" t="s">
        <v>533</v>
      </c>
      <c r="F215" s="43" t="s">
        <v>1454</v>
      </c>
      <c r="G215" s="324" t="s">
        <v>29</v>
      </c>
      <c r="H215" s="325">
        <v>1500</v>
      </c>
      <c r="I215" s="326">
        <v>300</v>
      </c>
      <c r="J215" s="40" t="s">
        <v>30</v>
      </c>
      <c r="K215" s="40" t="s">
        <v>31</v>
      </c>
      <c r="M215" s="157">
        <f t="shared" si="0"/>
        <v>300</v>
      </c>
      <c r="Q215" s="45"/>
    </row>
    <row r="216" spans="1:17" ht="15.75" customHeight="1">
      <c r="A216" s="42">
        <v>22</v>
      </c>
      <c r="B216" s="132" t="s">
        <v>1453</v>
      </c>
      <c r="C216" s="132" t="s">
        <v>59</v>
      </c>
      <c r="D216" s="132" t="s">
        <v>841</v>
      </c>
      <c r="E216" s="132" t="s">
        <v>533</v>
      </c>
      <c r="F216" s="132"/>
      <c r="G216" s="132" t="s">
        <v>72</v>
      </c>
      <c r="H216" s="254">
        <v>20</v>
      </c>
      <c r="I216" s="255" t="s">
        <v>101</v>
      </c>
      <c r="J216" s="40" t="s">
        <v>30</v>
      </c>
      <c r="K216" s="40" t="s">
        <v>31</v>
      </c>
      <c r="M216" s="157">
        <f t="shared" si="0"/>
        <v>4</v>
      </c>
      <c r="Q216" s="45"/>
    </row>
    <row r="217" spans="1:17" ht="15.75" customHeight="1">
      <c r="A217" s="42">
        <v>22</v>
      </c>
      <c r="B217" s="40" t="s">
        <v>1455</v>
      </c>
      <c r="C217" s="40" t="s">
        <v>25</v>
      </c>
      <c r="D217" s="40" t="s">
        <v>1456</v>
      </c>
      <c r="E217" s="40" t="s">
        <v>258</v>
      </c>
      <c r="F217" s="40"/>
      <c r="G217" s="324" t="s">
        <v>29</v>
      </c>
      <c r="H217" s="325">
        <v>2000</v>
      </c>
      <c r="I217" s="326">
        <v>400</v>
      </c>
      <c r="J217" s="40" t="s">
        <v>30</v>
      </c>
      <c r="K217" s="40" t="s">
        <v>31</v>
      </c>
      <c r="M217" s="157">
        <f t="shared" si="0"/>
        <v>400</v>
      </c>
      <c r="P217" s="552"/>
      <c r="Q217" s="553"/>
    </row>
    <row r="218" spans="1:17" ht="15.75" customHeight="1">
      <c r="A218" s="42">
        <v>22</v>
      </c>
      <c r="B218" s="40" t="s">
        <v>1457</v>
      </c>
      <c r="C218" s="40" t="s">
        <v>25</v>
      </c>
      <c r="D218" s="40" t="s">
        <v>627</v>
      </c>
      <c r="E218" s="40" t="s">
        <v>540</v>
      </c>
      <c r="F218" s="43" t="s">
        <v>1458</v>
      </c>
      <c r="G218" s="324" t="s">
        <v>29</v>
      </c>
      <c r="H218" s="325">
        <v>6000</v>
      </c>
      <c r="I218" s="326">
        <v>1200</v>
      </c>
      <c r="J218" s="40" t="s">
        <v>30</v>
      </c>
      <c r="K218" s="40" t="s">
        <v>31</v>
      </c>
      <c r="M218" s="157">
        <f t="shared" si="0"/>
        <v>1200</v>
      </c>
      <c r="Q218" s="45"/>
    </row>
    <row r="219" spans="1:17" ht="15.75" customHeight="1">
      <c r="A219" s="42">
        <v>22</v>
      </c>
      <c r="B219" s="40" t="s">
        <v>1459</v>
      </c>
      <c r="C219" s="40" t="s">
        <v>25</v>
      </c>
      <c r="D219" s="40" t="s">
        <v>1460</v>
      </c>
      <c r="E219" s="40" t="s">
        <v>1461</v>
      </c>
      <c r="F219" s="43" t="s">
        <v>1462</v>
      </c>
      <c r="G219" s="324" t="s">
        <v>29</v>
      </c>
      <c r="H219" s="325">
        <v>2000</v>
      </c>
      <c r="I219" s="326">
        <v>400</v>
      </c>
      <c r="J219" s="40" t="s">
        <v>30</v>
      </c>
      <c r="K219" s="40" t="s">
        <v>31</v>
      </c>
      <c r="M219" s="157">
        <f t="shared" si="0"/>
        <v>400</v>
      </c>
    </row>
    <row r="220" spans="1:17" ht="15.75" customHeight="1">
      <c r="A220" s="42">
        <v>22</v>
      </c>
      <c r="B220" s="40" t="s">
        <v>1463</v>
      </c>
      <c r="C220" s="40" t="s">
        <v>25</v>
      </c>
      <c r="D220" s="40" t="s">
        <v>669</v>
      </c>
      <c r="E220" s="40" t="s">
        <v>27</v>
      </c>
      <c r="F220" s="43" t="s">
        <v>1464</v>
      </c>
      <c r="G220" s="324" t="s">
        <v>29</v>
      </c>
      <c r="H220" s="325">
        <v>8000</v>
      </c>
      <c r="I220" s="326">
        <v>1600</v>
      </c>
      <c r="J220" s="40" t="s">
        <v>30</v>
      </c>
      <c r="K220" s="40" t="s">
        <v>31</v>
      </c>
      <c r="M220" s="157">
        <f t="shared" si="0"/>
        <v>1600</v>
      </c>
      <c r="P220" s="552"/>
      <c r="Q220" s="553"/>
    </row>
    <row r="221" spans="1:17" ht="15.75" customHeight="1">
      <c r="A221" s="42">
        <v>22</v>
      </c>
      <c r="B221" s="40" t="s">
        <v>1465</v>
      </c>
      <c r="C221" s="40" t="s">
        <v>25</v>
      </c>
      <c r="D221" s="40" t="s">
        <v>1466</v>
      </c>
      <c r="E221" s="40" t="s">
        <v>258</v>
      </c>
      <c r="F221" s="40"/>
      <c r="G221" s="324" t="s">
        <v>29</v>
      </c>
      <c r="H221" s="325">
        <v>1500</v>
      </c>
      <c r="I221" s="326">
        <v>300</v>
      </c>
      <c r="J221" s="40" t="s">
        <v>30</v>
      </c>
      <c r="K221" s="40" t="s">
        <v>31</v>
      </c>
      <c r="M221" s="157">
        <f t="shared" si="0"/>
        <v>300</v>
      </c>
    </row>
    <row r="222" spans="1:17" ht="15.75" customHeight="1">
      <c r="A222" s="42">
        <v>22</v>
      </c>
      <c r="B222" s="40" t="s">
        <v>1467</v>
      </c>
      <c r="C222" s="40" t="s">
        <v>25</v>
      </c>
      <c r="D222" s="40" t="s">
        <v>627</v>
      </c>
      <c r="E222" s="40" t="s">
        <v>46</v>
      </c>
      <c r="F222" s="43" t="s">
        <v>79</v>
      </c>
      <c r="G222" s="324" t="s">
        <v>29</v>
      </c>
      <c r="H222" s="325">
        <v>1000</v>
      </c>
      <c r="I222" s="326">
        <v>200</v>
      </c>
      <c r="J222" s="40" t="s">
        <v>30</v>
      </c>
      <c r="K222" s="40" t="s">
        <v>31</v>
      </c>
      <c r="M222" s="157">
        <f t="shared" si="0"/>
        <v>200</v>
      </c>
    </row>
    <row r="223" spans="1:17" ht="15.75" customHeight="1">
      <c r="A223" s="42">
        <v>22</v>
      </c>
      <c r="B223" s="40" t="s">
        <v>1468</v>
      </c>
      <c r="C223" s="40" t="s">
        <v>25</v>
      </c>
      <c r="D223" s="40" t="s">
        <v>1377</v>
      </c>
      <c r="E223" s="40" t="s">
        <v>50</v>
      </c>
      <c r="F223" s="43" t="s">
        <v>1469</v>
      </c>
      <c r="G223" s="324" t="s">
        <v>29</v>
      </c>
      <c r="H223" s="325">
        <v>300</v>
      </c>
      <c r="I223" s="326">
        <v>60</v>
      </c>
      <c r="J223" s="40" t="s">
        <v>30</v>
      </c>
      <c r="K223" s="40" t="s">
        <v>31</v>
      </c>
      <c r="M223" s="157">
        <f t="shared" si="0"/>
        <v>60</v>
      </c>
    </row>
    <row r="224" spans="1:17" ht="15.75" customHeight="1">
      <c r="A224" s="42">
        <v>22</v>
      </c>
      <c r="B224" s="40" t="s">
        <v>1470</v>
      </c>
      <c r="C224" s="40" t="s">
        <v>25</v>
      </c>
      <c r="D224" s="40" t="s">
        <v>1471</v>
      </c>
      <c r="E224" s="40" t="s">
        <v>42</v>
      </c>
      <c r="F224" s="43" t="s">
        <v>79</v>
      </c>
      <c r="G224" s="324" t="s">
        <v>29</v>
      </c>
      <c r="H224" s="325">
        <v>250</v>
      </c>
      <c r="I224" s="326">
        <v>50</v>
      </c>
      <c r="J224" s="40" t="s">
        <v>30</v>
      </c>
      <c r="K224" s="40" t="s">
        <v>31</v>
      </c>
      <c r="M224" s="157">
        <f t="shared" si="0"/>
        <v>50</v>
      </c>
    </row>
    <row r="225" spans="1:13" ht="15.75" customHeight="1">
      <c r="A225" s="42">
        <v>22</v>
      </c>
      <c r="B225" s="40" t="s">
        <v>1472</v>
      </c>
      <c r="C225" s="40" t="s">
        <v>25</v>
      </c>
      <c r="D225" s="40" t="s">
        <v>1473</v>
      </c>
      <c r="E225" s="40" t="s">
        <v>258</v>
      </c>
      <c r="F225" s="40"/>
      <c r="G225" s="324" t="s">
        <v>29</v>
      </c>
      <c r="H225" s="325">
        <v>300</v>
      </c>
      <c r="I225" s="326">
        <v>60</v>
      </c>
      <c r="J225" s="40" t="s">
        <v>30</v>
      </c>
      <c r="K225" s="40" t="s">
        <v>31</v>
      </c>
      <c r="M225" s="157">
        <f t="shared" si="0"/>
        <v>60</v>
      </c>
    </row>
    <row r="226" spans="1:13" ht="15.75" customHeight="1">
      <c r="A226" s="42">
        <v>22</v>
      </c>
      <c r="B226" s="40" t="s">
        <v>1474</v>
      </c>
      <c r="C226" s="40" t="s">
        <v>25</v>
      </c>
      <c r="D226" s="40" t="s">
        <v>55</v>
      </c>
      <c r="E226" s="40" t="s">
        <v>38</v>
      </c>
      <c r="F226" s="40"/>
      <c r="G226" s="324" t="s">
        <v>29</v>
      </c>
      <c r="H226" s="325">
        <v>200</v>
      </c>
      <c r="I226" s="326">
        <v>40</v>
      </c>
      <c r="J226" s="40" t="s">
        <v>30</v>
      </c>
      <c r="K226" s="40" t="s">
        <v>31</v>
      </c>
      <c r="M226" s="157">
        <f t="shared" si="0"/>
        <v>40</v>
      </c>
    </row>
    <row r="227" spans="1:13" ht="15.75" customHeight="1">
      <c r="A227" s="42">
        <v>22</v>
      </c>
      <c r="B227" s="40" t="s">
        <v>1475</v>
      </c>
      <c r="C227" s="40" t="s">
        <v>59</v>
      </c>
      <c r="D227" s="40" t="s">
        <v>149</v>
      </c>
      <c r="E227" s="40" t="s">
        <v>150</v>
      </c>
      <c r="F227" s="40"/>
      <c r="G227" s="249" t="s">
        <v>321</v>
      </c>
      <c r="H227" s="250">
        <v>25</v>
      </c>
      <c r="I227" s="327" t="s">
        <v>101</v>
      </c>
      <c r="J227" s="40" t="s">
        <v>30</v>
      </c>
      <c r="K227" s="40" t="s">
        <v>31</v>
      </c>
      <c r="M227" s="157">
        <f t="shared" si="0"/>
        <v>5</v>
      </c>
    </row>
    <row r="228" spans="1:13" ht="15.75" customHeight="1">
      <c r="A228" s="42">
        <v>22</v>
      </c>
      <c r="B228" s="40" t="s">
        <v>1475</v>
      </c>
      <c r="C228" s="40" t="s">
        <v>59</v>
      </c>
      <c r="D228" s="40" t="s">
        <v>149</v>
      </c>
      <c r="E228" s="40" t="s">
        <v>150</v>
      </c>
      <c r="F228" s="40"/>
      <c r="G228" s="249" t="s">
        <v>1476</v>
      </c>
      <c r="H228" s="250">
        <v>25</v>
      </c>
      <c r="I228" s="327" t="s">
        <v>101</v>
      </c>
      <c r="J228" s="40" t="s">
        <v>30</v>
      </c>
      <c r="K228" s="40" t="s">
        <v>31</v>
      </c>
      <c r="M228" s="157">
        <f t="shared" si="0"/>
        <v>5</v>
      </c>
    </row>
    <row r="229" spans="1:13" ht="15.75" customHeight="1">
      <c r="A229" s="42">
        <v>25</v>
      </c>
      <c r="B229" s="40" t="s">
        <v>1477</v>
      </c>
      <c r="C229" s="40" t="s">
        <v>25</v>
      </c>
      <c r="D229" s="40" t="s">
        <v>63</v>
      </c>
      <c r="E229" s="40" t="s">
        <v>60</v>
      </c>
      <c r="F229" s="40"/>
      <c r="G229" s="324" t="s">
        <v>29</v>
      </c>
      <c r="H229" s="325">
        <v>2000</v>
      </c>
      <c r="I229" s="326">
        <v>400</v>
      </c>
      <c r="J229" s="40" t="s">
        <v>30</v>
      </c>
      <c r="K229" s="40" t="s">
        <v>31</v>
      </c>
      <c r="M229" s="157">
        <f t="shared" si="0"/>
        <v>400</v>
      </c>
    </row>
    <row r="230" spans="1:13" ht="15.75" customHeight="1">
      <c r="A230" s="42">
        <v>25</v>
      </c>
      <c r="B230" s="40" t="s">
        <v>939</v>
      </c>
      <c r="C230" s="40" t="s">
        <v>25</v>
      </c>
      <c r="D230" s="40" t="s">
        <v>1478</v>
      </c>
      <c r="E230" s="40" t="s">
        <v>50</v>
      </c>
      <c r="F230" s="43" t="s">
        <v>940</v>
      </c>
      <c r="G230" s="324" t="s">
        <v>29</v>
      </c>
      <c r="H230" s="325">
        <v>1000</v>
      </c>
      <c r="I230" s="326">
        <v>200</v>
      </c>
      <c r="J230" s="40" t="s">
        <v>30</v>
      </c>
      <c r="K230" s="40" t="s">
        <v>31</v>
      </c>
      <c r="M230" s="157">
        <f t="shared" si="0"/>
        <v>200</v>
      </c>
    </row>
    <row r="231" spans="1:13" ht="15.75" customHeight="1">
      <c r="A231" s="42">
        <v>25</v>
      </c>
      <c r="B231" s="40" t="s">
        <v>1479</v>
      </c>
      <c r="C231" s="40" t="s">
        <v>25</v>
      </c>
      <c r="D231" s="40" t="s">
        <v>1480</v>
      </c>
      <c r="E231" s="40" t="s">
        <v>219</v>
      </c>
      <c r="F231" s="43" t="s">
        <v>1481</v>
      </c>
      <c r="G231" s="324" t="s">
        <v>29</v>
      </c>
      <c r="H231" s="325">
        <v>1500</v>
      </c>
      <c r="I231" s="326">
        <v>300</v>
      </c>
      <c r="J231" s="40" t="s">
        <v>30</v>
      </c>
      <c r="K231" s="40" t="s">
        <v>31</v>
      </c>
      <c r="M231" s="157">
        <f t="shared" si="0"/>
        <v>300</v>
      </c>
    </row>
    <row r="232" spans="1:13" ht="15.75" customHeight="1">
      <c r="A232" s="42">
        <v>25</v>
      </c>
      <c r="B232" s="132" t="s">
        <v>1482</v>
      </c>
      <c r="C232" s="132" t="s">
        <v>25</v>
      </c>
      <c r="D232" s="132" t="s">
        <v>63</v>
      </c>
      <c r="E232" s="132" t="s">
        <v>42</v>
      </c>
      <c r="F232" s="262" t="s">
        <v>1483</v>
      </c>
      <c r="G232" s="132" t="s">
        <v>72</v>
      </c>
      <c r="H232" s="254">
        <v>200</v>
      </c>
      <c r="I232" s="255">
        <v>200</v>
      </c>
      <c r="J232" s="40" t="s">
        <v>30</v>
      </c>
      <c r="K232" s="40" t="s">
        <v>31</v>
      </c>
      <c r="M232" s="157">
        <f t="shared" si="0"/>
        <v>40</v>
      </c>
    </row>
    <row r="233" spans="1:13" ht="15.75" customHeight="1">
      <c r="A233" s="42">
        <v>25</v>
      </c>
      <c r="B233" s="132" t="s">
        <v>1484</v>
      </c>
      <c r="C233" s="132" t="s">
        <v>25</v>
      </c>
      <c r="D233" s="132" t="s">
        <v>206</v>
      </c>
      <c r="E233" s="132" t="s">
        <v>96</v>
      </c>
      <c r="F233" s="132"/>
      <c r="G233" s="132" t="s">
        <v>72</v>
      </c>
      <c r="H233" s="254">
        <v>200</v>
      </c>
      <c r="I233" s="255">
        <v>200</v>
      </c>
      <c r="J233" s="40" t="s">
        <v>30</v>
      </c>
      <c r="K233" s="40" t="s">
        <v>31</v>
      </c>
      <c r="M233" s="157">
        <f t="shared" si="0"/>
        <v>40</v>
      </c>
    </row>
    <row r="234" spans="1:13" ht="15.75" customHeight="1">
      <c r="A234" s="42">
        <v>25</v>
      </c>
      <c r="B234" s="132" t="s">
        <v>1485</v>
      </c>
      <c r="C234" s="132" t="s">
        <v>25</v>
      </c>
      <c r="D234" s="132" t="s">
        <v>323</v>
      </c>
      <c r="E234" s="132" t="s">
        <v>42</v>
      </c>
      <c r="F234" s="262" t="s">
        <v>1486</v>
      </c>
      <c r="G234" s="132" t="s">
        <v>72</v>
      </c>
      <c r="H234" s="254">
        <v>25</v>
      </c>
      <c r="I234" s="255">
        <v>25</v>
      </c>
      <c r="J234" s="40" t="s">
        <v>30</v>
      </c>
      <c r="K234" s="40" t="s">
        <v>31</v>
      </c>
      <c r="M234" s="157">
        <f t="shared" si="0"/>
        <v>5</v>
      </c>
    </row>
    <row r="235" spans="1:13" ht="15.75" customHeight="1">
      <c r="A235" s="42">
        <v>25</v>
      </c>
      <c r="B235" s="132" t="s">
        <v>1487</v>
      </c>
      <c r="C235" s="132" t="s">
        <v>25</v>
      </c>
      <c r="D235" s="132" t="s">
        <v>1160</v>
      </c>
      <c r="E235" s="132" t="s">
        <v>46</v>
      </c>
      <c r="F235" s="262" t="s">
        <v>1488</v>
      </c>
      <c r="G235" s="132" t="s">
        <v>72</v>
      </c>
      <c r="H235" s="254">
        <v>300</v>
      </c>
      <c r="I235" s="255">
        <v>300</v>
      </c>
      <c r="J235" s="40" t="s">
        <v>30</v>
      </c>
      <c r="K235" s="40" t="s">
        <v>31</v>
      </c>
      <c r="M235" s="157">
        <f t="shared" si="0"/>
        <v>60</v>
      </c>
    </row>
    <row r="236" spans="1:13" ht="15.75" customHeight="1">
      <c r="A236" s="42">
        <v>25</v>
      </c>
      <c r="B236" s="40" t="s">
        <v>1489</v>
      </c>
      <c r="C236" s="40" t="s">
        <v>25</v>
      </c>
      <c r="D236" s="40" t="s">
        <v>1490</v>
      </c>
      <c r="E236" s="40" t="s">
        <v>1491</v>
      </c>
      <c r="F236" s="43" t="s">
        <v>79</v>
      </c>
      <c r="G236" s="324" t="s">
        <v>29</v>
      </c>
      <c r="H236" s="325">
        <v>1000</v>
      </c>
      <c r="I236" s="326">
        <v>200</v>
      </c>
      <c r="J236" s="40" t="s">
        <v>30</v>
      </c>
      <c r="K236" s="40" t="s">
        <v>31</v>
      </c>
      <c r="M236" s="157">
        <f t="shared" si="0"/>
        <v>200</v>
      </c>
    </row>
    <row r="237" spans="1:13" ht="15.75" customHeight="1">
      <c r="A237" s="42">
        <v>25</v>
      </c>
      <c r="B237" s="132" t="s">
        <v>1489</v>
      </c>
      <c r="C237" s="132" t="s">
        <v>25</v>
      </c>
      <c r="D237" s="132" t="s">
        <v>1490</v>
      </c>
      <c r="E237" s="132" t="s">
        <v>1491</v>
      </c>
      <c r="F237" s="132"/>
      <c r="G237" s="132" t="s">
        <v>72</v>
      </c>
      <c r="H237" s="254">
        <v>200</v>
      </c>
      <c r="I237" s="255">
        <v>200</v>
      </c>
      <c r="J237" s="40" t="s">
        <v>30</v>
      </c>
      <c r="K237" s="40" t="s">
        <v>31</v>
      </c>
      <c r="M237" s="157">
        <f t="shared" si="0"/>
        <v>40</v>
      </c>
    </row>
    <row r="238" spans="1:13" ht="15.75" customHeight="1">
      <c r="A238" s="42">
        <v>25</v>
      </c>
      <c r="B238" s="40" t="s">
        <v>1492</v>
      </c>
      <c r="C238" s="40" t="s">
        <v>25</v>
      </c>
      <c r="D238" s="40" t="s">
        <v>1490</v>
      </c>
      <c r="E238" s="40" t="s">
        <v>1491</v>
      </c>
      <c r="F238" s="40"/>
      <c r="G238" s="324" t="s">
        <v>29</v>
      </c>
      <c r="H238" s="325">
        <v>1000</v>
      </c>
      <c r="I238" s="326">
        <v>200</v>
      </c>
      <c r="J238" s="40" t="s">
        <v>30</v>
      </c>
      <c r="K238" s="40" t="s">
        <v>31</v>
      </c>
      <c r="M238" s="157">
        <f t="shared" si="0"/>
        <v>200</v>
      </c>
    </row>
    <row r="239" spans="1:13" ht="15.75" customHeight="1">
      <c r="A239" s="42">
        <v>25</v>
      </c>
      <c r="B239" s="40" t="s">
        <v>1492</v>
      </c>
      <c r="C239" s="40" t="s">
        <v>25</v>
      </c>
      <c r="D239" s="40" t="s">
        <v>1490</v>
      </c>
      <c r="E239" s="40" t="s">
        <v>1491</v>
      </c>
      <c r="F239" s="40"/>
      <c r="G239" s="328" t="s">
        <v>72</v>
      </c>
      <c r="H239" s="329">
        <v>200</v>
      </c>
      <c r="I239" s="330">
        <v>200</v>
      </c>
      <c r="J239" s="40" t="s">
        <v>30</v>
      </c>
      <c r="K239" s="40" t="s">
        <v>31</v>
      </c>
      <c r="M239" s="157">
        <f t="shared" si="0"/>
        <v>40</v>
      </c>
    </row>
    <row r="240" spans="1:13" ht="15.75" customHeight="1">
      <c r="A240" s="42">
        <v>25</v>
      </c>
      <c r="B240" s="40" t="s">
        <v>935</v>
      </c>
      <c r="C240" s="40" t="s">
        <v>25</v>
      </c>
      <c r="D240" s="40" t="s">
        <v>195</v>
      </c>
      <c r="E240" s="40" t="s">
        <v>96</v>
      </c>
      <c r="F240" s="43" t="s">
        <v>936</v>
      </c>
      <c r="G240" s="324" t="s">
        <v>29</v>
      </c>
      <c r="H240" s="325">
        <v>2500</v>
      </c>
      <c r="I240" s="326">
        <v>400</v>
      </c>
      <c r="J240" s="40" t="s">
        <v>30</v>
      </c>
      <c r="K240" s="40" t="s">
        <v>31</v>
      </c>
      <c r="M240" s="157">
        <f t="shared" si="0"/>
        <v>500</v>
      </c>
    </row>
    <row r="241" spans="1:16" ht="15.75" customHeight="1">
      <c r="A241" s="42">
        <v>25</v>
      </c>
      <c r="B241" s="40" t="s">
        <v>1493</v>
      </c>
      <c r="C241" s="40" t="s">
        <v>25</v>
      </c>
      <c r="D241" s="40" t="s">
        <v>1494</v>
      </c>
      <c r="E241" s="40" t="s">
        <v>78</v>
      </c>
      <c r="F241" s="43" t="s">
        <v>1495</v>
      </c>
      <c r="G241" s="324" t="s">
        <v>29</v>
      </c>
      <c r="H241" s="325">
        <v>1000</v>
      </c>
      <c r="I241" s="326">
        <v>200</v>
      </c>
      <c r="J241" s="40" t="s">
        <v>30</v>
      </c>
      <c r="K241" s="40" t="s">
        <v>31</v>
      </c>
      <c r="M241" s="157">
        <f t="shared" si="0"/>
        <v>200</v>
      </c>
    </row>
    <row r="242" spans="1:16" ht="15.75" customHeight="1">
      <c r="A242" s="42">
        <v>25</v>
      </c>
      <c r="B242" s="40" t="s">
        <v>1496</v>
      </c>
      <c r="C242" s="40" t="s">
        <v>25</v>
      </c>
      <c r="D242" s="40" t="s">
        <v>1160</v>
      </c>
      <c r="E242" s="40" t="s">
        <v>46</v>
      </c>
      <c r="F242" s="43" t="s">
        <v>1497</v>
      </c>
      <c r="G242" s="324" t="s">
        <v>29</v>
      </c>
      <c r="H242" s="325">
        <v>500</v>
      </c>
      <c r="I242" s="326">
        <v>100</v>
      </c>
      <c r="J242" s="40" t="s">
        <v>30</v>
      </c>
      <c r="K242" s="40" t="s">
        <v>31</v>
      </c>
      <c r="M242" s="157">
        <f t="shared" si="0"/>
        <v>100</v>
      </c>
    </row>
    <row r="243" spans="1:16" ht="15.75" customHeight="1">
      <c r="A243" s="42">
        <v>25</v>
      </c>
      <c r="B243" s="40" t="s">
        <v>1498</v>
      </c>
      <c r="C243" s="40" t="s">
        <v>25</v>
      </c>
      <c r="D243" s="40" t="s">
        <v>155</v>
      </c>
      <c r="E243" s="40" t="s">
        <v>42</v>
      </c>
      <c r="F243" s="40"/>
      <c r="G243" s="324" t="s">
        <v>29</v>
      </c>
      <c r="H243" s="325">
        <v>200</v>
      </c>
      <c r="I243" s="326">
        <v>40</v>
      </c>
      <c r="J243" s="40" t="s">
        <v>30</v>
      </c>
      <c r="K243" s="40" t="s">
        <v>31</v>
      </c>
      <c r="M243" s="157">
        <f t="shared" si="0"/>
        <v>40</v>
      </c>
    </row>
    <row r="244" spans="1:16" ht="15.75" customHeight="1">
      <c r="A244" s="42">
        <v>25</v>
      </c>
      <c r="B244" s="40" t="s">
        <v>1499</v>
      </c>
      <c r="C244" s="40" t="s">
        <v>59</v>
      </c>
      <c r="D244" s="40" t="s">
        <v>86</v>
      </c>
      <c r="E244" s="40" t="s">
        <v>42</v>
      </c>
      <c r="F244" s="40"/>
      <c r="G244" s="40" t="s">
        <v>1500</v>
      </c>
      <c r="H244" s="44" t="s">
        <v>1501</v>
      </c>
      <c r="I244" s="41">
        <v>19600</v>
      </c>
      <c r="J244" s="40" t="s">
        <v>30</v>
      </c>
      <c r="K244" s="40" t="s">
        <v>31</v>
      </c>
    </row>
    <row r="245" spans="1:16" ht="15.75" customHeight="1">
      <c r="A245" s="42">
        <v>25</v>
      </c>
      <c r="B245" s="40" t="s">
        <v>1402</v>
      </c>
      <c r="C245" s="40" t="s">
        <v>25</v>
      </c>
      <c r="D245" s="40" t="s">
        <v>1403</v>
      </c>
      <c r="E245" s="40" t="s">
        <v>46</v>
      </c>
      <c r="F245" s="40"/>
      <c r="G245" s="40" t="s">
        <v>1500</v>
      </c>
      <c r="H245" s="44" t="s">
        <v>1502</v>
      </c>
      <c r="I245" s="41">
        <v>3200</v>
      </c>
      <c r="J245" s="40" t="s">
        <v>30</v>
      </c>
      <c r="K245" s="40" t="s">
        <v>31</v>
      </c>
    </row>
    <row r="246" spans="1:16" ht="15.75" customHeight="1">
      <c r="A246" s="42">
        <v>25</v>
      </c>
      <c r="B246" s="40" t="s">
        <v>576</v>
      </c>
      <c r="C246" s="40" t="s">
        <v>25</v>
      </c>
      <c r="D246" s="40" t="s">
        <v>55</v>
      </c>
      <c r="E246" s="40" t="s">
        <v>96</v>
      </c>
      <c r="F246" s="40"/>
      <c r="G246" s="40" t="s">
        <v>1500</v>
      </c>
      <c r="H246" s="44" t="s">
        <v>1503</v>
      </c>
      <c r="I246" s="41">
        <v>2000</v>
      </c>
      <c r="J246" s="40" t="s">
        <v>30</v>
      </c>
      <c r="K246" s="40" t="s">
        <v>31</v>
      </c>
    </row>
    <row r="247" spans="1:16" ht="15.75" customHeight="1">
      <c r="A247" s="42">
        <v>25</v>
      </c>
      <c r="B247" s="40" t="s">
        <v>1504</v>
      </c>
      <c r="C247" s="40" t="s">
        <v>25</v>
      </c>
      <c r="D247" s="40" t="s">
        <v>1505</v>
      </c>
      <c r="E247" s="40" t="s">
        <v>42</v>
      </c>
      <c r="F247" s="40"/>
      <c r="G247" s="274" t="s">
        <v>29</v>
      </c>
      <c r="H247" s="275">
        <v>1500</v>
      </c>
      <c r="I247" s="276" t="s">
        <v>101</v>
      </c>
      <c r="J247" s="40" t="s">
        <v>30</v>
      </c>
      <c r="K247" s="40" t="s">
        <v>31</v>
      </c>
      <c r="M247" s="157">
        <f t="shared" ref="M247:M252" si="1">H247/5</f>
        <v>300</v>
      </c>
    </row>
    <row r="248" spans="1:16" ht="15.75" customHeight="1">
      <c r="A248" s="42">
        <v>26</v>
      </c>
      <c r="B248" s="40" t="s">
        <v>1506</v>
      </c>
      <c r="C248" s="40" t="s">
        <v>25</v>
      </c>
      <c r="D248" s="40" t="s">
        <v>1507</v>
      </c>
      <c r="E248" s="40" t="s">
        <v>38</v>
      </c>
      <c r="F248" s="43" t="s">
        <v>1508</v>
      </c>
      <c r="G248" s="324" t="s">
        <v>29</v>
      </c>
      <c r="H248" s="325">
        <v>5000</v>
      </c>
      <c r="I248" s="326">
        <v>1000</v>
      </c>
      <c r="J248" s="40" t="s">
        <v>30</v>
      </c>
      <c r="K248" s="40" t="s">
        <v>31</v>
      </c>
      <c r="M248" s="157">
        <f t="shared" si="1"/>
        <v>1000</v>
      </c>
    </row>
    <row r="249" spans="1:16" ht="15.75" customHeight="1">
      <c r="A249" s="42">
        <v>26</v>
      </c>
      <c r="B249" s="40" t="s">
        <v>1509</v>
      </c>
      <c r="C249" s="40" t="s">
        <v>25</v>
      </c>
      <c r="D249" s="40" t="s">
        <v>103</v>
      </c>
      <c r="E249" s="40" t="s">
        <v>34</v>
      </c>
      <c r="F249" s="43" t="s">
        <v>1510</v>
      </c>
      <c r="G249" s="324" t="s">
        <v>29</v>
      </c>
      <c r="H249" s="325">
        <v>30000</v>
      </c>
      <c r="I249" s="326">
        <v>6000</v>
      </c>
      <c r="J249" s="40" t="s">
        <v>30</v>
      </c>
      <c r="K249" s="40" t="s">
        <v>31</v>
      </c>
      <c r="M249" s="157">
        <f t="shared" si="1"/>
        <v>6000</v>
      </c>
    </row>
    <row r="250" spans="1:16" ht="15.75" customHeight="1">
      <c r="A250" s="42">
        <v>26</v>
      </c>
      <c r="B250" s="40" t="s">
        <v>327</v>
      </c>
      <c r="C250" s="40" t="s">
        <v>25</v>
      </c>
      <c r="D250" s="40" t="s">
        <v>1511</v>
      </c>
      <c r="E250" s="40" t="s">
        <v>34</v>
      </c>
      <c r="F250" s="43" t="s">
        <v>1512</v>
      </c>
      <c r="G250" s="324" t="s">
        <v>29</v>
      </c>
      <c r="H250" s="325">
        <v>20000</v>
      </c>
      <c r="I250" s="326">
        <v>4000</v>
      </c>
      <c r="J250" s="40" t="s">
        <v>30</v>
      </c>
      <c r="K250" s="40" t="s">
        <v>31</v>
      </c>
      <c r="M250" s="157">
        <f t="shared" si="1"/>
        <v>4000</v>
      </c>
    </row>
    <row r="251" spans="1:16" ht="15.75" customHeight="1">
      <c r="A251" s="42">
        <v>26</v>
      </c>
      <c r="B251" s="40" t="s">
        <v>1513</v>
      </c>
      <c r="C251" s="40" t="s">
        <v>25</v>
      </c>
      <c r="D251" s="40" t="s">
        <v>724</v>
      </c>
      <c r="E251" s="40" t="s">
        <v>540</v>
      </c>
      <c r="F251" s="43" t="s">
        <v>1514</v>
      </c>
      <c r="G251" s="324" t="s">
        <v>29</v>
      </c>
      <c r="H251" s="325">
        <v>1000</v>
      </c>
      <c r="I251" s="326">
        <v>200</v>
      </c>
      <c r="J251" s="40" t="s">
        <v>30</v>
      </c>
      <c r="K251" s="40" t="s">
        <v>31</v>
      </c>
      <c r="M251" s="157">
        <f t="shared" si="1"/>
        <v>200</v>
      </c>
    </row>
    <row r="252" spans="1:16" ht="15.75" customHeight="1">
      <c r="A252" s="42">
        <v>26</v>
      </c>
      <c r="B252" s="40" t="s">
        <v>1515</v>
      </c>
      <c r="C252" s="40" t="s">
        <v>25</v>
      </c>
      <c r="D252" s="40" t="s">
        <v>826</v>
      </c>
      <c r="E252" s="40" t="s">
        <v>96</v>
      </c>
      <c r="F252" s="43" t="s">
        <v>1516</v>
      </c>
      <c r="G252" s="324" t="s">
        <v>29</v>
      </c>
      <c r="H252" s="325">
        <v>2000</v>
      </c>
      <c r="I252" s="326">
        <v>400</v>
      </c>
      <c r="J252" s="40" t="s">
        <v>30</v>
      </c>
      <c r="K252" s="40" t="s">
        <v>31</v>
      </c>
      <c r="M252" s="157">
        <f t="shared" si="1"/>
        <v>400</v>
      </c>
    </row>
    <row r="253" spans="1:16" ht="15.75" customHeight="1">
      <c r="A253" s="2"/>
      <c r="B253" s="1"/>
      <c r="C253" s="1"/>
      <c r="D253" s="1"/>
      <c r="E253" s="1"/>
      <c r="F253" s="1"/>
      <c r="G253" s="1"/>
      <c r="H253" s="45"/>
      <c r="I253" s="61"/>
      <c r="J253" s="1"/>
      <c r="K253" s="1"/>
    </row>
    <row r="254" spans="1:16" ht="15.75" customHeight="1">
      <c r="A254" s="2"/>
      <c r="B254" s="1"/>
      <c r="C254" s="1"/>
      <c r="D254" s="1"/>
      <c r="E254" s="1"/>
      <c r="F254" s="1"/>
      <c r="G254" s="1"/>
      <c r="H254" s="1"/>
      <c r="I254" s="62" t="s">
        <v>335</v>
      </c>
      <c r="J254" s="63"/>
      <c r="K254" s="1"/>
      <c r="M254" s="65">
        <f>SUM(M12:M253)</f>
        <v>114392</v>
      </c>
    </row>
    <row r="255" spans="1:16" ht="16.5" customHeight="1">
      <c r="A255" s="2"/>
      <c r="B255" s="1" t="s">
        <v>336</v>
      </c>
      <c r="C255" s="1"/>
      <c r="D255" s="1"/>
      <c r="E255" s="1" t="s">
        <v>337</v>
      </c>
      <c r="F255" s="1"/>
      <c r="G255" s="1"/>
      <c r="H255" s="1"/>
      <c r="I255" s="6" t="s">
        <v>338</v>
      </c>
      <c r="J255" s="291" t="s">
        <v>1517</v>
      </c>
      <c r="K255" s="1"/>
      <c r="P255" s="45">
        <f>37000-25000</f>
        <v>12000</v>
      </c>
    </row>
    <row r="256" spans="1:16" ht="15.75" customHeight="1">
      <c r="A256" s="2"/>
      <c r="B256" s="1"/>
      <c r="C256" s="1"/>
      <c r="D256" s="1"/>
      <c r="E256" s="1"/>
      <c r="F256" s="1"/>
      <c r="G256" s="1"/>
      <c r="H256" s="1"/>
      <c r="I256" s="6" t="s">
        <v>340</v>
      </c>
      <c r="J256" s="291" t="s">
        <v>1518</v>
      </c>
      <c r="K256" s="65"/>
      <c r="P256" s="157">
        <v>245</v>
      </c>
    </row>
    <row r="257" spans="1:26" ht="15.75" customHeight="1">
      <c r="A257" s="2"/>
      <c r="B257" s="1"/>
      <c r="C257" s="1"/>
      <c r="D257" s="1"/>
      <c r="E257" s="1"/>
      <c r="F257" s="1"/>
      <c r="G257" s="1"/>
      <c r="H257" s="1"/>
      <c r="I257" s="6"/>
      <c r="J257" s="331" t="s">
        <v>1519</v>
      </c>
      <c r="K257" s="332" t="s">
        <v>1520</v>
      </c>
      <c r="P257" s="157">
        <v>40</v>
      </c>
    </row>
    <row r="258" spans="1:26" ht="15.75" customHeight="1">
      <c r="A258" s="2"/>
      <c r="B258" s="1"/>
      <c r="C258" s="1"/>
      <c r="D258" s="1"/>
      <c r="E258" s="1"/>
      <c r="F258" s="1"/>
      <c r="G258" s="1"/>
      <c r="H258" s="1"/>
      <c r="I258" s="6" t="s">
        <v>342</v>
      </c>
      <c r="J258" s="292" t="s">
        <v>1521</v>
      </c>
      <c r="K258" s="1"/>
      <c r="P258" s="157">
        <v>25</v>
      </c>
    </row>
    <row r="259" spans="1:26" ht="15.75" customHeight="1">
      <c r="A259" s="2"/>
      <c r="B259" s="67" t="s">
        <v>343</v>
      </c>
      <c r="C259" s="1"/>
      <c r="D259" s="1"/>
      <c r="E259" s="554" t="s">
        <v>344</v>
      </c>
      <c r="F259" s="553"/>
      <c r="G259" s="553"/>
      <c r="H259" s="553"/>
      <c r="I259" s="6" t="s">
        <v>345</v>
      </c>
      <c r="J259" s="292" t="s">
        <v>1522</v>
      </c>
      <c r="K259" s="1"/>
      <c r="P259" s="157">
        <f>SUM(P256:P258)</f>
        <v>310</v>
      </c>
    </row>
    <row r="260" spans="1:26" ht="15.75" customHeight="1">
      <c r="A260" s="2"/>
      <c r="B260" s="1" t="s">
        <v>347</v>
      </c>
      <c r="C260" s="1"/>
      <c r="D260" s="1"/>
      <c r="E260" s="552" t="s">
        <v>348</v>
      </c>
      <c r="F260" s="553"/>
      <c r="G260" s="553"/>
      <c r="H260" s="553"/>
      <c r="I260" s="6" t="s">
        <v>349</v>
      </c>
      <c r="J260" s="292" t="s">
        <v>1523</v>
      </c>
      <c r="K260" s="1"/>
    </row>
    <row r="261" spans="1:26" ht="15.75" customHeight="1">
      <c r="A261" s="2"/>
      <c r="B261" s="1"/>
      <c r="C261" s="1"/>
      <c r="D261" s="1"/>
      <c r="E261" s="1"/>
      <c r="F261" s="1"/>
      <c r="G261" s="1"/>
      <c r="H261" s="1"/>
      <c r="I261" s="6" t="s">
        <v>351</v>
      </c>
      <c r="J261" s="292">
        <v>0</v>
      </c>
      <c r="K261" s="1"/>
    </row>
    <row r="262" spans="1:26" ht="15.75" customHeight="1">
      <c r="A262" s="2"/>
      <c r="B262" s="1"/>
      <c r="C262" s="1"/>
      <c r="D262" s="1"/>
      <c r="E262" s="1"/>
      <c r="F262" s="1"/>
      <c r="G262" s="1"/>
      <c r="H262" s="1"/>
      <c r="I262" s="6" t="s">
        <v>353</v>
      </c>
      <c r="J262" s="293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2"/>
      <c r="B263" s="1"/>
      <c r="C263" s="1"/>
      <c r="D263" s="1"/>
      <c r="E263" s="1"/>
      <c r="F263" s="1"/>
      <c r="G263" s="1"/>
      <c r="H263" s="1"/>
      <c r="I263" s="68" t="s">
        <v>354</v>
      </c>
      <c r="J263" s="291" t="s">
        <v>1524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2"/>
      <c r="B264" s="1"/>
      <c r="C264" s="1"/>
      <c r="D264" s="1"/>
      <c r="E264" s="1"/>
      <c r="F264" s="1"/>
      <c r="G264" s="1"/>
      <c r="H264" s="1"/>
      <c r="I264" s="68" t="s">
        <v>356</v>
      </c>
      <c r="J264" s="69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2"/>
      <c r="B265" s="70"/>
      <c r="C265" s="1"/>
      <c r="D265" s="1"/>
      <c r="E265" s="70"/>
      <c r="F265" s="70"/>
      <c r="G265" s="70"/>
      <c r="H265" s="1"/>
      <c r="I265" s="6"/>
      <c r="J265" s="63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2"/>
      <c r="B266" s="1"/>
      <c r="C266" s="1"/>
      <c r="D266" s="1"/>
      <c r="E266" s="1"/>
      <c r="F266" s="1"/>
      <c r="G266" s="1"/>
      <c r="H266" s="1"/>
      <c r="I266" s="61"/>
      <c r="J266" s="1"/>
      <c r="K266" s="1"/>
    </row>
    <row r="267" spans="1:26" ht="15.75" customHeight="1">
      <c r="A267" s="2"/>
      <c r="B267" s="1"/>
      <c r="C267" s="1"/>
      <c r="D267" s="1"/>
      <c r="E267" s="1"/>
      <c r="F267" s="1"/>
      <c r="G267" s="1"/>
      <c r="H267" s="1"/>
      <c r="I267" s="61"/>
      <c r="J267" s="1"/>
      <c r="K267" s="1"/>
    </row>
    <row r="268" spans="1:26" ht="15.75" customHeight="1">
      <c r="A268" s="2"/>
      <c r="B268" s="1"/>
      <c r="C268" s="1"/>
      <c r="D268" s="1"/>
      <c r="E268" s="1"/>
      <c r="F268" s="1"/>
      <c r="G268" s="1"/>
      <c r="H268" s="1"/>
      <c r="I268" s="61"/>
      <c r="J268" s="1"/>
      <c r="K268" s="1"/>
    </row>
    <row r="269" spans="1:26" ht="15.75" customHeight="1">
      <c r="A269" s="2"/>
      <c r="B269" s="1"/>
      <c r="C269" s="1"/>
      <c r="D269" s="1"/>
      <c r="E269" s="1"/>
      <c r="F269" s="1"/>
      <c r="G269" s="1"/>
      <c r="H269" s="1"/>
      <c r="I269" s="61"/>
      <c r="J269" s="1"/>
      <c r="K269" s="1"/>
    </row>
    <row r="270" spans="1:26" ht="15.75" customHeight="1">
      <c r="A270" s="2"/>
      <c r="B270" s="1"/>
      <c r="C270" s="1"/>
      <c r="D270" s="1"/>
      <c r="E270" s="1"/>
      <c r="F270" s="1"/>
      <c r="G270" s="1"/>
      <c r="H270" s="1"/>
      <c r="I270" s="61"/>
      <c r="J270" s="1"/>
      <c r="K270" s="1"/>
    </row>
    <row r="271" spans="1:26" ht="15.75" customHeight="1">
      <c r="A271" s="2"/>
      <c r="B271" s="1"/>
      <c r="C271" s="1"/>
      <c r="D271" s="1"/>
      <c r="E271" s="1"/>
      <c r="F271" s="1"/>
      <c r="G271" s="1"/>
      <c r="H271" s="1"/>
      <c r="I271" s="61"/>
      <c r="J271" s="1"/>
      <c r="K271" s="1"/>
    </row>
    <row r="272" spans="1:26" ht="15.75" customHeight="1">
      <c r="A272" s="2"/>
      <c r="B272" s="1"/>
      <c r="C272" s="1"/>
      <c r="D272" s="1"/>
      <c r="E272" s="1"/>
      <c r="F272" s="1"/>
      <c r="G272" s="1"/>
      <c r="H272" s="1"/>
      <c r="I272" s="61"/>
      <c r="J272" s="1"/>
      <c r="K272" s="1"/>
    </row>
    <row r="273" spans="1:11" ht="15.75" customHeight="1">
      <c r="A273" s="2"/>
      <c r="B273" s="1"/>
      <c r="C273" s="1"/>
      <c r="D273" s="1"/>
      <c r="E273" s="1"/>
      <c r="F273" s="1"/>
      <c r="G273" s="1"/>
      <c r="H273" s="1"/>
      <c r="I273" s="61"/>
      <c r="J273" s="1"/>
      <c r="K273" s="1"/>
    </row>
    <row r="274" spans="1:11" ht="15.75" customHeight="1">
      <c r="A274" s="2"/>
      <c r="B274" s="1"/>
      <c r="C274" s="1"/>
      <c r="D274" s="1"/>
      <c r="E274" s="1"/>
      <c r="F274" s="1"/>
      <c r="G274" s="1"/>
      <c r="H274" s="1"/>
      <c r="I274" s="61"/>
      <c r="J274" s="1"/>
      <c r="K274" s="1"/>
    </row>
    <row r="275" spans="1:11" ht="15.75" customHeight="1">
      <c r="A275" s="2"/>
      <c r="B275" s="1"/>
      <c r="C275" s="1"/>
      <c r="D275" s="1"/>
      <c r="E275" s="1"/>
      <c r="F275" s="1"/>
      <c r="G275" s="1"/>
      <c r="H275" s="1"/>
      <c r="I275" s="61"/>
      <c r="J275" s="1"/>
      <c r="K275" s="1"/>
    </row>
    <row r="276" spans="1:11" ht="15.75" customHeight="1">
      <c r="A276" s="2"/>
      <c r="B276" s="1"/>
      <c r="C276" s="1"/>
      <c r="D276" s="1"/>
      <c r="E276" s="1"/>
      <c r="F276" s="1"/>
      <c r="G276" s="1"/>
      <c r="H276" s="1"/>
      <c r="I276" s="61"/>
      <c r="J276" s="1"/>
      <c r="K276" s="1"/>
    </row>
    <row r="277" spans="1:11" ht="15.75" customHeight="1">
      <c r="A277" s="2"/>
      <c r="B277" s="1"/>
      <c r="C277" s="1"/>
      <c r="D277" s="1"/>
      <c r="E277" s="1"/>
      <c r="F277" s="1"/>
      <c r="G277" s="1"/>
      <c r="H277" s="1"/>
      <c r="I277" s="61"/>
      <c r="J277" s="1"/>
      <c r="K277" s="1"/>
    </row>
    <row r="278" spans="1:11" ht="15.75" customHeight="1">
      <c r="A278" s="2"/>
      <c r="B278" s="1"/>
      <c r="C278" s="1"/>
      <c r="D278" s="1"/>
      <c r="E278" s="1"/>
      <c r="F278" s="1"/>
      <c r="G278" s="1"/>
      <c r="H278" s="1"/>
      <c r="I278" s="61"/>
      <c r="J278" s="1"/>
      <c r="K278" s="1"/>
    </row>
    <row r="279" spans="1:11" ht="15.75" customHeight="1">
      <c r="A279" s="2"/>
      <c r="B279" s="1"/>
      <c r="C279" s="1"/>
      <c r="D279" s="1"/>
      <c r="E279" s="1"/>
      <c r="F279" s="1"/>
      <c r="G279" s="1"/>
      <c r="H279" s="1"/>
      <c r="I279" s="61"/>
      <c r="J279" s="1"/>
      <c r="K279" s="1"/>
    </row>
    <row r="280" spans="1:11" ht="15.75" customHeight="1">
      <c r="A280" s="2"/>
      <c r="B280" s="1"/>
      <c r="C280" s="1"/>
      <c r="D280" s="1"/>
      <c r="E280" s="1"/>
      <c r="F280" s="1"/>
      <c r="G280" s="1"/>
      <c r="H280" s="1"/>
      <c r="I280" s="61"/>
      <c r="J280" s="1"/>
      <c r="K280" s="1"/>
    </row>
    <row r="281" spans="1:11" ht="15.75" customHeight="1">
      <c r="A281" s="2"/>
      <c r="B281" s="1"/>
      <c r="C281" s="1"/>
      <c r="D281" s="1"/>
      <c r="E281" s="1"/>
      <c r="F281" s="1"/>
      <c r="G281" s="1"/>
      <c r="H281" s="1"/>
      <c r="I281" s="61"/>
      <c r="J281" s="1"/>
      <c r="K281" s="1"/>
    </row>
    <row r="282" spans="1:11" ht="15.75" customHeight="1">
      <c r="A282" s="2"/>
      <c r="B282" s="1"/>
      <c r="C282" s="1"/>
      <c r="D282" s="1"/>
      <c r="E282" s="1"/>
      <c r="F282" s="1"/>
      <c r="G282" s="1"/>
      <c r="H282" s="1"/>
      <c r="I282" s="61"/>
      <c r="J282" s="1"/>
      <c r="K282" s="1"/>
    </row>
    <row r="283" spans="1:11" ht="15.75" customHeight="1">
      <c r="A283" s="2"/>
      <c r="B283" s="1"/>
      <c r="C283" s="1"/>
      <c r="D283" s="1"/>
      <c r="E283" s="1"/>
      <c r="F283" s="1"/>
      <c r="G283" s="1"/>
      <c r="H283" s="1"/>
      <c r="I283" s="61"/>
      <c r="J283" s="1"/>
      <c r="K283" s="1"/>
    </row>
    <row r="284" spans="1:11" ht="15.75" customHeight="1">
      <c r="A284" s="2"/>
      <c r="B284" s="1"/>
      <c r="C284" s="1"/>
      <c r="D284" s="1"/>
      <c r="E284" s="1"/>
      <c r="F284" s="1"/>
      <c r="G284" s="1"/>
      <c r="H284" s="1"/>
      <c r="I284" s="61"/>
      <c r="J284" s="1"/>
      <c r="K284" s="1"/>
    </row>
    <row r="285" spans="1:11" ht="15.75" customHeight="1">
      <c r="A285" s="2"/>
      <c r="B285" s="1"/>
      <c r="C285" s="1"/>
      <c r="D285" s="1"/>
      <c r="E285" s="1"/>
      <c r="F285" s="1"/>
      <c r="G285" s="1"/>
      <c r="H285" s="1"/>
      <c r="I285" s="61"/>
      <c r="J285" s="1"/>
      <c r="K285" s="1"/>
    </row>
    <row r="286" spans="1:11" ht="15.75" customHeight="1">
      <c r="A286" s="2"/>
      <c r="B286" s="1"/>
      <c r="C286" s="1"/>
      <c r="D286" s="1"/>
      <c r="E286" s="1"/>
      <c r="F286" s="1"/>
      <c r="G286" s="1"/>
      <c r="H286" s="1"/>
      <c r="I286" s="61"/>
      <c r="J286" s="1"/>
      <c r="K286" s="1"/>
    </row>
    <row r="287" spans="1:11" ht="15.75" customHeight="1">
      <c r="A287" s="2"/>
      <c r="B287" s="1"/>
      <c r="C287" s="1"/>
      <c r="D287" s="1"/>
      <c r="E287" s="1"/>
      <c r="F287" s="1"/>
      <c r="G287" s="1"/>
      <c r="H287" s="1"/>
      <c r="I287" s="61"/>
      <c r="J287" s="1"/>
      <c r="K287" s="1"/>
    </row>
    <row r="288" spans="1:11" ht="15.75" customHeight="1">
      <c r="A288" s="2"/>
      <c r="B288" s="1"/>
      <c r="C288" s="1"/>
      <c r="D288" s="1"/>
      <c r="E288" s="1"/>
      <c r="F288" s="1"/>
      <c r="G288" s="1"/>
      <c r="H288" s="1"/>
      <c r="I288" s="61"/>
      <c r="J288" s="1"/>
      <c r="K288" s="1"/>
    </row>
    <row r="289" spans="1:11" ht="15.75" customHeight="1">
      <c r="A289" s="2"/>
      <c r="B289" s="1"/>
      <c r="C289" s="1"/>
      <c r="D289" s="1"/>
      <c r="E289" s="1"/>
      <c r="F289" s="1"/>
      <c r="G289" s="1"/>
      <c r="H289" s="1"/>
      <c r="I289" s="61"/>
      <c r="J289" s="1"/>
      <c r="K289" s="1"/>
    </row>
    <row r="290" spans="1:11" ht="15.75" customHeight="1">
      <c r="A290" s="2"/>
      <c r="B290" s="1"/>
      <c r="C290" s="1"/>
      <c r="D290" s="1"/>
      <c r="E290" s="1"/>
      <c r="F290" s="1"/>
      <c r="G290" s="1"/>
      <c r="H290" s="1"/>
      <c r="I290" s="61"/>
      <c r="J290" s="1"/>
      <c r="K290" s="1"/>
    </row>
    <row r="291" spans="1:11" ht="15.75" customHeight="1">
      <c r="A291" s="2"/>
      <c r="B291" s="1"/>
      <c r="C291" s="1"/>
      <c r="D291" s="1"/>
      <c r="E291" s="1"/>
      <c r="F291" s="1"/>
      <c r="G291" s="1"/>
      <c r="H291" s="1"/>
      <c r="I291" s="61"/>
      <c r="J291" s="1"/>
      <c r="K291" s="1"/>
    </row>
    <row r="292" spans="1:11" ht="15.75" customHeight="1">
      <c r="A292" s="2"/>
      <c r="B292" s="1"/>
      <c r="C292" s="1"/>
      <c r="D292" s="1"/>
      <c r="E292" s="1"/>
      <c r="F292" s="1"/>
      <c r="G292" s="1"/>
      <c r="H292" s="1"/>
      <c r="I292" s="61"/>
      <c r="J292" s="1"/>
      <c r="K292" s="1"/>
    </row>
    <row r="293" spans="1:11" ht="15.75" customHeight="1">
      <c r="A293" s="2"/>
      <c r="B293" s="1"/>
      <c r="C293" s="1"/>
      <c r="D293" s="1"/>
      <c r="E293" s="1"/>
      <c r="F293" s="1"/>
      <c r="G293" s="1"/>
      <c r="H293" s="1"/>
      <c r="I293" s="61"/>
      <c r="J293" s="1"/>
      <c r="K293" s="1"/>
    </row>
    <row r="294" spans="1:11" ht="15.75" customHeight="1">
      <c r="A294" s="2"/>
      <c r="B294" s="1"/>
      <c r="C294" s="1"/>
      <c r="D294" s="1"/>
      <c r="E294" s="1"/>
      <c r="F294" s="1"/>
      <c r="G294" s="1"/>
      <c r="H294" s="1"/>
      <c r="I294" s="61"/>
      <c r="J294" s="1"/>
      <c r="K294" s="1"/>
    </row>
    <row r="295" spans="1:11" ht="15.75" customHeight="1">
      <c r="A295" s="2"/>
      <c r="B295" s="1"/>
      <c r="C295" s="1"/>
      <c r="D295" s="1"/>
      <c r="E295" s="1"/>
      <c r="F295" s="1"/>
      <c r="G295" s="1"/>
      <c r="H295" s="1"/>
      <c r="I295" s="61"/>
      <c r="J295" s="1"/>
      <c r="K295" s="1"/>
    </row>
    <row r="296" spans="1:11" ht="15.75" customHeight="1">
      <c r="A296" s="2"/>
      <c r="B296" s="1"/>
      <c r="C296" s="1"/>
      <c r="D296" s="1"/>
      <c r="E296" s="1"/>
      <c r="F296" s="1"/>
      <c r="G296" s="1"/>
      <c r="H296" s="1"/>
      <c r="I296" s="61"/>
      <c r="J296" s="1"/>
      <c r="K296" s="1"/>
    </row>
    <row r="297" spans="1:11" ht="15.75" customHeight="1">
      <c r="A297" s="2"/>
      <c r="B297" s="1"/>
      <c r="C297" s="1"/>
      <c r="D297" s="1"/>
      <c r="E297" s="1"/>
      <c r="F297" s="1"/>
      <c r="G297" s="1"/>
      <c r="H297" s="1"/>
      <c r="I297" s="61"/>
      <c r="J297" s="1"/>
      <c r="K297" s="1"/>
    </row>
    <row r="298" spans="1:11" ht="15.75" customHeight="1">
      <c r="A298" s="2"/>
      <c r="B298" s="1"/>
      <c r="C298" s="1"/>
      <c r="D298" s="1"/>
      <c r="E298" s="1"/>
      <c r="F298" s="1"/>
      <c r="G298" s="1"/>
      <c r="H298" s="1"/>
      <c r="I298" s="61"/>
      <c r="J298" s="1"/>
      <c r="K298" s="1"/>
    </row>
    <row r="299" spans="1:11" ht="15.75" customHeight="1">
      <c r="A299" s="2"/>
      <c r="B299" s="1"/>
      <c r="C299" s="1"/>
      <c r="D299" s="1"/>
      <c r="E299" s="1"/>
      <c r="F299" s="1"/>
      <c r="G299" s="1"/>
      <c r="H299" s="1"/>
      <c r="I299" s="61"/>
      <c r="J299" s="1"/>
      <c r="K299" s="1"/>
    </row>
    <row r="300" spans="1:11" ht="15.75" customHeight="1">
      <c r="A300" s="2"/>
      <c r="B300" s="1"/>
      <c r="C300" s="1"/>
      <c r="D300" s="1"/>
      <c r="E300" s="1"/>
      <c r="F300" s="1"/>
      <c r="G300" s="1"/>
      <c r="H300" s="1"/>
      <c r="I300" s="61"/>
      <c r="J300" s="1"/>
      <c r="K300" s="1"/>
    </row>
    <row r="301" spans="1:11" ht="15.75" customHeight="1">
      <c r="A301" s="2"/>
      <c r="B301" s="1"/>
      <c r="C301" s="1"/>
      <c r="D301" s="1"/>
      <c r="E301" s="1"/>
      <c r="F301" s="1"/>
      <c r="G301" s="1"/>
      <c r="H301" s="1"/>
      <c r="I301" s="61"/>
      <c r="J301" s="1"/>
      <c r="K301" s="1"/>
    </row>
    <row r="302" spans="1:11" ht="15.75" customHeight="1">
      <c r="A302" s="2"/>
      <c r="B302" s="1"/>
      <c r="C302" s="1"/>
      <c r="D302" s="1"/>
      <c r="E302" s="1"/>
      <c r="F302" s="1"/>
      <c r="G302" s="1"/>
      <c r="H302" s="1"/>
      <c r="I302" s="61"/>
      <c r="J302" s="1"/>
      <c r="K302" s="1"/>
    </row>
    <row r="303" spans="1:11" ht="15.75" customHeight="1">
      <c r="A303" s="2"/>
      <c r="B303" s="1"/>
      <c r="C303" s="1"/>
      <c r="D303" s="1"/>
      <c r="E303" s="1"/>
      <c r="F303" s="1"/>
      <c r="G303" s="1"/>
      <c r="H303" s="1"/>
      <c r="I303" s="61"/>
      <c r="J303" s="1"/>
      <c r="K303" s="1"/>
    </row>
    <row r="304" spans="1:11" ht="15.75" customHeight="1">
      <c r="A304" s="2"/>
      <c r="B304" s="1"/>
      <c r="C304" s="1"/>
      <c r="D304" s="1"/>
      <c r="E304" s="1"/>
      <c r="F304" s="1"/>
      <c r="G304" s="1"/>
      <c r="H304" s="1"/>
      <c r="I304" s="61"/>
      <c r="J304" s="1"/>
      <c r="K304" s="1"/>
    </row>
    <row r="305" spans="1:11" ht="15.75" customHeight="1">
      <c r="A305" s="2"/>
      <c r="B305" s="1"/>
      <c r="C305" s="1"/>
      <c r="D305" s="1"/>
      <c r="E305" s="1"/>
      <c r="F305" s="1"/>
      <c r="G305" s="1"/>
      <c r="H305" s="1"/>
      <c r="I305" s="61"/>
      <c r="J305" s="1"/>
      <c r="K305" s="1"/>
    </row>
    <row r="306" spans="1:11" ht="15.75" customHeight="1">
      <c r="A306" s="2"/>
      <c r="B306" s="1"/>
      <c r="C306" s="1"/>
      <c r="D306" s="1"/>
      <c r="E306" s="1"/>
      <c r="F306" s="1"/>
      <c r="G306" s="1"/>
      <c r="H306" s="1"/>
      <c r="I306" s="61"/>
      <c r="J306" s="1"/>
      <c r="K306" s="1"/>
    </row>
    <row r="307" spans="1:11" ht="15.75" customHeight="1">
      <c r="A307" s="2"/>
      <c r="B307" s="1"/>
      <c r="C307" s="1"/>
      <c r="D307" s="1"/>
      <c r="E307" s="1"/>
      <c r="F307" s="1"/>
      <c r="G307" s="1"/>
      <c r="H307" s="1"/>
      <c r="I307" s="61"/>
      <c r="J307" s="1"/>
      <c r="K307" s="1"/>
    </row>
    <row r="308" spans="1:11" ht="15.75" customHeight="1">
      <c r="A308" s="2"/>
      <c r="B308" s="1"/>
      <c r="C308" s="1"/>
      <c r="D308" s="1"/>
      <c r="E308" s="1"/>
      <c r="F308" s="1"/>
      <c r="G308" s="1"/>
      <c r="H308" s="1"/>
      <c r="I308" s="61"/>
      <c r="J308" s="1"/>
      <c r="K308" s="1"/>
    </row>
    <row r="309" spans="1:11" ht="15.75" customHeight="1">
      <c r="A309" s="2"/>
      <c r="B309" s="1"/>
      <c r="C309" s="1"/>
      <c r="D309" s="1"/>
      <c r="E309" s="1"/>
      <c r="F309" s="1"/>
      <c r="G309" s="1"/>
      <c r="H309" s="1"/>
      <c r="I309" s="61"/>
      <c r="J309" s="1"/>
      <c r="K309" s="1"/>
    </row>
    <row r="310" spans="1:11" ht="15.75" customHeight="1">
      <c r="A310" s="2"/>
      <c r="B310" s="1"/>
      <c r="C310" s="1"/>
      <c r="D310" s="1"/>
      <c r="E310" s="1"/>
      <c r="F310" s="1"/>
      <c r="G310" s="1"/>
      <c r="H310" s="1"/>
      <c r="I310" s="61"/>
      <c r="J310" s="1"/>
      <c r="K310" s="1"/>
    </row>
    <row r="311" spans="1:11" ht="15.75" customHeight="1">
      <c r="A311" s="2"/>
      <c r="B311" s="1"/>
      <c r="C311" s="1"/>
      <c r="D311" s="1"/>
      <c r="E311" s="1"/>
      <c r="F311" s="1"/>
      <c r="G311" s="1"/>
      <c r="H311" s="1"/>
      <c r="I311" s="61"/>
      <c r="J311" s="1"/>
      <c r="K311" s="1"/>
    </row>
    <row r="312" spans="1:11" ht="15.75" customHeight="1">
      <c r="A312" s="2"/>
      <c r="B312" s="1"/>
      <c r="C312" s="1"/>
      <c r="D312" s="1"/>
      <c r="E312" s="1"/>
      <c r="F312" s="1"/>
      <c r="G312" s="1"/>
      <c r="H312" s="1"/>
      <c r="I312" s="61"/>
      <c r="J312" s="1"/>
      <c r="K312" s="1"/>
    </row>
    <row r="313" spans="1:11" ht="15.75" customHeight="1">
      <c r="A313" s="2"/>
      <c r="B313" s="1"/>
      <c r="C313" s="1"/>
      <c r="D313" s="1"/>
      <c r="E313" s="1"/>
      <c r="F313" s="1"/>
      <c r="G313" s="1"/>
      <c r="H313" s="1"/>
      <c r="I313" s="61"/>
      <c r="J313" s="1"/>
      <c r="K313" s="1"/>
    </row>
    <row r="314" spans="1:11" ht="15.75" customHeight="1">
      <c r="A314" s="2"/>
      <c r="B314" s="1"/>
      <c r="C314" s="1"/>
      <c r="D314" s="1"/>
      <c r="E314" s="1"/>
      <c r="F314" s="1"/>
      <c r="G314" s="1"/>
      <c r="H314" s="1"/>
      <c r="I314" s="61"/>
      <c r="J314" s="1"/>
      <c r="K314" s="1"/>
    </row>
    <row r="315" spans="1:11" ht="15.75" customHeight="1">
      <c r="A315" s="2"/>
      <c r="B315" s="1"/>
      <c r="C315" s="1"/>
      <c r="D315" s="1"/>
      <c r="E315" s="1"/>
      <c r="F315" s="1"/>
      <c r="G315" s="1"/>
      <c r="H315" s="1"/>
      <c r="I315" s="61"/>
      <c r="J315" s="1"/>
      <c r="K315" s="1"/>
    </row>
    <row r="316" spans="1:11" ht="15.75" customHeight="1">
      <c r="A316" s="2"/>
      <c r="B316" s="1"/>
      <c r="C316" s="1"/>
      <c r="D316" s="1"/>
      <c r="E316" s="1"/>
      <c r="F316" s="1"/>
      <c r="G316" s="1"/>
      <c r="H316" s="1"/>
      <c r="I316" s="61"/>
      <c r="J316" s="1"/>
      <c r="K316" s="1"/>
    </row>
    <row r="317" spans="1:11" ht="15.75" customHeight="1">
      <c r="A317" s="2"/>
      <c r="B317" s="1"/>
      <c r="C317" s="1"/>
      <c r="D317" s="1"/>
      <c r="E317" s="1"/>
      <c r="F317" s="1"/>
      <c r="G317" s="1"/>
      <c r="H317" s="1"/>
      <c r="I317" s="61"/>
      <c r="J317" s="1"/>
      <c r="K317" s="1"/>
    </row>
    <row r="318" spans="1:11" ht="15.75" customHeight="1">
      <c r="A318" s="2"/>
      <c r="B318" s="1"/>
      <c r="C318" s="1"/>
      <c r="D318" s="1"/>
      <c r="E318" s="1"/>
      <c r="F318" s="1"/>
      <c r="G318" s="1"/>
      <c r="H318" s="1"/>
      <c r="I318" s="61"/>
      <c r="J318" s="1"/>
      <c r="K318" s="1"/>
    </row>
    <row r="319" spans="1:11" ht="15.75" customHeight="1">
      <c r="A319" s="2"/>
      <c r="B319" s="1"/>
      <c r="C319" s="1"/>
      <c r="D319" s="1"/>
      <c r="E319" s="1"/>
      <c r="F319" s="1"/>
      <c r="G319" s="1"/>
      <c r="H319" s="1"/>
      <c r="I319" s="61"/>
      <c r="J319" s="1"/>
      <c r="K319" s="1"/>
    </row>
    <row r="320" spans="1:11" ht="15.75" customHeight="1">
      <c r="A320" s="2"/>
      <c r="B320" s="1"/>
      <c r="C320" s="1"/>
      <c r="D320" s="1"/>
      <c r="E320" s="1"/>
      <c r="F320" s="1"/>
      <c r="G320" s="1"/>
      <c r="H320" s="1"/>
      <c r="I320" s="61"/>
      <c r="J320" s="1"/>
      <c r="K320" s="1"/>
    </row>
    <row r="321" spans="1:11" ht="15.75" customHeight="1">
      <c r="A321" s="2"/>
      <c r="B321" s="1"/>
      <c r="C321" s="1"/>
      <c r="D321" s="1"/>
      <c r="E321" s="1"/>
      <c r="F321" s="1"/>
      <c r="G321" s="1"/>
      <c r="H321" s="1"/>
      <c r="I321" s="61"/>
      <c r="J321" s="1"/>
      <c r="K321" s="1"/>
    </row>
    <row r="322" spans="1:11" ht="15.75" customHeight="1">
      <c r="A322" s="2"/>
      <c r="B322" s="1"/>
      <c r="C322" s="1"/>
      <c r="D322" s="1"/>
      <c r="E322" s="1"/>
      <c r="F322" s="1"/>
      <c r="G322" s="1"/>
      <c r="H322" s="1"/>
      <c r="I322" s="61"/>
      <c r="J322" s="1"/>
      <c r="K322" s="1"/>
    </row>
    <row r="323" spans="1:11" ht="15.75" customHeight="1">
      <c r="A323" s="2"/>
      <c r="B323" s="1"/>
      <c r="C323" s="1"/>
      <c r="D323" s="1"/>
      <c r="E323" s="1"/>
      <c r="F323" s="1"/>
      <c r="G323" s="1"/>
      <c r="H323" s="1"/>
      <c r="I323" s="61"/>
      <c r="J323" s="1"/>
      <c r="K323" s="1"/>
    </row>
    <row r="324" spans="1:11" ht="15.75" customHeight="1">
      <c r="A324" s="2"/>
      <c r="B324" s="1"/>
      <c r="C324" s="1"/>
      <c r="D324" s="1"/>
      <c r="E324" s="1"/>
      <c r="F324" s="1"/>
      <c r="G324" s="1"/>
      <c r="H324" s="1"/>
      <c r="I324" s="61"/>
      <c r="J324" s="1"/>
      <c r="K324" s="1"/>
    </row>
    <row r="325" spans="1:11" ht="15.75" customHeight="1">
      <c r="A325" s="2"/>
      <c r="B325" s="1"/>
      <c r="C325" s="1"/>
      <c r="D325" s="1"/>
      <c r="E325" s="1"/>
      <c r="F325" s="1"/>
      <c r="G325" s="1"/>
      <c r="H325" s="1"/>
      <c r="I325" s="61"/>
      <c r="J325" s="1"/>
      <c r="K325" s="1"/>
    </row>
    <row r="326" spans="1:11" ht="15.75" customHeight="1">
      <c r="A326" s="2"/>
      <c r="B326" s="1"/>
      <c r="C326" s="1"/>
      <c r="D326" s="1"/>
      <c r="E326" s="1"/>
      <c r="F326" s="1"/>
      <c r="G326" s="1"/>
      <c r="H326" s="1"/>
      <c r="I326" s="61"/>
      <c r="J326" s="1"/>
      <c r="K326" s="1"/>
    </row>
    <row r="327" spans="1:11" ht="15.75" customHeight="1">
      <c r="A327" s="2"/>
      <c r="B327" s="1"/>
      <c r="C327" s="1"/>
      <c r="D327" s="1"/>
      <c r="E327" s="1"/>
      <c r="F327" s="1"/>
      <c r="G327" s="1"/>
      <c r="H327" s="1"/>
      <c r="I327" s="61"/>
      <c r="J327" s="1"/>
      <c r="K327" s="1"/>
    </row>
    <row r="328" spans="1:11" ht="15.75" customHeight="1">
      <c r="A328" s="2"/>
      <c r="B328" s="1"/>
      <c r="C328" s="1"/>
      <c r="D328" s="1"/>
      <c r="E328" s="1"/>
      <c r="F328" s="1"/>
      <c r="G328" s="1"/>
      <c r="H328" s="1"/>
      <c r="I328" s="61"/>
      <c r="J328" s="1"/>
      <c r="K328" s="1"/>
    </row>
    <row r="329" spans="1:11" ht="15.75" customHeight="1">
      <c r="A329" s="2"/>
      <c r="B329" s="1"/>
      <c r="C329" s="1"/>
      <c r="D329" s="1"/>
      <c r="E329" s="1"/>
      <c r="F329" s="1"/>
      <c r="G329" s="1"/>
      <c r="H329" s="1"/>
      <c r="I329" s="61"/>
      <c r="J329" s="1"/>
      <c r="K329" s="1"/>
    </row>
    <row r="330" spans="1:11" ht="15.75" customHeight="1">
      <c r="A330" s="2"/>
      <c r="B330" s="1"/>
      <c r="C330" s="1"/>
      <c r="D330" s="1"/>
      <c r="E330" s="1"/>
      <c r="F330" s="1"/>
      <c r="G330" s="1"/>
      <c r="H330" s="1"/>
      <c r="I330" s="61"/>
      <c r="J330" s="1"/>
      <c r="K330" s="1"/>
    </row>
    <row r="331" spans="1:11" ht="15.75" customHeight="1">
      <c r="A331" s="2"/>
      <c r="B331" s="1"/>
      <c r="C331" s="1"/>
      <c r="D331" s="1"/>
      <c r="E331" s="1"/>
      <c r="F331" s="1"/>
      <c r="G331" s="1"/>
      <c r="H331" s="1"/>
      <c r="I331" s="61"/>
      <c r="J331" s="1"/>
      <c r="K331" s="1"/>
    </row>
    <row r="332" spans="1:11" ht="15.75" customHeight="1">
      <c r="A332" s="2"/>
      <c r="B332" s="1"/>
      <c r="C332" s="1"/>
      <c r="D332" s="1"/>
      <c r="E332" s="1"/>
      <c r="F332" s="1"/>
      <c r="G332" s="1"/>
      <c r="H332" s="1"/>
      <c r="I332" s="61"/>
      <c r="J332" s="1"/>
      <c r="K332" s="1"/>
    </row>
    <row r="333" spans="1:11" ht="15.75" customHeight="1">
      <c r="A333" s="2"/>
      <c r="B333" s="1"/>
      <c r="C333" s="1"/>
      <c r="D333" s="1"/>
      <c r="E333" s="1"/>
      <c r="F333" s="1"/>
      <c r="G333" s="1"/>
      <c r="H333" s="1"/>
      <c r="I333" s="61"/>
      <c r="J333" s="1"/>
      <c r="K333" s="1"/>
    </row>
    <row r="334" spans="1:11" ht="15.75" customHeight="1">
      <c r="A334" s="2"/>
      <c r="B334" s="1"/>
      <c r="C334" s="1"/>
      <c r="D334" s="1"/>
      <c r="E334" s="1"/>
      <c r="F334" s="1"/>
      <c r="G334" s="1"/>
      <c r="H334" s="1"/>
      <c r="I334" s="61"/>
      <c r="J334" s="1"/>
      <c r="K334" s="1"/>
    </row>
    <row r="335" spans="1:11" ht="15.75" customHeight="1">
      <c r="A335" s="2"/>
      <c r="B335" s="1"/>
      <c r="C335" s="1"/>
      <c r="D335" s="1"/>
      <c r="E335" s="1"/>
      <c r="F335" s="1"/>
      <c r="G335" s="1"/>
      <c r="H335" s="1"/>
      <c r="I335" s="61"/>
      <c r="J335" s="1"/>
      <c r="K335" s="1"/>
    </row>
    <row r="336" spans="1:11" ht="15.75" customHeight="1">
      <c r="A336" s="2"/>
      <c r="B336" s="1"/>
      <c r="C336" s="1"/>
      <c r="D336" s="1"/>
      <c r="E336" s="1"/>
      <c r="F336" s="1"/>
      <c r="G336" s="1"/>
      <c r="H336" s="1"/>
      <c r="I336" s="61"/>
      <c r="J336" s="1"/>
      <c r="K336" s="1"/>
    </row>
    <row r="337" spans="1:11" ht="15.75" customHeight="1">
      <c r="A337" s="2"/>
      <c r="B337" s="1"/>
      <c r="C337" s="1"/>
      <c r="D337" s="1"/>
      <c r="E337" s="1"/>
      <c r="F337" s="1"/>
      <c r="G337" s="1"/>
      <c r="H337" s="1"/>
      <c r="I337" s="61"/>
      <c r="J337" s="1"/>
      <c r="K337" s="1"/>
    </row>
    <row r="338" spans="1:11" ht="15.75" customHeight="1">
      <c r="A338" s="2"/>
      <c r="B338" s="1"/>
      <c r="C338" s="1"/>
      <c r="D338" s="1"/>
      <c r="E338" s="1"/>
      <c r="F338" s="1"/>
      <c r="G338" s="1"/>
      <c r="H338" s="1"/>
      <c r="I338" s="61"/>
      <c r="J338" s="1"/>
      <c r="K338" s="1"/>
    </row>
    <row r="339" spans="1:11" ht="15.75" customHeight="1">
      <c r="A339" s="2"/>
      <c r="B339" s="1"/>
      <c r="C339" s="1"/>
      <c r="D339" s="1"/>
      <c r="E339" s="1"/>
      <c r="F339" s="1"/>
      <c r="G339" s="1"/>
      <c r="H339" s="1"/>
      <c r="I339" s="61"/>
      <c r="J339" s="1"/>
      <c r="K339" s="1"/>
    </row>
    <row r="340" spans="1:11" ht="15.75" customHeight="1">
      <c r="A340" s="2"/>
      <c r="B340" s="1"/>
      <c r="C340" s="1"/>
      <c r="D340" s="1"/>
      <c r="E340" s="1"/>
      <c r="F340" s="1"/>
      <c r="G340" s="1"/>
      <c r="H340" s="1"/>
      <c r="I340" s="61"/>
      <c r="J340" s="1"/>
      <c r="K340" s="1"/>
    </row>
    <row r="341" spans="1:11" ht="15.75" customHeight="1">
      <c r="A341" s="2"/>
      <c r="B341" s="1"/>
      <c r="C341" s="1"/>
      <c r="D341" s="1"/>
      <c r="E341" s="1"/>
      <c r="F341" s="1"/>
      <c r="G341" s="1"/>
      <c r="H341" s="1"/>
      <c r="I341" s="61"/>
      <c r="J341" s="1"/>
      <c r="K341" s="1"/>
    </row>
    <row r="342" spans="1:11" ht="15.75" customHeight="1">
      <c r="A342" s="2"/>
      <c r="B342" s="1"/>
      <c r="C342" s="1"/>
      <c r="D342" s="1"/>
      <c r="E342" s="1"/>
      <c r="F342" s="1"/>
      <c r="G342" s="1"/>
      <c r="H342" s="1"/>
      <c r="I342" s="61"/>
      <c r="J342" s="1"/>
      <c r="K342" s="1"/>
    </row>
    <row r="343" spans="1:11" ht="15.75" customHeight="1">
      <c r="A343" s="2"/>
      <c r="B343" s="1"/>
      <c r="C343" s="1"/>
      <c r="D343" s="1"/>
      <c r="E343" s="1"/>
      <c r="F343" s="1"/>
      <c r="G343" s="1"/>
      <c r="H343" s="1"/>
      <c r="I343" s="61"/>
      <c r="J343" s="1"/>
      <c r="K343" s="1"/>
    </row>
    <row r="344" spans="1:11" ht="15.75" customHeight="1">
      <c r="A344" s="2"/>
      <c r="B344" s="1"/>
      <c r="C344" s="1"/>
      <c r="D344" s="1"/>
      <c r="E344" s="1"/>
      <c r="F344" s="1"/>
      <c r="G344" s="1"/>
      <c r="H344" s="1"/>
      <c r="I344" s="61"/>
      <c r="J344" s="1"/>
      <c r="K344" s="1"/>
    </row>
    <row r="345" spans="1:11" ht="15.75" customHeight="1">
      <c r="A345" s="2"/>
      <c r="B345" s="1"/>
      <c r="C345" s="1"/>
      <c r="D345" s="1"/>
      <c r="E345" s="1"/>
      <c r="F345" s="1"/>
      <c r="G345" s="1"/>
      <c r="H345" s="1"/>
      <c r="I345" s="61"/>
      <c r="J345" s="1"/>
      <c r="K345" s="1"/>
    </row>
    <row r="346" spans="1:11" ht="15.75" customHeight="1">
      <c r="A346" s="2"/>
      <c r="B346" s="1"/>
      <c r="C346" s="1"/>
      <c r="D346" s="1"/>
      <c r="E346" s="1"/>
      <c r="F346" s="1"/>
      <c r="G346" s="1"/>
      <c r="H346" s="1"/>
      <c r="I346" s="61"/>
      <c r="J346" s="1"/>
      <c r="K346" s="1"/>
    </row>
    <row r="347" spans="1:11" ht="15.75" customHeight="1">
      <c r="A347" s="2"/>
      <c r="B347" s="1"/>
      <c r="C347" s="1"/>
      <c r="D347" s="1"/>
      <c r="E347" s="1"/>
      <c r="F347" s="1"/>
      <c r="G347" s="1"/>
      <c r="H347" s="1"/>
      <c r="I347" s="61"/>
      <c r="J347" s="1"/>
      <c r="K347" s="1"/>
    </row>
    <row r="348" spans="1:11" ht="15.75" customHeight="1">
      <c r="A348" s="2"/>
      <c r="B348" s="1"/>
      <c r="C348" s="1"/>
      <c r="D348" s="1"/>
      <c r="E348" s="1"/>
      <c r="F348" s="1"/>
      <c r="G348" s="1"/>
      <c r="H348" s="1"/>
      <c r="I348" s="61"/>
      <c r="J348" s="1"/>
      <c r="K348" s="1"/>
    </row>
    <row r="349" spans="1:11" ht="15.75" customHeight="1">
      <c r="A349" s="2"/>
      <c r="B349" s="1"/>
      <c r="C349" s="1"/>
      <c r="D349" s="1"/>
      <c r="E349" s="1"/>
      <c r="F349" s="1"/>
      <c r="G349" s="1"/>
      <c r="H349" s="1"/>
      <c r="I349" s="61"/>
      <c r="J349" s="1"/>
      <c r="K349" s="1"/>
    </row>
    <row r="350" spans="1:11" ht="15.75" customHeight="1">
      <c r="A350" s="2"/>
      <c r="B350" s="1"/>
      <c r="C350" s="1"/>
      <c r="D350" s="1"/>
      <c r="E350" s="1"/>
      <c r="F350" s="1"/>
      <c r="G350" s="1"/>
      <c r="H350" s="1"/>
      <c r="I350" s="61"/>
      <c r="J350" s="1"/>
      <c r="K350" s="1"/>
    </row>
    <row r="351" spans="1:11" ht="15.75" customHeight="1">
      <c r="A351" s="2"/>
      <c r="B351" s="1"/>
      <c r="C351" s="1"/>
      <c r="D351" s="1"/>
      <c r="E351" s="1"/>
      <c r="F351" s="1"/>
      <c r="G351" s="1"/>
      <c r="H351" s="1"/>
      <c r="I351" s="61"/>
      <c r="J351" s="1"/>
      <c r="K351" s="1"/>
    </row>
    <row r="352" spans="1:11" ht="15.75" customHeight="1">
      <c r="A352" s="2"/>
      <c r="B352" s="1"/>
      <c r="C352" s="1"/>
      <c r="D352" s="1"/>
      <c r="E352" s="1"/>
      <c r="F352" s="1"/>
      <c r="G352" s="1"/>
      <c r="H352" s="1"/>
      <c r="I352" s="61"/>
      <c r="J352" s="1"/>
      <c r="K352" s="1"/>
    </row>
    <row r="353" spans="1:11" ht="15.75" customHeight="1">
      <c r="A353" s="2"/>
      <c r="B353" s="1"/>
      <c r="C353" s="1"/>
      <c r="D353" s="1"/>
      <c r="E353" s="1"/>
      <c r="F353" s="1"/>
      <c r="G353" s="1"/>
      <c r="H353" s="1"/>
      <c r="I353" s="61"/>
      <c r="J353" s="1"/>
      <c r="K353" s="1"/>
    </row>
    <row r="354" spans="1:11" ht="15.75" customHeight="1">
      <c r="A354" s="2"/>
      <c r="B354" s="1"/>
      <c r="C354" s="1"/>
      <c r="D354" s="1"/>
      <c r="E354" s="1"/>
      <c r="F354" s="1"/>
      <c r="G354" s="1"/>
      <c r="H354" s="1"/>
      <c r="I354" s="61"/>
      <c r="J354" s="1"/>
      <c r="K354" s="1"/>
    </row>
    <row r="355" spans="1:11" ht="15.75" customHeight="1">
      <c r="A355" s="2"/>
      <c r="B355" s="1"/>
      <c r="C355" s="1"/>
      <c r="D355" s="1"/>
      <c r="E355" s="1"/>
      <c r="F355" s="1"/>
      <c r="G355" s="1"/>
      <c r="H355" s="1"/>
      <c r="I355" s="61"/>
      <c r="J355" s="1"/>
      <c r="K355" s="1"/>
    </row>
    <row r="356" spans="1:11" ht="15.75" customHeight="1">
      <c r="A356" s="2"/>
      <c r="B356" s="1"/>
      <c r="C356" s="1"/>
      <c r="D356" s="1"/>
      <c r="E356" s="1"/>
      <c r="F356" s="1"/>
      <c r="G356" s="1"/>
      <c r="H356" s="1"/>
      <c r="I356" s="61"/>
      <c r="J356" s="1"/>
      <c r="K356" s="1"/>
    </row>
    <row r="357" spans="1:11" ht="15.75" customHeight="1">
      <c r="A357" s="2"/>
      <c r="B357" s="1"/>
      <c r="C357" s="1"/>
      <c r="D357" s="1"/>
      <c r="E357" s="1"/>
      <c r="F357" s="1"/>
      <c r="G357" s="1"/>
      <c r="H357" s="1"/>
      <c r="I357" s="61"/>
      <c r="J357" s="1"/>
      <c r="K357" s="1"/>
    </row>
    <row r="358" spans="1:11" ht="15.75" customHeight="1">
      <c r="A358" s="2"/>
      <c r="B358" s="1"/>
      <c r="C358" s="1"/>
      <c r="D358" s="1"/>
      <c r="E358" s="1"/>
      <c r="F358" s="1"/>
      <c r="G358" s="1"/>
      <c r="H358" s="1"/>
      <c r="I358" s="61"/>
      <c r="J358" s="1"/>
      <c r="K358" s="1"/>
    </row>
    <row r="359" spans="1:11" ht="15.75" customHeight="1">
      <c r="A359" s="2"/>
      <c r="B359" s="1"/>
      <c r="C359" s="1"/>
      <c r="D359" s="1"/>
      <c r="E359" s="1"/>
      <c r="F359" s="1"/>
      <c r="G359" s="1"/>
      <c r="H359" s="1"/>
      <c r="I359" s="61"/>
      <c r="J359" s="1"/>
      <c r="K359" s="1"/>
    </row>
    <row r="360" spans="1:11" ht="15.75" customHeight="1">
      <c r="A360" s="2"/>
      <c r="B360" s="1"/>
      <c r="C360" s="1"/>
      <c r="D360" s="1"/>
      <c r="E360" s="1"/>
      <c r="F360" s="1"/>
      <c r="G360" s="1"/>
      <c r="H360" s="1"/>
      <c r="I360" s="61"/>
      <c r="J360" s="1"/>
      <c r="K360" s="1"/>
    </row>
    <row r="361" spans="1:11" ht="15.75" customHeight="1">
      <c r="A361" s="2"/>
      <c r="B361" s="1"/>
      <c r="C361" s="1"/>
      <c r="D361" s="1"/>
      <c r="E361" s="1"/>
      <c r="F361" s="1"/>
      <c r="G361" s="1"/>
      <c r="H361" s="1"/>
      <c r="I361" s="61"/>
      <c r="J361" s="1"/>
      <c r="K361" s="1"/>
    </row>
    <row r="362" spans="1:11" ht="15.75" customHeight="1">
      <c r="A362" s="2"/>
      <c r="B362" s="1"/>
      <c r="C362" s="1"/>
      <c r="D362" s="1"/>
      <c r="E362" s="1"/>
      <c r="F362" s="1"/>
      <c r="G362" s="1"/>
      <c r="H362" s="1"/>
      <c r="I362" s="61"/>
      <c r="J362" s="1"/>
      <c r="K362" s="1"/>
    </row>
    <row r="363" spans="1:11" ht="15.75" customHeight="1">
      <c r="A363" s="2"/>
      <c r="B363" s="1"/>
      <c r="C363" s="1"/>
      <c r="D363" s="1"/>
      <c r="E363" s="1"/>
      <c r="F363" s="1"/>
      <c r="G363" s="1"/>
      <c r="H363" s="1"/>
      <c r="I363" s="61"/>
      <c r="J363" s="1"/>
      <c r="K363" s="1"/>
    </row>
    <row r="364" spans="1:11" ht="15.75" customHeight="1">
      <c r="A364" s="2"/>
      <c r="B364" s="1"/>
      <c r="C364" s="1"/>
      <c r="D364" s="1"/>
      <c r="E364" s="1"/>
      <c r="F364" s="1"/>
      <c r="G364" s="1"/>
      <c r="H364" s="1"/>
      <c r="I364" s="61"/>
      <c r="J364" s="1"/>
      <c r="K364" s="1"/>
    </row>
    <row r="365" spans="1:11" ht="15.75" customHeight="1">
      <c r="A365" s="2"/>
      <c r="B365" s="1"/>
      <c r="C365" s="1"/>
      <c r="D365" s="1"/>
      <c r="E365" s="1"/>
      <c r="F365" s="1"/>
      <c r="G365" s="1"/>
      <c r="H365" s="1"/>
      <c r="I365" s="61"/>
      <c r="J365" s="1"/>
      <c r="K365" s="1"/>
    </row>
    <row r="366" spans="1:11" ht="15.75" customHeight="1">
      <c r="A366" s="2"/>
      <c r="B366" s="1"/>
      <c r="C366" s="1"/>
      <c r="D366" s="1"/>
      <c r="E366" s="1"/>
      <c r="F366" s="1"/>
      <c r="G366" s="1"/>
      <c r="H366" s="1"/>
      <c r="I366" s="61"/>
      <c r="J366" s="1"/>
      <c r="K366" s="1"/>
    </row>
    <row r="367" spans="1:11" ht="15.75" customHeight="1">
      <c r="A367" s="2"/>
      <c r="B367" s="1"/>
      <c r="C367" s="1"/>
      <c r="D367" s="1"/>
      <c r="E367" s="1"/>
      <c r="F367" s="1"/>
      <c r="G367" s="1"/>
      <c r="H367" s="1"/>
      <c r="I367" s="61"/>
      <c r="J367" s="1"/>
      <c r="K367" s="1"/>
    </row>
    <row r="368" spans="1:11" ht="15.75" customHeight="1">
      <c r="A368" s="2"/>
      <c r="B368" s="1"/>
      <c r="C368" s="1"/>
      <c r="D368" s="1"/>
      <c r="E368" s="1"/>
      <c r="F368" s="1"/>
      <c r="G368" s="1"/>
      <c r="H368" s="1"/>
      <c r="I368" s="61"/>
      <c r="J368" s="1"/>
      <c r="K368" s="1"/>
    </row>
    <row r="369" spans="1:11" ht="15.75" customHeight="1">
      <c r="A369" s="2"/>
      <c r="B369" s="1"/>
      <c r="C369" s="1"/>
      <c r="D369" s="1"/>
      <c r="E369" s="1"/>
      <c r="F369" s="1"/>
      <c r="G369" s="1"/>
      <c r="H369" s="1"/>
      <c r="I369" s="61"/>
      <c r="J369" s="1"/>
      <c r="K369" s="1"/>
    </row>
    <row r="370" spans="1:11" ht="15.75" customHeight="1">
      <c r="A370" s="2"/>
      <c r="B370" s="1"/>
      <c r="C370" s="1"/>
      <c r="D370" s="1"/>
      <c r="E370" s="1"/>
      <c r="F370" s="1"/>
      <c r="G370" s="1"/>
      <c r="H370" s="1"/>
      <c r="I370" s="61"/>
      <c r="J370" s="1"/>
      <c r="K370" s="1"/>
    </row>
    <row r="371" spans="1:11" ht="15.75" customHeight="1">
      <c r="A371" s="2"/>
      <c r="B371" s="1"/>
      <c r="C371" s="1"/>
      <c r="D371" s="1"/>
      <c r="E371" s="1"/>
      <c r="F371" s="1"/>
      <c r="G371" s="1"/>
      <c r="H371" s="1"/>
      <c r="I371" s="61"/>
      <c r="J371" s="1"/>
      <c r="K371" s="1"/>
    </row>
    <row r="372" spans="1:11" ht="15.75" customHeight="1">
      <c r="A372" s="2"/>
      <c r="B372" s="1"/>
      <c r="C372" s="1"/>
      <c r="D372" s="1"/>
      <c r="E372" s="1"/>
      <c r="F372" s="1"/>
      <c r="G372" s="1"/>
      <c r="H372" s="1"/>
      <c r="I372" s="61"/>
      <c r="J372" s="1"/>
      <c r="K372" s="1"/>
    </row>
    <row r="373" spans="1:11" ht="15.75" customHeight="1">
      <c r="A373" s="2"/>
      <c r="B373" s="1"/>
      <c r="C373" s="1"/>
      <c r="D373" s="1"/>
      <c r="E373" s="1"/>
      <c r="F373" s="1"/>
      <c r="G373" s="1"/>
      <c r="H373" s="1"/>
      <c r="I373" s="61"/>
      <c r="J373" s="1"/>
      <c r="K373" s="1"/>
    </row>
    <row r="374" spans="1:11" ht="15.75" customHeight="1">
      <c r="A374" s="2"/>
      <c r="B374" s="1"/>
      <c r="C374" s="1"/>
      <c r="D374" s="1"/>
      <c r="E374" s="1"/>
      <c r="F374" s="1"/>
      <c r="G374" s="1"/>
      <c r="H374" s="1"/>
      <c r="I374" s="61"/>
      <c r="J374" s="1"/>
      <c r="K374" s="1"/>
    </row>
    <row r="375" spans="1:11" ht="15.75" customHeight="1">
      <c r="A375" s="2"/>
      <c r="B375" s="1"/>
      <c r="C375" s="1"/>
      <c r="D375" s="1"/>
      <c r="E375" s="1"/>
      <c r="F375" s="1"/>
      <c r="G375" s="1"/>
      <c r="H375" s="1"/>
      <c r="I375" s="61"/>
      <c r="J375" s="1"/>
      <c r="K375" s="1"/>
    </row>
    <row r="376" spans="1:11" ht="15.75" customHeight="1">
      <c r="A376" s="2"/>
      <c r="B376" s="1"/>
      <c r="C376" s="1"/>
      <c r="D376" s="1"/>
      <c r="E376" s="1"/>
      <c r="F376" s="1"/>
      <c r="G376" s="1"/>
      <c r="H376" s="1"/>
      <c r="I376" s="61"/>
      <c r="J376" s="1"/>
      <c r="K376" s="1"/>
    </row>
    <row r="377" spans="1:11" ht="15.75" customHeight="1">
      <c r="A377" s="2"/>
      <c r="B377" s="1"/>
      <c r="C377" s="1"/>
      <c r="D377" s="1"/>
      <c r="E377" s="1"/>
      <c r="F377" s="1"/>
      <c r="G377" s="1"/>
      <c r="H377" s="1"/>
      <c r="I377" s="61"/>
      <c r="J377" s="1"/>
      <c r="K377" s="1"/>
    </row>
    <row r="378" spans="1:11" ht="15.75" customHeight="1">
      <c r="A378" s="2"/>
      <c r="B378" s="1"/>
      <c r="C378" s="1"/>
      <c r="D378" s="1"/>
      <c r="E378" s="1"/>
      <c r="F378" s="1"/>
      <c r="G378" s="1"/>
      <c r="H378" s="1"/>
      <c r="I378" s="61"/>
      <c r="J378" s="1"/>
      <c r="K378" s="1"/>
    </row>
    <row r="379" spans="1:11" ht="15.75" customHeight="1">
      <c r="A379" s="2"/>
      <c r="B379" s="1"/>
      <c r="C379" s="1"/>
      <c r="D379" s="1"/>
      <c r="E379" s="1"/>
      <c r="F379" s="1"/>
      <c r="G379" s="1"/>
      <c r="H379" s="1"/>
      <c r="I379" s="61"/>
      <c r="J379" s="1"/>
      <c r="K379" s="1"/>
    </row>
    <row r="380" spans="1:11" ht="15.75" customHeight="1">
      <c r="A380" s="2"/>
      <c r="B380" s="1"/>
      <c r="C380" s="1"/>
      <c r="D380" s="1"/>
      <c r="E380" s="1"/>
      <c r="F380" s="1"/>
      <c r="G380" s="1"/>
      <c r="H380" s="1"/>
      <c r="I380" s="61"/>
      <c r="J380" s="1"/>
      <c r="K380" s="1"/>
    </row>
    <row r="381" spans="1:11" ht="15.75" customHeight="1">
      <c r="A381" s="2"/>
      <c r="B381" s="1"/>
      <c r="C381" s="1"/>
      <c r="D381" s="1"/>
      <c r="E381" s="1"/>
      <c r="F381" s="1"/>
      <c r="G381" s="1"/>
      <c r="H381" s="1"/>
      <c r="I381" s="61"/>
      <c r="J381" s="1"/>
      <c r="K381" s="1"/>
    </row>
    <row r="382" spans="1:11" ht="15.75" customHeight="1">
      <c r="A382" s="2"/>
      <c r="B382" s="1"/>
      <c r="C382" s="1"/>
      <c r="D382" s="1"/>
      <c r="E382" s="1"/>
      <c r="F382" s="1"/>
      <c r="G382" s="1"/>
      <c r="H382" s="1"/>
      <c r="I382" s="61"/>
      <c r="J382" s="1"/>
      <c r="K382" s="1"/>
    </row>
    <row r="383" spans="1:11" ht="15.75" customHeight="1">
      <c r="A383" s="2"/>
      <c r="B383" s="1"/>
      <c r="C383" s="1"/>
      <c r="D383" s="1"/>
      <c r="E383" s="1"/>
      <c r="F383" s="1"/>
      <c r="G383" s="1"/>
      <c r="H383" s="1"/>
      <c r="I383" s="61"/>
      <c r="J383" s="1"/>
      <c r="K383" s="1"/>
    </row>
    <row r="384" spans="1:11" ht="15.75" customHeight="1">
      <c r="A384" s="2"/>
      <c r="B384" s="1"/>
      <c r="C384" s="1"/>
      <c r="D384" s="1"/>
      <c r="E384" s="1"/>
      <c r="F384" s="1"/>
      <c r="G384" s="1"/>
      <c r="H384" s="1"/>
      <c r="I384" s="61"/>
      <c r="J384" s="1"/>
      <c r="K384" s="1"/>
    </row>
    <row r="385" spans="1:11" ht="15.75" customHeight="1">
      <c r="A385" s="2"/>
      <c r="B385" s="1"/>
      <c r="C385" s="1"/>
      <c r="D385" s="1"/>
      <c r="E385" s="1"/>
      <c r="F385" s="1"/>
      <c r="G385" s="1"/>
      <c r="H385" s="1"/>
      <c r="I385" s="61"/>
      <c r="J385" s="1"/>
      <c r="K385" s="1"/>
    </row>
    <row r="386" spans="1:11" ht="15.75" customHeight="1">
      <c r="A386" s="2"/>
      <c r="B386" s="1"/>
      <c r="C386" s="1"/>
      <c r="D386" s="1"/>
      <c r="E386" s="1"/>
      <c r="F386" s="1"/>
      <c r="G386" s="1"/>
      <c r="H386" s="1"/>
      <c r="I386" s="61"/>
      <c r="J386" s="1"/>
      <c r="K386" s="1"/>
    </row>
    <row r="387" spans="1:11" ht="15.75" customHeight="1">
      <c r="A387" s="2"/>
      <c r="B387" s="1"/>
      <c r="C387" s="1"/>
      <c r="D387" s="1"/>
      <c r="E387" s="1"/>
      <c r="F387" s="1"/>
      <c r="G387" s="1"/>
      <c r="H387" s="1"/>
      <c r="I387" s="61"/>
      <c r="J387" s="1"/>
      <c r="K387" s="1"/>
    </row>
    <row r="388" spans="1:11" ht="15.75" customHeight="1">
      <c r="A388" s="2"/>
      <c r="B388" s="1"/>
      <c r="C388" s="1"/>
      <c r="D388" s="1"/>
      <c r="E388" s="1"/>
      <c r="F388" s="1"/>
      <c r="G388" s="1"/>
      <c r="H388" s="1"/>
      <c r="I388" s="61"/>
      <c r="J388" s="1"/>
      <c r="K388" s="1"/>
    </row>
    <row r="389" spans="1:11" ht="15.75" customHeight="1">
      <c r="A389" s="2"/>
      <c r="B389" s="1"/>
      <c r="C389" s="1"/>
      <c r="D389" s="1"/>
      <c r="E389" s="1"/>
      <c r="F389" s="1"/>
      <c r="G389" s="1"/>
      <c r="H389" s="1"/>
      <c r="I389" s="61"/>
      <c r="J389" s="1"/>
      <c r="K389" s="1"/>
    </row>
    <row r="390" spans="1:11" ht="15.75" customHeight="1">
      <c r="A390" s="2"/>
      <c r="B390" s="1"/>
      <c r="C390" s="1"/>
      <c r="D390" s="1"/>
      <c r="E390" s="1"/>
      <c r="F390" s="1"/>
      <c r="G390" s="1"/>
      <c r="H390" s="1"/>
      <c r="I390" s="61"/>
      <c r="J390" s="1"/>
      <c r="K390" s="1"/>
    </row>
    <row r="391" spans="1:11" ht="15.75" customHeight="1">
      <c r="A391" s="2"/>
      <c r="B391" s="1"/>
      <c r="C391" s="1"/>
      <c r="D391" s="1"/>
      <c r="E391" s="1"/>
      <c r="F391" s="1"/>
      <c r="G391" s="1"/>
      <c r="H391" s="1"/>
      <c r="I391" s="61"/>
      <c r="J391" s="1"/>
      <c r="K391" s="1"/>
    </row>
    <row r="392" spans="1:11" ht="15.75" customHeight="1">
      <c r="A392" s="2"/>
      <c r="B392" s="1"/>
      <c r="C392" s="1"/>
      <c r="D392" s="1"/>
      <c r="E392" s="1"/>
      <c r="F392" s="1"/>
      <c r="G392" s="1"/>
      <c r="H392" s="1"/>
      <c r="I392" s="61"/>
      <c r="J392" s="1"/>
      <c r="K392" s="1"/>
    </row>
    <row r="393" spans="1:11" ht="15.75" customHeight="1">
      <c r="A393" s="2"/>
      <c r="B393" s="1"/>
      <c r="C393" s="1"/>
      <c r="D393" s="1"/>
      <c r="E393" s="1"/>
      <c r="F393" s="1"/>
      <c r="G393" s="1"/>
      <c r="H393" s="1"/>
      <c r="I393" s="61"/>
      <c r="J393" s="1"/>
      <c r="K393" s="1"/>
    </row>
    <row r="394" spans="1:11" ht="15.75" customHeight="1">
      <c r="A394" s="2"/>
      <c r="B394" s="1"/>
      <c r="C394" s="1"/>
      <c r="D394" s="1"/>
      <c r="E394" s="1"/>
      <c r="F394" s="1"/>
      <c r="G394" s="1"/>
      <c r="H394" s="1"/>
      <c r="I394" s="61"/>
      <c r="J394" s="1"/>
      <c r="K394" s="1"/>
    </row>
    <row r="395" spans="1:11" ht="15.75" customHeight="1">
      <c r="A395" s="2"/>
      <c r="B395" s="1"/>
      <c r="C395" s="1"/>
      <c r="D395" s="1"/>
      <c r="E395" s="1"/>
      <c r="F395" s="1"/>
      <c r="G395" s="1"/>
      <c r="H395" s="1"/>
      <c r="I395" s="61"/>
      <c r="J395" s="1"/>
      <c r="K395" s="1"/>
    </row>
    <row r="396" spans="1:11" ht="15.75" customHeight="1">
      <c r="A396" s="2"/>
      <c r="B396" s="1"/>
      <c r="C396" s="1"/>
      <c r="D396" s="1"/>
      <c r="E396" s="1"/>
      <c r="F396" s="1"/>
      <c r="G396" s="1"/>
      <c r="H396" s="1"/>
      <c r="I396" s="61"/>
      <c r="J396" s="1"/>
      <c r="K396" s="1"/>
    </row>
    <row r="397" spans="1:11" ht="15.75" customHeight="1">
      <c r="A397" s="2"/>
      <c r="B397" s="1"/>
      <c r="C397" s="1"/>
      <c r="D397" s="1"/>
      <c r="E397" s="1"/>
      <c r="F397" s="1"/>
      <c r="G397" s="1"/>
      <c r="H397" s="1"/>
      <c r="I397" s="61"/>
      <c r="J397" s="1"/>
      <c r="K397" s="1"/>
    </row>
    <row r="398" spans="1:11" ht="15.75" customHeight="1">
      <c r="A398" s="2"/>
      <c r="B398" s="1"/>
      <c r="C398" s="1"/>
      <c r="D398" s="1"/>
      <c r="E398" s="1"/>
      <c r="F398" s="1"/>
      <c r="G398" s="1"/>
      <c r="H398" s="1"/>
      <c r="I398" s="61"/>
      <c r="J398" s="1"/>
      <c r="K398" s="1"/>
    </row>
    <row r="399" spans="1:11" ht="15.75" customHeight="1">
      <c r="A399" s="2"/>
      <c r="B399" s="1"/>
      <c r="C399" s="1"/>
      <c r="D399" s="1"/>
      <c r="E399" s="1"/>
      <c r="F399" s="1"/>
      <c r="G399" s="1"/>
      <c r="H399" s="1"/>
      <c r="I399" s="61"/>
      <c r="J399" s="1"/>
      <c r="K399" s="1"/>
    </row>
    <row r="400" spans="1:11" ht="15.75" customHeight="1">
      <c r="A400" s="2"/>
      <c r="B400" s="1"/>
      <c r="C400" s="1"/>
      <c r="D400" s="1"/>
      <c r="E400" s="1"/>
      <c r="F400" s="1"/>
      <c r="G400" s="1"/>
      <c r="H400" s="1"/>
      <c r="I400" s="61"/>
      <c r="J400" s="1"/>
      <c r="K400" s="1"/>
    </row>
    <row r="401" spans="1:11" ht="15.75" customHeight="1">
      <c r="A401" s="2"/>
      <c r="B401" s="1"/>
      <c r="C401" s="1"/>
      <c r="D401" s="1"/>
      <c r="E401" s="1"/>
      <c r="F401" s="1"/>
      <c r="G401" s="1"/>
      <c r="H401" s="1"/>
      <c r="I401" s="61"/>
      <c r="J401" s="1"/>
      <c r="K401" s="1"/>
    </row>
    <row r="402" spans="1:11" ht="15.75" customHeight="1">
      <c r="A402" s="2"/>
      <c r="B402" s="1"/>
      <c r="C402" s="1"/>
      <c r="D402" s="1"/>
      <c r="E402" s="1"/>
      <c r="F402" s="1"/>
      <c r="G402" s="1"/>
      <c r="H402" s="1"/>
      <c r="I402" s="61"/>
      <c r="J402" s="1"/>
      <c r="K402" s="1"/>
    </row>
    <row r="403" spans="1:11" ht="15.75" customHeight="1">
      <c r="A403" s="2"/>
      <c r="B403" s="1"/>
      <c r="C403" s="1"/>
      <c r="D403" s="1"/>
      <c r="E403" s="1"/>
      <c r="F403" s="1"/>
      <c r="G403" s="1"/>
      <c r="H403" s="1"/>
      <c r="I403" s="61"/>
      <c r="J403" s="1"/>
      <c r="K403" s="1"/>
    </row>
    <row r="404" spans="1:11" ht="15.75" customHeight="1">
      <c r="A404" s="2"/>
      <c r="B404" s="1"/>
      <c r="C404" s="1"/>
      <c r="D404" s="1"/>
      <c r="E404" s="1"/>
      <c r="F404" s="1"/>
      <c r="G404" s="1"/>
      <c r="H404" s="1"/>
      <c r="I404" s="61"/>
      <c r="J404" s="1"/>
      <c r="K404" s="1"/>
    </row>
    <row r="405" spans="1:11" ht="15.75" customHeight="1">
      <c r="A405" s="2"/>
      <c r="B405" s="1"/>
      <c r="C405" s="1"/>
      <c r="D405" s="1"/>
      <c r="E405" s="1"/>
      <c r="F405" s="1"/>
      <c r="G405" s="1"/>
      <c r="H405" s="1"/>
      <c r="I405" s="61"/>
      <c r="J405" s="1"/>
      <c r="K405" s="1"/>
    </row>
    <row r="406" spans="1:11" ht="15.75" customHeight="1">
      <c r="A406" s="2"/>
      <c r="B406" s="1"/>
      <c r="C406" s="1"/>
      <c r="D406" s="1"/>
      <c r="E406" s="1"/>
      <c r="F406" s="1"/>
      <c r="G406" s="1"/>
      <c r="H406" s="1"/>
      <c r="I406" s="61"/>
      <c r="J406" s="1"/>
      <c r="K406" s="1"/>
    </row>
    <row r="407" spans="1:11" ht="15.75" customHeight="1">
      <c r="A407" s="2"/>
      <c r="B407" s="1"/>
      <c r="C407" s="1"/>
      <c r="D407" s="1"/>
      <c r="E407" s="1"/>
      <c r="F407" s="1"/>
      <c r="G407" s="1"/>
      <c r="H407" s="1"/>
      <c r="I407" s="61"/>
      <c r="J407" s="1"/>
      <c r="K407" s="1"/>
    </row>
    <row r="408" spans="1:11" ht="15.75" customHeight="1">
      <c r="A408" s="2"/>
      <c r="B408" s="1"/>
      <c r="C408" s="1"/>
      <c r="D408" s="1"/>
      <c r="E408" s="1"/>
      <c r="F408" s="1"/>
      <c r="G408" s="1"/>
      <c r="H408" s="1"/>
      <c r="I408" s="61"/>
      <c r="J408" s="1"/>
      <c r="K408" s="1"/>
    </row>
    <row r="409" spans="1:11" ht="15.75" customHeight="1">
      <c r="A409" s="2"/>
      <c r="B409" s="1"/>
      <c r="C409" s="1"/>
      <c r="D409" s="1"/>
      <c r="E409" s="1"/>
      <c r="F409" s="1"/>
      <c r="G409" s="1"/>
      <c r="H409" s="1"/>
      <c r="I409" s="61"/>
      <c r="J409" s="1"/>
      <c r="K409" s="1"/>
    </row>
    <row r="410" spans="1:11" ht="15.75" customHeight="1">
      <c r="A410" s="2"/>
      <c r="B410" s="1"/>
      <c r="C410" s="1"/>
      <c r="D410" s="1"/>
      <c r="E410" s="1"/>
      <c r="F410" s="1"/>
      <c r="G410" s="1"/>
      <c r="H410" s="1"/>
      <c r="I410" s="61"/>
      <c r="J410" s="1"/>
      <c r="K410" s="1"/>
    </row>
    <row r="411" spans="1:11" ht="15.75" customHeight="1">
      <c r="A411" s="2"/>
      <c r="B411" s="1"/>
      <c r="C411" s="1"/>
      <c r="D411" s="1"/>
      <c r="E411" s="1"/>
      <c r="F411" s="1"/>
      <c r="G411" s="1"/>
      <c r="H411" s="1"/>
      <c r="I411" s="61"/>
      <c r="J411" s="1"/>
      <c r="K411" s="1"/>
    </row>
    <row r="412" spans="1:11" ht="15.75" customHeight="1">
      <c r="A412" s="2"/>
      <c r="B412" s="1"/>
      <c r="C412" s="1"/>
      <c r="D412" s="1"/>
      <c r="E412" s="1"/>
      <c r="F412" s="1"/>
      <c r="G412" s="1"/>
      <c r="H412" s="1"/>
      <c r="I412" s="61"/>
      <c r="J412" s="1"/>
      <c r="K412" s="1"/>
    </row>
    <row r="413" spans="1:11" ht="15.75" customHeight="1">
      <c r="A413" s="2"/>
      <c r="B413" s="1"/>
      <c r="C413" s="1"/>
      <c r="D413" s="1"/>
      <c r="E413" s="1"/>
      <c r="F413" s="1"/>
      <c r="G413" s="1"/>
      <c r="H413" s="1"/>
      <c r="I413" s="61"/>
      <c r="J413" s="1"/>
      <c r="K413" s="1"/>
    </row>
    <row r="414" spans="1:11" ht="15.75" customHeight="1">
      <c r="A414" s="2"/>
      <c r="B414" s="1"/>
      <c r="C414" s="1"/>
      <c r="D414" s="1"/>
      <c r="E414" s="1"/>
      <c r="F414" s="1"/>
      <c r="G414" s="1"/>
      <c r="H414" s="1"/>
      <c r="I414" s="61"/>
      <c r="J414" s="1"/>
      <c r="K414" s="1"/>
    </row>
    <row r="415" spans="1:11" ht="15.75" customHeight="1">
      <c r="A415" s="2"/>
      <c r="B415" s="1"/>
      <c r="C415" s="1"/>
      <c r="D415" s="1"/>
      <c r="E415" s="1"/>
      <c r="F415" s="1"/>
      <c r="G415" s="1"/>
      <c r="H415" s="1"/>
      <c r="I415" s="61"/>
      <c r="J415" s="1"/>
      <c r="K415" s="1"/>
    </row>
    <row r="416" spans="1:11" ht="15.75" customHeight="1">
      <c r="A416" s="2"/>
      <c r="B416" s="1"/>
      <c r="C416" s="1"/>
      <c r="D416" s="1"/>
      <c r="E416" s="1"/>
      <c r="F416" s="1"/>
      <c r="G416" s="1"/>
      <c r="H416" s="1"/>
      <c r="I416" s="61"/>
      <c r="J416" s="1"/>
      <c r="K416" s="1"/>
    </row>
    <row r="417" spans="1:11" ht="15.75" customHeight="1">
      <c r="A417" s="2"/>
      <c r="B417" s="1"/>
      <c r="C417" s="1"/>
      <c r="D417" s="1"/>
      <c r="E417" s="1"/>
      <c r="F417" s="1"/>
      <c r="G417" s="1"/>
      <c r="H417" s="1"/>
      <c r="I417" s="61"/>
      <c r="J417" s="1"/>
      <c r="K417" s="1"/>
    </row>
    <row r="418" spans="1:11" ht="15.75" customHeight="1">
      <c r="A418" s="2"/>
      <c r="B418" s="1"/>
      <c r="C418" s="1"/>
      <c r="D418" s="1"/>
      <c r="E418" s="1"/>
      <c r="F418" s="1"/>
      <c r="G418" s="1"/>
      <c r="H418" s="1"/>
      <c r="I418" s="61"/>
      <c r="J418" s="1"/>
      <c r="K418" s="1"/>
    </row>
    <row r="419" spans="1:11" ht="15.75" customHeight="1">
      <c r="A419" s="2"/>
      <c r="B419" s="1"/>
      <c r="C419" s="1"/>
      <c r="D419" s="1"/>
      <c r="E419" s="1"/>
      <c r="F419" s="1"/>
      <c r="G419" s="1"/>
      <c r="H419" s="1"/>
      <c r="I419" s="61"/>
      <c r="J419" s="1"/>
      <c r="K419" s="1"/>
    </row>
    <row r="420" spans="1:11" ht="15.75" customHeight="1">
      <c r="A420" s="2"/>
      <c r="B420" s="1"/>
      <c r="C420" s="1"/>
      <c r="D420" s="1"/>
      <c r="E420" s="1"/>
      <c r="F420" s="1"/>
      <c r="G420" s="1"/>
      <c r="H420" s="1"/>
      <c r="I420" s="61"/>
      <c r="J420" s="1"/>
      <c r="K420" s="1"/>
    </row>
    <row r="421" spans="1:11" ht="15.75" customHeight="1">
      <c r="A421" s="2"/>
      <c r="B421" s="1"/>
      <c r="C421" s="1"/>
      <c r="D421" s="1"/>
      <c r="E421" s="1"/>
      <c r="F421" s="1"/>
      <c r="G421" s="1"/>
      <c r="H421" s="1"/>
      <c r="I421" s="61"/>
      <c r="J421" s="1"/>
      <c r="K421" s="1"/>
    </row>
    <row r="422" spans="1:11" ht="15.75" customHeight="1">
      <c r="A422" s="2"/>
      <c r="B422" s="1"/>
      <c r="C422" s="1"/>
      <c r="D422" s="1"/>
      <c r="E422" s="1"/>
      <c r="F422" s="1"/>
      <c r="G422" s="1"/>
      <c r="H422" s="1"/>
      <c r="I422" s="61"/>
      <c r="J422" s="1"/>
      <c r="K422" s="1"/>
    </row>
    <row r="423" spans="1:11" ht="15.75" customHeight="1">
      <c r="A423" s="2"/>
      <c r="B423" s="1"/>
      <c r="C423" s="1"/>
      <c r="D423" s="1"/>
      <c r="E423" s="1"/>
      <c r="F423" s="1"/>
      <c r="G423" s="1"/>
      <c r="H423" s="1"/>
      <c r="I423" s="61"/>
      <c r="J423" s="1"/>
      <c r="K423" s="1"/>
    </row>
    <row r="424" spans="1:11" ht="15.75" customHeight="1">
      <c r="A424" s="2"/>
      <c r="B424" s="1"/>
      <c r="C424" s="1"/>
      <c r="D424" s="1"/>
      <c r="E424" s="1"/>
      <c r="F424" s="1"/>
      <c r="G424" s="1"/>
      <c r="H424" s="1"/>
      <c r="I424" s="61"/>
      <c r="J424" s="1"/>
      <c r="K424" s="1"/>
    </row>
    <row r="425" spans="1:11" ht="15.75" customHeight="1">
      <c r="A425" s="2"/>
      <c r="B425" s="1"/>
      <c r="C425" s="1"/>
      <c r="D425" s="1"/>
      <c r="E425" s="1"/>
      <c r="F425" s="1"/>
      <c r="G425" s="1"/>
      <c r="H425" s="1"/>
      <c r="I425" s="61"/>
      <c r="J425" s="1"/>
      <c r="K425" s="1"/>
    </row>
    <row r="426" spans="1:11" ht="15.75" customHeight="1">
      <c r="A426" s="2"/>
      <c r="B426" s="1"/>
      <c r="C426" s="1"/>
      <c r="D426" s="1"/>
      <c r="E426" s="1"/>
      <c r="F426" s="1"/>
      <c r="G426" s="1"/>
      <c r="H426" s="1"/>
      <c r="I426" s="61"/>
      <c r="J426" s="1"/>
      <c r="K426" s="1"/>
    </row>
    <row r="427" spans="1:11" ht="15.75" customHeight="1">
      <c r="A427" s="2"/>
      <c r="B427" s="1"/>
      <c r="C427" s="1"/>
      <c r="D427" s="1"/>
      <c r="E427" s="1"/>
      <c r="F427" s="1"/>
      <c r="G427" s="1"/>
      <c r="H427" s="1"/>
      <c r="I427" s="61"/>
      <c r="J427" s="1"/>
      <c r="K427" s="1"/>
    </row>
    <row r="428" spans="1:11" ht="15.75" customHeight="1">
      <c r="A428" s="2"/>
      <c r="B428" s="1"/>
      <c r="C428" s="1"/>
      <c r="D428" s="1"/>
      <c r="E428" s="1"/>
      <c r="F428" s="1"/>
      <c r="G428" s="1"/>
      <c r="H428" s="1"/>
      <c r="I428" s="61"/>
      <c r="J428" s="1"/>
      <c r="K428" s="1"/>
    </row>
    <row r="429" spans="1:11" ht="15.75" customHeight="1">
      <c r="A429" s="2"/>
      <c r="B429" s="1"/>
      <c r="C429" s="1"/>
      <c r="D429" s="1"/>
      <c r="E429" s="1"/>
      <c r="F429" s="1"/>
      <c r="G429" s="1"/>
      <c r="H429" s="1"/>
      <c r="I429" s="61"/>
      <c r="J429" s="1"/>
      <c r="K429" s="1"/>
    </row>
    <row r="430" spans="1:11" ht="15.75" customHeight="1">
      <c r="A430" s="2"/>
      <c r="B430" s="1"/>
      <c r="C430" s="1"/>
      <c r="D430" s="1"/>
      <c r="E430" s="1"/>
      <c r="F430" s="1"/>
      <c r="G430" s="1"/>
      <c r="H430" s="1"/>
      <c r="I430" s="61"/>
      <c r="J430" s="1"/>
      <c r="K430" s="1"/>
    </row>
    <row r="431" spans="1:11" ht="15.75" customHeight="1">
      <c r="A431" s="2"/>
      <c r="B431" s="1"/>
      <c r="C431" s="1"/>
      <c r="D431" s="1"/>
      <c r="E431" s="1"/>
      <c r="F431" s="1"/>
      <c r="G431" s="1"/>
      <c r="H431" s="1"/>
      <c r="I431" s="61"/>
      <c r="J431" s="1"/>
      <c r="K431" s="1"/>
    </row>
    <row r="432" spans="1:11" ht="15.75" customHeight="1">
      <c r="A432" s="2"/>
      <c r="B432" s="1"/>
      <c r="C432" s="1"/>
      <c r="D432" s="1"/>
      <c r="E432" s="1"/>
      <c r="F432" s="1"/>
      <c r="G432" s="1"/>
      <c r="H432" s="1"/>
      <c r="I432" s="61"/>
      <c r="J432" s="1"/>
      <c r="K432" s="1"/>
    </row>
    <row r="433" spans="1:11" ht="15.75" customHeight="1">
      <c r="A433" s="2"/>
      <c r="B433" s="1"/>
      <c r="C433" s="1"/>
      <c r="D433" s="1"/>
      <c r="E433" s="1"/>
      <c r="F433" s="1"/>
      <c r="G433" s="1"/>
      <c r="H433" s="1"/>
      <c r="I433" s="61"/>
      <c r="J433" s="1"/>
      <c r="K433" s="1"/>
    </row>
    <row r="434" spans="1:11" ht="15.75" customHeight="1">
      <c r="A434" s="2"/>
      <c r="B434" s="1"/>
      <c r="C434" s="1"/>
      <c r="D434" s="1"/>
      <c r="E434" s="1"/>
      <c r="F434" s="1"/>
      <c r="G434" s="1"/>
      <c r="H434" s="1"/>
      <c r="I434" s="61"/>
      <c r="J434" s="1"/>
      <c r="K434" s="1"/>
    </row>
    <row r="435" spans="1:11" ht="15.75" customHeight="1">
      <c r="A435" s="2"/>
      <c r="B435" s="1"/>
      <c r="C435" s="1"/>
      <c r="D435" s="1"/>
      <c r="E435" s="1"/>
      <c r="F435" s="1"/>
      <c r="G435" s="1"/>
      <c r="H435" s="1"/>
      <c r="I435" s="61"/>
      <c r="J435" s="1"/>
      <c r="K435" s="1"/>
    </row>
    <row r="436" spans="1:11" ht="15.75" customHeight="1">
      <c r="A436" s="2"/>
      <c r="B436" s="1"/>
      <c r="C436" s="1"/>
      <c r="D436" s="1"/>
      <c r="E436" s="1"/>
      <c r="F436" s="1"/>
      <c r="G436" s="1"/>
      <c r="H436" s="1"/>
      <c r="I436" s="61"/>
      <c r="J436" s="1"/>
      <c r="K436" s="1"/>
    </row>
    <row r="437" spans="1:11" ht="15.75" customHeight="1">
      <c r="A437" s="2"/>
      <c r="B437" s="1"/>
      <c r="C437" s="1"/>
      <c r="D437" s="1"/>
      <c r="E437" s="1"/>
      <c r="F437" s="1"/>
      <c r="G437" s="1"/>
      <c r="H437" s="1"/>
      <c r="I437" s="61"/>
      <c r="J437" s="1"/>
      <c r="K437" s="1"/>
    </row>
    <row r="438" spans="1:11" ht="15.75" customHeight="1">
      <c r="A438" s="2"/>
      <c r="B438" s="1"/>
      <c r="C438" s="1"/>
      <c r="D438" s="1"/>
      <c r="E438" s="1"/>
      <c r="F438" s="1"/>
      <c r="G438" s="1"/>
      <c r="H438" s="1"/>
      <c r="I438" s="61"/>
      <c r="J438" s="1"/>
      <c r="K438" s="1"/>
    </row>
    <row r="439" spans="1:11" ht="15.75" customHeight="1">
      <c r="A439" s="2"/>
      <c r="B439" s="1"/>
      <c r="C439" s="1"/>
      <c r="D439" s="1"/>
      <c r="E439" s="1"/>
      <c r="F439" s="1"/>
      <c r="G439" s="1"/>
      <c r="H439" s="1"/>
      <c r="I439" s="61"/>
      <c r="J439" s="1"/>
      <c r="K439" s="1"/>
    </row>
    <row r="440" spans="1:11" ht="15.75" customHeight="1">
      <c r="A440" s="2"/>
      <c r="B440" s="1"/>
      <c r="C440" s="1"/>
      <c r="D440" s="1"/>
      <c r="E440" s="1"/>
      <c r="F440" s="1"/>
      <c r="G440" s="1"/>
      <c r="H440" s="1"/>
      <c r="I440" s="61"/>
      <c r="J440" s="1"/>
      <c r="K440" s="1"/>
    </row>
    <row r="441" spans="1:11" ht="15.75" customHeight="1">
      <c r="A441" s="2"/>
      <c r="B441" s="1"/>
      <c r="C441" s="1"/>
      <c r="D441" s="1"/>
      <c r="E441" s="1"/>
      <c r="F441" s="1"/>
      <c r="G441" s="1"/>
      <c r="H441" s="1"/>
      <c r="I441" s="61"/>
      <c r="J441" s="1"/>
      <c r="K441" s="1"/>
    </row>
    <row r="442" spans="1:11" ht="15.75" customHeight="1">
      <c r="A442" s="2"/>
      <c r="B442" s="1"/>
      <c r="C442" s="1"/>
      <c r="D442" s="1"/>
      <c r="E442" s="1"/>
      <c r="F442" s="1"/>
      <c r="G442" s="1"/>
      <c r="H442" s="1"/>
      <c r="I442" s="61"/>
      <c r="J442" s="1"/>
      <c r="K442" s="1"/>
    </row>
    <row r="443" spans="1:11" ht="15.75" customHeight="1">
      <c r="A443" s="2"/>
      <c r="B443" s="1"/>
      <c r="C443" s="1"/>
      <c r="D443" s="1"/>
      <c r="E443" s="1"/>
      <c r="F443" s="1"/>
      <c r="G443" s="1"/>
      <c r="H443" s="1"/>
      <c r="I443" s="61"/>
      <c r="J443" s="1"/>
      <c r="K443" s="1"/>
    </row>
    <row r="444" spans="1:11" ht="15.75" customHeight="1">
      <c r="A444" s="2"/>
      <c r="B444" s="1"/>
      <c r="C444" s="1"/>
      <c r="D444" s="1"/>
      <c r="E444" s="1"/>
      <c r="F444" s="1"/>
      <c r="G444" s="1"/>
      <c r="H444" s="1"/>
      <c r="I444" s="61"/>
      <c r="J444" s="1"/>
      <c r="K444" s="1"/>
    </row>
    <row r="445" spans="1:11" ht="15.75" customHeight="1">
      <c r="A445" s="2"/>
      <c r="B445" s="1"/>
      <c r="C445" s="1"/>
      <c r="D445" s="1"/>
      <c r="E445" s="1"/>
      <c r="F445" s="1"/>
      <c r="G445" s="1"/>
      <c r="H445" s="1"/>
      <c r="I445" s="61"/>
      <c r="J445" s="1"/>
      <c r="K445" s="1"/>
    </row>
    <row r="446" spans="1:11" ht="15.75" customHeight="1">
      <c r="A446" s="2"/>
      <c r="B446" s="1"/>
      <c r="C446" s="1"/>
      <c r="D446" s="1"/>
      <c r="E446" s="1"/>
      <c r="F446" s="1"/>
      <c r="G446" s="1"/>
      <c r="H446" s="1"/>
      <c r="I446" s="61"/>
      <c r="J446" s="1"/>
      <c r="K446" s="1"/>
    </row>
    <row r="447" spans="1:11" ht="15.75" customHeight="1">
      <c r="A447" s="2"/>
      <c r="B447" s="1"/>
      <c r="C447" s="1"/>
      <c r="D447" s="1"/>
      <c r="E447" s="1"/>
      <c r="F447" s="1"/>
      <c r="G447" s="1"/>
      <c r="H447" s="1"/>
      <c r="I447" s="61"/>
      <c r="J447" s="1"/>
      <c r="K447" s="1"/>
    </row>
    <row r="448" spans="1:11" ht="15.75" customHeight="1">
      <c r="A448" s="2"/>
      <c r="B448" s="1"/>
      <c r="C448" s="1"/>
      <c r="D448" s="1"/>
      <c r="E448" s="1"/>
      <c r="F448" s="1"/>
      <c r="G448" s="1"/>
      <c r="H448" s="1"/>
      <c r="I448" s="61"/>
      <c r="J448" s="1"/>
      <c r="K448" s="1"/>
    </row>
    <row r="449" spans="1:11" ht="15.75" customHeight="1">
      <c r="A449" s="2"/>
      <c r="B449" s="1"/>
      <c r="C449" s="1"/>
      <c r="D449" s="1"/>
      <c r="E449" s="1"/>
      <c r="F449" s="1"/>
      <c r="G449" s="1"/>
      <c r="H449" s="1"/>
      <c r="I449" s="61"/>
      <c r="J449" s="1"/>
      <c r="K449" s="1"/>
    </row>
    <row r="450" spans="1:11" ht="15.75" customHeight="1">
      <c r="A450" s="2"/>
      <c r="B450" s="1"/>
      <c r="C450" s="1"/>
      <c r="D450" s="1"/>
      <c r="E450" s="1"/>
      <c r="F450" s="1"/>
      <c r="G450" s="1"/>
      <c r="H450" s="1"/>
      <c r="I450" s="61"/>
      <c r="J450" s="1"/>
      <c r="K450" s="1"/>
    </row>
    <row r="451" spans="1:11" ht="15.75" customHeight="1">
      <c r="A451" s="2"/>
      <c r="B451" s="1"/>
      <c r="C451" s="1"/>
      <c r="D451" s="1"/>
      <c r="E451" s="1"/>
      <c r="F451" s="1"/>
      <c r="G451" s="1"/>
      <c r="H451" s="1"/>
      <c r="I451" s="61"/>
      <c r="J451" s="1"/>
      <c r="K451" s="1"/>
    </row>
    <row r="452" spans="1:11" ht="15.75" customHeight="1">
      <c r="A452" s="2"/>
      <c r="B452" s="1"/>
      <c r="C452" s="1"/>
      <c r="D452" s="1"/>
      <c r="E452" s="1"/>
      <c r="F452" s="1"/>
      <c r="G452" s="1"/>
      <c r="H452" s="1"/>
      <c r="I452" s="61"/>
      <c r="J452" s="1"/>
      <c r="K452" s="1"/>
    </row>
    <row r="453" spans="1:11" ht="15.75" customHeight="1">
      <c r="A453" s="2"/>
      <c r="B453" s="1"/>
      <c r="C453" s="1"/>
      <c r="D453" s="1"/>
      <c r="E453" s="1"/>
      <c r="F453" s="1"/>
      <c r="G453" s="1"/>
      <c r="H453" s="1"/>
      <c r="I453" s="61"/>
      <c r="J453" s="1"/>
      <c r="K453" s="1"/>
    </row>
    <row r="454" spans="1:11" ht="15.75" customHeight="1">
      <c r="A454" s="2"/>
      <c r="B454" s="1"/>
      <c r="C454" s="1"/>
      <c r="D454" s="1"/>
      <c r="E454" s="1"/>
      <c r="F454" s="1"/>
      <c r="G454" s="1"/>
      <c r="H454" s="1"/>
      <c r="I454" s="61"/>
      <c r="J454" s="1"/>
      <c r="K454" s="1"/>
    </row>
    <row r="455" spans="1:11" ht="15.75" customHeight="1">
      <c r="A455" s="2"/>
      <c r="B455" s="1"/>
      <c r="C455" s="1"/>
      <c r="D455" s="1"/>
      <c r="E455" s="1"/>
      <c r="F455" s="1"/>
      <c r="G455" s="1"/>
      <c r="H455" s="1"/>
      <c r="I455" s="61"/>
      <c r="J455" s="1"/>
      <c r="K455" s="1"/>
    </row>
    <row r="456" spans="1:11" ht="15.75" customHeight="1">
      <c r="A456" s="2"/>
      <c r="B456" s="1"/>
      <c r="C456" s="1"/>
      <c r="D456" s="1"/>
      <c r="E456" s="1"/>
      <c r="F456" s="1"/>
      <c r="G456" s="1"/>
      <c r="H456" s="1"/>
      <c r="I456" s="61"/>
      <c r="J456" s="1"/>
      <c r="K456" s="1"/>
    </row>
    <row r="457" spans="1:11" ht="15.75" customHeight="1">
      <c r="A457" s="2"/>
      <c r="B457" s="1"/>
      <c r="C457" s="1"/>
      <c r="D457" s="1"/>
      <c r="E457" s="1"/>
      <c r="F457" s="1"/>
      <c r="G457" s="1"/>
      <c r="H457" s="1"/>
      <c r="I457" s="61"/>
      <c r="J457" s="1"/>
      <c r="K457" s="1"/>
    </row>
    <row r="458" spans="1:11" ht="15.75" customHeight="1">
      <c r="A458" s="2"/>
      <c r="B458" s="1"/>
      <c r="C458" s="1"/>
      <c r="D458" s="1"/>
      <c r="E458" s="1"/>
      <c r="F458" s="1"/>
      <c r="G458" s="1"/>
      <c r="H458" s="1"/>
      <c r="I458" s="61"/>
      <c r="J458" s="1"/>
      <c r="K458" s="1"/>
    </row>
    <row r="459" spans="1:11" ht="15.75" customHeight="1">
      <c r="A459" s="2"/>
      <c r="B459" s="1"/>
      <c r="C459" s="1"/>
      <c r="D459" s="1"/>
      <c r="E459" s="1"/>
      <c r="F459" s="1"/>
      <c r="G459" s="1"/>
      <c r="H459" s="1"/>
      <c r="I459" s="61"/>
      <c r="J459" s="1"/>
      <c r="K459" s="1"/>
    </row>
    <row r="460" spans="1:11" ht="15.75" customHeight="1">
      <c r="A460" s="2"/>
      <c r="B460" s="1"/>
      <c r="C460" s="1"/>
      <c r="D460" s="1"/>
      <c r="E460" s="1"/>
      <c r="F460" s="1"/>
      <c r="G460" s="1"/>
      <c r="H460" s="1"/>
      <c r="I460" s="61"/>
      <c r="J460" s="1"/>
      <c r="K460" s="1"/>
    </row>
    <row r="461" spans="1:11" ht="15.75" customHeight="1">
      <c r="A461" s="2"/>
      <c r="B461" s="1"/>
      <c r="C461" s="1"/>
      <c r="D461" s="1"/>
      <c r="E461" s="1"/>
      <c r="F461" s="1"/>
      <c r="G461" s="1"/>
      <c r="H461" s="1"/>
      <c r="I461" s="61"/>
      <c r="J461" s="1"/>
      <c r="K461" s="1"/>
    </row>
    <row r="462" spans="1:11" ht="15.75" customHeight="1">
      <c r="A462" s="2"/>
      <c r="B462" s="1"/>
      <c r="C462" s="1"/>
      <c r="D462" s="1"/>
      <c r="E462" s="1"/>
      <c r="F462" s="1"/>
      <c r="G462" s="1"/>
      <c r="H462" s="1"/>
      <c r="I462" s="61"/>
      <c r="J462" s="1"/>
      <c r="K462" s="1"/>
    </row>
    <row r="463" spans="1:11" ht="15.75" customHeight="1">
      <c r="A463" s="2"/>
      <c r="B463" s="1"/>
      <c r="C463" s="1"/>
      <c r="D463" s="1"/>
      <c r="E463" s="1"/>
      <c r="F463" s="1"/>
      <c r="G463" s="1"/>
      <c r="H463" s="1"/>
      <c r="I463" s="61"/>
      <c r="J463" s="1"/>
      <c r="K463" s="1"/>
    </row>
    <row r="464" spans="1:11" ht="15.75" customHeight="1">
      <c r="A464" s="2"/>
      <c r="B464" s="1"/>
      <c r="C464" s="1"/>
      <c r="D464" s="1"/>
      <c r="E464" s="1"/>
      <c r="F464" s="1"/>
      <c r="G464" s="1"/>
      <c r="H464" s="1"/>
      <c r="I464" s="61"/>
      <c r="J464" s="1"/>
      <c r="K464" s="1"/>
    </row>
    <row r="465" spans="1:11" ht="15.75" customHeight="1">
      <c r="A465" s="2"/>
      <c r="B465" s="1"/>
      <c r="C465" s="1"/>
      <c r="D465" s="1"/>
      <c r="E465" s="1"/>
      <c r="F465" s="1"/>
      <c r="G465" s="1"/>
      <c r="H465" s="1"/>
      <c r="I465" s="61"/>
      <c r="J465" s="1"/>
      <c r="K465" s="1"/>
    </row>
    <row r="466" spans="1:11" ht="15.75" customHeight="1">
      <c r="A466" s="2"/>
      <c r="B466" s="1"/>
      <c r="C466" s="1"/>
      <c r="D466" s="1"/>
      <c r="E466" s="1"/>
      <c r="F466" s="1"/>
      <c r="G466" s="1"/>
      <c r="H466" s="1"/>
      <c r="I466" s="61"/>
      <c r="J466" s="1"/>
      <c r="K466" s="1"/>
    </row>
    <row r="467" spans="1:11" ht="15.75" customHeight="1">
      <c r="A467" s="2"/>
      <c r="B467" s="1"/>
      <c r="C467" s="1"/>
      <c r="D467" s="1"/>
      <c r="E467" s="1"/>
      <c r="F467" s="1"/>
      <c r="G467" s="1"/>
      <c r="H467" s="1"/>
      <c r="I467" s="61"/>
      <c r="J467" s="1"/>
      <c r="K467" s="1"/>
    </row>
    <row r="468" spans="1:11" ht="15.75" customHeight="1">
      <c r="A468" s="2"/>
      <c r="B468" s="1"/>
      <c r="C468" s="1"/>
      <c r="D468" s="1"/>
      <c r="E468" s="1"/>
      <c r="F468" s="1"/>
      <c r="G468" s="1"/>
      <c r="H468" s="1"/>
      <c r="I468" s="61"/>
      <c r="J468" s="1"/>
      <c r="K468" s="1"/>
    </row>
    <row r="469" spans="1:11" ht="15.75" customHeight="1">
      <c r="A469" s="2"/>
      <c r="B469" s="1"/>
      <c r="C469" s="1"/>
      <c r="D469" s="1"/>
      <c r="E469" s="1"/>
      <c r="F469" s="1"/>
      <c r="G469" s="1"/>
      <c r="H469" s="1"/>
      <c r="I469" s="61"/>
      <c r="J469" s="1"/>
      <c r="K469" s="1"/>
    </row>
    <row r="470" spans="1:11" ht="15.75" customHeight="1">
      <c r="A470" s="2"/>
      <c r="B470" s="1"/>
      <c r="C470" s="1"/>
      <c r="D470" s="1"/>
      <c r="E470" s="1"/>
      <c r="F470" s="1"/>
      <c r="G470" s="1"/>
      <c r="H470" s="1"/>
      <c r="I470" s="61"/>
      <c r="J470" s="1"/>
      <c r="K470" s="1"/>
    </row>
    <row r="471" spans="1:11" ht="15.75" customHeight="1">
      <c r="A471" s="2"/>
      <c r="B471" s="1"/>
      <c r="C471" s="1"/>
      <c r="D471" s="1"/>
      <c r="E471" s="1"/>
      <c r="F471" s="1"/>
      <c r="G471" s="1"/>
      <c r="H471" s="1"/>
      <c r="I471" s="61"/>
      <c r="J471" s="1"/>
      <c r="K471" s="1"/>
    </row>
    <row r="472" spans="1:11" ht="15.75" customHeight="1">
      <c r="A472" s="2"/>
      <c r="B472" s="1"/>
      <c r="C472" s="1"/>
      <c r="D472" s="1"/>
      <c r="E472" s="1"/>
      <c r="F472" s="1"/>
      <c r="G472" s="1"/>
      <c r="H472" s="1"/>
      <c r="I472" s="61"/>
      <c r="J472" s="1"/>
      <c r="K472" s="1"/>
    </row>
    <row r="473" spans="1:11" ht="15.75" customHeight="1">
      <c r="A473" s="2"/>
      <c r="B473" s="1"/>
      <c r="C473" s="1"/>
      <c r="D473" s="1"/>
      <c r="E473" s="1"/>
      <c r="F473" s="1"/>
      <c r="G473" s="1"/>
      <c r="H473" s="1"/>
      <c r="I473" s="61"/>
      <c r="J473" s="1"/>
      <c r="K473" s="1"/>
    </row>
    <row r="474" spans="1:11" ht="15.75" customHeight="1">
      <c r="A474" s="2"/>
      <c r="B474" s="1"/>
      <c r="C474" s="1"/>
      <c r="D474" s="1"/>
      <c r="E474" s="1"/>
      <c r="F474" s="1"/>
      <c r="G474" s="1"/>
      <c r="H474" s="1"/>
      <c r="I474" s="61"/>
      <c r="J474" s="1"/>
      <c r="K474" s="1"/>
    </row>
    <row r="475" spans="1:11" ht="15.75" customHeight="1">
      <c r="A475" s="2"/>
      <c r="B475" s="1"/>
      <c r="C475" s="1"/>
      <c r="D475" s="1"/>
      <c r="E475" s="1"/>
      <c r="F475" s="1"/>
      <c r="G475" s="1"/>
      <c r="H475" s="1"/>
      <c r="I475" s="61"/>
      <c r="J475" s="1"/>
      <c r="K475" s="1"/>
    </row>
    <row r="476" spans="1:11" ht="15.75" customHeight="1">
      <c r="A476" s="2"/>
      <c r="B476" s="1"/>
      <c r="C476" s="1"/>
      <c r="D476" s="1"/>
      <c r="E476" s="1"/>
      <c r="F476" s="1"/>
      <c r="G476" s="1"/>
      <c r="H476" s="1"/>
      <c r="I476" s="61"/>
      <c r="J476" s="1"/>
      <c r="K476" s="1"/>
    </row>
    <row r="477" spans="1:11" ht="15.75" customHeight="1">
      <c r="A477" s="2"/>
      <c r="B477" s="1"/>
      <c r="C477" s="1"/>
      <c r="D477" s="1"/>
      <c r="E477" s="1"/>
      <c r="F477" s="1"/>
      <c r="G477" s="1"/>
      <c r="H477" s="1"/>
      <c r="I477" s="61"/>
      <c r="J477" s="1"/>
      <c r="K477" s="1"/>
    </row>
    <row r="478" spans="1:11" ht="15.75" customHeight="1">
      <c r="A478" s="2"/>
      <c r="B478" s="1"/>
      <c r="C478" s="1"/>
      <c r="D478" s="1"/>
      <c r="E478" s="1"/>
      <c r="F478" s="1"/>
      <c r="G478" s="1"/>
      <c r="H478" s="1"/>
      <c r="I478" s="61"/>
      <c r="J478" s="1"/>
      <c r="K478" s="1"/>
    </row>
    <row r="479" spans="1:11" ht="15.75" customHeight="1">
      <c r="A479" s="2"/>
      <c r="B479" s="1"/>
      <c r="C479" s="1"/>
      <c r="D479" s="1"/>
      <c r="E479" s="1"/>
      <c r="F479" s="1"/>
      <c r="G479" s="1"/>
      <c r="H479" s="1"/>
      <c r="I479" s="61"/>
      <c r="J479" s="1"/>
      <c r="K479" s="1"/>
    </row>
    <row r="480" spans="1:11" ht="15.75" customHeight="1">
      <c r="A480" s="2"/>
      <c r="B480" s="1"/>
      <c r="C480" s="1"/>
      <c r="D480" s="1"/>
      <c r="E480" s="1"/>
      <c r="F480" s="1"/>
      <c r="G480" s="1"/>
      <c r="H480" s="1"/>
      <c r="I480" s="61"/>
      <c r="J480" s="1"/>
      <c r="K480" s="1"/>
    </row>
    <row r="481" spans="1:11" ht="15.75" customHeight="1">
      <c r="A481" s="2"/>
      <c r="B481" s="1"/>
      <c r="C481" s="1"/>
      <c r="D481" s="1"/>
      <c r="E481" s="1"/>
      <c r="F481" s="1"/>
      <c r="G481" s="1"/>
      <c r="H481" s="1"/>
      <c r="I481" s="61"/>
      <c r="J481" s="1"/>
      <c r="K481" s="1"/>
    </row>
    <row r="482" spans="1:11" ht="15.75" customHeight="1">
      <c r="A482" s="2"/>
      <c r="B482" s="1"/>
      <c r="C482" s="1"/>
      <c r="D482" s="1"/>
      <c r="E482" s="1"/>
      <c r="F482" s="1"/>
      <c r="G482" s="1"/>
      <c r="H482" s="1"/>
      <c r="I482" s="61"/>
      <c r="J482" s="1"/>
      <c r="K482" s="1"/>
    </row>
    <row r="483" spans="1:11" ht="15.75" customHeight="1">
      <c r="A483" s="2"/>
      <c r="B483" s="1"/>
      <c r="C483" s="1"/>
      <c r="D483" s="1"/>
      <c r="E483" s="1"/>
      <c r="F483" s="1"/>
      <c r="G483" s="1"/>
      <c r="H483" s="1"/>
      <c r="I483" s="61"/>
      <c r="J483" s="1"/>
      <c r="K483" s="1"/>
    </row>
    <row r="484" spans="1:11" ht="15.75" customHeight="1">
      <c r="A484" s="2"/>
      <c r="B484" s="1"/>
      <c r="C484" s="1"/>
      <c r="D484" s="1"/>
      <c r="E484" s="1"/>
      <c r="F484" s="1"/>
      <c r="G484" s="1"/>
      <c r="H484" s="1"/>
      <c r="I484" s="61"/>
      <c r="J484" s="1"/>
      <c r="K484" s="1"/>
    </row>
    <row r="485" spans="1:11" ht="15.75" customHeight="1">
      <c r="A485" s="2"/>
      <c r="B485" s="1"/>
      <c r="C485" s="1"/>
      <c r="D485" s="1"/>
      <c r="E485" s="1"/>
      <c r="F485" s="1"/>
      <c r="G485" s="1"/>
      <c r="H485" s="1"/>
      <c r="I485" s="61"/>
      <c r="J485" s="1"/>
      <c r="K485" s="1"/>
    </row>
    <row r="486" spans="1:11" ht="15.75" customHeight="1">
      <c r="A486" s="2"/>
      <c r="B486" s="1"/>
      <c r="C486" s="1"/>
      <c r="D486" s="1"/>
      <c r="E486" s="1"/>
      <c r="F486" s="1"/>
      <c r="G486" s="1"/>
      <c r="H486" s="1"/>
      <c r="I486" s="61"/>
      <c r="J486" s="1"/>
      <c r="K486" s="1"/>
    </row>
    <row r="487" spans="1:11" ht="15.75" customHeight="1">
      <c r="A487" s="2"/>
      <c r="B487" s="1"/>
      <c r="C487" s="1"/>
      <c r="D487" s="1"/>
      <c r="E487" s="1"/>
      <c r="F487" s="1"/>
      <c r="G487" s="1"/>
      <c r="H487" s="1"/>
      <c r="I487" s="61"/>
      <c r="J487" s="1"/>
      <c r="K487" s="1"/>
    </row>
    <row r="488" spans="1:11" ht="15.75" customHeight="1">
      <c r="A488" s="2"/>
      <c r="B488" s="1"/>
      <c r="C488" s="1"/>
      <c r="D488" s="1"/>
      <c r="E488" s="1"/>
      <c r="F488" s="1"/>
      <c r="G488" s="1"/>
      <c r="H488" s="1"/>
      <c r="I488" s="61"/>
      <c r="J488" s="1"/>
      <c r="K488" s="1"/>
    </row>
    <row r="489" spans="1:11" ht="15.75" customHeight="1">
      <c r="A489" s="2"/>
      <c r="B489" s="1"/>
      <c r="C489" s="1"/>
      <c r="D489" s="1"/>
      <c r="E489" s="1"/>
      <c r="F489" s="1"/>
      <c r="G489" s="1"/>
      <c r="H489" s="1"/>
      <c r="I489" s="61"/>
      <c r="J489" s="1"/>
      <c r="K489" s="1"/>
    </row>
    <row r="490" spans="1:11" ht="15.75" customHeight="1">
      <c r="A490" s="2"/>
      <c r="B490" s="1"/>
      <c r="C490" s="1"/>
      <c r="D490" s="1"/>
      <c r="E490" s="1"/>
      <c r="F490" s="1"/>
      <c r="G490" s="1"/>
      <c r="H490" s="1"/>
      <c r="I490" s="61"/>
      <c r="J490" s="1"/>
      <c r="K490" s="1"/>
    </row>
    <row r="491" spans="1:11" ht="15.75" customHeight="1">
      <c r="A491" s="2"/>
      <c r="B491" s="1"/>
      <c r="C491" s="1"/>
      <c r="D491" s="1"/>
      <c r="E491" s="1"/>
      <c r="F491" s="1"/>
      <c r="G491" s="1"/>
      <c r="H491" s="1"/>
      <c r="I491" s="61"/>
      <c r="J491" s="1"/>
      <c r="K491" s="1"/>
    </row>
    <row r="492" spans="1:11" ht="15.75" customHeight="1">
      <c r="A492" s="2"/>
      <c r="B492" s="1"/>
      <c r="C492" s="1"/>
      <c r="D492" s="1"/>
      <c r="E492" s="1"/>
      <c r="F492" s="1"/>
      <c r="G492" s="1"/>
      <c r="H492" s="1"/>
      <c r="I492" s="61"/>
      <c r="J492" s="1"/>
      <c r="K492" s="1"/>
    </row>
    <row r="493" spans="1:11" ht="15.75" customHeight="1">
      <c r="A493" s="2"/>
      <c r="B493" s="1"/>
      <c r="C493" s="1"/>
      <c r="D493" s="1"/>
      <c r="E493" s="1"/>
      <c r="F493" s="1"/>
      <c r="G493" s="1"/>
      <c r="H493" s="1"/>
      <c r="I493" s="61"/>
      <c r="J493" s="1"/>
      <c r="K493" s="1"/>
    </row>
    <row r="494" spans="1:11" ht="15.75" customHeight="1">
      <c r="A494" s="2"/>
      <c r="B494" s="1"/>
      <c r="C494" s="1"/>
      <c r="D494" s="1"/>
      <c r="E494" s="1"/>
      <c r="F494" s="1"/>
      <c r="G494" s="1"/>
      <c r="H494" s="1"/>
      <c r="I494" s="61"/>
      <c r="J494" s="1"/>
      <c r="K494" s="1"/>
    </row>
    <row r="495" spans="1:11" ht="15.75" customHeight="1">
      <c r="A495" s="2"/>
      <c r="B495" s="1"/>
      <c r="C495" s="1"/>
      <c r="D495" s="1"/>
      <c r="E495" s="1"/>
      <c r="F495" s="1"/>
      <c r="G495" s="1"/>
      <c r="H495" s="1"/>
      <c r="I495" s="61"/>
      <c r="J495" s="1"/>
      <c r="K495" s="1"/>
    </row>
    <row r="496" spans="1:11" ht="15.75" customHeight="1">
      <c r="A496" s="2"/>
      <c r="B496" s="1"/>
      <c r="C496" s="1"/>
      <c r="D496" s="1"/>
      <c r="E496" s="1"/>
      <c r="F496" s="1"/>
      <c r="G496" s="1"/>
      <c r="H496" s="1"/>
      <c r="I496" s="61"/>
      <c r="J496" s="1"/>
      <c r="K496" s="1"/>
    </row>
    <row r="497" spans="1:11" ht="15.75" customHeight="1">
      <c r="A497" s="2"/>
      <c r="B497" s="1"/>
      <c r="C497" s="1"/>
      <c r="D497" s="1"/>
      <c r="E497" s="1"/>
      <c r="F497" s="1"/>
      <c r="G497" s="1"/>
      <c r="H497" s="1"/>
      <c r="I497" s="61"/>
      <c r="J497" s="1"/>
      <c r="K497" s="1"/>
    </row>
    <row r="498" spans="1:11" ht="15.75" customHeight="1">
      <c r="A498" s="2"/>
      <c r="B498" s="1"/>
      <c r="C498" s="1"/>
      <c r="D498" s="1"/>
      <c r="E498" s="1"/>
      <c r="F498" s="1"/>
      <c r="G498" s="1"/>
      <c r="H498" s="1"/>
      <c r="I498" s="61"/>
      <c r="J498" s="1"/>
      <c r="K498" s="1"/>
    </row>
    <row r="499" spans="1:11" ht="15.75" customHeight="1">
      <c r="A499" s="2"/>
      <c r="B499" s="1"/>
      <c r="C499" s="1"/>
      <c r="D499" s="1"/>
      <c r="E499" s="1"/>
      <c r="F499" s="1"/>
      <c r="G499" s="1"/>
      <c r="H499" s="1"/>
      <c r="I499" s="61"/>
      <c r="J499" s="1"/>
      <c r="K499" s="1"/>
    </row>
    <row r="500" spans="1:11" ht="15.75" customHeight="1">
      <c r="A500" s="2"/>
      <c r="B500" s="1"/>
      <c r="C500" s="1"/>
      <c r="D500" s="1"/>
      <c r="E500" s="1"/>
      <c r="F500" s="1"/>
      <c r="G500" s="1"/>
      <c r="H500" s="1"/>
      <c r="I500" s="61"/>
      <c r="J500" s="1"/>
      <c r="K500" s="1"/>
    </row>
    <row r="501" spans="1:11" ht="15.75" customHeight="1">
      <c r="A501" s="2"/>
      <c r="B501" s="1"/>
      <c r="C501" s="1"/>
      <c r="D501" s="1"/>
      <c r="E501" s="1"/>
      <c r="F501" s="1"/>
      <c r="G501" s="1"/>
      <c r="H501" s="1"/>
      <c r="I501" s="61"/>
      <c r="J501" s="1"/>
      <c r="K501" s="1"/>
    </row>
    <row r="502" spans="1:11" ht="15.75" customHeight="1">
      <c r="A502" s="2"/>
      <c r="B502" s="1"/>
      <c r="C502" s="1"/>
      <c r="D502" s="1"/>
      <c r="E502" s="1"/>
      <c r="F502" s="1"/>
      <c r="G502" s="1"/>
      <c r="H502" s="1"/>
      <c r="I502" s="61"/>
      <c r="J502" s="1"/>
      <c r="K502" s="1"/>
    </row>
    <row r="503" spans="1:11" ht="15.75" customHeight="1">
      <c r="A503" s="2"/>
      <c r="B503" s="1"/>
      <c r="C503" s="1"/>
      <c r="D503" s="1"/>
      <c r="E503" s="1"/>
      <c r="F503" s="1"/>
      <c r="G503" s="1"/>
      <c r="H503" s="1"/>
      <c r="I503" s="61"/>
      <c r="J503" s="1"/>
      <c r="K503" s="1"/>
    </row>
    <row r="504" spans="1:11" ht="15.75" customHeight="1">
      <c r="A504" s="2"/>
      <c r="B504" s="1"/>
      <c r="C504" s="1"/>
      <c r="D504" s="1"/>
      <c r="E504" s="1"/>
      <c r="F504" s="1"/>
      <c r="G504" s="1"/>
      <c r="H504" s="1"/>
      <c r="I504" s="61"/>
      <c r="J504" s="1"/>
      <c r="K504" s="1"/>
    </row>
    <row r="505" spans="1:11" ht="15.75" customHeight="1">
      <c r="A505" s="2"/>
      <c r="B505" s="1"/>
      <c r="C505" s="1"/>
      <c r="D505" s="1"/>
      <c r="E505" s="1"/>
      <c r="F505" s="1"/>
      <c r="G505" s="1"/>
      <c r="H505" s="1"/>
      <c r="I505" s="61"/>
      <c r="J505" s="1"/>
      <c r="K505" s="1"/>
    </row>
    <row r="506" spans="1:11" ht="15.75" customHeight="1">
      <c r="A506" s="2"/>
      <c r="B506" s="1"/>
      <c r="C506" s="1"/>
      <c r="D506" s="1"/>
      <c r="E506" s="1"/>
      <c r="F506" s="1"/>
      <c r="G506" s="1"/>
      <c r="H506" s="1"/>
      <c r="I506" s="61"/>
      <c r="J506" s="1"/>
      <c r="K506" s="1"/>
    </row>
    <row r="507" spans="1:11" ht="15.75" customHeight="1">
      <c r="A507" s="2"/>
      <c r="B507" s="1"/>
      <c r="C507" s="1"/>
      <c r="D507" s="1"/>
      <c r="E507" s="1"/>
      <c r="F507" s="1"/>
      <c r="G507" s="1"/>
      <c r="H507" s="1"/>
      <c r="I507" s="61"/>
      <c r="J507" s="1"/>
      <c r="K507" s="1"/>
    </row>
    <row r="508" spans="1:11" ht="15.75" customHeight="1">
      <c r="A508" s="2"/>
      <c r="B508" s="1"/>
      <c r="C508" s="1"/>
      <c r="D508" s="1"/>
      <c r="E508" s="1"/>
      <c r="F508" s="1"/>
      <c r="G508" s="1"/>
      <c r="H508" s="1"/>
      <c r="I508" s="61"/>
      <c r="J508" s="1"/>
      <c r="K508" s="1"/>
    </row>
    <row r="509" spans="1:11" ht="15.75" customHeight="1">
      <c r="A509" s="2"/>
      <c r="B509" s="1"/>
      <c r="C509" s="1"/>
      <c r="D509" s="1"/>
      <c r="E509" s="1"/>
      <c r="F509" s="1"/>
      <c r="G509" s="1"/>
      <c r="H509" s="1"/>
      <c r="I509" s="61"/>
      <c r="J509" s="1"/>
      <c r="K509" s="1"/>
    </row>
    <row r="510" spans="1:11" ht="15.75" customHeight="1">
      <c r="A510" s="2"/>
      <c r="B510" s="1"/>
      <c r="C510" s="1"/>
      <c r="D510" s="1"/>
      <c r="E510" s="1"/>
      <c r="F510" s="1"/>
      <c r="G510" s="1"/>
      <c r="H510" s="1"/>
      <c r="I510" s="61"/>
      <c r="J510" s="1"/>
      <c r="K510" s="1"/>
    </row>
    <row r="511" spans="1:11" ht="15.75" customHeight="1">
      <c r="A511" s="2"/>
      <c r="B511" s="1"/>
      <c r="C511" s="1"/>
      <c r="D511" s="1"/>
      <c r="E511" s="1"/>
      <c r="F511" s="1"/>
      <c r="G511" s="1"/>
      <c r="H511" s="1"/>
      <c r="I511" s="61"/>
      <c r="J511" s="1"/>
      <c r="K511" s="1"/>
    </row>
    <row r="512" spans="1:11" ht="15.75" customHeight="1">
      <c r="A512" s="2"/>
      <c r="B512" s="1"/>
      <c r="C512" s="1"/>
      <c r="D512" s="1"/>
      <c r="E512" s="1"/>
      <c r="F512" s="1"/>
      <c r="G512" s="1"/>
      <c r="H512" s="1"/>
      <c r="I512" s="61"/>
      <c r="J512" s="1"/>
      <c r="K512" s="1"/>
    </row>
    <row r="513" spans="1:11" ht="15.75" customHeight="1">
      <c r="A513" s="2"/>
      <c r="B513" s="1"/>
      <c r="C513" s="1"/>
      <c r="D513" s="1"/>
      <c r="E513" s="1"/>
      <c r="F513" s="1"/>
      <c r="G513" s="1"/>
      <c r="H513" s="1"/>
      <c r="I513" s="61"/>
      <c r="J513" s="1"/>
      <c r="K513" s="1"/>
    </row>
    <row r="514" spans="1:11" ht="15.75" customHeight="1">
      <c r="A514" s="2"/>
      <c r="B514" s="1"/>
      <c r="C514" s="1"/>
      <c r="D514" s="1"/>
      <c r="E514" s="1"/>
      <c r="F514" s="1"/>
      <c r="G514" s="1"/>
      <c r="H514" s="1"/>
      <c r="I514" s="61"/>
      <c r="J514" s="1"/>
      <c r="K514" s="1"/>
    </row>
    <row r="515" spans="1:11" ht="15.75" customHeight="1">
      <c r="A515" s="2"/>
      <c r="B515" s="1"/>
      <c r="C515" s="1"/>
      <c r="D515" s="1"/>
      <c r="E515" s="1"/>
      <c r="F515" s="1"/>
      <c r="G515" s="1"/>
      <c r="H515" s="1"/>
      <c r="I515" s="61"/>
      <c r="J515" s="1"/>
      <c r="K515" s="1"/>
    </row>
    <row r="516" spans="1:11" ht="15.75" customHeight="1">
      <c r="A516" s="2"/>
      <c r="B516" s="1"/>
      <c r="C516" s="1"/>
      <c r="D516" s="1"/>
      <c r="E516" s="1"/>
      <c r="F516" s="1"/>
      <c r="G516" s="1"/>
      <c r="H516" s="1"/>
      <c r="I516" s="61"/>
      <c r="J516" s="1"/>
      <c r="K516" s="1"/>
    </row>
    <row r="517" spans="1:11" ht="15.75" customHeight="1">
      <c r="A517" s="2"/>
      <c r="B517" s="1"/>
      <c r="C517" s="1"/>
      <c r="D517" s="1"/>
      <c r="E517" s="1"/>
      <c r="F517" s="1"/>
      <c r="G517" s="1"/>
      <c r="H517" s="1"/>
      <c r="I517" s="61"/>
      <c r="J517" s="1"/>
      <c r="K517" s="1"/>
    </row>
    <row r="518" spans="1:11" ht="15.75" customHeight="1">
      <c r="A518" s="2"/>
      <c r="B518" s="1"/>
      <c r="C518" s="1"/>
      <c r="D518" s="1"/>
      <c r="E518" s="1"/>
      <c r="F518" s="1"/>
      <c r="G518" s="1"/>
      <c r="H518" s="1"/>
      <c r="I518" s="61"/>
      <c r="J518" s="1"/>
      <c r="K518" s="1"/>
    </row>
    <row r="519" spans="1:11" ht="15.75" customHeight="1">
      <c r="A519" s="2"/>
      <c r="B519" s="1"/>
      <c r="C519" s="1"/>
      <c r="D519" s="1"/>
      <c r="E519" s="1"/>
      <c r="F519" s="1"/>
      <c r="G519" s="1"/>
      <c r="H519" s="1"/>
      <c r="I519" s="61"/>
      <c r="J519" s="1"/>
      <c r="K519" s="1"/>
    </row>
    <row r="520" spans="1:11" ht="15.75" customHeight="1">
      <c r="A520" s="2"/>
      <c r="B520" s="1"/>
      <c r="C520" s="1"/>
      <c r="D520" s="1"/>
      <c r="E520" s="1"/>
      <c r="F520" s="1"/>
      <c r="G520" s="1"/>
      <c r="H520" s="1"/>
      <c r="I520" s="61"/>
      <c r="J520" s="1"/>
      <c r="K520" s="1"/>
    </row>
    <row r="521" spans="1:11" ht="15.75" customHeight="1">
      <c r="A521" s="2"/>
      <c r="B521" s="1"/>
      <c r="C521" s="1"/>
      <c r="D521" s="1"/>
      <c r="E521" s="1"/>
      <c r="F521" s="1"/>
      <c r="G521" s="1"/>
      <c r="H521" s="1"/>
      <c r="I521" s="61"/>
      <c r="J521" s="1"/>
      <c r="K521" s="1"/>
    </row>
    <row r="522" spans="1:11" ht="15.75" customHeight="1">
      <c r="A522" s="2"/>
      <c r="B522" s="1"/>
      <c r="C522" s="1"/>
      <c r="D522" s="1"/>
      <c r="E522" s="1"/>
      <c r="F522" s="1"/>
      <c r="G522" s="1"/>
      <c r="H522" s="1"/>
      <c r="I522" s="61"/>
      <c r="J522" s="1"/>
      <c r="K522" s="1"/>
    </row>
    <row r="523" spans="1:11" ht="15.75" customHeight="1">
      <c r="A523" s="2"/>
      <c r="B523" s="1"/>
      <c r="C523" s="1"/>
      <c r="D523" s="1"/>
      <c r="E523" s="1"/>
      <c r="F523" s="1"/>
      <c r="G523" s="1"/>
      <c r="H523" s="1"/>
      <c r="I523" s="61"/>
      <c r="J523" s="1"/>
      <c r="K523" s="1"/>
    </row>
    <row r="524" spans="1:11" ht="15.75" customHeight="1">
      <c r="A524" s="2"/>
      <c r="B524" s="1"/>
      <c r="C524" s="1"/>
      <c r="D524" s="1"/>
      <c r="E524" s="1"/>
      <c r="F524" s="1"/>
      <c r="G524" s="1"/>
      <c r="H524" s="1"/>
      <c r="I524" s="61"/>
      <c r="J524" s="1"/>
      <c r="K524" s="1"/>
    </row>
    <row r="525" spans="1:11" ht="15.75" customHeight="1">
      <c r="A525" s="2"/>
      <c r="B525" s="1"/>
      <c r="C525" s="1"/>
      <c r="D525" s="1"/>
      <c r="E525" s="1"/>
      <c r="F525" s="1"/>
      <c r="G525" s="1"/>
      <c r="H525" s="1"/>
      <c r="I525" s="61"/>
      <c r="J525" s="1"/>
      <c r="K525" s="1"/>
    </row>
    <row r="526" spans="1:11" ht="15.75" customHeight="1">
      <c r="A526" s="2"/>
      <c r="B526" s="1"/>
      <c r="C526" s="1"/>
      <c r="D526" s="1"/>
      <c r="E526" s="1"/>
      <c r="F526" s="1"/>
      <c r="G526" s="1"/>
      <c r="H526" s="1"/>
      <c r="I526" s="61"/>
      <c r="J526" s="1"/>
      <c r="K526" s="1"/>
    </row>
    <row r="527" spans="1:11" ht="15.75" customHeight="1">
      <c r="A527" s="2"/>
      <c r="B527" s="1"/>
      <c r="C527" s="1"/>
      <c r="D527" s="1"/>
      <c r="E527" s="1"/>
      <c r="F527" s="1"/>
      <c r="G527" s="1"/>
      <c r="H527" s="1"/>
      <c r="I527" s="61"/>
      <c r="J527" s="1"/>
      <c r="K527" s="1"/>
    </row>
    <row r="528" spans="1:11" ht="15.75" customHeight="1">
      <c r="A528" s="2"/>
      <c r="B528" s="1"/>
      <c r="C528" s="1"/>
      <c r="D528" s="1"/>
      <c r="E528" s="1"/>
      <c r="F528" s="1"/>
      <c r="G528" s="1"/>
      <c r="H528" s="1"/>
      <c r="I528" s="61"/>
      <c r="J528" s="1"/>
      <c r="K528" s="1"/>
    </row>
    <row r="529" spans="1:11" ht="15.75" customHeight="1">
      <c r="A529" s="2"/>
      <c r="B529" s="1"/>
      <c r="C529" s="1"/>
      <c r="D529" s="1"/>
      <c r="E529" s="1"/>
      <c r="F529" s="1"/>
      <c r="G529" s="1"/>
      <c r="H529" s="1"/>
      <c r="I529" s="61"/>
      <c r="J529" s="1"/>
      <c r="K529" s="1"/>
    </row>
    <row r="530" spans="1:11" ht="15.75" customHeight="1">
      <c r="A530" s="2"/>
      <c r="B530" s="1"/>
      <c r="C530" s="1"/>
      <c r="D530" s="1"/>
      <c r="E530" s="1"/>
      <c r="F530" s="1"/>
      <c r="G530" s="1"/>
      <c r="H530" s="1"/>
      <c r="I530" s="61"/>
      <c r="J530" s="1"/>
      <c r="K530" s="1"/>
    </row>
    <row r="531" spans="1:11" ht="15.75" customHeight="1">
      <c r="A531" s="2"/>
      <c r="B531" s="1"/>
      <c r="C531" s="1"/>
      <c r="D531" s="1"/>
      <c r="E531" s="1"/>
      <c r="F531" s="1"/>
      <c r="G531" s="1"/>
      <c r="H531" s="1"/>
      <c r="I531" s="61"/>
      <c r="J531" s="1"/>
      <c r="K531" s="1"/>
    </row>
    <row r="532" spans="1:11" ht="15.75" customHeight="1">
      <c r="A532" s="2"/>
      <c r="B532" s="1"/>
      <c r="C532" s="1"/>
      <c r="D532" s="1"/>
      <c r="E532" s="1"/>
      <c r="F532" s="1"/>
      <c r="G532" s="1"/>
      <c r="H532" s="1"/>
      <c r="I532" s="61"/>
      <c r="J532" s="1"/>
      <c r="K532" s="1"/>
    </row>
    <row r="533" spans="1:11" ht="15.75" customHeight="1">
      <c r="A533" s="2"/>
      <c r="B533" s="1"/>
      <c r="C533" s="1"/>
      <c r="D533" s="1"/>
      <c r="E533" s="1"/>
      <c r="F533" s="1"/>
      <c r="G533" s="1"/>
      <c r="H533" s="1"/>
      <c r="I533" s="61"/>
      <c r="J533" s="1"/>
      <c r="K533" s="1"/>
    </row>
    <row r="534" spans="1:11" ht="15.75" customHeight="1">
      <c r="A534" s="2"/>
      <c r="B534" s="1"/>
      <c r="C534" s="1"/>
      <c r="D534" s="1"/>
      <c r="E534" s="1"/>
      <c r="F534" s="1"/>
      <c r="G534" s="1"/>
      <c r="H534" s="1"/>
      <c r="I534" s="61"/>
      <c r="J534" s="1"/>
      <c r="K534" s="1"/>
    </row>
    <row r="535" spans="1:11" ht="15.75" customHeight="1">
      <c r="A535" s="2"/>
      <c r="B535" s="1"/>
      <c r="C535" s="1"/>
      <c r="D535" s="1"/>
      <c r="E535" s="1"/>
      <c r="F535" s="1"/>
      <c r="G535" s="1"/>
      <c r="H535" s="1"/>
      <c r="I535" s="61"/>
      <c r="J535" s="1"/>
      <c r="K535" s="1"/>
    </row>
    <row r="536" spans="1:11" ht="15.75" customHeight="1">
      <c r="A536" s="2"/>
      <c r="B536" s="1"/>
      <c r="C536" s="1"/>
      <c r="D536" s="1"/>
      <c r="E536" s="1"/>
      <c r="F536" s="1"/>
      <c r="G536" s="1"/>
      <c r="H536" s="1"/>
      <c r="I536" s="61"/>
      <c r="J536" s="1"/>
      <c r="K536" s="1"/>
    </row>
    <row r="537" spans="1:11" ht="15.75" customHeight="1">
      <c r="A537" s="2"/>
      <c r="B537" s="1"/>
      <c r="C537" s="1"/>
      <c r="D537" s="1"/>
      <c r="E537" s="1"/>
      <c r="F537" s="1"/>
      <c r="G537" s="1"/>
      <c r="H537" s="1"/>
      <c r="I537" s="61"/>
      <c r="J537" s="1"/>
      <c r="K537" s="1"/>
    </row>
    <row r="538" spans="1:11" ht="15.75" customHeight="1">
      <c r="A538" s="2"/>
      <c r="B538" s="1"/>
      <c r="C538" s="1"/>
      <c r="D538" s="1"/>
      <c r="E538" s="1"/>
      <c r="F538" s="1"/>
      <c r="G538" s="1"/>
      <c r="H538" s="1"/>
      <c r="I538" s="61"/>
      <c r="J538" s="1"/>
      <c r="K538" s="1"/>
    </row>
    <row r="539" spans="1:11" ht="15.75" customHeight="1">
      <c r="A539" s="2"/>
      <c r="B539" s="1"/>
      <c r="C539" s="1"/>
      <c r="D539" s="1"/>
      <c r="E539" s="1"/>
      <c r="F539" s="1"/>
      <c r="G539" s="1"/>
      <c r="H539" s="1"/>
      <c r="I539" s="61"/>
      <c r="J539" s="1"/>
      <c r="K539" s="1"/>
    </row>
    <row r="540" spans="1:11" ht="15.75" customHeight="1">
      <c r="A540" s="2"/>
      <c r="B540" s="1"/>
      <c r="C540" s="1"/>
      <c r="D540" s="1"/>
      <c r="E540" s="1"/>
      <c r="F540" s="1"/>
      <c r="G540" s="1"/>
      <c r="H540" s="1"/>
      <c r="I540" s="61"/>
      <c r="J540" s="1"/>
      <c r="K540" s="1"/>
    </row>
    <row r="541" spans="1:11" ht="15.75" customHeight="1">
      <c r="A541" s="2"/>
      <c r="B541" s="1"/>
      <c r="C541" s="1"/>
      <c r="D541" s="1"/>
      <c r="E541" s="1"/>
      <c r="F541" s="1"/>
      <c r="G541" s="1"/>
      <c r="H541" s="1"/>
      <c r="I541" s="61"/>
      <c r="J541" s="1"/>
      <c r="K541" s="1"/>
    </row>
    <row r="542" spans="1:11" ht="15.75" customHeight="1">
      <c r="A542" s="2"/>
      <c r="B542" s="1"/>
      <c r="C542" s="1"/>
      <c r="D542" s="1"/>
      <c r="E542" s="1"/>
      <c r="F542" s="1"/>
      <c r="G542" s="1"/>
      <c r="H542" s="1"/>
      <c r="I542" s="61"/>
      <c r="J542" s="1"/>
      <c r="K542" s="1"/>
    </row>
    <row r="543" spans="1:11" ht="15.75" customHeight="1">
      <c r="A543" s="2"/>
      <c r="B543" s="1"/>
      <c r="C543" s="1"/>
      <c r="D543" s="1"/>
      <c r="E543" s="1"/>
      <c r="F543" s="1"/>
      <c r="G543" s="1"/>
      <c r="H543" s="1"/>
      <c r="I543" s="61"/>
      <c r="J543" s="1"/>
      <c r="K543" s="1"/>
    </row>
    <row r="544" spans="1:11" ht="15.75" customHeight="1">
      <c r="A544" s="2"/>
      <c r="B544" s="1"/>
      <c r="C544" s="1"/>
      <c r="D544" s="1"/>
      <c r="E544" s="1"/>
      <c r="F544" s="1"/>
      <c r="G544" s="1"/>
      <c r="H544" s="1"/>
      <c r="I544" s="61"/>
      <c r="J544" s="1"/>
      <c r="K544" s="1"/>
    </row>
    <row r="545" spans="1:11" ht="15.75" customHeight="1">
      <c r="A545" s="2"/>
      <c r="B545" s="1"/>
      <c r="C545" s="1"/>
      <c r="D545" s="1"/>
      <c r="E545" s="1"/>
      <c r="F545" s="1"/>
      <c r="G545" s="1"/>
      <c r="H545" s="1"/>
      <c r="I545" s="61"/>
      <c r="J545" s="1"/>
      <c r="K545" s="1"/>
    </row>
    <row r="546" spans="1:11" ht="15.75" customHeight="1">
      <c r="A546" s="2"/>
      <c r="B546" s="1"/>
      <c r="C546" s="1"/>
      <c r="D546" s="1"/>
      <c r="E546" s="1"/>
      <c r="F546" s="1"/>
      <c r="G546" s="1"/>
      <c r="H546" s="1"/>
      <c r="I546" s="61"/>
      <c r="J546" s="1"/>
      <c r="K546" s="1"/>
    </row>
    <row r="547" spans="1:11" ht="15.75" customHeight="1">
      <c r="A547" s="2"/>
      <c r="B547" s="1"/>
      <c r="C547" s="1"/>
      <c r="D547" s="1"/>
      <c r="E547" s="1"/>
      <c r="F547" s="1"/>
      <c r="G547" s="1"/>
      <c r="H547" s="1"/>
      <c r="I547" s="61"/>
      <c r="J547" s="1"/>
      <c r="K547" s="1"/>
    </row>
    <row r="548" spans="1:11" ht="15.75" customHeight="1">
      <c r="A548" s="2"/>
      <c r="B548" s="1"/>
      <c r="C548" s="1"/>
      <c r="D548" s="1"/>
      <c r="E548" s="1"/>
      <c r="F548" s="1"/>
      <c r="G548" s="1"/>
      <c r="H548" s="1"/>
      <c r="I548" s="61"/>
      <c r="J548" s="1"/>
      <c r="K548" s="1"/>
    </row>
    <row r="549" spans="1:11" ht="15.75" customHeight="1">
      <c r="A549" s="2"/>
      <c r="B549" s="1"/>
      <c r="C549" s="1"/>
      <c r="D549" s="1"/>
      <c r="E549" s="1"/>
      <c r="F549" s="1"/>
      <c r="G549" s="1"/>
      <c r="H549" s="1"/>
      <c r="I549" s="61"/>
      <c r="J549" s="1"/>
      <c r="K549" s="1"/>
    </row>
    <row r="550" spans="1:11" ht="15.75" customHeight="1">
      <c r="A550" s="2"/>
      <c r="B550" s="1"/>
      <c r="C550" s="1"/>
      <c r="D550" s="1"/>
      <c r="E550" s="1"/>
      <c r="F550" s="1"/>
      <c r="G550" s="1"/>
      <c r="H550" s="1"/>
      <c r="I550" s="61"/>
      <c r="J550" s="1"/>
      <c r="K550" s="1"/>
    </row>
    <row r="551" spans="1:11" ht="15.75" customHeight="1">
      <c r="A551" s="2"/>
      <c r="B551" s="1"/>
      <c r="C551" s="1"/>
      <c r="D551" s="1"/>
      <c r="E551" s="1"/>
      <c r="F551" s="1"/>
      <c r="G551" s="1"/>
      <c r="H551" s="1"/>
      <c r="I551" s="61"/>
      <c r="J551" s="1"/>
      <c r="K551" s="1"/>
    </row>
    <row r="552" spans="1:11" ht="15.75" customHeight="1">
      <c r="A552" s="2"/>
      <c r="B552" s="1"/>
      <c r="C552" s="1"/>
      <c r="D552" s="1"/>
      <c r="E552" s="1"/>
      <c r="F552" s="1"/>
      <c r="G552" s="1"/>
      <c r="H552" s="1"/>
      <c r="I552" s="61"/>
      <c r="J552" s="1"/>
      <c r="K552" s="1"/>
    </row>
    <row r="553" spans="1:11" ht="15.75" customHeight="1">
      <c r="A553" s="2"/>
      <c r="B553" s="1"/>
      <c r="C553" s="1"/>
      <c r="D553" s="1"/>
      <c r="E553" s="1"/>
      <c r="F553" s="1"/>
      <c r="G553" s="1"/>
      <c r="H553" s="1"/>
      <c r="I553" s="61"/>
      <c r="J553" s="1"/>
      <c r="K553" s="1"/>
    </row>
    <row r="554" spans="1:11" ht="15.75" customHeight="1">
      <c r="A554" s="2"/>
      <c r="B554" s="1"/>
      <c r="C554" s="1"/>
      <c r="D554" s="1"/>
      <c r="E554" s="1"/>
      <c r="F554" s="1"/>
      <c r="G554" s="1"/>
      <c r="H554" s="1"/>
      <c r="I554" s="61"/>
      <c r="J554" s="1"/>
      <c r="K554" s="1"/>
    </row>
    <row r="555" spans="1:11" ht="15.75" customHeight="1">
      <c r="A555" s="2"/>
      <c r="B555" s="1"/>
      <c r="C555" s="1"/>
      <c r="D555" s="1"/>
      <c r="E555" s="1"/>
      <c r="F555" s="1"/>
      <c r="G555" s="1"/>
      <c r="H555" s="1"/>
      <c r="I555" s="61"/>
      <c r="J555" s="1"/>
      <c r="K555" s="1"/>
    </row>
    <row r="556" spans="1:11" ht="15.75" customHeight="1">
      <c r="A556" s="2"/>
      <c r="B556" s="1"/>
      <c r="C556" s="1"/>
      <c r="D556" s="1"/>
      <c r="E556" s="1"/>
      <c r="F556" s="1"/>
      <c r="G556" s="1"/>
      <c r="H556" s="1"/>
      <c r="I556" s="61"/>
      <c r="J556" s="1"/>
      <c r="K556" s="1"/>
    </row>
    <row r="557" spans="1:11" ht="15.75" customHeight="1">
      <c r="A557" s="2"/>
      <c r="B557" s="1"/>
      <c r="C557" s="1"/>
      <c r="D557" s="1"/>
      <c r="E557" s="1"/>
      <c r="F557" s="1"/>
      <c r="G557" s="1"/>
      <c r="H557" s="1"/>
      <c r="I557" s="61"/>
      <c r="J557" s="1"/>
      <c r="K557" s="1"/>
    </row>
    <row r="558" spans="1:11" ht="15.75" customHeight="1">
      <c r="A558" s="2"/>
      <c r="B558" s="1"/>
      <c r="C558" s="1"/>
      <c r="D558" s="1"/>
      <c r="E558" s="1"/>
      <c r="F558" s="1"/>
      <c r="G558" s="1"/>
      <c r="H558" s="1"/>
      <c r="I558" s="61"/>
      <c r="J558" s="1"/>
      <c r="K558" s="1"/>
    </row>
    <row r="559" spans="1:11" ht="15.75" customHeight="1">
      <c r="A559" s="2"/>
      <c r="B559" s="1"/>
      <c r="C559" s="1"/>
      <c r="D559" s="1"/>
      <c r="E559" s="1"/>
      <c r="F559" s="1"/>
      <c r="G559" s="1"/>
      <c r="H559" s="1"/>
      <c r="I559" s="61"/>
      <c r="J559" s="1"/>
      <c r="K559" s="1"/>
    </row>
    <row r="560" spans="1:11" ht="15.75" customHeight="1">
      <c r="A560" s="2"/>
      <c r="B560" s="1"/>
      <c r="C560" s="1"/>
      <c r="D560" s="1"/>
      <c r="E560" s="1"/>
      <c r="F560" s="1"/>
      <c r="G560" s="1"/>
      <c r="H560" s="1"/>
      <c r="I560" s="61"/>
      <c r="J560" s="1"/>
      <c r="K560" s="1"/>
    </row>
    <row r="561" spans="1:11" ht="15.75" customHeight="1">
      <c r="A561" s="2"/>
      <c r="B561" s="1"/>
      <c r="C561" s="1"/>
      <c r="D561" s="1"/>
      <c r="E561" s="1"/>
      <c r="F561" s="1"/>
      <c r="G561" s="1"/>
      <c r="H561" s="1"/>
      <c r="I561" s="61"/>
      <c r="J561" s="1"/>
      <c r="K561" s="1"/>
    </row>
    <row r="562" spans="1:11" ht="15.75" customHeight="1">
      <c r="A562" s="2"/>
      <c r="B562" s="1"/>
      <c r="C562" s="1"/>
      <c r="D562" s="1"/>
      <c r="E562" s="1"/>
      <c r="F562" s="1"/>
      <c r="G562" s="1"/>
      <c r="H562" s="1"/>
      <c r="I562" s="61"/>
      <c r="J562" s="1"/>
      <c r="K562" s="1"/>
    </row>
    <row r="563" spans="1:11" ht="15.75" customHeight="1">
      <c r="A563" s="2"/>
      <c r="B563" s="1"/>
      <c r="C563" s="1"/>
      <c r="D563" s="1"/>
      <c r="E563" s="1"/>
      <c r="F563" s="1"/>
      <c r="G563" s="1"/>
      <c r="H563" s="1"/>
      <c r="I563" s="61"/>
      <c r="J563" s="1"/>
      <c r="K563" s="1"/>
    </row>
    <row r="564" spans="1:11" ht="15.75" customHeight="1">
      <c r="A564" s="2"/>
      <c r="B564" s="1"/>
      <c r="C564" s="1"/>
      <c r="D564" s="1"/>
      <c r="E564" s="1"/>
      <c r="F564" s="1"/>
      <c r="G564" s="1"/>
      <c r="H564" s="1"/>
      <c r="I564" s="61"/>
      <c r="J564" s="1"/>
      <c r="K564" s="1"/>
    </row>
    <row r="565" spans="1:11" ht="15.75" customHeight="1">
      <c r="A565" s="2"/>
      <c r="B565" s="1"/>
      <c r="C565" s="1"/>
      <c r="D565" s="1"/>
      <c r="E565" s="1"/>
      <c r="F565" s="1"/>
      <c r="G565" s="1"/>
      <c r="H565" s="1"/>
      <c r="I565" s="61"/>
      <c r="J565" s="1"/>
      <c r="K565" s="1"/>
    </row>
    <row r="566" spans="1:11" ht="15.75" customHeight="1">
      <c r="A566" s="2"/>
      <c r="B566" s="1"/>
      <c r="C566" s="1"/>
      <c r="D566" s="1"/>
      <c r="E566" s="1"/>
      <c r="F566" s="1"/>
      <c r="G566" s="1"/>
      <c r="H566" s="1"/>
      <c r="I566" s="61"/>
      <c r="J566" s="1"/>
      <c r="K566" s="1"/>
    </row>
    <row r="567" spans="1:11" ht="15.75" customHeight="1">
      <c r="A567" s="2"/>
      <c r="B567" s="1"/>
      <c r="C567" s="1"/>
      <c r="D567" s="1"/>
      <c r="E567" s="1"/>
      <c r="F567" s="1"/>
      <c r="G567" s="1"/>
      <c r="H567" s="1"/>
      <c r="I567" s="61"/>
      <c r="J567" s="1"/>
      <c r="K567" s="1"/>
    </row>
    <row r="568" spans="1:11" ht="15.75" customHeight="1">
      <c r="A568" s="2"/>
      <c r="B568" s="1"/>
      <c r="C568" s="1"/>
      <c r="D568" s="1"/>
      <c r="E568" s="1"/>
      <c r="F568" s="1"/>
      <c r="G568" s="1"/>
      <c r="H568" s="1"/>
      <c r="I568" s="61"/>
      <c r="J568" s="1"/>
      <c r="K568" s="1"/>
    </row>
    <row r="569" spans="1:11" ht="15.75" customHeight="1">
      <c r="A569" s="2"/>
      <c r="B569" s="1"/>
      <c r="C569" s="1"/>
      <c r="D569" s="1"/>
      <c r="E569" s="1"/>
      <c r="F569" s="1"/>
      <c r="G569" s="1"/>
      <c r="H569" s="1"/>
      <c r="I569" s="61"/>
      <c r="J569" s="1"/>
      <c r="K569" s="1"/>
    </row>
    <row r="570" spans="1:11" ht="15.75" customHeight="1">
      <c r="A570" s="2"/>
      <c r="B570" s="1"/>
      <c r="C570" s="1"/>
      <c r="D570" s="1"/>
      <c r="E570" s="1"/>
      <c r="F570" s="1"/>
      <c r="G570" s="1"/>
      <c r="H570" s="1"/>
      <c r="I570" s="61"/>
      <c r="J570" s="1"/>
      <c r="K570" s="1"/>
    </row>
    <row r="571" spans="1:11" ht="15.75" customHeight="1">
      <c r="A571" s="2"/>
      <c r="B571" s="1"/>
      <c r="C571" s="1"/>
      <c r="D571" s="1"/>
      <c r="E571" s="1"/>
      <c r="F571" s="1"/>
      <c r="G571" s="1"/>
      <c r="H571" s="1"/>
      <c r="I571" s="61"/>
      <c r="J571" s="1"/>
      <c r="K571" s="1"/>
    </row>
    <row r="572" spans="1:11" ht="15.75" customHeight="1">
      <c r="A572" s="2"/>
      <c r="B572" s="1"/>
      <c r="C572" s="1"/>
      <c r="D572" s="1"/>
      <c r="E572" s="1"/>
      <c r="F572" s="1"/>
      <c r="G572" s="1"/>
      <c r="H572" s="1"/>
      <c r="I572" s="61"/>
      <c r="J572" s="1"/>
      <c r="K572" s="1"/>
    </row>
    <row r="573" spans="1:11" ht="15.75" customHeight="1">
      <c r="A573" s="2"/>
      <c r="B573" s="1"/>
      <c r="C573" s="1"/>
      <c r="D573" s="1"/>
      <c r="E573" s="1"/>
      <c r="F573" s="1"/>
      <c r="G573" s="1"/>
      <c r="H573" s="1"/>
      <c r="I573" s="61"/>
      <c r="J573" s="1"/>
      <c r="K573" s="1"/>
    </row>
    <row r="574" spans="1:11" ht="15.75" customHeight="1">
      <c r="A574" s="2"/>
      <c r="B574" s="1"/>
      <c r="C574" s="1"/>
      <c r="D574" s="1"/>
      <c r="E574" s="1"/>
      <c r="F574" s="1"/>
      <c r="G574" s="1"/>
      <c r="H574" s="1"/>
      <c r="I574" s="61"/>
      <c r="J574" s="1"/>
      <c r="K574" s="1"/>
    </row>
    <row r="575" spans="1:11" ht="15.75" customHeight="1">
      <c r="A575" s="2"/>
      <c r="B575" s="1"/>
      <c r="C575" s="1"/>
      <c r="D575" s="1"/>
      <c r="E575" s="1"/>
      <c r="F575" s="1"/>
      <c r="G575" s="1"/>
      <c r="H575" s="1"/>
      <c r="I575" s="61"/>
      <c r="J575" s="1"/>
      <c r="K575" s="1"/>
    </row>
    <row r="576" spans="1:11" ht="15.75" customHeight="1">
      <c r="A576" s="2"/>
      <c r="B576" s="1"/>
      <c r="C576" s="1"/>
      <c r="D576" s="1"/>
      <c r="E576" s="1"/>
      <c r="F576" s="1"/>
      <c r="G576" s="1"/>
      <c r="H576" s="1"/>
      <c r="I576" s="61"/>
      <c r="J576" s="1"/>
      <c r="K576" s="1"/>
    </row>
    <row r="577" spans="1:11" ht="15.75" customHeight="1">
      <c r="A577" s="2"/>
      <c r="B577" s="1"/>
      <c r="C577" s="1"/>
      <c r="D577" s="1"/>
      <c r="E577" s="1"/>
      <c r="F577" s="1"/>
      <c r="G577" s="1"/>
      <c r="H577" s="1"/>
      <c r="I577" s="61"/>
      <c r="J577" s="1"/>
      <c r="K577" s="1"/>
    </row>
    <row r="578" spans="1:11" ht="15.75" customHeight="1">
      <c r="A578" s="2"/>
      <c r="B578" s="1"/>
      <c r="C578" s="1"/>
      <c r="D578" s="1"/>
      <c r="E578" s="1"/>
      <c r="F578" s="1"/>
      <c r="G578" s="1"/>
      <c r="H578" s="1"/>
      <c r="I578" s="61"/>
      <c r="J578" s="1"/>
      <c r="K578" s="1"/>
    </row>
    <row r="579" spans="1:11" ht="15.75" customHeight="1">
      <c r="A579" s="2"/>
      <c r="B579" s="1"/>
      <c r="C579" s="1"/>
      <c r="D579" s="1"/>
      <c r="E579" s="1"/>
      <c r="F579" s="1"/>
      <c r="G579" s="1"/>
      <c r="H579" s="1"/>
      <c r="I579" s="61"/>
      <c r="J579" s="1"/>
      <c r="K579" s="1"/>
    </row>
    <row r="580" spans="1:11" ht="15.75" customHeight="1">
      <c r="A580" s="2"/>
      <c r="B580" s="1"/>
      <c r="C580" s="1"/>
      <c r="D580" s="1"/>
      <c r="E580" s="1"/>
      <c r="F580" s="1"/>
      <c r="G580" s="1"/>
      <c r="H580" s="1"/>
      <c r="I580" s="61"/>
      <c r="J580" s="1"/>
      <c r="K580" s="1"/>
    </row>
    <row r="581" spans="1:11" ht="15.75" customHeight="1">
      <c r="A581" s="2"/>
      <c r="B581" s="1"/>
      <c r="C581" s="1"/>
      <c r="D581" s="1"/>
      <c r="E581" s="1"/>
      <c r="F581" s="1"/>
      <c r="G581" s="1"/>
      <c r="H581" s="1"/>
      <c r="I581" s="61"/>
      <c r="J581" s="1"/>
      <c r="K581" s="1"/>
    </row>
    <row r="582" spans="1:11" ht="15.75" customHeight="1">
      <c r="A582" s="2"/>
      <c r="B582" s="1"/>
      <c r="C582" s="1"/>
      <c r="D582" s="1"/>
      <c r="E582" s="1"/>
      <c r="F582" s="1"/>
      <c r="G582" s="1"/>
      <c r="H582" s="1"/>
      <c r="I582" s="61"/>
      <c r="J582" s="1"/>
      <c r="K582" s="1"/>
    </row>
    <row r="583" spans="1:11" ht="15.75" customHeight="1">
      <c r="A583" s="2"/>
      <c r="B583" s="1"/>
      <c r="C583" s="1"/>
      <c r="D583" s="1"/>
      <c r="E583" s="1"/>
      <c r="F583" s="1"/>
      <c r="G583" s="1"/>
      <c r="H583" s="1"/>
      <c r="I583" s="61"/>
      <c r="J583" s="1"/>
      <c r="K583" s="1"/>
    </row>
    <row r="584" spans="1:11" ht="15.75" customHeight="1">
      <c r="A584" s="2"/>
      <c r="B584" s="1"/>
      <c r="C584" s="1"/>
      <c r="D584" s="1"/>
      <c r="E584" s="1"/>
      <c r="F584" s="1"/>
      <c r="G584" s="1"/>
      <c r="H584" s="1"/>
      <c r="I584" s="61"/>
      <c r="J584" s="1"/>
      <c r="K584" s="1"/>
    </row>
    <row r="585" spans="1:11" ht="15.75" customHeight="1">
      <c r="A585" s="2"/>
      <c r="B585" s="1"/>
      <c r="C585" s="1"/>
      <c r="D585" s="1"/>
      <c r="E585" s="1"/>
      <c r="F585" s="1"/>
      <c r="G585" s="1"/>
      <c r="H585" s="1"/>
      <c r="I585" s="61"/>
      <c r="J585" s="1"/>
      <c r="K585" s="1"/>
    </row>
    <row r="586" spans="1:11" ht="15.75" customHeight="1">
      <c r="A586" s="2"/>
      <c r="B586" s="1"/>
      <c r="C586" s="1"/>
      <c r="D586" s="1"/>
      <c r="E586" s="1"/>
      <c r="F586" s="1"/>
      <c r="G586" s="1"/>
      <c r="H586" s="1"/>
      <c r="I586" s="61"/>
      <c r="J586" s="1"/>
      <c r="K586" s="1"/>
    </row>
    <row r="587" spans="1:11" ht="15.75" customHeight="1">
      <c r="A587" s="2"/>
      <c r="B587" s="1"/>
      <c r="C587" s="1"/>
      <c r="D587" s="1"/>
      <c r="E587" s="1"/>
      <c r="F587" s="1"/>
      <c r="G587" s="1"/>
      <c r="H587" s="1"/>
      <c r="I587" s="61"/>
      <c r="J587" s="1"/>
      <c r="K587" s="1"/>
    </row>
    <row r="588" spans="1:11" ht="15.75" customHeight="1">
      <c r="A588" s="2"/>
      <c r="B588" s="1"/>
      <c r="C588" s="1"/>
      <c r="D588" s="1"/>
      <c r="E588" s="1"/>
      <c r="F588" s="1"/>
      <c r="G588" s="1"/>
      <c r="H588" s="1"/>
      <c r="I588" s="61"/>
      <c r="J588" s="1"/>
      <c r="K588" s="1"/>
    </row>
    <row r="589" spans="1:11" ht="15.75" customHeight="1">
      <c r="A589" s="2"/>
      <c r="B589" s="1"/>
      <c r="C589" s="1"/>
      <c r="D589" s="1"/>
      <c r="E589" s="1"/>
      <c r="F589" s="1"/>
      <c r="G589" s="1"/>
      <c r="H589" s="1"/>
      <c r="I589" s="61"/>
      <c r="J589" s="1"/>
      <c r="K589" s="1"/>
    </row>
    <row r="590" spans="1:11" ht="15.75" customHeight="1">
      <c r="A590" s="2"/>
      <c r="B590" s="1"/>
      <c r="C590" s="1"/>
      <c r="D590" s="1"/>
      <c r="E590" s="1"/>
      <c r="F590" s="1"/>
      <c r="G590" s="1"/>
      <c r="H590" s="1"/>
      <c r="I590" s="61"/>
      <c r="J590" s="1"/>
      <c r="K590" s="1"/>
    </row>
    <row r="591" spans="1:11" ht="15.75" customHeight="1">
      <c r="A591" s="2"/>
      <c r="B591" s="1"/>
      <c r="C591" s="1"/>
      <c r="D591" s="1"/>
      <c r="E591" s="1"/>
      <c r="F591" s="1"/>
      <c r="G591" s="1"/>
      <c r="H591" s="1"/>
      <c r="I591" s="61"/>
      <c r="J591" s="1"/>
      <c r="K591" s="1"/>
    </row>
    <row r="592" spans="1:11" ht="15.75" customHeight="1">
      <c r="A592" s="2"/>
      <c r="B592" s="1"/>
      <c r="C592" s="1"/>
      <c r="D592" s="1"/>
      <c r="E592" s="1"/>
      <c r="F592" s="1"/>
      <c r="G592" s="1"/>
      <c r="H592" s="1"/>
      <c r="I592" s="61"/>
      <c r="J592" s="1"/>
      <c r="K592" s="1"/>
    </row>
    <row r="593" spans="1:11" ht="15.75" customHeight="1">
      <c r="A593" s="2"/>
      <c r="B593" s="1"/>
      <c r="C593" s="1"/>
      <c r="D593" s="1"/>
      <c r="E593" s="1"/>
      <c r="F593" s="1"/>
      <c r="G593" s="1"/>
      <c r="H593" s="1"/>
      <c r="I593" s="61"/>
      <c r="J593" s="1"/>
      <c r="K593" s="1"/>
    </row>
    <row r="594" spans="1:11" ht="15.75" customHeight="1">
      <c r="A594" s="2"/>
      <c r="B594" s="1"/>
      <c r="C594" s="1"/>
      <c r="D594" s="1"/>
      <c r="E594" s="1"/>
      <c r="F594" s="1"/>
      <c r="G594" s="1"/>
      <c r="H594" s="1"/>
      <c r="I594" s="61"/>
      <c r="J594" s="1"/>
      <c r="K594" s="1"/>
    </row>
    <row r="595" spans="1:11" ht="15.75" customHeight="1">
      <c r="A595" s="2"/>
      <c r="B595" s="1"/>
      <c r="C595" s="1"/>
      <c r="D595" s="1"/>
      <c r="E595" s="1"/>
      <c r="F595" s="1"/>
      <c r="G595" s="1"/>
      <c r="H595" s="1"/>
      <c r="I595" s="61"/>
      <c r="J595" s="1"/>
      <c r="K595" s="1"/>
    </row>
    <row r="596" spans="1:11" ht="15.75" customHeight="1">
      <c r="A596" s="2"/>
      <c r="B596" s="1"/>
      <c r="C596" s="1"/>
      <c r="D596" s="1"/>
      <c r="E596" s="1"/>
      <c r="F596" s="1"/>
      <c r="G596" s="1"/>
      <c r="H596" s="1"/>
      <c r="I596" s="61"/>
      <c r="J596" s="1"/>
      <c r="K596" s="1"/>
    </row>
    <row r="597" spans="1:11" ht="15.75" customHeight="1">
      <c r="A597" s="2"/>
      <c r="B597" s="1"/>
      <c r="C597" s="1"/>
      <c r="D597" s="1"/>
      <c r="E597" s="1"/>
      <c r="F597" s="1"/>
      <c r="G597" s="1"/>
      <c r="H597" s="1"/>
      <c r="I597" s="61"/>
      <c r="J597" s="1"/>
      <c r="K597" s="1"/>
    </row>
    <row r="598" spans="1:11" ht="15.75" customHeight="1">
      <c r="A598" s="2"/>
      <c r="B598" s="1"/>
      <c r="C598" s="1"/>
      <c r="D598" s="1"/>
      <c r="E598" s="1"/>
      <c r="F598" s="1"/>
      <c r="G598" s="1"/>
      <c r="H598" s="1"/>
      <c r="I598" s="61"/>
      <c r="J598" s="1"/>
      <c r="K598" s="1"/>
    </row>
    <row r="599" spans="1:11" ht="15.75" customHeight="1">
      <c r="A599" s="2"/>
      <c r="B599" s="1"/>
      <c r="C599" s="1"/>
      <c r="D599" s="1"/>
      <c r="E599" s="1"/>
      <c r="F599" s="1"/>
      <c r="G599" s="1"/>
      <c r="H599" s="1"/>
      <c r="I599" s="61"/>
      <c r="J599" s="1"/>
      <c r="K599" s="1"/>
    </row>
    <row r="600" spans="1:11" ht="15.75" customHeight="1">
      <c r="A600" s="2"/>
      <c r="B600" s="1"/>
      <c r="C600" s="1"/>
      <c r="D600" s="1"/>
      <c r="E600" s="1"/>
      <c r="F600" s="1"/>
      <c r="G600" s="1"/>
      <c r="H600" s="1"/>
      <c r="I600" s="61"/>
      <c r="J600" s="1"/>
      <c r="K600" s="1"/>
    </row>
    <row r="601" spans="1:11" ht="15.75" customHeight="1">
      <c r="A601" s="2"/>
      <c r="B601" s="1"/>
      <c r="C601" s="1"/>
      <c r="D601" s="1"/>
      <c r="E601" s="1"/>
      <c r="F601" s="1"/>
      <c r="G601" s="1"/>
      <c r="H601" s="1"/>
      <c r="I601" s="61"/>
      <c r="J601" s="1"/>
      <c r="K601" s="1"/>
    </row>
    <row r="602" spans="1:11" ht="15.75" customHeight="1">
      <c r="A602" s="2"/>
      <c r="B602" s="1"/>
      <c r="C602" s="1"/>
      <c r="D602" s="1"/>
      <c r="E602" s="1"/>
      <c r="F602" s="1"/>
      <c r="G602" s="1"/>
      <c r="H602" s="1"/>
      <c r="I602" s="61"/>
      <c r="J602" s="1"/>
      <c r="K602" s="1"/>
    </row>
    <row r="603" spans="1:11" ht="15.75" customHeight="1">
      <c r="A603" s="2"/>
      <c r="B603" s="1"/>
      <c r="C603" s="1"/>
      <c r="D603" s="1"/>
      <c r="E603" s="1"/>
      <c r="F603" s="1"/>
      <c r="G603" s="1"/>
      <c r="H603" s="1"/>
      <c r="I603" s="61"/>
      <c r="J603" s="1"/>
      <c r="K603" s="1"/>
    </row>
    <row r="604" spans="1:11" ht="15.75" customHeight="1">
      <c r="A604" s="2"/>
      <c r="B604" s="1"/>
      <c r="C604" s="1"/>
      <c r="D604" s="1"/>
      <c r="E604" s="1"/>
      <c r="F604" s="1"/>
      <c r="G604" s="1"/>
      <c r="H604" s="1"/>
      <c r="I604" s="61"/>
      <c r="J604" s="1"/>
      <c r="K604" s="1"/>
    </row>
    <row r="605" spans="1:11" ht="15.75" customHeight="1">
      <c r="A605" s="2"/>
      <c r="B605" s="1"/>
      <c r="C605" s="1"/>
      <c r="D605" s="1"/>
      <c r="E605" s="1"/>
      <c r="F605" s="1"/>
      <c r="G605" s="1"/>
      <c r="H605" s="1"/>
      <c r="I605" s="61"/>
      <c r="J605" s="1"/>
      <c r="K605" s="1"/>
    </row>
    <row r="606" spans="1:11" ht="15.75" customHeight="1">
      <c r="A606" s="2"/>
      <c r="B606" s="1"/>
      <c r="C606" s="1"/>
      <c r="D606" s="1"/>
      <c r="E606" s="1"/>
      <c r="F606" s="1"/>
      <c r="G606" s="1"/>
      <c r="H606" s="1"/>
      <c r="I606" s="61"/>
      <c r="J606" s="1"/>
      <c r="K606" s="1"/>
    </row>
    <row r="607" spans="1:11" ht="15.75" customHeight="1">
      <c r="A607" s="2"/>
      <c r="B607" s="1"/>
      <c r="C607" s="1"/>
      <c r="D607" s="1"/>
      <c r="E607" s="1"/>
      <c r="F607" s="1"/>
      <c r="G607" s="1"/>
      <c r="H607" s="1"/>
      <c r="I607" s="61"/>
      <c r="J607" s="1"/>
      <c r="K607" s="1"/>
    </row>
    <row r="608" spans="1:11" ht="15.75" customHeight="1">
      <c r="A608" s="2"/>
      <c r="B608" s="1"/>
      <c r="C608" s="1"/>
      <c r="D608" s="1"/>
      <c r="E608" s="1"/>
      <c r="F608" s="1"/>
      <c r="G608" s="1"/>
      <c r="H608" s="1"/>
      <c r="I608" s="61"/>
      <c r="J608" s="1"/>
      <c r="K608" s="1"/>
    </row>
    <row r="609" spans="1:11" ht="15.75" customHeight="1">
      <c r="A609" s="2"/>
      <c r="B609" s="1"/>
      <c r="C609" s="1"/>
      <c r="D609" s="1"/>
      <c r="E609" s="1"/>
      <c r="F609" s="1"/>
      <c r="G609" s="1"/>
      <c r="H609" s="1"/>
      <c r="I609" s="61"/>
      <c r="J609" s="1"/>
      <c r="K609" s="1"/>
    </row>
    <row r="610" spans="1:11" ht="15.75" customHeight="1">
      <c r="A610" s="2"/>
      <c r="B610" s="1"/>
      <c r="C610" s="1"/>
      <c r="D610" s="1"/>
      <c r="E610" s="1"/>
      <c r="F610" s="1"/>
      <c r="G610" s="1"/>
      <c r="H610" s="1"/>
      <c r="I610" s="61"/>
      <c r="J610" s="1"/>
      <c r="K610" s="1"/>
    </row>
    <row r="611" spans="1:11" ht="15.75" customHeight="1">
      <c r="A611" s="2"/>
      <c r="B611" s="1"/>
      <c r="C611" s="1"/>
      <c r="D611" s="1"/>
      <c r="E611" s="1"/>
      <c r="F611" s="1"/>
      <c r="G611" s="1"/>
      <c r="H611" s="1"/>
      <c r="I611" s="61"/>
      <c r="J611" s="1"/>
      <c r="K611" s="1"/>
    </row>
    <row r="612" spans="1:11" ht="15.75" customHeight="1">
      <c r="A612" s="2"/>
      <c r="B612" s="1"/>
      <c r="C612" s="1"/>
      <c r="D612" s="1"/>
      <c r="E612" s="1"/>
      <c r="F612" s="1"/>
      <c r="G612" s="1"/>
      <c r="H612" s="1"/>
      <c r="I612" s="61"/>
      <c r="J612" s="1"/>
      <c r="K612" s="1"/>
    </row>
    <row r="613" spans="1:11" ht="15.75" customHeight="1">
      <c r="A613" s="2"/>
      <c r="B613" s="1"/>
      <c r="C613" s="1"/>
      <c r="D613" s="1"/>
      <c r="E613" s="1"/>
      <c r="F613" s="1"/>
      <c r="G613" s="1"/>
      <c r="H613" s="1"/>
      <c r="I613" s="61"/>
      <c r="J613" s="1"/>
      <c r="K613" s="1"/>
    </row>
    <row r="614" spans="1:11" ht="15.75" customHeight="1">
      <c r="A614" s="2"/>
      <c r="B614" s="1"/>
      <c r="C614" s="1"/>
      <c r="D614" s="1"/>
      <c r="E614" s="1"/>
      <c r="F614" s="1"/>
      <c r="G614" s="1"/>
      <c r="H614" s="1"/>
      <c r="I614" s="61"/>
      <c r="J614" s="1"/>
      <c r="K614" s="1"/>
    </row>
    <row r="615" spans="1:11" ht="15.75" customHeight="1">
      <c r="A615" s="2"/>
      <c r="B615" s="1"/>
      <c r="C615" s="1"/>
      <c r="D615" s="1"/>
      <c r="E615" s="1"/>
      <c r="F615" s="1"/>
      <c r="G615" s="1"/>
      <c r="H615" s="1"/>
      <c r="I615" s="61"/>
      <c r="J615" s="1"/>
      <c r="K615" s="1"/>
    </row>
    <row r="616" spans="1:11" ht="15.75" customHeight="1">
      <c r="A616" s="2"/>
      <c r="B616" s="1"/>
      <c r="C616" s="1"/>
      <c r="D616" s="1"/>
      <c r="E616" s="1"/>
      <c r="F616" s="1"/>
      <c r="G616" s="1"/>
      <c r="H616" s="1"/>
      <c r="I616" s="61"/>
      <c r="J616" s="1"/>
      <c r="K616" s="1"/>
    </row>
    <row r="617" spans="1:11" ht="15.75" customHeight="1">
      <c r="A617" s="2"/>
      <c r="B617" s="1"/>
      <c r="C617" s="1"/>
      <c r="D617" s="1"/>
      <c r="E617" s="1"/>
      <c r="F617" s="1"/>
      <c r="G617" s="1"/>
      <c r="H617" s="1"/>
      <c r="I617" s="61"/>
      <c r="J617" s="1"/>
      <c r="K617" s="1"/>
    </row>
    <row r="618" spans="1:11" ht="15.75" customHeight="1">
      <c r="A618" s="2"/>
      <c r="B618" s="1"/>
      <c r="C618" s="1"/>
      <c r="D618" s="1"/>
      <c r="E618" s="1"/>
      <c r="F618" s="1"/>
      <c r="G618" s="1"/>
      <c r="H618" s="1"/>
      <c r="I618" s="61"/>
      <c r="J618" s="1"/>
      <c r="K618" s="1"/>
    </row>
    <row r="619" spans="1:11" ht="15.75" customHeight="1">
      <c r="A619" s="2"/>
      <c r="B619" s="1"/>
      <c r="C619" s="1"/>
      <c r="D619" s="1"/>
      <c r="E619" s="1"/>
      <c r="F619" s="1"/>
      <c r="G619" s="1"/>
      <c r="H619" s="1"/>
      <c r="I619" s="61"/>
      <c r="J619" s="1"/>
      <c r="K619" s="1"/>
    </row>
    <row r="620" spans="1:11" ht="15.75" customHeight="1">
      <c r="A620" s="2"/>
      <c r="B620" s="1"/>
      <c r="C620" s="1"/>
      <c r="D620" s="1"/>
      <c r="E620" s="1"/>
      <c r="F620" s="1"/>
      <c r="G620" s="1"/>
      <c r="H620" s="1"/>
      <c r="I620" s="61"/>
      <c r="J620" s="1"/>
      <c r="K620" s="1"/>
    </row>
    <row r="621" spans="1:11" ht="15.75" customHeight="1">
      <c r="A621" s="2"/>
      <c r="B621" s="1"/>
      <c r="C621" s="1"/>
      <c r="D621" s="1"/>
      <c r="E621" s="1"/>
      <c r="F621" s="1"/>
      <c r="G621" s="1"/>
      <c r="H621" s="1"/>
      <c r="I621" s="61"/>
      <c r="J621" s="1"/>
      <c r="K621" s="1"/>
    </row>
    <row r="622" spans="1:11" ht="15.75" customHeight="1">
      <c r="A622" s="2"/>
      <c r="B622" s="1"/>
      <c r="C622" s="1"/>
      <c r="D622" s="1"/>
      <c r="E622" s="1"/>
      <c r="F622" s="1"/>
      <c r="G622" s="1"/>
      <c r="H622" s="1"/>
      <c r="I622" s="61"/>
      <c r="J622" s="1"/>
      <c r="K622" s="1"/>
    </row>
    <row r="623" spans="1:11" ht="15.75" customHeight="1">
      <c r="A623" s="2"/>
      <c r="B623" s="1"/>
      <c r="C623" s="1"/>
      <c r="D623" s="1"/>
      <c r="E623" s="1"/>
      <c r="F623" s="1"/>
      <c r="G623" s="1"/>
      <c r="H623" s="1"/>
      <c r="I623" s="61"/>
      <c r="J623" s="1"/>
      <c r="K623" s="1"/>
    </row>
    <row r="624" spans="1:11" ht="15.75" customHeight="1">
      <c r="A624" s="2"/>
      <c r="B624" s="1"/>
      <c r="C624" s="1"/>
      <c r="D624" s="1"/>
      <c r="E624" s="1"/>
      <c r="F624" s="1"/>
      <c r="G624" s="1"/>
      <c r="H624" s="1"/>
      <c r="I624" s="61"/>
      <c r="J624" s="1"/>
      <c r="K624" s="1"/>
    </row>
    <row r="625" spans="1:11" ht="15.75" customHeight="1">
      <c r="A625" s="2"/>
      <c r="B625" s="1"/>
      <c r="C625" s="1"/>
      <c r="D625" s="1"/>
      <c r="E625" s="1"/>
      <c r="F625" s="1"/>
      <c r="G625" s="1"/>
      <c r="H625" s="1"/>
      <c r="I625" s="61"/>
      <c r="J625" s="1"/>
      <c r="K625" s="1"/>
    </row>
    <row r="626" spans="1:11" ht="15.75" customHeight="1">
      <c r="A626" s="2"/>
      <c r="B626" s="1"/>
      <c r="C626" s="1"/>
      <c r="D626" s="1"/>
      <c r="E626" s="1"/>
      <c r="F626" s="1"/>
      <c r="G626" s="1"/>
      <c r="H626" s="1"/>
      <c r="I626" s="61"/>
      <c r="J626" s="1"/>
      <c r="K626" s="1"/>
    </row>
    <row r="627" spans="1:11" ht="15.75" customHeight="1">
      <c r="A627" s="2"/>
      <c r="B627" s="1"/>
      <c r="C627" s="1"/>
      <c r="D627" s="1"/>
      <c r="E627" s="1"/>
      <c r="F627" s="1"/>
      <c r="G627" s="1"/>
      <c r="H627" s="1"/>
      <c r="I627" s="61"/>
      <c r="J627" s="1"/>
      <c r="K627" s="1"/>
    </row>
    <row r="628" spans="1:11" ht="15.75" customHeight="1">
      <c r="A628" s="2"/>
      <c r="B628" s="1"/>
      <c r="C628" s="1"/>
      <c r="D628" s="1"/>
      <c r="E628" s="1"/>
      <c r="F628" s="1"/>
      <c r="G628" s="1"/>
      <c r="H628" s="1"/>
      <c r="I628" s="61"/>
      <c r="J628" s="1"/>
      <c r="K628" s="1"/>
    </row>
    <row r="629" spans="1:11" ht="15.75" customHeight="1">
      <c r="A629" s="2"/>
      <c r="B629" s="1"/>
      <c r="C629" s="1"/>
      <c r="D629" s="1"/>
      <c r="E629" s="1"/>
      <c r="F629" s="1"/>
      <c r="G629" s="1"/>
      <c r="H629" s="1"/>
      <c r="I629" s="61"/>
      <c r="J629" s="1"/>
      <c r="K629" s="1"/>
    </row>
    <row r="630" spans="1:11" ht="15.75" customHeight="1">
      <c r="A630" s="2"/>
      <c r="B630" s="1"/>
      <c r="C630" s="1"/>
      <c r="D630" s="1"/>
      <c r="E630" s="1"/>
      <c r="F630" s="1"/>
      <c r="G630" s="1"/>
      <c r="H630" s="1"/>
      <c r="I630" s="61"/>
      <c r="J630" s="1"/>
      <c r="K630" s="1"/>
    </row>
    <row r="631" spans="1:11" ht="15.75" customHeight="1">
      <c r="A631" s="2"/>
      <c r="B631" s="1"/>
      <c r="C631" s="1"/>
      <c r="D631" s="1"/>
      <c r="E631" s="1"/>
      <c r="F631" s="1"/>
      <c r="G631" s="1"/>
      <c r="H631" s="1"/>
      <c r="I631" s="61"/>
      <c r="J631" s="1"/>
      <c r="K631" s="1"/>
    </row>
    <row r="632" spans="1:11" ht="15.75" customHeight="1">
      <c r="A632" s="2"/>
      <c r="B632" s="1"/>
      <c r="C632" s="1"/>
      <c r="D632" s="1"/>
      <c r="E632" s="1"/>
      <c r="F632" s="1"/>
      <c r="G632" s="1"/>
      <c r="H632" s="1"/>
      <c r="I632" s="61"/>
      <c r="J632" s="1"/>
      <c r="K632" s="1"/>
    </row>
    <row r="633" spans="1:11" ht="15.75" customHeight="1">
      <c r="A633" s="2"/>
      <c r="B633" s="1"/>
      <c r="C633" s="1"/>
      <c r="D633" s="1"/>
      <c r="E633" s="1"/>
      <c r="F633" s="1"/>
      <c r="G633" s="1"/>
      <c r="H633" s="1"/>
      <c r="I633" s="61"/>
      <c r="J633" s="1"/>
      <c r="K633" s="1"/>
    </row>
    <row r="634" spans="1:11" ht="15.75" customHeight="1">
      <c r="A634" s="2"/>
      <c r="B634" s="1"/>
      <c r="C634" s="1"/>
      <c r="D634" s="1"/>
      <c r="E634" s="1"/>
      <c r="F634" s="1"/>
      <c r="G634" s="1"/>
      <c r="H634" s="1"/>
      <c r="I634" s="61"/>
      <c r="J634" s="1"/>
      <c r="K634" s="1"/>
    </row>
    <row r="635" spans="1:11" ht="15.75" customHeight="1">
      <c r="A635" s="2"/>
      <c r="B635" s="1"/>
      <c r="C635" s="1"/>
      <c r="D635" s="1"/>
      <c r="E635" s="1"/>
      <c r="F635" s="1"/>
      <c r="G635" s="1"/>
      <c r="H635" s="1"/>
      <c r="I635" s="61"/>
      <c r="J635" s="1"/>
      <c r="K635" s="1"/>
    </row>
    <row r="636" spans="1:11" ht="15.75" customHeight="1">
      <c r="A636" s="2"/>
      <c r="B636" s="1"/>
      <c r="C636" s="1"/>
      <c r="D636" s="1"/>
      <c r="E636" s="1"/>
      <c r="F636" s="1"/>
      <c r="G636" s="1"/>
      <c r="H636" s="1"/>
      <c r="I636" s="61"/>
      <c r="J636" s="1"/>
      <c r="K636" s="1"/>
    </row>
    <row r="637" spans="1:11" ht="15.75" customHeight="1">
      <c r="A637" s="2"/>
      <c r="B637" s="1"/>
      <c r="C637" s="1"/>
      <c r="D637" s="1"/>
      <c r="E637" s="1"/>
      <c r="F637" s="1"/>
      <c r="G637" s="1"/>
      <c r="H637" s="1"/>
      <c r="I637" s="61"/>
      <c r="J637" s="1"/>
      <c r="K637" s="1"/>
    </row>
    <row r="638" spans="1:11" ht="15.75" customHeight="1">
      <c r="A638" s="2"/>
      <c r="B638" s="1"/>
      <c r="C638" s="1"/>
      <c r="D638" s="1"/>
      <c r="E638" s="1"/>
      <c r="F638" s="1"/>
      <c r="G638" s="1"/>
      <c r="H638" s="1"/>
      <c r="I638" s="61"/>
      <c r="J638" s="1"/>
      <c r="K638" s="1"/>
    </row>
    <row r="639" spans="1:11" ht="15.75" customHeight="1">
      <c r="A639" s="2"/>
      <c r="B639" s="1"/>
      <c r="C639" s="1"/>
      <c r="D639" s="1"/>
      <c r="E639" s="1"/>
      <c r="F639" s="1"/>
      <c r="G639" s="1"/>
      <c r="H639" s="1"/>
      <c r="I639" s="61"/>
      <c r="J639" s="1"/>
      <c r="K639" s="1"/>
    </row>
    <row r="640" spans="1:11" ht="15.75" customHeight="1">
      <c r="A640" s="2"/>
      <c r="B640" s="1"/>
      <c r="C640" s="1"/>
      <c r="D640" s="1"/>
      <c r="E640" s="1"/>
      <c r="F640" s="1"/>
      <c r="G640" s="1"/>
      <c r="H640" s="1"/>
      <c r="I640" s="61"/>
      <c r="J640" s="1"/>
      <c r="K640" s="1"/>
    </row>
    <row r="641" spans="1:11" ht="15.75" customHeight="1">
      <c r="A641" s="2"/>
      <c r="B641" s="1"/>
      <c r="C641" s="1"/>
      <c r="D641" s="1"/>
      <c r="E641" s="1"/>
      <c r="F641" s="1"/>
      <c r="G641" s="1"/>
      <c r="H641" s="1"/>
      <c r="I641" s="61"/>
      <c r="J641" s="1"/>
      <c r="K641" s="1"/>
    </row>
    <row r="642" spans="1:11" ht="15.75" customHeight="1">
      <c r="A642" s="2"/>
      <c r="B642" s="1"/>
      <c r="C642" s="1"/>
      <c r="D642" s="1"/>
      <c r="E642" s="1"/>
      <c r="F642" s="1"/>
      <c r="G642" s="1"/>
      <c r="H642" s="1"/>
      <c r="I642" s="61"/>
      <c r="J642" s="1"/>
      <c r="K642" s="1"/>
    </row>
    <row r="643" spans="1:11" ht="15.75" customHeight="1">
      <c r="A643" s="2"/>
      <c r="B643" s="1"/>
      <c r="C643" s="1"/>
      <c r="D643" s="1"/>
      <c r="E643" s="1"/>
      <c r="F643" s="1"/>
      <c r="G643" s="1"/>
      <c r="H643" s="1"/>
      <c r="I643" s="61"/>
      <c r="J643" s="1"/>
      <c r="K643" s="1"/>
    </row>
    <row r="644" spans="1:11" ht="15.75" customHeight="1">
      <c r="A644" s="2"/>
      <c r="B644" s="1"/>
      <c r="C644" s="1"/>
      <c r="D644" s="1"/>
      <c r="E644" s="1"/>
      <c r="F644" s="1"/>
      <c r="G644" s="1"/>
      <c r="H644" s="1"/>
      <c r="I644" s="61"/>
      <c r="J644" s="1"/>
      <c r="K644" s="1"/>
    </row>
    <row r="645" spans="1:11" ht="15.75" customHeight="1">
      <c r="A645" s="2"/>
      <c r="B645" s="1"/>
      <c r="C645" s="1"/>
      <c r="D645" s="1"/>
      <c r="E645" s="1"/>
      <c r="F645" s="1"/>
      <c r="G645" s="1"/>
      <c r="H645" s="1"/>
      <c r="I645" s="61"/>
      <c r="J645" s="1"/>
      <c r="K645" s="1"/>
    </row>
    <row r="646" spans="1:11" ht="15.75" customHeight="1">
      <c r="A646" s="2"/>
      <c r="B646" s="1"/>
      <c r="C646" s="1"/>
      <c r="D646" s="1"/>
      <c r="E646" s="1"/>
      <c r="F646" s="1"/>
      <c r="G646" s="1"/>
      <c r="H646" s="1"/>
      <c r="I646" s="61"/>
      <c r="J646" s="1"/>
      <c r="K646" s="1"/>
    </row>
    <row r="647" spans="1:11" ht="15.75" customHeight="1">
      <c r="A647" s="2"/>
      <c r="B647" s="1"/>
      <c r="C647" s="1"/>
      <c r="D647" s="1"/>
      <c r="E647" s="1"/>
      <c r="F647" s="1"/>
      <c r="G647" s="1"/>
      <c r="H647" s="1"/>
      <c r="I647" s="61"/>
      <c r="J647" s="1"/>
      <c r="K647" s="1"/>
    </row>
    <row r="648" spans="1:11" ht="15.75" customHeight="1">
      <c r="A648" s="2"/>
      <c r="B648" s="1"/>
      <c r="C648" s="1"/>
      <c r="D648" s="1"/>
      <c r="E648" s="1"/>
      <c r="F648" s="1"/>
      <c r="G648" s="1"/>
      <c r="H648" s="1"/>
      <c r="I648" s="61"/>
      <c r="J648" s="1"/>
      <c r="K648" s="1"/>
    </row>
    <row r="649" spans="1:11" ht="15.75" customHeight="1">
      <c r="A649" s="2"/>
      <c r="B649" s="1"/>
      <c r="C649" s="1"/>
      <c r="D649" s="1"/>
      <c r="E649" s="1"/>
      <c r="F649" s="1"/>
      <c r="G649" s="1"/>
      <c r="H649" s="1"/>
      <c r="I649" s="61"/>
      <c r="J649" s="1"/>
      <c r="K649" s="1"/>
    </row>
    <row r="650" spans="1:11" ht="15.75" customHeight="1">
      <c r="A650" s="2"/>
      <c r="B650" s="1"/>
      <c r="C650" s="1"/>
      <c r="D650" s="1"/>
      <c r="E650" s="1"/>
      <c r="F650" s="1"/>
      <c r="G650" s="1"/>
      <c r="H650" s="1"/>
      <c r="I650" s="61"/>
      <c r="J650" s="1"/>
      <c r="K650" s="1"/>
    </row>
    <row r="651" spans="1:11" ht="15.75" customHeight="1">
      <c r="A651" s="2"/>
      <c r="B651" s="1"/>
      <c r="C651" s="1"/>
      <c r="D651" s="1"/>
      <c r="E651" s="1"/>
      <c r="F651" s="1"/>
      <c r="G651" s="1"/>
      <c r="H651" s="1"/>
      <c r="I651" s="61"/>
      <c r="J651" s="1"/>
      <c r="K651" s="1"/>
    </row>
    <row r="652" spans="1:11" ht="15.75" customHeight="1">
      <c r="A652" s="2"/>
      <c r="B652" s="1"/>
      <c r="C652" s="1"/>
      <c r="D652" s="1"/>
      <c r="E652" s="1"/>
      <c r="F652" s="1"/>
      <c r="G652" s="1"/>
      <c r="H652" s="1"/>
      <c r="I652" s="61"/>
      <c r="J652" s="1"/>
      <c r="K652" s="1"/>
    </row>
    <row r="653" spans="1:11" ht="15.75" customHeight="1">
      <c r="A653" s="2"/>
      <c r="B653" s="1"/>
      <c r="C653" s="1"/>
      <c r="D653" s="1"/>
      <c r="E653" s="1"/>
      <c r="F653" s="1"/>
      <c r="G653" s="1"/>
      <c r="H653" s="1"/>
      <c r="I653" s="61"/>
      <c r="J653" s="1"/>
      <c r="K653" s="1"/>
    </row>
    <row r="654" spans="1:11" ht="15.75" customHeight="1">
      <c r="A654" s="2"/>
      <c r="B654" s="1"/>
      <c r="C654" s="1"/>
      <c r="D654" s="1"/>
      <c r="E654" s="1"/>
      <c r="F654" s="1"/>
      <c r="G654" s="1"/>
      <c r="H654" s="1"/>
      <c r="I654" s="61"/>
      <c r="J654" s="1"/>
      <c r="K654" s="1"/>
    </row>
    <row r="655" spans="1:11" ht="15.75" customHeight="1">
      <c r="A655" s="2"/>
      <c r="B655" s="1"/>
      <c r="C655" s="1"/>
      <c r="D655" s="1"/>
      <c r="E655" s="1"/>
      <c r="F655" s="1"/>
      <c r="G655" s="1"/>
      <c r="H655" s="1"/>
      <c r="I655" s="61"/>
      <c r="J655" s="1"/>
      <c r="K655" s="1"/>
    </row>
    <row r="656" spans="1:11" ht="15.75" customHeight="1">
      <c r="A656" s="2"/>
      <c r="B656" s="1"/>
      <c r="C656" s="1"/>
      <c r="D656" s="1"/>
      <c r="E656" s="1"/>
      <c r="F656" s="1"/>
      <c r="G656" s="1"/>
      <c r="H656" s="1"/>
      <c r="I656" s="61"/>
      <c r="J656" s="1"/>
      <c r="K656" s="1"/>
    </row>
    <row r="657" spans="1:11" ht="15.75" customHeight="1">
      <c r="A657" s="2"/>
      <c r="B657" s="1"/>
      <c r="C657" s="1"/>
      <c r="D657" s="1"/>
      <c r="E657" s="1"/>
      <c r="F657" s="1"/>
      <c r="G657" s="1"/>
      <c r="H657" s="1"/>
      <c r="I657" s="61"/>
      <c r="J657" s="1"/>
      <c r="K657" s="1"/>
    </row>
    <row r="658" spans="1:11" ht="15.75" customHeight="1">
      <c r="A658" s="2"/>
      <c r="B658" s="1"/>
      <c r="C658" s="1"/>
      <c r="D658" s="1"/>
      <c r="E658" s="1"/>
      <c r="F658" s="1"/>
      <c r="G658" s="1"/>
      <c r="H658" s="1"/>
      <c r="I658" s="61"/>
      <c r="J658" s="1"/>
      <c r="K658" s="1"/>
    </row>
    <row r="659" spans="1:11" ht="15.75" customHeight="1">
      <c r="A659" s="2"/>
      <c r="B659" s="1"/>
      <c r="C659" s="1"/>
      <c r="D659" s="1"/>
      <c r="E659" s="1"/>
      <c r="F659" s="1"/>
      <c r="G659" s="1"/>
      <c r="H659" s="1"/>
      <c r="I659" s="61"/>
      <c r="J659" s="1"/>
      <c r="K659" s="1"/>
    </row>
    <row r="660" spans="1:11" ht="15.75" customHeight="1">
      <c r="A660" s="2"/>
      <c r="B660" s="1"/>
      <c r="C660" s="1"/>
      <c r="D660" s="1"/>
      <c r="E660" s="1"/>
      <c r="F660" s="1"/>
      <c r="G660" s="1"/>
      <c r="H660" s="1"/>
      <c r="I660" s="61"/>
      <c r="J660" s="1"/>
      <c r="K660" s="1"/>
    </row>
    <row r="661" spans="1:11" ht="15.75" customHeight="1">
      <c r="A661" s="2"/>
      <c r="B661" s="1"/>
      <c r="C661" s="1"/>
      <c r="D661" s="1"/>
      <c r="E661" s="1"/>
      <c r="F661" s="1"/>
      <c r="G661" s="1"/>
      <c r="H661" s="1"/>
      <c r="I661" s="61"/>
      <c r="J661" s="1"/>
      <c r="K661" s="1"/>
    </row>
    <row r="662" spans="1:11" ht="15.75" customHeight="1">
      <c r="A662" s="2"/>
      <c r="B662" s="1"/>
      <c r="C662" s="1"/>
      <c r="D662" s="1"/>
      <c r="E662" s="1"/>
      <c r="F662" s="1"/>
      <c r="G662" s="1"/>
      <c r="H662" s="1"/>
      <c r="I662" s="61"/>
      <c r="J662" s="1"/>
      <c r="K662" s="1"/>
    </row>
    <row r="663" spans="1:11" ht="15.75" customHeight="1">
      <c r="A663" s="2"/>
      <c r="B663" s="1"/>
      <c r="C663" s="1"/>
      <c r="D663" s="1"/>
      <c r="E663" s="1"/>
      <c r="F663" s="1"/>
      <c r="G663" s="1"/>
      <c r="H663" s="1"/>
      <c r="I663" s="61"/>
      <c r="J663" s="1"/>
      <c r="K663" s="1"/>
    </row>
    <row r="664" spans="1:11" ht="15.75" customHeight="1">
      <c r="A664" s="2"/>
      <c r="B664" s="1"/>
      <c r="C664" s="1"/>
      <c r="D664" s="1"/>
      <c r="E664" s="1"/>
      <c r="F664" s="1"/>
      <c r="G664" s="1"/>
      <c r="H664" s="1"/>
      <c r="I664" s="61"/>
      <c r="J664" s="1"/>
      <c r="K664" s="1"/>
    </row>
    <row r="665" spans="1:11" ht="15.75" customHeight="1">
      <c r="A665" s="2"/>
      <c r="B665" s="1"/>
      <c r="C665" s="1"/>
      <c r="D665" s="1"/>
      <c r="E665" s="1"/>
      <c r="F665" s="1"/>
      <c r="G665" s="1"/>
      <c r="H665" s="1"/>
      <c r="I665" s="61"/>
      <c r="J665" s="1"/>
      <c r="K665" s="1"/>
    </row>
    <row r="666" spans="1:11" ht="15.75" customHeight="1">
      <c r="A666" s="2"/>
      <c r="B666" s="1"/>
      <c r="C666" s="1"/>
      <c r="D666" s="1"/>
      <c r="E666" s="1"/>
      <c r="F666" s="1"/>
      <c r="G666" s="1"/>
      <c r="H666" s="1"/>
      <c r="I666" s="61"/>
      <c r="J666" s="1"/>
      <c r="K666" s="1"/>
    </row>
    <row r="667" spans="1:11" ht="15.75" customHeight="1">
      <c r="A667" s="2"/>
      <c r="B667" s="1"/>
      <c r="C667" s="1"/>
      <c r="D667" s="1"/>
      <c r="E667" s="1"/>
      <c r="F667" s="1"/>
      <c r="G667" s="1"/>
      <c r="H667" s="1"/>
      <c r="I667" s="61"/>
      <c r="J667" s="1"/>
      <c r="K667" s="1"/>
    </row>
    <row r="668" spans="1:11" ht="15.75" customHeight="1">
      <c r="A668" s="2"/>
      <c r="B668" s="1"/>
      <c r="C668" s="1"/>
      <c r="D668" s="1"/>
      <c r="E668" s="1"/>
      <c r="F668" s="1"/>
      <c r="G668" s="1"/>
      <c r="H668" s="1"/>
      <c r="I668" s="61"/>
      <c r="J668" s="1"/>
      <c r="K668" s="1"/>
    </row>
    <row r="669" spans="1:11" ht="15.75" customHeight="1">
      <c r="A669" s="2"/>
      <c r="B669" s="1"/>
      <c r="C669" s="1"/>
      <c r="D669" s="1"/>
      <c r="E669" s="1"/>
      <c r="F669" s="1"/>
      <c r="G669" s="1"/>
      <c r="H669" s="1"/>
      <c r="I669" s="61"/>
      <c r="J669" s="1"/>
      <c r="K669" s="1"/>
    </row>
    <row r="670" spans="1:11" ht="15.75" customHeight="1">
      <c r="A670" s="2"/>
      <c r="B670" s="1"/>
      <c r="C670" s="1"/>
      <c r="D670" s="1"/>
      <c r="E670" s="1"/>
      <c r="F670" s="1"/>
      <c r="G670" s="1"/>
      <c r="H670" s="1"/>
      <c r="I670" s="61"/>
      <c r="J670" s="1"/>
      <c r="K670" s="1"/>
    </row>
    <row r="671" spans="1:11" ht="15.75" customHeight="1">
      <c r="A671" s="2"/>
      <c r="B671" s="1"/>
      <c r="C671" s="1"/>
      <c r="D671" s="1"/>
      <c r="E671" s="1"/>
      <c r="F671" s="1"/>
      <c r="G671" s="1"/>
      <c r="H671" s="1"/>
      <c r="I671" s="61"/>
      <c r="J671" s="1"/>
      <c r="K671" s="1"/>
    </row>
    <row r="672" spans="1:11" ht="15.75" customHeight="1">
      <c r="A672" s="2"/>
      <c r="B672" s="1"/>
      <c r="C672" s="1"/>
      <c r="D672" s="1"/>
      <c r="E672" s="1"/>
      <c r="F672" s="1"/>
      <c r="G672" s="1"/>
      <c r="H672" s="1"/>
      <c r="I672" s="61"/>
      <c r="J672" s="1"/>
      <c r="K672" s="1"/>
    </row>
    <row r="673" spans="1:11" ht="15.75" customHeight="1">
      <c r="A673" s="2"/>
      <c r="B673" s="1"/>
      <c r="C673" s="1"/>
      <c r="D673" s="1"/>
      <c r="E673" s="1"/>
      <c r="F673" s="1"/>
      <c r="G673" s="1"/>
      <c r="H673" s="1"/>
      <c r="I673" s="61"/>
      <c r="J673" s="1"/>
      <c r="K673" s="1"/>
    </row>
    <row r="674" spans="1:11" ht="15.75" customHeight="1">
      <c r="A674" s="2"/>
      <c r="B674" s="1"/>
      <c r="C674" s="1"/>
      <c r="D674" s="1"/>
      <c r="E674" s="1"/>
      <c r="F674" s="1"/>
      <c r="G674" s="1"/>
      <c r="H674" s="1"/>
      <c r="I674" s="61"/>
      <c r="J674" s="1"/>
      <c r="K674" s="1"/>
    </row>
    <row r="675" spans="1:11" ht="15.75" customHeight="1">
      <c r="A675" s="2"/>
      <c r="B675" s="1"/>
      <c r="C675" s="1"/>
      <c r="D675" s="1"/>
      <c r="E675" s="1"/>
      <c r="F675" s="1"/>
      <c r="G675" s="1"/>
      <c r="H675" s="1"/>
      <c r="I675" s="61"/>
      <c r="J675" s="1"/>
      <c r="K675" s="1"/>
    </row>
    <row r="676" spans="1:11" ht="15.75" customHeight="1">
      <c r="A676" s="2"/>
      <c r="B676" s="1"/>
      <c r="C676" s="1"/>
      <c r="D676" s="1"/>
      <c r="E676" s="1"/>
      <c r="F676" s="1"/>
      <c r="G676" s="1"/>
      <c r="H676" s="1"/>
      <c r="I676" s="61"/>
      <c r="J676" s="1"/>
      <c r="K676" s="1"/>
    </row>
    <row r="677" spans="1:11" ht="15.75" customHeight="1">
      <c r="A677" s="2"/>
      <c r="B677" s="1"/>
      <c r="C677" s="1"/>
      <c r="D677" s="1"/>
      <c r="E677" s="1"/>
      <c r="F677" s="1"/>
      <c r="G677" s="1"/>
      <c r="H677" s="1"/>
      <c r="I677" s="61"/>
      <c r="J677" s="1"/>
      <c r="K677" s="1"/>
    </row>
    <row r="678" spans="1:11" ht="15.75" customHeight="1">
      <c r="A678" s="2"/>
      <c r="B678" s="1"/>
      <c r="C678" s="1"/>
      <c r="D678" s="1"/>
      <c r="E678" s="1"/>
      <c r="F678" s="1"/>
      <c r="G678" s="1"/>
      <c r="H678" s="1"/>
      <c r="I678" s="61"/>
      <c r="J678" s="1"/>
      <c r="K678" s="1"/>
    </row>
    <row r="679" spans="1:11" ht="15.75" customHeight="1">
      <c r="A679" s="2"/>
      <c r="B679" s="1"/>
      <c r="C679" s="1"/>
      <c r="D679" s="1"/>
      <c r="E679" s="1"/>
      <c r="F679" s="1"/>
      <c r="G679" s="1"/>
      <c r="H679" s="1"/>
      <c r="I679" s="61"/>
      <c r="J679" s="1"/>
      <c r="K679" s="1"/>
    </row>
    <row r="680" spans="1:11" ht="15.75" customHeight="1">
      <c r="A680" s="2"/>
      <c r="B680" s="1"/>
      <c r="C680" s="1"/>
      <c r="D680" s="1"/>
      <c r="E680" s="1"/>
      <c r="F680" s="1"/>
      <c r="G680" s="1"/>
      <c r="H680" s="1"/>
      <c r="I680" s="61"/>
      <c r="J680" s="1"/>
      <c r="K680" s="1"/>
    </row>
    <row r="681" spans="1:11" ht="15.75" customHeight="1">
      <c r="A681" s="2"/>
      <c r="B681" s="1"/>
      <c r="C681" s="1"/>
      <c r="D681" s="1"/>
      <c r="E681" s="1"/>
      <c r="F681" s="1"/>
      <c r="G681" s="1"/>
      <c r="H681" s="1"/>
      <c r="I681" s="61"/>
      <c r="J681" s="1"/>
      <c r="K681" s="1"/>
    </row>
    <row r="682" spans="1:11" ht="15.75" customHeight="1">
      <c r="A682" s="2"/>
      <c r="B682" s="1"/>
      <c r="C682" s="1"/>
      <c r="D682" s="1"/>
      <c r="E682" s="1"/>
      <c r="F682" s="1"/>
      <c r="G682" s="1"/>
      <c r="H682" s="1"/>
      <c r="I682" s="61"/>
      <c r="J682" s="1"/>
      <c r="K682" s="1"/>
    </row>
    <row r="683" spans="1:11" ht="15.75" customHeight="1">
      <c r="A683" s="2"/>
      <c r="B683" s="1"/>
      <c r="C683" s="1"/>
      <c r="D683" s="1"/>
      <c r="E683" s="1"/>
      <c r="F683" s="1"/>
      <c r="G683" s="1"/>
      <c r="H683" s="1"/>
      <c r="I683" s="61"/>
      <c r="J683" s="1"/>
      <c r="K683" s="1"/>
    </row>
    <row r="684" spans="1:11" ht="15.75" customHeight="1">
      <c r="A684" s="2"/>
      <c r="B684" s="1"/>
      <c r="C684" s="1"/>
      <c r="D684" s="1"/>
      <c r="E684" s="1"/>
      <c r="F684" s="1"/>
      <c r="G684" s="1"/>
      <c r="H684" s="1"/>
      <c r="I684" s="61"/>
      <c r="J684" s="1"/>
      <c r="K684" s="1"/>
    </row>
    <row r="685" spans="1:11" ht="15.75" customHeight="1">
      <c r="A685" s="2"/>
      <c r="B685" s="1"/>
      <c r="C685" s="1"/>
      <c r="D685" s="1"/>
      <c r="E685" s="1"/>
      <c r="F685" s="1"/>
      <c r="G685" s="1"/>
      <c r="H685" s="1"/>
      <c r="I685" s="61"/>
      <c r="J685" s="1"/>
      <c r="K685" s="1"/>
    </row>
    <row r="686" spans="1:11" ht="15.75" customHeight="1">
      <c r="A686" s="2"/>
      <c r="B686" s="1"/>
      <c r="C686" s="1"/>
      <c r="D686" s="1"/>
      <c r="E686" s="1"/>
      <c r="F686" s="1"/>
      <c r="G686" s="1"/>
      <c r="H686" s="1"/>
      <c r="I686" s="61"/>
      <c r="J686" s="1"/>
      <c r="K686" s="1"/>
    </row>
    <row r="687" spans="1:11" ht="15.75" customHeight="1">
      <c r="A687" s="2"/>
      <c r="B687" s="1"/>
      <c r="C687" s="1"/>
      <c r="D687" s="1"/>
      <c r="E687" s="1"/>
      <c r="F687" s="1"/>
      <c r="G687" s="1"/>
      <c r="H687" s="1"/>
      <c r="I687" s="61"/>
      <c r="J687" s="1"/>
      <c r="K687" s="1"/>
    </row>
    <row r="688" spans="1:11" ht="15.75" customHeight="1">
      <c r="A688" s="2"/>
      <c r="B688" s="1"/>
      <c r="C688" s="1"/>
      <c r="D688" s="1"/>
      <c r="E688" s="1"/>
      <c r="F688" s="1"/>
      <c r="G688" s="1"/>
      <c r="H688" s="1"/>
      <c r="I688" s="61"/>
      <c r="J688" s="1"/>
      <c r="K688" s="1"/>
    </row>
    <row r="689" spans="1:11" ht="15.75" customHeight="1">
      <c r="A689" s="2"/>
      <c r="B689" s="1"/>
      <c r="C689" s="1"/>
      <c r="D689" s="1"/>
      <c r="E689" s="1"/>
      <c r="F689" s="1"/>
      <c r="G689" s="1"/>
      <c r="H689" s="1"/>
      <c r="I689" s="61"/>
      <c r="J689" s="1"/>
      <c r="K689" s="1"/>
    </row>
    <row r="690" spans="1:11" ht="15.75" customHeight="1">
      <c r="A690" s="2"/>
      <c r="B690" s="1"/>
      <c r="C690" s="1"/>
      <c r="D690" s="1"/>
      <c r="E690" s="1"/>
      <c r="F690" s="1"/>
      <c r="G690" s="1"/>
      <c r="H690" s="1"/>
      <c r="I690" s="61"/>
      <c r="J690" s="1"/>
      <c r="K690" s="1"/>
    </row>
    <row r="691" spans="1:11" ht="15.75" customHeight="1">
      <c r="A691" s="2"/>
      <c r="B691" s="1"/>
      <c r="C691" s="1"/>
      <c r="D691" s="1"/>
      <c r="E691" s="1"/>
      <c r="F691" s="1"/>
      <c r="G691" s="1"/>
      <c r="H691" s="1"/>
      <c r="I691" s="61"/>
      <c r="J691" s="1"/>
      <c r="K691" s="1"/>
    </row>
    <row r="692" spans="1:11" ht="15.75" customHeight="1">
      <c r="A692" s="2"/>
      <c r="B692" s="1"/>
      <c r="C692" s="1"/>
      <c r="D692" s="1"/>
      <c r="E692" s="1"/>
      <c r="F692" s="1"/>
      <c r="G692" s="1"/>
      <c r="H692" s="1"/>
      <c r="I692" s="61"/>
      <c r="J692" s="1"/>
      <c r="K692" s="1"/>
    </row>
    <row r="693" spans="1:11" ht="15.75" customHeight="1">
      <c r="A693" s="2"/>
      <c r="B693" s="1"/>
      <c r="C693" s="1"/>
      <c r="D693" s="1"/>
      <c r="E693" s="1"/>
      <c r="F693" s="1"/>
      <c r="G693" s="1"/>
      <c r="H693" s="1"/>
      <c r="I693" s="61"/>
      <c r="J693" s="1"/>
      <c r="K693" s="1"/>
    </row>
    <row r="694" spans="1:11" ht="15.75" customHeight="1">
      <c r="A694" s="2"/>
      <c r="B694" s="1"/>
      <c r="C694" s="1"/>
      <c r="D694" s="1"/>
      <c r="E694" s="1"/>
      <c r="F694" s="1"/>
      <c r="G694" s="1"/>
      <c r="H694" s="1"/>
      <c r="I694" s="61"/>
      <c r="J694" s="1"/>
      <c r="K694" s="1"/>
    </row>
    <row r="695" spans="1:11" ht="15.75" customHeight="1">
      <c r="A695" s="2"/>
      <c r="B695" s="1"/>
      <c r="C695" s="1"/>
      <c r="D695" s="1"/>
      <c r="E695" s="1"/>
      <c r="F695" s="1"/>
      <c r="G695" s="1"/>
      <c r="H695" s="1"/>
      <c r="I695" s="61"/>
      <c r="J695" s="1"/>
      <c r="K695" s="1"/>
    </row>
    <row r="696" spans="1:11" ht="15.75" customHeight="1">
      <c r="A696" s="2"/>
      <c r="B696" s="1"/>
      <c r="C696" s="1"/>
      <c r="D696" s="1"/>
      <c r="E696" s="1"/>
      <c r="F696" s="1"/>
      <c r="G696" s="1"/>
      <c r="H696" s="1"/>
      <c r="I696" s="61"/>
      <c r="J696" s="1"/>
      <c r="K696" s="1"/>
    </row>
    <row r="697" spans="1:11" ht="15.75" customHeight="1">
      <c r="A697" s="2"/>
      <c r="B697" s="1"/>
      <c r="C697" s="1"/>
      <c r="D697" s="1"/>
      <c r="E697" s="1"/>
      <c r="F697" s="1"/>
      <c r="G697" s="1"/>
      <c r="H697" s="1"/>
      <c r="I697" s="61"/>
      <c r="J697" s="1"/>
      <c r="K697" s="1"/>
    </row>
    <row r="698" spans="1:11" ht="15.75" customHeight="1">
      <c r="A698" s="2"/>
      <c r="B698" s="1"/>
      <c r="C698" s="1"/>
      <c r="D698" s="1"/>
      <c r="E698" s="1"/>
      <c r="F698" s="1"/>
      <c r="G698" s="1"/>
      <c r="H698" s="1"/>
      <c r="I698" s="61"/>
      <c r="J698" s="1"/>
      <c r="K698" s="1"/>
    </row>
    <row r="699" spans="1:11" ht="15.75" customHeight="1">
      <c r="A699" s="2"/>
      <c r="B699" s="1"/>
      <c r="C699" s="1"/>
      <c r="D699" s="1"/>
      <c r="E699" s="1"/>
      <c r="F699" s="1"/>
      <c r="G699" s="1"/>
      <c r="H699" s="1"/>
      <c r="I699" s="61"/>
      <c r="J699" s="1"/>
      <c r="K699" s="1"/>
    </row>
    <row r="700" spans="1:11" ht="15.75" customHeight="1">
      <c r="A700" s="2"/>
      <c r="B700" s="1"/>
      <c r="C700" s="1"/>
      <c r="D700" s="1"/>
      <c r="E700" s="1"/>
      <c r="F700" s="1"/>
      <c r="G700" s="1"/>
      <c r="H700" s="1"/>
      <c r="I700" s="61"/>
      <c r="J700" s="1"/>
      <c r="K700" s="1"/>
    </row>
    <row r="701" spans="1:11" ht="15.75" customHeight="1">
      <c r="A701" s="2"/>
      <c r="B701" s="1"/>
      <c r="C701" s="1"/>
      <c r="D701" s="1"/>
      <c r="E701" s="1"/>
      <c r="F701" s="1"/>
      <c r="G701" s="1"/>
      <c r="H701" s="1"/>
      <c r="I701" s="61"/>
      <c r="J701" s="1"/>
      <c r="K701" s="1"/>
    </row>
    <row r="702" spans="1:11" ht="15.75" customHeight="1">
      <c r="A702" s="2"/>
      <c r="B702" s="1"/>
      <c r="C702" s="1"/>
      <c r="D702" s="1"/>
      <c r="E702" s="1"/>
      <c r="F702" s="1"/>
      <c r="G702" s="1"/>
      <c r="H702" s="1"/>
      <c r="I702" s="61"/>
      <c r="J702" s="1"/>
      <c r="K702" s="1"/>
    </row>
    <row r="703" spans="1:11" ht="15.75" customHeight="1">
      <c r="A703" s="2"/>
      <c r="B703" s="1"/>
      <c r="C703" s="1"/>
      <c r="D703" s="1"/>
      <c r="E703" s="1"/>
      <c r="F703" s="1"/>
      <c r="G703" s="1"/>
      <c r="H703" s="1"/>
      <c r="I703" s="61"/>
      <c r="J703" s="1"/>
      <c r="K703" s="1"/>
    </row>
    <row r="704" spans="1:11" ht="15.75" customHeight="1">
      <c r="A704" s="2"/>
      <c r="B704" s="1"/>
      <c r="C704" s="1"/>
      <c r="D704" s="1"/>
      <c r="E704" s="1"/>
      <c r="F704" s="1"/>
      <c r="G704" s="1"/>
      <c r="H704" s="1"/>
      <c r="I704" s="61"/>
      <c r="J704" s="1"/>
      <c r="K704" s="1"/>
    </row>
    <row r="705" spans="1:11" ht="15.75" customHeight="1">
      <c r="A705" s="2"/>
      <c r="B705" s="1"/>
      <c r="C705" s="1"/>
      <c r="D705" s="1"/>
      <c r="E705" s="1"/>
      <c r="F705" s="1"/>
      <c r="G705" s="1"/>
      <c r="H705" s="1"/>
      <c r="I705" s="61"/>
      <c r="J705" s="1"/>
      <c r="K705" s="1"/>
    </row>
    <row r="706" spans="1:11" ht="15.75" customHeight="1">
      <c r="A706" s="2"/>
      <c r="B706" s="1"/>
      <c r="C706" s="1"/>
      <c r="D706" s="1"/>
      <c r="E706" s="1"/>
      <c r="F706" s="1"/>
      <c r="G706" s="1"/>
      <c r="H706" s="1"/>
      <c r="I706" s="61"/>
      <c r="J706" s="1"/>
      <c r="K706" s="1"/>
    </row>
    <row r="707" spans="1:11" ht="15.75" customHeight="1">
      <c r="A707" s="2"/>
      <c r="B707" s="1"/>
      <c r="C707" s="1"/>
      <c r="D707" s="1"/>
      <c r="E707" s="1"/>
      <c r="F707" s="1"/>
      <c r="G707" s="1"/>
      <c r="H707" s="1"/>
      <c r="I707" s="61"/>
      <c r="J707" s="1"/>
      <c r="K707" s="1"/>
    </row>
    <row r="708" spans="1:11" ht="15.75" customHeight="1">
      <c r="A708" s="2"/>
      <c r="B708" s="1"/>
      <c r="C708" s="1"/>
      <c r="D708" s="1"/>
      <c r="E708" s="1"/>
      <c r="F708" s="1"/>
      <c r="G708" s="1"/>
      <c r="H708" s="1"/>
      <c r="I708" s="61"/>
      <c r="J708" s="1"/>
      <c r="K708" s="1"/>
    </row>
    <row r="709" spans="1:11" ht="15.75" customHeight="1">
      <c r="A709" s="2"/>
      <c r="B709" s="1"/>
      <c r="C709" s="1"/>
      <c r="D709" s="1"/>
      <c r="E709" s="1"/>
      <c r="F709" s="1"/>
      <c r="G709" s="1"/>
      <c r="H709" s="1"/>
      <c r="I709" s="61"/>
      <c r="J709" s="1"/>
      <c r="K709" s="1"/>
    </row>
    <row r="710" spans="1:11" ht="15.75" customHeight="1">
      <c r="A710" s="2"/>
      <c r="B710" s="1"/>
      <c r="C710" s="1"/>
      <c r="D710" s="1"/>
      <c r="E710" s="1"/>
      <c r="F710" s="1"/>
      <c r="G710" s="1"/>
      <c r="H710" s="1"/>
      <c r="I710" s="61"/>
      <c r="J710" s="1"/>
      <c r="K710" s="1"/>
    </row>
    <row r="711" spans="1:11" ht="15.75" customHeight="1">
      <c r="A711" s="2"/>
      <c r="B711" s="1"/>
      <c r="C711" s="1"/>
      <c r="D711" s="1"/>
      <c r="E711" s="1"/>
      <c r="F711" s="1"/>
      <c r="G711" s="1"/>
      <c r="H711" s="1"/>
      <c r="I711" s="61"/>
      <c r="J711" s="1"/>
      <c r="K711" s="1"/>
    </row>
    <row r="712" spans="1:11" ht="15.75" customHeight="1">
      <c r="A712" s="2"/>
      <c r="B712" s="1"/>
      <c r="C712" s="1"/>
      <c r="D712" s="1"/>
      <c r="E712" s="1"/>
      <c r="F712" s="1"/>
      <c r="G712" s="1"/>
      <c r="H712" s="1"/>
      <c r="I712" s="61"/>
      <c r="J712" s="1"/>
      <c r="K712" s="1"/>
    </row>
    <row r="713" spans="1:11" ht="15.75" customHeight="1">
      <c r="A713" s="2"/>
      <c r="B713" s="1"/>
      <c r="C713" s="1"/>
      <c r="D713" s="1"/>
      <c r="E713" s="1"/>
      <c r="F713" s="1"/>
      <c r="G713" s="1"/>
      <c r="H713" s="1"/>
      <c r="I713" s="61"/>
      <c r="J713" s="1"/>
      <c r="K713" s="1"/>
    </row>
    <row r="714" spans="1:11" ht="15.75" customHeight="1">
      <c r="A714" s="2"/>
      <c r="B714" s="1"/>
      <c r="C714" s="1"/>
      <c r="D714" s="1"/>
      <c r="E714" s="1"/>
      <c r="F714" s="1"/>
      <c r="G714" s="1"/>
      <c r="H714" s="1"/>
      <c r="I714" s="61"/>
      <c r="J714" s="1"/>
      <c r="K714" s="1"/>
    </row>
    <row r="715" spans="1:11" ht="15.75" customHeight="1">
      <c r="A715" s="2"/>
      <c r="B715" s="1"/>
      <c r="C715" s="1"/>
      <c r="D715" s="1"/>
      <c r="E715" s="1"/>
      <c r="F715" s="1"/>
      <c r="G715" s="1"/>
      <c r="H715" s="1"/>
      <c r="I715" s="61"/>
      <c r="J715" s="1"/>
      <c r="K715" s="1"/>
    </row>
    <row r="716" spans="1:11" ht="15.75" customHeight="1">
      <c r="A716" s="2"/>
      <c r="B716" s="1"/>
      <c r="C716" s="1"/>
      <c r="D716" s="1"/>
      <c r="E716" s="1"/>
      <c r="F716" s="1"/>
      <c r="G716" s="1"/>
      <c r="H716" s="1"/>
      <c r="I716" s="61"/>
      <c r="J716" s="1"/>
      <c r="K716" s="1"/>
    </row>
    <row r="717" spans="1:11" ht="15.75" customHeight="1">
      <c r="A717" s="2"/>
      <c r="B717" s="1"/>
      <c r="C717" s="1"/>
      <c r="D717" s="1"/>
      <c r="E717" s="1"/>
      <c r="F717" s="1"/>
      <c r="G717" s="1"/>
      <c r="H717" s="1"/>
      <c r="I717" s="61"/>
      <c r="J717" s="1"/>
      <c r="K717" s="1"/>
    </row>
    <row r="718" spans="1:11" ht="15.75" customHeight="1">
      <c r="A718" s="2"/>
      <c r="B718" s="1"/>
      <c r="C718" s="1"/>
      <c r="D718" s="1"/>
      <c r="E718" s="1"/>
      <c r="F718" s="1"/>
      <c r="G718" s="1"/>
      <c r="H718" s="1"/>
      <c r="I718" s="61"/>
      <c r="J718" s="1"/>
      <c r="K718" s="1"/>
    </row>
    <row r="719" spans="1:11" ht="15.75" customHeight="1">
      <c r="A719" s="2"/>
      <c r="B719" s="1"/>
      <c r="C719" s="1"/>
      <c r="D719" s="1"/>
      <c r="E719" s="1"/>
      <c r="F719" s="1"/>
      <c r="G719" s="1"/>
      <c r="H719" s="1"/>
      <c r="I719" s="61"/>
      <c r="J719" s="1"/>
      <c r="K719" s="1"/>
    </row>
    <row r="720" spans="1:11" ht="15.75" customHeight="1">
      <c r="A720" s="2"/>
      <c r="B720" s="1"/>
      <c r="C720" s="1"/>
      <c r="D720" s="1"/>
      <c r="E720" s="1"/>
      <c r="F720" s="1"/>
      <c r="G720" s="1"/>
      <c r="H720" s="1"/>
      <c r="I720" s="61"/>
      <c r="J720" s="1"/>
      <c r="K720" s="1"/>
    </row>
    <row r="721" spans="1:11" ht="15.75" customHeight="1">
      <c r="A721" s="2"/>
      <c r="B721" s="1"/>
      <c r="C721" s="1"/>
      <c r="D721" s="1"/>
      <c r="E721" s="1"/>
      <c r="F721" s="1"/>
      <c r="G721" s="1"/>
      <c r="H721" s="1"/>
      <c r="I721" s="61"/>
      <c r="J721" s="1"/>
      <c r="K721" s="1"/>
    </row>
    <row r="722" spans="1:11" ht="15.75" customHeight="1">
      <c r="A722" s="2"/>
      <c r="B722" s="1"/>
      <c r="C722" s="1"/>
      <c r="D722" s="1"/>
      <c r="E722" s="1"/>
      <c r="F722" s="1"/>
      <c r="G722" s="1"/>
      <c r="H722" s="1"/>
      <c r="I722" s="61"/>
      <c r="J722" s="1"/>
      <c r="K722" s="1"/>
    </row>
    <row r="723" spans="1:11" ht="15.75" customHeight="1">
      <c r="A723" s="2"/>
      <c r="B723" s="1"/>
      <c r="C723" s="1"/>
      <c r="D723" s="1"/>
      <c r="E723" s="1"/>
      <c r="F723" s="1"/>
      <c r="G723" s="1"/>
      <c r="H723" s="1"/>
      <c r="I723" s="61"/>
      <c r="J723" s="1"/>
      <c r="K723" s="1"/>
    </row>
    <row r="724" spans="1:11" ht="15.75" customHeight="1">
      <c r="A724" s="2"/>
      <c r="B724" s="1"/>
      <c r="C724" s="1"/>
      <c r="D724" s="1"/>
      <c r="E724" s="1"/>
      <c r="F724" s="1"/>
      <c r="G724" s="1"/>
      <c r="H724" s="1"/>
      <c r="I724" s="61"/>
      <c r="J724" s="1"/>
      <c r="K724" s="1"/>
    </row>
    <row r="725" spans="1:11" ht="15.75" customHeight="1">
      <c r="A725" s="2"/>
      <c r="B725" s="1"/>
      <c r="C725" s="1"/>
      <c r="D725" s="1"/>
      <c r="E725" s="1"/>
      <c r="F725" s="1"/>
      <c r="G725" s="1"/>
      <c r="H725" s="1"/>
      <c r="I725" s="61"/>
      <c r="J725" s="1"/>
      <c r="K725" s="1"/>
    </row>
    <row r="726" spans="1:11" ht="15.75" customHeight="1">
      <c r="A726" s="2"/>
      <c r="B726" s="1"/>
      <c r="C726" s="1"/>
      <c r="D726" s="1"/>
      <c r="E726" s="1"/>
      <c r="F726" s="1"/>
      <c r="G726" s="1"/>
      <c r="H726" s="1"/>
      <c r="I726" s="61"/>
      <c r="J726" s="1"/>
      <c r="K726" s="1"/>
    </row>
    <row r="727" spans="1:11" ht="15.75" customHeight="1">
      <c r="A727" s="2"/>
      <c r="B727" s="1"/>
      <c r="C727" s="1"/>
      <c r="D727" s="1"/>
      <c r="E727" s="1"/>
      <c r="F727" s="1"/>
      <c r="G727" s="1"/>
      <c r="H727" s="1"/>
      <c r="I727" s="61"/>
      <c r="J727" s="1"/>
      <c r="K727" s="1"/>
    </row>
    <row r="728" spans="1:11" ht="15.75" customHeight="1">
      <c r="A728" s="2"/>
      <c r="B728" s="1"/>
      <c r="C728" s="1"/>
      <c r="D728" s="1"/>
      <c r="E728" s="1"/>
      <c r="F728" s="1"/>
      <c r="G728" s="1"/>
      <c r="H728" s="1"/>
      <c r="I728" s="61"/>
      <c r="J728" s="1"/>
      <c r="K728" s="1"/>
    </row>
    <row r="729" spans="1:11" ht="15.75" customHeight="1">
      <c r="A729" s="2"/>
      <c r="B729" s="1"/>
      <c r="C729" s="1"/>
      <c r="D729" s="1"/>
      <c r="E729" s="1"/>
      <c r="F729" s="1"/>
      <c r="G729" s="1"/>
      <c r="H729" s="1"/>
      <c r="I729" s="61"/>
      <c r="J729" s="1"/>
      <c r="K729" s="1"/>
    </row>
    <row r="730" spans="1:11" ht="15.75" customHeight="1">
      <c r="A730" s="2"/>
      <c r="B730" s="1"/>
      <c r="C730" s="1"/>
      <c r="D730" s="1"/>
      <c r="E730" s="1"/>
      <c r="F730" s="1"/>
      <c r="G730" s="1"/>
      <c r="H730" s="1"/>
      <c r="I730" s="61"/>
      <c r="J730" s="1"/>
      <c r="K730" s="1"/>
    </row>
    <row r="731" spans="1:11" ht="15.75" customHeight="1">
      <c r="A731" s="2"/>
      <c r="B731" s="1"/>
      <c r="C731" s="1"/>
      <c r="D731" s="1"/>
      <c r="E731" s="1"/>
      <c r="F731" s="1"/>
      <c r="G731" s="1"/>
      <c r="H731" s="1"/>
      <c r="I731" s="61"/>
      <c r="J731" s="1"/>
      <c r="K731" s="1"/>
    </row>
    <row r="732" spans="1:11" ht="15.75" customHeight="1">
      <c r="A732" s="2"/>
      <c r="B732" s="1"/>
      <c r="C732" s="1"/>
      <c r="D732" s="1"/>
      <c r="E732" s="1"/>
      <c r="F732" s="1"/>
      <c r="G732" s="1"/>
      <c r="H732" s="1"/>
      <c r="I732" s="61"/>
      <c r="J732" s="1"/>
      <c r="K732" s="1"/>
    </row>
    <row r="733" spans="1:11" ht="15.75" customHeight="1">
      <c r="A733" s="2"/>
      <c r="B733" s="1"/>
      <c r="C733" s="1"/>
      <c r="D733" s="1"/>
      <c r="E733" s="1"/>
      <c r="F733" s="1"/>
      <c r="G733" s="1"/>
      <c r="H733" s="1"/>
      <c r="I733" s="61"/>
      <c r="J733" s="1"/>
      <c r="K733" s="1"/>
    </row>
    <row r="734" spans="1:11" ht="15.75" customHeight="1">
      <c r="A734" s="2"/>
      <c r="B734" s="1"/>
      <c r="C734" s="1"/>
      <c r="D734" s="1"/>
      <c r="E734" s="1"/>
      <c r="F734" s="1"/>
      <c r="G734" s="1"/>
      <c r="H734" s="1"/>
      <c r="I734" s="61"/>
      <c r="J734" s="1"/>
      <c r="K734" s="1"/>
    </row>
    <row r="735" spans="1:11" ht="15.75" customHeight="1">
      <c r="A735" s="2"/>
      <c r="B735" s="1"/>
      <c r="C735" s="1"/>
      <c r="D735" s="1"/>
      <c r="E735" s="1"/>
      <c r="F735" s="1"/>
      <c r="G735" s="1"/>
      <c r="H735" s="1"/>
      <c r="I735" s="61"/>
      <c r="J735" s="1"/>
      <c r="K735" s="1"/>
    </row>
    <row r="736" spans="1:11" ht="15.75" customHeight="1">
      <c r="A736" s="2"/>
      <c r="B736" s="1"/>
      <c r="C736" s="1"/>
      <c r="D736" s="1"/>
      <c r="E736" s="1"/>
      <c r="F736" s="1"/>
      <c r="G736" s="1"/>
      <c r="H736" s="1"/>
      <c r="I736" s="61"/>
      <c r="J736" s="1"/>
      <c r="K736" s="1"/>
    </row>
    <row r="737" spans="1:11" ht="15.75" customHeight="1">
      <c r="A737" s="2"/>
      <c r="B737" s="1"/>
      <c r="C737" s="1"/>
      <c r="D737" s="1"/>
      <c r="E737" s="1"/>
      <c r="F737" s="1"/>
      <c r="G737" s="1"/>
      <c r="H737" s="1"/>
      <c r="I737" s="61"/>
      <c r="J737" s="1"/>
      <c r="K737" s="1"/>
    </row>
    <row r="738" spans="1:11" ht="15.75" customHeight="1">
      <c r="A738" s="2"/>
      <c r="B738" s="1"/>
      <c r="C738" s="1"/>
      <c r="D738" s="1"/>
      <c r="E738" s="1"/>
      <c r="F738" s="1"/>
      <c r="G738" s="1"/>
      <c r="H738" s="1"/>
      <c r="I738" s="61"/>
      <c r="J738" s="1"/>
      <c r="K738" s="1"/>
    </row>
    <row r="739" spans="1:11" ht="15.75" customHeight="1">
      <c r="A739" s="2"/>
      <c r="B739" s="1"/>
      <c r="C739" s="1"/>
      <c r="D739" s="1"/>
      <c r="E739" s="1"/>
      <c r="F739" s="1"/>
      <c r="G739" s="1"/>
      <c r="H739" s="1"/>
      <c r="I739" s="61"/>
      <c r="J739" s="1"/>
      <c r="K739" s="1"/>
    </row>
    <row r="740" spans="1:11" ht="15.75" customHeight="1">
      <c r="A740" s="2"/>
      <c r="B740" s="1"/>
      <c r="C740" s="1"/>
      <c r="D740" s="1"/>
      <c r="E740" s="1"/>
      <c r="F740" s="1"/>
      <c r="G740" s="1"/>
      <c r="H740" s="1"/>
      <c r="I740" s="61"/>
      <c r="J740" s="1"/>
      <c r="K740" s="1"/>
    </row>
    <row r="741" spans="1:11" ht="15.75" customHeight="1">
      <c r="A741" s="2"/>
      <c r="B741" s="1"/>
      <c r="C741" s="1"/>
      <c r="D741" s="1"/>
      <c r="E741" s="1"/>
      <c r="F741" s="1"/>
      <c r="G741" s="1"/>
      <c r="H741" s="1"/>
      <c r="I741" s="61"/>
      <c r="J741" s="1"/>
      <c r="K741" s="1"/>
    </row>
    <row r="742" spans="1:11" ht="15.75" customHeight="1">
      <c r="A742" s="2"/>
      <c r="B742" s="1"/>
      <c r="C742" s="1"/>
      <c r="D742" s="1"/>
      <c r="E742" s="1"/>
      <c r="F742" s="1"/>
      <c r="G742" s="1"/>
      <c r="H742" s="1"/>
      <c r="I742" s="61"/>
      <c r="J742" s="1"/>
      <c r="K742" s="1"/>
    </row>
    <row r="743" spans="1:11" ht="15.75" customHeight="1">
      <c r="A743" s="2"/>
      <c r="B743" s="1"/>
      <c r="C743" s="1"/>
      <c r="D743" s="1"/>
      <c r="E743" s="1"/>
      <c r="F743" s="1"/>
      <c r="G743" s="1"/>
      <c r="H743" s="1"/>
      <c r="I743" s="61"/>
      <c r="J743" s="1"/>
      <c r="K743" s="1"/>
    </row>
    <row r="744" spans="1:11" ht="15.75" customHeight="1">
      <c r="A744" s="2"/>
      <c r="B744" s="1"/>
      <c r="C744" s="1"/>
      <c r="D744" s="1"/>
      <c r="E744" s="1"/>
      <c r="F744" s="1"/>
      <c r="G744" s="1"/>
      <c r="H744" s="1"/>
      <c r="I744" s="61"/>
      <c r="J744" s="1"/>
      <c r="K744" s="1"/>
    </row>
    <row r="745" spans="1:11" ht="15.75" customHeight="1">
      <c r="A745" s="2"/>
      <c r="B745" s="1"/>
      <c r="C745" s="1"/>
      <c r="D745" s="1"/>
      <c r="E745" s="1"/>
      <c r="F745" s="1"/>
      <c r="G745" s="1"/>
      <c r="H745" s="1"/>
      <c r="I745" s="61"/>
      <c r="J745" s="1"/>
      <c r="K745" s="1"/>
    </row>
    <row r="746" spans="1:11" ht="15.75" customHeight="1">
      <c r="A746" s="2"/>
      <c r="B746" s="1"/>
      <c r="C746" s="1"/>
      <c r="D746" s="1"/>
      <c r="E746" s="1"/>
      <c r="F746" s="1"/>
      <c r="G746" s="1"/>
      <c r="H746" s="1"/>
      <c r="I746" s="61"/>
      <c r="J746" s="1"/>
      <c r="K746" s="1"/>
    </row>
    <row r="747" spans="1:11" ht="15.75" customHeight="1">
      <c r="A747" s="2"/>
      <c r="B747" s="1"/>
      <c r="C747" s="1"/>
      <c r="D747" s="1"/>
      <c r="E747" s="1"/>
      <c r="F747" s="1"/>
      <c r="G747" s="1"/>
      <c r="H747" s="1"/>
      <c r="I747" s="61"/>
      <c r="J747" s="1"/>
      <c r="K747" s="1"/>
    </row>
    <row r="748" spans="1:11" ht="15.75" customHeight="1">
      <c r="A748" s="2"/>
      <c r="B748" s="1"/>
      <c r="C748" s="1"/>
      <c r="D748" s="1"/>
      <c r="E748" s="1"/>
      <c r="F748" s="1"/>
      <c r="G748" s="1"/>
      <c r="H748" s="1"/>
      <c r="I748" s="61"/>
      <c r="J748" s="1"/>
      <c r="K748" s="1"/>
    </row>
    <row r="749" spans="1:11" ht="15.75" customHeight="1">
      <c r="A749" s="2"/>
      <c r="B749" s="1"/>
      <c r="C749" s="1"/>
      <c r="D749" s="1"/>
      <c r="E749" s="1"/>
      <c r="F749" s="1"/>
      <c r="G749" s="1"/>
      <c r="H749" s="1"/>
      <c r="I749" s="61"/>
      <c r="J749" s="1"/>
      <c r="K749" s="1"/>
    </row>
    <row r="750" spans="1:11" ht="15.75" customHeight="1">
      <c r="A750" s="2"/>
      <c r="B750" s="1"/>
      <c r="C750" s="1"/>
      <c r="D750" s="1"/>
      <c r="E750" s="1"/>
      <c r="F750" s="1"/>
      <c r="G750" s="1"/>
      <c r="H750" s="1"/>
      <c r="I750" s="61"/>
      <c r="J750" s="1"/>
      <c r="K750" s="1"/>
    </row>
    <row r="751" spans="1:11" ht="15.75" customHeight="1">
      <c r="A751" s="2"/>
      <c r="B751" s="1"/>
      <c r="C751" s="1"/>
      <c r="D751" s="1"/>
      <c r="E751" s="1"/>
      <c r="F751" s="1"/>
      <c r="G751" s="1"/>
      <c r="H751" s="1"/>
      <c r="I751" s="61"/>
      <c r="J751" s="1"/>
      <c r="K751" s="1"/>
    </row>
    <row r="752" spans="1:11" ht="15.75" customHeight="1">
      <c r="A752" s="2"/>
      <c r="B752" s="1"/>
      <c r="C752" s="1"/>
      <c r="D752" s="1"/>
      <c r="E752" s="1"/>
      <c r="F752" s="1"/>
      <c r="G752" s="1"/>
      <c r="H752" s="1"/>
      <c r="I752" s="61"/>
      <c r="J752" s="1"/>
      <c r="K752" s="1"/>
    </row>
    <row r="753" spans="1:11" ht="15.75" customHeight="1">
      <c r="A753" s="2"/>
      <c r="B753" s="1"/>
      <c r="C753" s="1"/>
      <c r="D753" s="1"/>
      <c r="E753" s="1"/>
      <c r="F753" s="1"/>
      <c r="G753" s="1"/>
      <c r="H753" s="1"/>
      <c r="I753" s="61"/>
      <c r="J753" s="1"/>
      <c r="K753" s="1"/>
    </row>
    <row r="754" spans="1:11" ht="15.75" customHeight="1">
      <c r="A754" s="2"/>
      <c r="B754" s="1"/>
      <c r="C754" s="1"/>
      <c r="D754" s="1"/>
      <c r="E754" s="1"/>
      <c r="F754" s="1"/>
      <c r="G754" s="1"/>
      <c r="H754" s="1"/>
      <c r="I754" s="61"/>
      <c r="J754" s="1"/>
      <c r="K754" s="1"/>
    </row>
    <row r="755" spans="1:11" ht="15.75" customHeight="1">
      <c r="A755" s="2"/>
      <c r="B755" s="1"/>
      <c r="C755" s="1"/>
      <c r="D755" s="1"/>
      <c r="E755" s="1"/>
      <c r="F755" s="1"/>
      <c r="G755" s="1"/>
      <c r="H755" s="1"/>
      <c r="I755" s="61"/>
      <c r="J755" s="1"/>
      <c r="K755" s="1"/>
    </row>
    <row r="756" spans="1:11" ht="15.75" customHeight="1">
      <c r="A756" s="2"/>
      <c r="B756" s="1"/>
      <c r="C756" s="1"/>
      <c r="D756" s="1"/>
      <c r="E756" s="1"/>
      <c r="F756" s="1"/>
      <c r="G756" s="1"/>
      <c r="H756" s="1"/>
      <c r="I756" s="61"/>
      <c r="J756" s="1"/>
      <c r="K756" s="1"/>
    </row>
    <row r="757" spans="1:11" ht="15.75" customHeight="1">
      <c r="A757" s="2"/>
      <c r="B757" s="1"/>
      <c r="C757" s="1"/>
      <c r="D757" s="1"/>
      <c r="E757" s="1"/>
      <c r="F757" s="1"/>
      <c r="G757" s="1"/>
      <c r="H757" s="1"/>
      <c r="I757" s="61"/>
      <c r="J757" s="1"/>
      <c r="K757" s="1"/>
    </row>
    <row r="758" spans="1:11" ht="15.75" customHeight="1">
      <c r="A758" s="2"/>
      <c r="B758" s="1"/>
      <c r="C758" s="1"/>
      <c r="D758" s="1"/>
      <c r="E758" s="1"/>
      <c r="F758" s="1"/>
      <c r="G758" s="1"/>
      <c r="H758" s="1"/>
      <c r="I758" s="61"/>
      <c r="J758" s="1"/>
      <c r="K758" s="1"/>
    </row>
    <row r="759" spans="1:11" ht="15.75" customHeight="1">
      <c r="A759" s="2"/>
      <c r="B759" s="1"/>
      <c r="C759" s="1"/>
      <c r="D759" s="1"/>
      <c r="E759" s="1"/>
      <c r="F759" s="1"/>
      <c r="G759" s="1"/>
      <c r="H759" s="1"/>
      <c r="I759" s="61"/>
      <c r="J759" s="1"/>
      <c r="K759" s="1"/>
    </row>
    <row r="760" spans="1:11" ht="15.75" customHeight="1">
      <c r="A760" s="2"/>
      <c r="B760" s="1"/>
      <c r="C760" s="1"/>
      <c r="D760" s="1"/>
      <c r="E760" s="1"/>
      <c r="F760" s="1"/>
      <c r="G760" s="1"/>
      <c r="H760" s="1"/>
      <c r="I760" s="61"/>
      <c r="J760" s="1"/>
      <c r="K760" s="1"/>
    </row>
    <row r="761" spans="1:11" ht="15.75" customHeight="1">
      <c r="A761" s="2"/>
      <c r="B761" s="1"/>
      <c r="C761" s="1"/>
      <c r="D761" s="1"/>
      <c r="E761" s="1"/>
      <c r="F761" s="1"/>
      <c r="G761" s="1"/>
      <c r="H761" s="1"/>
      <c r="I761" s="61"/>
      <c r="J761" s="1"/>
      <c r="K761" s="1"/>
    </row>
    <row r="762" spans="1:11" ht="15.75" customHeight="1">
      <c r="A762" s="2"/>
      <c r="B762" s="1"/>
      <c r="C762" s="1"/>
      <c r="D762" s="1"/>
      <c r="E762" s="1"/>
      <c r="F762" s="1"/>
      <c r="G762" s="1"/>
      <c r="H762" s="1"/>
      <c r="I762" s="61"/>
      <c r="J762" s="1"/>
      <c r="K762" s="1"/>
    </row>
    <row r="763" spans="1:11" ht="15.75" customHeight="1">
      <c r="A763" s="2"/>
      <c r="B763" s="1"/>
      <c r="C763" s="1"/>
      <c r="D763" s="1"/>
      <c r="E763" s="1"/>
      <c r="F763" s="1"/>
      <c r="G763" s="1"/>
      <c r="H763" s="1"/>
      <c r="I763" s="61"/>
      <c r="J763" s="1"/>
      <c r="K763" s="1"/>
    </row>
    <row r="764" spans="1:11" ht="15.75" customHeight="1">
      <c r="A764" s="2"/>
      <c r="B764" s="1"/>
      <c r="C764" s="1"/>
      <c r="D764" s="1"/>
      <c r="E764" s="1"/>
      <c r="F764" s="1"/>
      <c r="G764" s="1"/>
      <c r="H764" s="1"/>
      <c r="I764" s="61"/>
      <c r="J764" s="1"/>
      <c r="K764" s="1"/>
    </row>
    <row r="765" spans="1:11" ht="15.75" customHeight="1">
      <c r="A765" s="2"/>
      <c r="B765" s="1"/>
      <c r="C765" s="1"/>
      <c r="D765" s="1"/>
      <c r="E765" s="1"/>
      <c r="F765" s="1"/>
      <c r="G765" s="1"/>
      <c r="H765" s="1"/>
      <c r="I765" s="61"/>
      <c r="J765" s="1"/>
      <c r="K765" s="1"/>
    </row>
    <row r="766" spans="1:11" ht="15.75" customHeight="1">
      <c r="A766" s="2"/>
      <c r="B766" s="1"/>
      <c r="C766" s="1"/>
      <c r="D766" s="1"/>
      <c r="E766" s="1"/>
      <c r="F766" s="1"/>
      <c r="G766" s="1"/>
      <c r="H766" s="1"/>
      <c r="I766" s="61"/>
      <c r="J766" s="1"/>
      <c r="K766" s="1"/>
    </row>
    <row r="767" spans="1:11" ht="15.75" customHeight="1">
      <c r="A767" s="2"/>
      <c r="B767" s="1"/>
      <c r="C767" s="1"/>
      <c r="D767" s="1"/>
      <c r="E767" s="1"/>
      <c r="F767" s="1"/>
      <c r="G767" s="1"/>
      <c r="H767" s="1"/>
      <c r="I767" s="61"/>
      <c r="J767" s="1"/>
      <c r="K767" s="1"/>
    </row>
    <row r="768" spans="1:11" ht="15.75" customHeight="1">
      <c r="A768" s="2"/>
      <c r="B768" s="1"/>
      <c r="C768" s="1"/>
      <c r="D768" s="1"/>
      <c r="E768" s="1"/>
      <c r="F768" s="1"/>
      <c r="G768" s="1"/>
      <c r="H768" s="1"/>
      <c r="I768" s="61"/>
      <c r="J768" s="1"/>
      <c r="K768" s="1"/>
    </row>
    <row r="769" spans="1:11" ht="15.75" customHeight="1">
      <c r="A769" s="2"/>
      <c r="B769" s="1"/>
      <c r="C769" s="1"/>
      <c r="D769" s="1"/>
      <c r="E769" s="1"/>
      <c r="F769" s="1"/>
      <c r="G769" s="1"/>
      <c r="H769" s="1"/>
      <c r="I769" s="61"/>
      <c r="J769" s="1"/>
      <c r="K769" s="1"/>
    </row>
    <row r="770" spans="1:11" ht="15.75" customHeight="1">
      <c r="A770" s="2"/>
      <c r="B770" s="1"/>
      <c r="C770" s="1"/>
      <c r="D770" s="1"/>
      <c r="E770" s="1"/>
      <c r="F770" s="1"/>
      <c r="G770" s="1"/>
      <c r="H770" s="1"/>
      <c r="I770" s="61"/>
      <c r="J770" s="1"/>
      <c r="K770" s="1"/>
    </row>
    <row r="771" spans="1:11" ht="15.75" customHeight="1">
      <c r="A771" s="2"/>
      <c r="B771" s="1"/>
      <c r="C771" s="1"/>
      <c r="D771" s="1"/>
      <c r="E771" s="1"/>
      <c r="F771" s="1"/>
      <c r="G771" s="1"/>
      <c r="H771" s="1"/>
      <c r="I771" s="61"/>
      <c r="J771" s="1"/>
      <c r="K771" s="1"/>
    </row>
    <row r="772" spans="1:11" ht="15.75" customHeight="1">
      <c r="A772" s="2"/>
      <c r="B772" s="1"/>
      <c r="C772" s="1"/>
      <c r="D772" s="1"/>
      <c r="E772" s="1"/>
      <c r="F772" s="1"/>
      <c r="G772" s="1"/>
      <c r="H772" s="1"/>
      <c r="I772" s="61"/>
      <c r="J772" s="1"/>
      <c r="K772" s="1"/>
    </row>
    <row r="773" spans="1:11" ht="15.75" customHeight="1">
      <c r="A773" s="2"/>
      <c r="B773" s="1"/>
      <c r="C773" s="1"/>
      <c r="D773" s="1"/>
      <c r="E773" s="1"/>
      <c r="F773" s="1"/>
      <c r="G773" s="1"/>
      <c r="H773" s="1"/>
      <c r="I773" s="61"/>
      <c r="J773" s="1"/>
      <c r="K773" s="1"/>
    </row>
    <row r="774" spans="1:11" ht="15.75" customHeight="1">
      <c r="A774" s="2"/>
      <c r="B774" s="1"/>
      <c r="C774" s="1"/>
      <c r="D774" s="1"/>
      <c r="E774" s="1"/>
      <c r="F774" s="1"/>
      <c r="G774" s="1"/>
      <c r="H774" s="1"/>
      <c r="I774" s="61"/>
      <c r="J774" s="1"/>
      <c r="K774" s="1"/>
    </row>
    <row r="775" spans="1:11" ht="15.75" customHeight="1">
      <c r="A775" s="2"/>
      <c r="B775" s="1"/>
      <c r="C775" s="1"/>
      <c r="D775" s="1"/>
      <c r="E775" s="1"/>
      <c r="F775" s="1"/>
      <c r="G775" s="1"/>
      <c r="H775" s="1"/>
      <c r="I775" s="61"/>
      <c r="J775" s="1"/>
      <c r="K775" s="1"/>
    </row>
    <row r="776" spans="1:11" ht="15.75" customHeight="1">
      <c r="A776" s="2"/>
      <c r="B776" s="1"/>
      <c r="C776" s="1"/>
      <c r="D776" s="1"/>
      <c r="E776" s="1"/>
      <c r="F776" s="1"/>
      <c r="G776" s="1"/>
      <c r="H776" s="1"/>
      <c r="I776" s="61"/>
      <c r="J776" s="1"/>
      <c r="K776" s="1"/>
    </row>
    <row r="777" spans="1:11" ht="15.75" customHeight="1">
      <c r="A777" s="2"/>
      <c r="B777" s="1"/>
      <c r="C777" s="1"/>
      <c r="D777" s="1"/>
      <c r="E777" s="1"/>
      <c r="F777" s="1"/>
      <c r="G777" s="1"/>
      <c r="H777" s="1"/>
      <c r="I777" s="61"/>
      <c r="J777" s="1"/>
      <c r="K777" s="1"/>
    </row>
    <row r="778" spans="1:11" ht="15.75" customHeight="1">
      <c r="A778" s="2"/>
      <c r="B778" s="1"/>
      <c r="C778" s="1"/>
      <c r="D778" s="1"/>
      <c r="E778" s="1"/>
      <c r="F778" s="1"/>
      <c r="G778" s="1"/>
      <c r="H778" s="1"/>
      <c r="I778" s="61"/>
      <c r="J778" s="1"/>
      <c r="K778" s="1"/>
    </row>
    <row r="779" spans="1:11" ht="15.75" customHeight="1">
      <c r="A779" s="2"/>
      <c r="B779" s="1"/>
      <c r="C779" s="1"/>
      <c r="D779" s="1"/>
      <c r="E779" s="1"/>
      <c r="F779" s="1"/>
      <c r="G779" s="1"/>
      <c r="H779" s="1"/>
      <c r="I779" s="61"/>
      <c r="J779" s="1"/>
      <c r="K779" s="1"/>
    </row>
    <row r="780" spans="1:11" ht="15.75" customHeight="1">
      <c r="A780" s="2"/>
      <c r="B780" s="1"/>
      <c r="C780" s="1"/>
      <c r="D780" s="1"/>
      <c r="E780" s="1"/>
      <c r="F780" s="1"/>
      <c r="G780" s="1"/>
      <c r="H780" s="1"/>
      <c r="I780" s="61"/>
      <c r="J780" s="1"/>
      <c r="K780" s="1"/>
    </row>
    <row r="781" spans="1:11" ht="15.75" customHeight="1">
      <c r="A781" s="2"/>
      <c r="B781" s="1"/>
      <c r="C781" s="1"/>
      <c r="D781" s="1"/>
      <c r="E781" s="1"/>
      <c r="F781" s="1"/>
      <c r="G781" s="1"/>
      <c r="H781" s="1"/>
      <c r="I781" s="61"/>
      <c r="J781" s="1"/>
      <c r="K781" s="1"/>
    </row>
    <row r="782" spans="1:11" ht="15.75" customHeight="1">
      <c r="A782" s="2"/>
      <c r="B782" s="1"/>
      <c r="C782" s="1"/>
      <c r="D782" s="1"/>
      <c r="E782" s="1"/>
      <c r="F782" s="1"/>
      <c r="G782" s="1"/>
      <c r="H782" s="1"/>
      <c r="I782" s="61"/>
      <c r="J782" s="1"/>
      <c r="K782" s="1"/>
    </row>
    <row r="783" spans="1:11" ht="15.75" customHeight="1">
      <c r="A783" s="2"/>
      <c r="B783" s="1"/>
      <c r="C783" s="1"/>
      <c r="D783" s="1"/>
      <c r="E783" s="1"/>
      <c r="F783" s="1"/>
      <c r="G783" s="1"/>
      <c r="H783" s="1"/>
      <c r="I783" s="61"/>
      <c r="J783" s="1"/>
      <c r="K783" s="1"/>
    </row>
    <row r="784" spans="1:11" ht="15.75" customHeight="1">
      <c r="A784" s="2"/>
      <c r="B784" s="1"/>
      <c r="C784" s="1"/>
      <c r="D784" s="1"/>
      <c r="E784" s="1"/>
      <c r="F784" s="1"/>
      <c r="G784" s="1"/>
      <c r="H784" s="1"/>
      <c r="I784" s="61"/>
      <c r="J784" s="1"/>
      <c r="K784" s="1"/>
    </row>
    <row r="785" spans="1:11" ht="15.75" customHeight="1">
      <c r="A785" s="2"/>
      <c r="B785" s="1"/>
      <c r="C785" s="1"/>
      <c r="D785" s="1"/>
      <c r="E785" s="1"/>
      <c r="F785" s="1"/>
      <c r="G785" s="1"/>
      <c r="H785" s="1"/>
      <c r="I785" s="61"/>
      <c r="J785" s="1"/>
      <c r="K785" s="1"/>
    </row>
    <row r="786" spans="1:11" ht="15.75" customHeight="1">
      <c r="A786" s="2"/>
      <c r="B786" s="1"/>
      <c r="C786" s="1"/>
      <c r="D786" s="1"/>
      <c r="E786" s="1"/>
      <c r="F786" s="1"/>
      <c r="G786" s="1"/>
      <c r="H786" s="1"/>
      <c r="I786" s="61"/>
      <c r="J786" s="1"/>
      <c r="K786" s="1"/>
    </row>
    <row r="787" spans="1:11" ht="15.75" customHeight="1">
      <c r="A787" s="2"/>
      <c r="B787" s="1"/>
      <c r="C787" s="1"/>
      <c r="D787" s="1"/>
      <c r="E787" s="1"/>
      <c r="F787" s="1"/>
      <c r="G787" s="1"/>
      <c r="H787" s="1"/>
      <c r="I787" s="61"/>
      <c r="J787" s="1"/>
      <c r="K787" s="1"/>
    </row>
    <row r="788" spans="1:11" ht="15.75" customHeight="1">
      <c r="A788" s="2"/>
      <c r="B788" s="1"/>
      <c r="C788" s="1"/>
      <c r="D788" s="1"/>
      <c r="E788" s="1"/>
      <c r="F788" s="1"/>
      <c r="G788" s="1"/>
      <c r="H788" s="1"/>
      <c r="I788" s="61"/>
      <c r="J788" s="1"/>
      <c r="K788" s="1"/>
    </row>
    <row r="789" spans="1:11" ht="15.75" customHeight="1">
      <c r="A789" s="2"/>
      <c r="B789" s="1"/>
      <c r="C789" s="1"/>
      <c r="D789" s="1"/>
      <c r="E789" s="1"/>
      <c r="F789" s="1"/>
      <c r="G789" s="1"/>
      <c r="H789" s="1"/>
      <c r="I789" s="61"/>
      <c r="J789" s="1"/>
      <c r="K789" s="1"/>
    </row>
    <row r="790" spans="1:11" ht="15.75" customHeight="1">
      <c r="A790" s="2"/>
      <c r="B790" s="1"/>
      <c r="C790" s="1"/>
      <c r="D790" s="1"/>
      <c r="E790" s="1"/>
      <c r="F790" s="1"/>
      <c r="G790" s="1"/>
      <c r="H790" s="1"/>
      <c r="I790" s="61"/>
      <c r="J790" s="1"/>
      <c r="K790" s="1"/>
    </row>
    <row r="791" spans="1:11" ht="15.75" customHeight="1">
      <c r="A791" s="2"/>
      <c r="B791" s="1"/>
      <c r="C791" s="1"/>
      <c r="D791" s="1"/>
      <c r="E791" s="1"/>
      <c r="F791" s="1"/>
      <c r="G791" s="1"/>
      <c r="H791" s="1"/>
      <c r="I791" s="61"/>
      <c r="J791" s="1"/>
      <c r="K791" s="1"/>
    </row>
    <row r="792" spans="1:11" ht="15.75" customHeight="1">
      <c r="A792" s="2"/>
      <c r="B792" s="1"/>
      <c r="C792" s="1"/>
      <c r="D792" s="1"/>
      <c r="E792" s="1"/>
      <c r="F792" s="1"/>
      <c r="G792" s="1"/>
      <c r="H792" s="1"/>
      <c r="I792" s="61"/>
      <c r="J792" s="1"/>
      <c r="K792" s="1"/>
    </row>
    <row r="793" spans="1:11" ht="15.75" customHeight="1">
      <c r="A793" s="2"/>
      <c r="B793" s="1"/>
      <c r="C793" s="1"/>
      <c r="D793" s="1"/>
      <c r="E793" s="1"/>
      <c r="F793" s="1"/>
      <c r="G793" s="1"/>
      <c r="H793" s="1"/>
      <c r="I793" s="61"/>
      <c r="J793" s="1"/>
      <c r="K793" s="1"/>
    </row>
    <row r="794" spans="1:11" ht="15.75" customHeight="1">
      <c r="A794" s="2"/>
      <c r="B794" s="1"/>
      <c r="C794" s="1"/>
      <c r="D794" s="1"/>
      <c r="E794" s="1"/>
      <c r="F794" s="1"/>
      <c r="G794" s="1"/>
      <c r="H794" s="1"/>
      <c r="I794" s="61"/>
      <c r="J794" s="1"/>
      <c r="K794" s="1"/>
    </row>
    <row r="795" spans="1:11" ht="15.75" customHeight="1">
      <c r="A795" s="2"/>
      <c r="B795" s="1"/>
      <c r="C795" s="1"/>
      <c r="D795" s="1"/>
      <c r="E795" s="1"/>
      <c r="F795" s="1"/>
      <c r="G795" s="1"/>
      <c r="H795" s="1"/>
      <c r="I795" s="61"/>
      <c r="J795" s="1"/>
      <c r="K795" s="1"/>
    </row>
    <row r="796" spans="1:11" ht="15.75" customHeight="1">
      <c r="A796" s="2"/>
      <c r="B796" s="1"/>
      <c r="C796" s="1"/>
      <c r="D796" s="1"/>
      <c r="E796" s="1"/>
      <c r="F796" s="1"/>
      <c r="G796" s="1"/>
      <c r="H796" s="1"/>
      <c r="I796" s="61"/>
      <c r="J796" s="1"/>
      <c r="K796" s="1"/>
    </row>
    <row r="797" spans="1:11" ht="15.75" customHeight="1">
      <c r="A797" s="2"/>
      <c r="B797" s="1"/>
      <c r="C797" s="1"/>
      <c r="D797" s="1"/>
      <c r="E797" s="1"/>
      <c r="F797" s="1"/>
      <c r="G797" s="1"/>
      <c r="H797" s="1"/>
      <c r="I797" s="61"/>
      <c r="J797" s="1"/>
      <c r="K797" s="1"/>
    </row>
    <row r="798" spans="1:11" ht="15.75" customHeight="1">
      <c r="A798" s="2"/>
      <c r="B798" s="1"/>
      <c r="C798" s="1"/>
      <c r="D798" s="1"/>
      <c r="E798" s="1"/>
      <c r="F798" s="1"/>
      <c r="G798" s="1"/>
      <c r="H798" s="1"/>
      <c r="I798" s="61"/>
      <c r="J798" s="1"/>
      <c r="K798" s="1"/>
    </row>
    <row r="799" spans="1:11" ht="15.75" customHeight="1">
      <c r="A799" s="2"/>
      <c r="B799" s="1"/>
      <c r="C799" s="1"/>
      <c r="D799" s="1"/>
      <c r="E799" s="1"/>
      <c r="F799" s="1"/>
      <c r="G799" s="1"/>
      <c r="H799" s="1"/>
      <c r="I799" s="61"/>
      <c r="J799" s="1"/>
      <c r="K799" s="1"/>
    </row>
    <row r="800" spans="1:11" ht="15.75" customHeight="1">
      <c r="A800" s="2"/>
      <c r="B800" s="1"/>
      <c r="C800" s="1"/>
      <c r="D800" s="1"/>
      <c r="E800" s="1"/>
      <c r="F800" s="1"/>
      <c r="G800" s="1"/>
      <c r="H800" s="1"/>
      <c r="I800" s="61"/>
      <c r="J800" s="1"/>
      <c r="K800" s="1"/>
    </row>
    <row r="801" spans="1:11" ht="15.75" customHeight="1">
      <c r="A801" s="2"/>
      <c r="B801" s="1"/>
      <c r="C801" s="1"/>
      <c r="D801" s="1"/>
      <c r="E801" s="1"/>
      <c r="F801" s="1"/>
      <c r="G801" s="1"/>
      <c r="H801" s="1"/>
      <c r="I801" s="61"/>
      <c r="J801" s="1"/>
      <c r="K801" s="1"/>
    </row>
    <row r="802" spans="1:11" ht="15.75" customHeight="1">
      <c r="A802" s="2"/>
      <c r="B802" s="1"/>
      <c r="C802" s="1"/>
      <c r="D802" s="1"/>
      <c r="E802" s="1"/>
      <c r="F802" s="1"/>
      <c r="G802" s="1"/>
      <c r="H802" s="1"/>
      <c r="I802" s="61"/>
      <c r="J802" s="1"/>
      <c r="K802" s="1"/>
    </row>
    <row r="803" spans="1:11" ht="15.75" customHeight="1">
      <c r="A803" s="2"/>
      <c r="B803" s="1"/>
      <c r="C803" s="1"/>
      <c r="D803" s="1"/>
      <c r="E803" s="1"/>
      <c r="F803" s="1"/>
      <c r="G803" s="1"/>
      <c r="H803" s="1"/>
      <c r="I803" s="61"/>
      <c r="J803" s="1"/>
      <c r="K803" s="1"/>
    </row>
    <row r="804" spans="1:11" ht="15.75" customHeight="1">
      <c r="A804" s="2"/>
      <c r="B804" s="1"/>
      <c r="C804" s="1"/>
      <c r="D804" s="1"/>
      <c r="E804" s="1"/>
      <c r="F804" s="1"/>
      <c r="G804" s="1"/>
      <c r="H804" s="1"/>
      <c r="I804" s="61"/>
      <c r="J804" s="1"/>
      <c r="K804" s="1"/>
    </row>
    <row r="805" spans="1:11" ht="15.75" customHeight="1">
      <c r="A805" s="2"/>
      <c r="B805" s="1"/>
      <c r="C805" s="1"/>
      <c r="D805" s="1"/>
      <c r="E805" s="1"/>
      <c r="F805" s="1"/>
      <c r="G805" s="1"/>
      <c r="H805" s="1"/>
      <c r="I805" s="61"/>
      <c r="J805" s="1"/>
      <c r="K805" s="1"/>
    </row>
    <row r="806" spans="1:11" ht="15.75" customHeight="1">
      <c r="A806" s="2"/>
      <c r="B806" s="1"/>
      <c r="C806" s="1"/>
      <c r="D806" s="1"/>
      <c r="E806" s="1"/>
      <c r="F806" s="1"/>
      <c r="G806" s="1"/>
      <c r="H806" s="1"/>
      <c r="I806" s="61"/>
      <c r="J806" s="1"/>
      <c r="K806" s="1"/>
    </row>
    <row r="807" spans="1:11" ht="15.75" customHeight="1">
      <c r="A807" s="2"/>
      <c r="B807" s="1"/>
      <c r="C807" s="1"/>
      <c r="D807" s="1"/>
      <c r="E807" s="1"/>
      <c r="F807" s="1"/>
      <c r="G807" s="1"/>
      <c r="H807" s="1"/>
      <c r="I807" s="61"/>
      <c r="J807" s="1"/>
      <c r="K807" s="1"/>
    </row>
    <row r="808" spans="1:11" ht="15.75" customHeight="1">
      <c r="A808" s="2"/>
      <c r="B808" s="1"/>
      <c r="C808" s="1"/>
      <c r="D808" s="1"/>
      <c r="E808" s="1"/>
      <c r="F808" s="1"/>
      <c r="G808" s="1"/>
      <c r="H808" s="1"/>
      <c r="I808" s="61"/>
      <c r="J808" s="1"/>
      <c r="K808" s="1"/>
    </row>
    <row r="809" spans="1:11" ht="15.75" customHeight="1">
      <c r="A809" s="2"/>
      <c r="B809" s="1"/>
      <c r="C809" s="1"/>
      <c r="D809" s="1"/>
      <c r="E809" s="1"/>
      <c r="F809" s="1"/>
      <c r="G809" s="1"/>
      <c r="H809" s="1"/>
      <c r="I809" s="61"/>
      <c r="J809" s="1"/>
      <c r="K809" s="1"/>
    </row>
    <row r="810" spans="1:11" ht="15.75" customHeight="1">
      <c r="A810" s="2"/>
      <c r="B810" s="1"/>
      <c r="C810" s="1"/>
      <c r="D810" s="1"/>
      <c r="E810" s="1"/>
      <c r="F810" s="1"/>
      <c r="G810" s="1"/>
      <c r="H810" s="1"/>
      <c r="I810" s="61"/>
      <c r="J810" s="1"/>
      <c r="K810" s="1"/>
    </row>
    <row r="811" spans="1:11" ht="15.75" customHeight="1">
      <c r="A811" s="2"/>
      <c r="B811" s="1"/>
      <c r="C811" s="1"/>
      <c r="D811" s="1"/>
      <c r="E811" s="1"/>
      <c r="F811" s="1"/>
      <c r="G811" s="1"/>
      <c r="H811" s="1"/>
      <c r="I811" s="61"/>
      <c r="J811" s="1"/>
      <c r="K811" s="1"/>
    </row>
    <row r="812" spans="1:11" ht="15.75" customHeight="1">
      <c r="A812" s="2"/>
      <c r="B812" s="1"/>
      <c r="C812" s="1"/>
      <c r="D812" s="1"/>
      <c r="E812" s="1"/>
      <c r="F812" s="1"/>
      <c r="G812" s="1"/>
      <c r="H812" s="1"/>
      <c r="I812" s="61"/>
      <c r="J812" s="1"/>
      <c r="K812" s="1"/>
    </row>
    <row r="813" spans="1:11" ht="15.75" customHeight="1">
      <c r="A813" s="2"/>
      <c r="B813" s="1"/>
      <c r="C813" s="1"/>
      <c r="D813" s="1"/>
      <c r="E813" s="1"/>
      <c r="F813" s="1"/>
      <c r="G813" s="1"/>
      <c r="H813" s="1"/>
      <c r="I813" s="61"/>
      <c r="J813" s="1"/>
      <c r="K813" s="1"/>
    </row>
    <row r="814" spans="1:11" ht="15.75" customHeight="1">
      <c r="A814" s="2"/>
      <c r="B814" s="1"/>
      <c r="C814" s="1"/>
      <c r="D814" s="1"/>
      <c r="E814" s="1"/>
      <c r="F814" s="1"/>
      <c r="G814" s="1"/>
      <c r="H814" s="1"/>
      <c r="I814" s="61"/>
      <c r="J814" s="1"/>
      <c r="K814" s="1"/>
    </row>
    <row r="815" spans="1:11" ht="15.75" customHeight="1">
      <c r="A815" s="2"/>
      <c r="B815" s="1"/>
      <c r="C815" s="1"/>
      <c r="D815" s="1"/>
      <c r="E815" s="1"/>
      <c r="F815" s="1"/>
      <c r="G815" s="1"/>
      <c r="H815" s="1"/>
      <c r="I815" s="61"/>
      <c r="J815" s="1"/>
      <c r="K815" s="1"/>
    </row>
    <row r="816" spans="1:11" ht="15.75" customHeight="1">
      <c r="A816" s="2"/>
      <c r="B816" s="1"/>
      <c r="C816" s="1"/>
      <c r="D816" s="1"/>
      <c r="E816" s="1"/>
      <c r="F816" s="1"/>
      <c r="G816" s="1"/>
      <c r="H816" s="1"/>
      <c r="I816" s="61"/>
      <c r="J816" s="1"/>
      <c r="K816" s="1"/>
    </row>
    <row r="817" spans="1:11" ht="15.75" customHeight="1">
      <c r="A817" s="2"/>
      <c r="B817" s="1"/>
      <c r="C817" s="1"/>
      <c r="D817" s="1"/>
      <c r="E817" s="1"/>
      <c r="F817" s="1"/>
      <c r="G817" s="1"/>
      <c r="H817" s="1"/>
      <c r="I817" s="61"/>
      <c r="J817" s="1"/>
      <c r="K817" s="1"/>
    </row>
    <row r="818" spans="1:11" ht="15.75" customHeight="1">
      <c r="A818" s="2"/>
      <c r="B818" s="1"/>
      <c r="C818" s="1"/>
      <c r="D818" s="1"/>
      <c r="E818" s="1"/>
      <c r="F818" s="1"/>
      <c r="G818" s="1"/>
      <c r="H818" s="1"/>
      <c r="I818" s="61"/>
      <c r="J818" s="1"/>
      <c r="K818" s="1"/>
    </row>
    <row r="819" spans="1:11" ht="15.75" customHeight="1">
      <c r="A819" s="2"/>
      <c r="B819" s="1"/>
      <c r="C819" s="1"/>
      <c r="D819" s="1"/>
      <c r="E819" s="1"/>
      <c r="F819" s="1"/>
      <c r="G819" s="1"/>
      <c r="H819" s="1"/>
      <c r="I819" s="61"/>
      <c r="J819" s="1"/>
      <c r="K819" s="1"/>
    </row>
    <row r="820" spans="1:11" ht="15.75" customHeight="1">
      <c r="A820" s="2"/>
      <c r="B820" s="1"/>
      <c r="C820" s="1"/>
      <c r="D820" s="1"/>
      <c r="E820" s="1"/>
      <c r="F820" s="1"/>
      <c r="G820" s="1"/>
      <c r="H820" s="1"/>
      <c r="I820" s="61"/>
      <c r="J820" s="1"/>
      <c r="K820" s="1"/>
    </row>
    <row r="821" spans="1:11" ht="15.75" customHeight="1">
      <c r="A821" s="2"/>
      <c r="B821" s="1"/>
      <c r="C821" s="1"/>
      <c r="D821" s="1"/>
      <c r="E821" s="1"/>
      <c r="F821" s="1"/>
      <c r="G821" s="1"/>
      <c r="H821" s="1"/>
      <c r="I821" s="61"/>
      <c r="J821" s="1"/>
      <c r="K821" s="1"/>
    </row>
    <row r="822" spans="1:11" ht="15.75" customHeight="1">
      <c r="A822" s="2"/>
      <c r="B822" s="1"/>
      <c r="C822" s="1"/>
      <c r="D822" s="1"/>
      <c r="E822" s="1"/>
      <c r="F822" s="1"/>
      <c r="G822" s="1"/>
      <c r="H822" s="1"/>
      <c r="I822" s="61"/>
      <c r="J822" s="1"/>
      <c r="K822" s="1"/>
    </row>
    <row r="823" spans="1:11" ht="15.75" customHeight="1">
      <c r="A823" s="2"/>
      <c r="B823" s="1"/>
      <c r="C823" s="1"/>
      <c r="D823" s="1"/>
      <c r="E823" s="1"/>
      <c r="F823" s="1"/>
      <c r="G823" s="1"/>
      <c r="H823" s="1"/>
      <c r="I823" s="61"/>
      <c r="J823" s="1"/>
      <c r="K823" s="1"/>
    </row>
    <row r="824" spans="1:11" ht="15.75" customHeight="1">
      <c r="A824" s="2"/>
      <c r="B824" s="1"/>
      <c r="C824" s="1"/>
      <c r="D824" s="1"/>
      <c r="E824" s="1"/>
      <c r="F824" s="1"/>
      <c r="G824" s="1"/>
      <c r="H824" s="1"/>
      <c r="I824" s="61"/>
      <c r="J824" s="1"/>
      <c r="K824" s="1"/>
    </row>
    <row r="825" spans="1:11" ht="15.75" customHeight="1">
      <c r="A825" s="2"/>
      <c r="B825" s="1"/>
      <c r="C825" s="1"/>
      <c r="D825" s="1"/>
      <c r="E825" s="1"/>
      <c r="F825" s="1"/>
      <c r="G825" s="1"/>
      <c r="H825" s="1"/>
      <c r="I825" s="61"/>
      <c r="J825" s="1"/>
      <c r="K825" s="1"/>
    </row>
    <row r="826" spans="1:11" ht="15.75" customHeight="1">
      <c r="A826" s="2"/>
      <c r="B826" s="1"/>
      <c r="C826" s="1"/>
      <c r="D826" s="1"/>
      <c r="E826" s="1"/>
      <c r="F826" s="1"/>
      <c r="G826" s="1"/>
      <c r="H826" s="1"/>
      <c r="I826" s="61"/>
      <c r="J826" s="1"/>
      <c r="K826" s="1"/>
    </row>
    <row r="827" spans="1:11" ht="15.75" customHeight="1">
      <c r="A827" s="2"/>
      <c r="B827" s="1"/>
      <c r="C827" s="1"/>
      <c r="D827" s="1"/>
      <c r="E827" s="1"/>
      <c r="F827" s="1"/>
      <c r="G827" s="1"/>
      <c r="H827" s="1"/>
      <c r="I827" s="61"/>
      <c r="J827" s="1"/>
      <c r="K827" s="1"/>
    </row>
    <row r="828" spans="1:11" ht="15.75" customHeight="1">
      <c r="A828" s="2"/>
      <c r="B828" s="1"/>
      <c r="C828" s="1"/>
      <c r="D828" s="1"/>
      <c r="E828" s="1"/>
      <c r="F828" s="1"/>
      <c r="G828" s="1"/>
      <c r="H828" s="1"/>
      <c r="I828" s="61"/>
      <c r="J828" s="1"/>
      <c r="K828" s="1"/>
    </row>
    <row r="829" spans="1:11" ht="15.75" customHeight="1">
      <c r="A829" s="2"/>
      <c r="B829" s="1"/>
      <c r="C829" s="1"/>
      <c r="D829" s="1"/>
      <c r="E829" s="1"/>
      <c r="F829" s="1"/>
      <c r="G829" s="1"/>
      <c r="H829" s="1"/>
      <c r="I829" s="61"/>
      <c r="J829" s="1"/>
      <c r="K829" s="1"/>
    </row>
    <row r="830" spans="1:11" ht="15.75" customHeight="1">
      <c r="A830" s="2"/>
      <c r="B830" s="1"/>
      <c r="C830" s="1"/>
      <c r="D830" s="1"/>
      <c r="E830" s="1"/>
      <c r="F830" s="1"/>
      <c r="G830" s="1"/>
      <c r="H830" s="1"/>
      <c r="I830" s="61"/>
      <c r="J830" s="1"/>
      <c r="K830" s="1"/>
    </row>
    <row r="831" spans="1:11" ht="15.75" customHeight="1">
      <c r="A831" s="2"/>
      <c r="B831" s="1"/>
      <c r="C831" s="1"/>
      <c r="D831" s="1"/>
      <c r="E831" s="1"/>
      <c r="F831" s="1"/>
      <c r="G831" s="1"/>
      <c r="H831" s="1"/>
      <c r="I831" s="61"/>
      <c r="J831" s="1"/>
      <c r="K831" s="1"/>
    </row>
    <row r="832" spans="1:11" ht="15.75" customHeight="1">
      <c r="A832" s="2"/>
      <c r="B832" s="1"/>
      <c r="C832" s="1"/>
      <c r="D832" s="1"/>
      <c r="E832" s="1"/>
      <c r="F832" s="1"/>
      <c r="G832" s="1"/>
      <c r="H832" s="1"/>
      <c r="I832" s="61"/>
      <c r="J832" s="1"/>
      <c r="K832" s="1"/>
    </row>
    <row r="833" spans="1:11" ht="15.75" customHeight="1">
      <c r="A833" s="2"/>
      <c r="B833" s="1"/>
      <c r="C833" s="1"/>
      <c r="D833" s="1"/>
      <c r="E833" s="1"/>
      <c r="F833" s="1"/>
      <c r="G833" s="1"/>
      <c r="H833" s="1"/>
      <c r="I833" s="61"/>
      <c r="J833" s="1"/>
      <c r="K833" s="1"/>
    </row>
    <row r="834" spans="1:11" ht="15.75" customHeight="1">
      <c r="A834" s="2"/>
      <c r="B834" s="1"/>
      <c r="C834" s="1"/>
      <c r="D834" s="1"/>
      <c r="E834" s="1"/>
      <c r="F834" s="1"/>
      <c r="G834" s="1"/>
      <c r="H834" s="1"/>
      <c r="I834" s="61"/>
      <c r="J834" s="1"/>
      <c r="K834" s="1"/>
    </row>
    <row r="835" spans="1:11" ht="15.75" customHeight="1">
      <c r="A835" s="2"/>
      <c r="B835" s="1"/>
      <c r="C835" s="1"/>
      <c r="D835" s="1"/>
      <c r="E835" s="1"/>
      <c r="F835" s="1"/>
      <c r="G835" s="1"/>
      <c r="H835" s="1"/>
      <c r="I835" s="61"/>
      <c r="J835" s="1"/>
      <c r="K835" s="1"/>
    </row>
    <row r="836" spans="1:11" ht="15.75" customHeight="1">
      <c r="A836" s="2"/>
      <c r="B836" s="1"/>
      <c r="C836" s="1"/>
      <c r="D836" s="1"/>
      <c r="E836" s="1"/>
      <c r="F836" s="1"/>
      <c r="G836" s="1"/>
      <c r="H836" s="1"/>
      <c r="I836" s="61"/>
      <c r="J836" s="1"/>
      <c r="K836" s="1"/>
    </row>
    <row r="837" spans="1:11" ht="15.75" customHeight="1">
      <c r="A837" s="2"/>
      <c r="B837" s="1"/>
      <c r="C837" s="1"/>
      <c r="D837" s="1"/>
      <c r="E837" s="1"/>
      <c r="F837" s="1"/>
      <c r="G837" s="1"/>
      <c r="H837" s="1"/>
      <c r="I837" s="61"/>
      <c r="J837" s="1"/>
      <c r="K837" s="1"/>
    </row>
    <row r="838" spans="1:11" ht="15.75" customHeight="1">
      <c r="A838" s="2"/>
      <c r="B838" s="1"/>
      <c r="C838" s="1"/>
      <c r="D838" s="1"/>
      <c r="E838" s="1"/>
      <c r="F838" s="1"/>
      <c r="G838" s="1"/>
      <c r="H838" s="1"/>
      <c r="I838" s="61"/>
      <c r="J838" s="1"/>
      <c r="K838" s="1"/>
    </row>
    <row r="839" spans="1:11" ht="15.75" customHeight="1">
      <c r="A839" s="2"/>
      <c r="B839" s="1"/>
      <c r="C839" s="1"/>
      <c r="D839" s="1"/>
      <c r="E839" s="1"/>
      <c r="F839" s="1"/>
      <c r="G839" s="1"/>
      <c r="H839" s="1"/>
      <c r="I839" s="61"/>
      <c r="J839" s="1"/>
      <c r="K839" s="1"/>
    </row>
    <row r="840" spans="1:11" ht="15.75" customHeight="1">
      <c r="A840" s="2"/>
      <c r="B840" s="1"/>
      <c r="C840" s="1"/>
      <c r="D840" s="1"/>
      <c r="E840" s="1"/>
      <c r="F840" s="1"/>
      <c r="G840" s="1"/>
      <c r="H840" s="1"/>
      <c r="I840" s="61"/>
      <c r="J840" s="1"/>
      <c r="K840" s="1"/>
    </row>
    <row r="841" spans="1:11" ht="15.75" customHeight="1">
      <c r="A841" s="2"/>
      <c r="B841" s="1"/>
      <c r="C841" s="1"/>
      <c r="D841" s="1"/>
      <c r="E841" s="1"/>
      <c r="F841" s="1"/>
      <c r="G841" s="1"/>
      <c r="H841" s="1"/>
      <c r="I841" s="61"/>
      <c r="J841" s="1"/>
      <c r="K841" s="1"/>
    </row>
    <row r="842" spans="1:11" ht="15.75" customHeight="1">
      <c r="A842" s="2"/>
      <c r="B842" s="1"/>
      <c r="C842" s="1"/>
      <c r="D842" s="1"/>
      <c r="E842" s="1"/>
      <c r="F842" s="1"/>
      <c r="G842" s="1"/>
      <c r="H842" s="1"/>
      <c r="I842" s="61"/>
      <c r="J842" s="1"/>
      <c r="K842" s="1"/>
    </row>
    <row r="843" spans="1:11" ht="15.75" customHeight="1">
      <c r="A843" s="2"/>
      <c r="B843" s="1"/>
      <c r="C843" s="1"/>
      <c r="D843" s="1"/>
      <c r="E843" s="1"/>
      <c r="F843" s="1"/>
      <c r="G843" s="1"/>
      <c r="H843" s="1"/>
      <c r="I843" s="61"/>
      <c r="J843" s="1"/>
      <c r="K843" s="1"/>
    </row>
    <row r="844" spans="1:11" ht="15.75" customHeight="1">
      <c r="A844" s="2"/>
      <c r="B844" s="1"/>
      <c r="C844" s="1"/>
      <c r="D844" s="1"/>
      <c r="E844" s="1"/>
      <c r="F844" s="1"/>
      <c r="G844" s="1"/>
      <c r="H844" s="1"/>
      <c r="I844" s="61"/>
      <c r="J844" s="1"/>
      <c r="K844" s="1"/>
    </row>
    <row r="845" spans="1:11" ht="15.75" customHeight="1">
      <c r="A845" s="2"/>
      <c r="B845" s="1"/>
      <c r="C845" s="1"/>
      <c r="D845" s="1"/>
      <c r="E845" s="1"/>
      <c r="F845" s="1"/>
      <c r="G845" s="1"/>
      <c r="H845" s="1"/>
      <c r="I845" s="61"/>
      <c r="J845" s="1"/>
      <c r="K845" s="1"/>
    </row>
    <row r="846" spans="1:11" ht="15.75" customHeight="1">
      <c r="A846" s="2"/>
      <c r="B846" s="1"/>
      <c r="C846" s="1"/>
      <c r="D846" s="1"/>
      <c r="E846" s="1"/>
      <c r="F846" s="1"/>
      <c r="G846" s="1"/>
      <c r="H846" s="1"/>
      <c r="I846" s="61"/>
      <c r="J846" s="1"/>
      <c r="K846" s="1"/>
    </row>
    <row r="847" spans="1:11" ht="15.75" customHeight="1">
      <c r="A847" s="2"/>
      <c r="B847" s="1"/>
      <c r="C847" s="1"/>
      <c r="D847" s="1"/>
      <c r="E847" s="1"/>
      <c r="F847" s="1"/>
      <c r="G847" s="1"/>
      <c r="H847" s="1"/>
      <c r="I847" s="61"/>
      <c r="J847" s="1"/>
      <c r="K847" s="1"/>
    </row>
    <row r="848" spans="1:11" ht="15.75" customHeight="1">
      <c r="A848" s="2"/>
      <c r="B848" s="1"/>
      <c r="C848" s="1"/>
      <c r="D848" s="1"/>
      <c r="E848" s="1"/>
      <c r="F848" s="1"/>
      <c r="G848" s="1"/>
      <c r="H848" s="1"/>
      <c r="I848" s="61"/>
      <c r="J848" s="1"/>
      <c r="K848" s="1"/>
    </row>
    <row r="849" spans="1:11" ht="15.75" customHeight="1">
      <c r="A849" s="2"/>
      <c r="B849" s="1"/>
      <c r="C849" s="1"/>
      <c r="D849" s="1"/>
      <c r="E849" s="1"/>
      <c r="F849" s="1"/>
      <c r="G849" s="1"/>
      <c r="H849" s="1"/>
      <c r="I849" s="61"/>
      <c r="J849" s="1"/>
      <c r="K849" s="1"/>
    </row>
    <row r="850" spans="1:11" ht="15.75" customHeight="1">
      <c r="A850" s="2"/>
      <c r="B850" s="1"/>
      <c r="C850" s="1"/>
      <c r="D850" s="1"/>
      <c r="E850" s="1"/>
      <c r="F850" s="1"/>
      <c r="G850" s="1"/>
      <c r="H850" s="1"/>
      <c r="I850" s="61"/>
      <c r="J850" s="1"/>
      <c r="K850" s="1"/>
    </row>
    <row r="851" spans="1:11" ht="15.75" customHeight="1">
      <c r="A851" s="2"/>
      <c r="B851" s="1"/>
      <c r="C851" s="1"/>
      <c r="D851" s="1"/>
      <c r="E851" s="1"/>
      <c r="F851" s="1"/>
      <c r="G851" s="1"/>
      <c r="H851" s="1"/>
      <c r="I851" s="61"/>
      <c r="J851" s="1"/>
      <c r="K851" s="1"/>
    </row>
    <row r="852" spans="1:11" ht="15.75" customHeight="1">
      <c r="A852" s="2"/>
      <c r="B852" s="1"/>
      <c r="C852" s="1"/>
      <c r="D852" s="1"/>
      <c r="E852" s="1"/>
      <c r="F852" s="1"/>
      <c r="G852" s="1"/>
      <c r="H852" s="1"/>
      <c r="I852" s="61"/>
      <c r="J852" s="1"/>
      <c r="K852" s="1"/>
    </row>
    <row r="853" spans="1:11" ht="15.75" customHeight="1">
      <c r="A853" s="2"/>
      <c r="B853" s="1"/>
      <c r="C853" s="1"/>
      <c r="D853" s="1"/>
      <c r="E853" s="1"/>
      <c r="F853" s="1"/>
      <c r="G853" s="1"/>
      <c r="H853" s="1"/>
      <c r="I853" s="61"/>
      <c r="J853" s="1"/>
      <c r="K853" s="1"/>
    </row>
    <row r="854" spans="1:11" ht="15.75" customHeight="1">
      <c r="A854" s="2"/>
      <c r="B854" s="1"/>
      <c r="C854" s="1"/>
      <c r="D854" s="1"/>
      <c r="E854" s="1"/>
      <c r="F854" s="1"/>
      <c r="G854" s="1"/>
      <c r="H854" s="1"/>
      <c r="I854" s="61"/>
      <c r="J854" s="1"/>
      <c r="K854" s="1"/>
    </row>
    <row r="855" spans="1:11" ht="15.75" customHeight="1">
      <c r="A855" s="2"/>
      <c r="B855" s="1"/>
      <c r="C855" s="1"/>
      <c r="D855" s="1"/>
      <c r="E855" s="1"/>
      <c r="F855" s="1"/>
      <c r="G855" s="1"/>
      <c r="H855" s="1"/>
      <c r="I855" s="61"/>
      <c r="J855" s="1"/>
      <c r="K855" s="1"/>
    </row>
    <row r="856" spans="1:11" ht="15.75" customHeight="1">
      <c r="A856" s="2"/>
      <c r="B856" s="1"/>
      <c r="C856" s="1"/>
      <c r="D856" s="1"/>
      <c r="E856" s="1"/>
      <c r="F856" s="1"/>
      <c r="G856" s="1"/>
      <c r="H856" s="1"/>
      <c r="I856" s="61"/>
      <c r="J856" s="1"/>
      <c r="K856" s="1"/>
    </row>
    <row r="857" spans="1:11" ht="15.75" customHeight="1">
      <c r="A857" s="2"/>
      <c r="B857" s="1"/>
      <c r="C857" s="1"/>
      <c r="D857" s="1"/>
      <c r="E857" s="1"/>
      <c r="F857" s="1"/>
      <c r="G857" s="1"/>
      <c r="H857" s="1"/>
      <c r="I857" s="61"/>
      <c r="J857" s="1"/>
      <c r="K857" s="1"/>
    </row>
    <row r="858" spans="1:11" ht="15.75" customHeight="1">
      <c r="A858" s="2"/>
      <c r="B858" s="1"/>
      <c r="C858" s="1"/>
      <c r="D858" s="1"/>
      <c r="E858" s="1"/>
      <c r="F858" s="1"/>
      <c r="G858" s="1"/>
      <c r="H858" s="1"/>
      <c r="I858" s="61"/>
      <c r="J858" s="1"/>
      <c r="K858" s="1"/>
    </row>
    <row r="859" spans="1:11" ht="15.75" customHeight="1">
      <c r="A859" s="2"/>
      <c r="B859" s="1"/>
      <c r="C859" s="1"/>
      <c r="D859" s="1"/>
      <c r="E859" s="1"/>
      <c r="F859" s="1"/>
      <c r="G859" s="1"/>
      <c r="H859" s="1"/>
      <c r="I859" s="61"/>
      <c r="J859" s="1"/>
      <c r="K859" s="1"/>
    </row>
    <row r="860" spans="1:11" ht="15.75" customHeight="1">
      <c r="A860" s="2"/>
      <c r="B860" s="1"/>
      <c r="C860" s="1"/>
      <c r="D860" s="1"/>
      <c r="E860" s="1"/>
      <c r="F860" s="1"/>
      <c r="G860" s="1"/>
      <c r="H860" s="1"/>
      <c r="I860" s="61"/>
      <c r="J860" s="1"/>
      <c r="K860" s="1"/>
    </row>
    <row r="861" spans="1:11" ht="15.75" customHeight="1">
      <c r="A861" s="2"/>
      <c r="B861" s="1"/>
      <c r="C861" s="1"/>
      <c r="D861" s="1"/>
      <c r="E861" s="1"/>
      <c r="F861" s="1"/>
      <c r="G861" s="1"/>
      <c r="H861" s="1"/>
      <c r="I861" s="61"/>
      <c r="J861" s="1"/>
      <c r="K861" s="1"/>
    </row>
    <row r="862" spans="1:11" ht="15.75" customHeight="1">
      <c r="A862" s="2"/>
      <c r="B862" s="1"/>
      <c r="C862" s="1"/>
      <c r="D862" s="1"/>
      <c r="E862" s="1"/>
      <c r="F862" s="1"/>
      <c r="G862" s="1"/>
      <c r="H862" s="1"/>
      <c r="I862" s="61"/>
      <c r="J862" s="1"/>
      <c r="K862" s="1"/>
    </row>
    <row r="863" spans="1:11" ht="15.75" customHeight="1">
      <c r="A863" s="2"/>
      <c r="B863" s="1"/>
      <c r="C863" s="1"/>
      <c r="D863" s="1"/>
      <c r="E863" s="1"/>
      <c r="F863" s="1"/>
      <c r="G863" s="1"/>
      <c r="H863" s="1"/>
      <c r="I863" s="61"/>
      <c r="J863" s="1"/>
      <c r="K863" s="1"/>
    </row>
    <row r="864" spans="1:11" ht="15.75" customHeight="1">
      <c r="A864" s="2"/>
      <c r="B864" s="1"/>
      <c r="C864" s="1"/>
      <c r="D864" s="1"/>
      <c r="E864" s="1"/>
      <c r="F864" s="1"/>
      <c r="G864" s="1"/>
      <c r="H864" s="1"/>
      <c r="I864" s="61"/>
      <c r="J864" s="1"/>
      <c r="K864" s="1"/>
    </row>
    <row r="865" spans="1:11" ht="15.75" customHeight="1">
      <c r="A865" s="2"/>
      <c r="B865" s="1"/>
      <c r="C865" s="1"/>
      <c r="D865" s="1"/>
      <c r="E865" s="1"/>
      <c r="F865" s="1"/>
      <c r="G865" s="1"/>
      <c r="H865" s="1"/>
      <c r="I865" s="61"/>
      <c r="J865" s="1"/>
      <c r="K865" s="1"/>
    </row>
    <row r="866" spans="1:11" ht="15.75" customHeight="1">
      <c r="A866" s="2"/>
      <c r="B866" s="1"/>
      <c r="C866" s="1"/>
      <c r="D866" s="1"/>
      <c r="E866" s="1"/>
      <c r="F866" s="1"/>
      <c r="G866" s="1"/>
      <c r="H866" s="1"/>
      <c r="I866" s="61"/>
      <c r="J866" s="1"/>
      <c r="K866" s="1"/>
    </row>
    <row r="867" spans="1:11" ht="15.75" customHeight="1">
      <c r="A867" s="2"/>
      <c r="B867" s="1"/>
      <c r="C867" s="1"/>
      <c r="D867" s="1"/>
      <c r="E867" s="1"/>
      <c r="F867" s="1"/>
      <c r="G867" s="1"/>
      <c r="H867" s="1"/>
      <c r="I867" s="61"/>
      <c r="J867" s="1"/>
      <c r="K867" s="1"/>
    </row>
    <row r="868" spans="1:11" ht="15.75" customHeight="1">
      <c r="A868" s="2"/>
      <c r="B868" s="1"/>
      <c r="C868" s="1"/>
      <c r="D868" s="1"/>
      <c r="E868" s="1"/>
      <c r="F868" s="1"/>
      <c r="G868" s="1"/>
      <c r="H868" s="1"/>
      <c r="I868" s="61"/>
      <c r="J868" s="1"/>
      <c r="K868" s="1"/>
    </row>
    <row r="869" spans="1:11" ht="15.75" customHeight="1">
      <c r="A869" s="2"/>
      <c r="B869" s="1"/>
      <c r="C869" s="1"/>
      <c r="D869" s="1"/>
      <c r="E869" s="1"/>
      <c r="F869" s="1"/>
      <c r="G869" s="1"/>
      <c r="H869" s="1"/>
      <c r="I869" s="61"/>
      <c r="J869" s="1"/>
      <c r="K869" s="1"/>
    </row>
    <row r="870" spans="1:11" ht="15.75" customHeight="1">
      <c r="A870" s="2"/>
      <c r="B870" s="1"/>
      <c r="C870" s="1"/>
      <c r="D870" s="1"/>
      <c r="E870" s="1"/>
      <c r="F870" s="1"/>
      <c r="G870" s="1"/>
      <c r="H870" s="1"/>
      <c r="I870" s="61"/>
      <c r="J870" s="1"/>
      <c r="K870" s="1"/>
    </row>
    <row r="871" spans="1:11" ht="15.75" customHeight="1">
      <c r="A871" s="2"/>
      <c r="B871" s="1"/>
      <c r="C871" s="1"/>
      <c r="D871" s="1"/>
      <c r="E871" s="1"/>
      <c r="F871" s="1"/>
      <c r="G871" s="1"/>
      <c r="H871" s="1"/>
      <c r="I871" s="61"/>
      <c r="J871" s="1"/>
      <c r="K871" s="1"/>
    </row>
    <row r="872" spans="1:11" ht="15.75" customHeight="1">
      <c r="A872" s="2"/>
      <c r="B872" s="1"/>
      <c r="C872" s="1"/>
      <c r="D872" s="1"/>
      <c r="E872" s="1"/>
      <c r="F872" s="1"/>
      <c r="G872" s="1"/>
      <c r="H872" s="1"/>
      <c r="I872" s="61"/>
      <c r="J872" s="1"/>
      <c r="K872" s="1"/>
    </row>
    <row r="873" spans="1:11" ht="15.75" customHeight="1">
      <c r="A873" s="2"/>
      <c r="B873" s="1"/>
      <c r="C873" s="1"/>
      <c r="D873" s="1"/>
      <c r="E873" s="1"/>
      <c r="F873" s="1"/>
      <c r="G873" s="1"/>
      <c r="H873" s="1"/>
      <c r="I873" s="61"/>
      <c r="J873" s="1"/>
      <c r="K873" s="1"/>
    </row>
    <row r="874" spans="1:11" ht="15.75" customHeight="1">
      <c r="A874" s="2"/>
      <c r="B874" s="1"/>
      <c r="C874" s="1"/>
      <c r="D874" s="1"/>
      <c r="E874" s="1"/>
      <c r="F874" s="1"/>
      <c r="G874" s="1"/>
      <c r="H874" s="1"/>
      <c r="I874" s="61"/>
      <c r="J874" s="1"/>
      <c r="K874" s="1"/>
    </row>
    <row r="875" spans="1:11" ht="15.75" customHeight="1">
      <c r="A875" s="2"/>
      <c r="B875" s="1"/>
      <c r="C875" s="1"/>
      <c r="D875" s="1"/>
      <c r="E875" s="1"/>
      <c r="F875" s="1"/>
      <c r="G875" s="1"/>
      <c r="H875" s="1"/>
      <c r="I875" s="61"/>
      <c r="J875" s="1"/>
      <c r="K875" s="1"/>
    </row>
    <row r="876" spans="1:11" ht="15.75" customHeight="1">
      <c r="A876" s="2"/>
      <c r="B876" s="1"/>
      <c r="C876" s="1"/>
      <c r="D876" s="1"/>
      <c r="E876" s="1"/>
      <c r="F876" s="1"/>
      <c r="G876" s="1"/>
      <c r="H876" s="1"/>
      <c r="I876" s="61"/>
      <c r="J876" s="1"/>
      <c r="K876" s="1"/>
    </row>
    <row r="877" spans="1:11" ht="15.75" customHeight="1">
      <c r="A877" s="2"/>
      <c r="B877" s="1"/>
      <c r="C877" s="1"/>
      <c r="D877" s="1"/>
      <c r="E877" s="1"/>
      <c r="F877" s="1"/>
      <c r="G877" s="1"/>
      <c r="H877" s="1"/>
      <c r="I877" s="61"/>
      <c r="J877" s="1"/>
      <c r="K877" s="1"/>
    </row>
    <row r="878" spans="1:11" ht="15.75" customHeight="1">
      <c r="A878" s="2"/>
      <c r="B878" s="1"/>
      <c r="C878" s="1"/>
      <c r="D878" s="1"/>
      <c r="E878" s="1"/>
      <c r="F878" s="1"/>
      <c r="G878" s="1"/>
      <c r="H878" s="1"/>
      <c r="I878" s="61"/>
      <c r="J878" s="1"/>
      <c r="K878" s="1"/>
    </row>
    <row r="879" spans="1:11" ht="15.75" customHeight="1">
      <c r="A879" s="2"/>
      <c r="B879" s="1"/>
      <c r="C879" s="1"/>
      <c r="D879" s="1"/>
      <c r="E879" s="1"/>
      <c r="F879" s="1"/>
      <c r="G879" s="1"/>
      <c r="H879" s="1"/>
      <c r="I879" s="61"/>
      <c r="J879" s="1"/>
      <c r="K879" s="1"/>
    </row>
    <row r="880" spans="1:11" ht="15.75" customHeight="1">
      <c r="A880" s="2"/>
      <c r="B880" s="1"/>
      <c r="C880" s="1"/>
      <c r="D880" s="1"/>
      <c r="E880" s="1"/>
      <c r="F880" s="1"/>
      <c r="G880" s="1"/>
      <c r="H880" s="1"/>
      <c r="I880" s="61"/>
      <c r="J880" s="1"/>
      <c r="K880" s="1"/>
    </row>
    <row r="881" spans="1:11" ht="15.75" customHeight="1">
      <c r="A881" s="2"/>
      <c r="B881" s="1"/>
      <c r="C881" s="1"/>
      <c r="D881" s="1"/>
      <c r="E881" s="1"/>
      <c r="F881" s="1"/>
      <c r="G881" s="1"/>
      <c r="H881" s="1"/>
      <c r="I881" s="61"/>
      <c r="J881" s="1"/>
      <c r="K881" s="1"/>
    </row>
    <row r="882" spans="1:11" ht="15.75" customHeight="1">
      <c r="A882" s="2"/>
      <c r="B882" s="1"/>
      <c r="C882" s="1"/>
      <c r="D882" s="1"/>
      <c r="E882" s="1"/>
      <c r="F882" s="1"/>
      <c r="G882" s="1"/>
      <c r="H882" s="1"/>
      <c r="I882" s="61"/>
      <c r="J882" s="1"/>
      <c r="K882" s="1"/>
    </row>
    <row r="883" spans="1:11" ht="15.75" customHeight="1">
      <c r="A883" s="2"/>
      <c r="B883" s="1"/>
      <c r="C883" s="1"/>
      <c r="D883" s="1"/>
      <c r="E883" s="1"/>
      <c r="F883" s="1"/>
      <c r="G883" s="1"/>
      <c r="H883" s="1"/>
      <c r="I883" s="61"/>
      <c r="J883" s="1"/>
      <c r="K883" s="1"/>
    </row>
    <row r="884" spans="1:11" ht="15.75" customHeight="1">
      <c r="A884" s="2"/>
      <c r="B884" s="1"/>
      <c r="C884" s="1"/>
      <c r="D884" s="1"/>
      <c r="E884" s="1"/>
      <c r="F884" s="1"/>
      <c r="G884" s="1"/>
      <c r="H884" s="1"/>
      <c r="I884" s="61"/>
      <c r="J884" s="1"/>
      <c r="K884" s="1"/>
    </row>
    <row r="885" spans="1:11" ht="15.75" customHeight="1">
      <c r="A885" s="2"/>
      <c r="B885" s="1"/>
      <c r="C885" s="1"/>
      <c r="D885" s="1"/>
      <c r="E885" s="1"/>
      <c r="F885" s="1"/>
      <c r="G885" s="1"/>
      <c r="H885" s="1"/>
      <c r="I885" s="61"/>
      <c r="J885" s="1"/>
      <c r="K885" s="1"/>
    </row>
    <row r="886" spans="1:11" ht="15.75" customHeight="1">
      <c r="A886" s="2"/>
      <c r="B886" s="1"/>
      <c r="C886" s="1"/>
      <c r="D886" s="1"/>
      <c r="E886" s="1"/>
      <c r="F886" s="1"/>
      <c r="G886" s="1"/>
      <c r="H886" s="1"/>
      <c r="I886" s="61"/>
      <c r="J886" s="1"/>
      <c r="K886" s="1"/>
    </row>
    <row r="887" spans="1:11" ht="15.75" customHeight="1">
      <c r="A887" s="2"/>
      <c r="B887" s="1"/>
      <c r="C887" s="1"/>
      <c r="D887" s="1"/>
      <c r="E887" s="1"/>
      <c r="F887" s="1"/>
      <c r="G887" s="1"/>
      <c r="H887" s="1"/>
      <c r="I887" s="61"/>
      <c r="J887" s="1"/>
      <c r="K887" s="1"/>
    </row>
    <row r="888" spans="1:11" ht="15.75" customHeight="1">
      <c r="A888" s="2"/>
      <c r="B888" s="1"/>
      <c r="C888" s="1"/>
      <c r="D888" s="1"/>
      <c r="E888" s="1"/>
      <c r="F888" s="1"/>
      <c r="G888" s="1"/>
      <c r="H888" s="1"/>
      <c r="I888" s="61"/>
      <c r="J888" s="1"/>
      <c r="K888" s="1"/>
    </row>
    <row r="889" spans="1:11" ht="15.75" customHeight="1">
      <c r="A889" s="2"/>
      <c r="B889" s="1"/>
      <c r="C889" s="1"/>
      <c r="D889" s="1"/>
      <c r="E889" s="1"/>
      <c r="F889" s="1"/>
      <c r="G889" s="1"/>
      <c r="H889" s="1"/>
      <c r="I889" s="61"/>
      <c r="J889" s="1"/>
      <c r="K889" s="1"/>
    </row>
    <row r="890" spans="1:11" ht="15.75" customHeight="1">
      <c r="A890" s="2"/>
      <c r="B890" s="1"/>
      <c r="C890" s="1"/>
      <c r="D890" s="1"/>
      <c r="E890" s="1"/>
      <c r="F890" s="1"/>
      <c r="G890" s="1"/>
      <c r="H890" s="1"/>
      <c r="I890" s="61"/>
      <c r="J890" s="1"/>
      <c r="K890" s="1"/>
    </row>
    <row r="891" spans="1:11" ht="15.75" customHeight="1">
      <c r="A891" s="2"/>
      <c r="B891" s="1"/>
      <c r="C891" s="1"/>
      <c r="D891" s="1"/>
      <c r="E891" s="1"/>
      <c r="F891" s="1"/>
      <c r="G891" s="1"/>
      <c r="H891" s="1"/>
      <c r="I891" s="61"/>
      <c r="J891" s="1"/>
      <c r="K891" s="1"/>
    </row>
    <row r="892" spans="1:11" ht="15.75" customHeight="1">
      <c r="A892" s="2"/>
      <c r="B892" s="1"/>
      <c r="C892" s="1"/>
      <c r="D892" s="1"/>
      <c r="E892" s="1"/>
      <c r="F892" s="1"/>
      <c r="G892" s="1"/>
      <c r="H892" s="1"/>
      <c r="I892" s="61"/>
      <c r="J892" s="1"/>
      <c r="K892" s="1"/>
    </row>
    <row r="893" spans="1:11" ht="15.75" customHeight="1">
      <c r="A893" s="2"/>
      <c r="B893" s="1"/>
      <c r="C893" s="1"/>
      <c r="D893" s="1"/>
      <c r="E893" s="1"/>
      <c r="F893" s="1"/>
      <c r="G893" s="1"/>
      <c r="H893" s="1"/>
      <c r="I893" s="61"/>
      <c r="J893" s="1"/>
      <c r="K893" s="1"/>
    </row>
    <row r="894" spans="1:11" ht="15.75" customHeight="1">
      <c r="A894" s="2"/>
      <c r="B894" s="1"/>
      <c r="C894" s="1"/>
      <c r="D894" s="1"/>
      <c r="E894" s="1"/>
      <c r="F894" s="1"/>
      <c r="G894" s="1"/>
      <c r="H894" s="1"/>
      <c r="I894" s="61"/>
      <c r="J894" s="1"/>
      <c r="K894" s="1"/>
    </row>
    <row r="895" spans="1:11" ht="15.75" customHeight="1">
      <c r="A895" s="2"/>
      <c r="B895" s="1"/>
      <c r="C895" s="1"/>
      <c r="D895" s="1"/>
      <c r="E895" s="1"/>
      <c r="F895" s="1"/>
      <c r="G895" s="1"/>
      <c r="H895" s="1"/>
      <c r="I895" s="61"/>
      <c r="J895" s="1"/>
      <c r="K895" s="1"/>
    </row>
    <row r="896" spans="1:11" ht="15.75" customHeight="1">
      <c r="A896" s="2"/>
      <c r="B896" s="1"/>
      <c r="C896" s="1"/>
      <c r="D896" s="1"/>
      <c r="E896" s="1"/>
      <c r="F896" s="1"/>
      <c r="G896" s="1"/>
      <c r="H896" s="1"/>
      <c r="I896" s="61"/>
      <c r="J896" s="1"/>
      <c r="K896" s="1"/>
    </row>
    <row r="897" spans="1:11" ht="15.75" customHeight="1">
      <c r="A897" s="2"/>
      <c r="B897" s="1"/>
      <c r="C897" s="1"/>
      <c r="D897" s="1"/>
      <c r="E897" s="1"/>
      <c r="F897" s="1"/>
      <c r="G897" s="1"/>
      <c r="H897" s="1"/>
      <c r="I897" s="61"/>
      <c r="J897" s="1"/>
      <c r="K897" s="1"/>
    </row>
    <row r="898" spans="1:11" ht="15.75" customHeight="1">
      <c r="A898" s="2"/>
      <c r="B898" s="1"/>
      <c r="C898" s="1"/>
      <c r="D898" s="1"/>
      <c r="E898" s="1"/>
      <c r="F898" s="1"/>
      <c r="G898" s="1"/>
      <c r="H898" s="1"/>
      <c r="I898" s="61"/>
      <c r="J898" s="1"/>
      <c r="K898" s="1"/>
    </row>
    <row r="899" spans="1:11" ht="15.75" customHeight="1">
      <c r="A899" s="2"/>
      <c r="B899" s="1"/>
      <c r="C899" s="1"/>
      <c r="D899" s="1"/>
      <c r="E899" s="1"/>
      <c r="F899" s="1"/>
      <c r="G899" s="1"/>
      <c r="H899" s="1"/>
      <c r="I899" s="61"/>
      <c r="J899" s="1"/>
      <c r="K899" s="1"/>
    </row>
    <row r="900" spans="1:11" ht="15.75" customHeight="1">
      <c r="A900" s="2"/>
      <c r="B900" s="1"/>
      <c r="C900" s="1"/>
      <c r="D900" s="1"/>
      <c r="E900" s="1"/>
      <c r="F900" s="1"/>
      <c r="G900" s="1"/>
      <c r="H900" s="1"/>
      <c r="I900" s="61"/>
      <c r="J900" s="1"/>
      <c r="K900" s="1"/>
    </row>
    <row r="901" spans="1:11" ht="15.75" customHeight="1">
      <c r="A901" s="2"/>
      <c r="B901" s="1"/>
      <c r="C901" s="1"/>
      <c r="D901" s="1"/>
      <c r="E901" s="1"/>
      <c r="F901" s="1"/>
      <c r="G901" s="1"/>
      <c r="H901" s="1"/>
      <c r="I901" s="61"/>
      <c r="J901" s="1"/>
      <c r="K901" s="1"/>
    </row>
    <row r="902" spans="1:11" ht="15.75" customHeight="1">
      <c r="A902" s="2"/>
      <c r="B902" s="1"/>
      <c r="C902" s="1"/>
      <c r="D902" s="1"/>
      <c r="E902" s="1"/>
      <c r="F902" s="1"/>
      <c r="G902" s="1"/>
      <c r="H902" s="1"/>
      <c r="I902" s="61"/>
      <c r="J902" s="1"/>
      <c r="K902" s="1"/>
    </row>
    <row r="903" spans="1:11" ht="15.75" customHeight="1">
      <c r="A903" s="2"/>
      <c r="B903" s="1"/>
      <c r="C903" s="1"/>
      <c r="D903" s="1"/>
      <c r="E903" s="1"/>
      <c r="F903" s="1"/>
      <c r="G903" s="1"/>
      <c r="H903" s="1"/>
      <c r="I903" s="61"/>
      <c r="J903" s="1"/>
      <c r="K903" s="1"/>
    </row>
    <row r="904" spans="1:11" ht="15.75" customHeight="1">
      <c r="A904" s="2"/>
      <c r="B904" s="1"/>
      <c r="C904" s="1"/>
      <c r="D904" s="1"/>
      <c r="E904" s="1"/>
      <c r="F904" s="1"/>
      <c r="G904" s="1"/>
      <c r="H904" s="1"/>
      <c r="I904" s="61"/>
      <c r="J904" s="1"/>
      <c r="K904" s="1"/>
    </row>
    <row r="905" spans="1:11" ht="15.75" customHeight="1">
      <c r="A905" s="2"/>
      <c r="B905" s="1"/>
      <c r="C905" s="1"/>
      <c r="D905" s="1"/>
      <c r="E905" s="1"/>
      <c r="F905" s="1"/>
      <c r="G905" s="1"/>
      <c r="H905" s="1"/>
      <c r="I905" s="61"/>
      <c r="J905" s="1"/>
      <c r="K905" s="1"/>
    </row>
    <row r="906" spans="1:11" ht="15.75" customHeight="1">
      <c r="A906" s="2"/>
      <c r="B906" s="1"/>
      <c r="C906" s="1"/>
      <c r="D906" s="1"/>
      <c r="E906" s="1"/>
      <c r="F906" s="1"/>
      <c r="G906" s="1"/>
      <c r="H906" s="1"/>
      <c r="I906" s="61"/>
      <c r="J906" s="1"/>
      <c r="K906" s="1"/>
    </row>
    <row r="907" spans="1:11" ht="15.75" customHeight="1">
      <c r="A907" s="2"/>
      <c r="B907" s="1"/>
      <c r="C907" s="1"/>
      <c r="D907" s="1"/>
      <c r="E907" s="1"/>
      <c r="F907" s="1"/>
      <c r="G907" s="1"/>
      <c r="H907" s="1"/>
      <c r="I907" s="61"/>
      <c r="J907" s="1"/>
      <c r="K907" s="1"/>
    </row>
    <row r="908" spans="1:11" ht="15.75" customHeight="1">
      <c r="A908" s="2"/>
      <c r="B908" s="1"/>
      <c r="C908" s="1"/>
      <c r="D908" s="1"/>
      <c r="E908" s="1"/>
      <c r="F908" s="1"/>
      <c r="G908" s="1"/>
      <c r="H908" s="1"/>
      <c r="I908" s="61"/>
      <c r="J908" s="1"/>
      <c r="K908" s="1"/>
    </row>
    <row r="909" spans="1:11" ht="15.75" customHeight="1">
      <c r="A909" s="2"/>
      <c r="B909" s="1"/>
      <c r="C909" s="1"/>
      <c r="D909" s="1"/>
      <c r="E909" s="1"/>
      <c r="F909" s="1"/>
      <c r="G909" s="1"/>
      <c r="H909" s="1"/>
      <c r="I909" s="61"/>
      <c r="J909" s="1"/>
      <c r="K909" s="1"/>
    </row>
    <row r="910" spans="1:11" ht="15.75" customHeight="1">
      <c r="A910" s="2"/>
      <c r="B910" s="1"/>
      <c r="C910" s="1"/>
      <c r="D910" s="1"/>
      <c r="E910" s="1"/>
      <c r="F910" s="1"/>
      <c r="G910" s="1"/>
      <c r="H910" s="1"/>
      <c r="I910" s="61"/>
      <c r="J910" s="1"/>
      <c r="K910" s="1"/>
    </row>
    <row r="911" spans="1:11" ht="15.75" customHeight="1">
      <c r="A911" s="2"/>
      <c r="B911" s="1"/>
      <c r="C911" s="1"/>
      <c r="D911" s="1"/>
      <c r="E911" s="1"/>
      <c r="F911" s="1"/>
      <c r="G911" s="1"/>
      <c r="H911" s="1"/>
      <c r="I911" s="61"/>
      <c r="J911" s="1"/>
      <c r="K911" s="1"/>
    </row>
    <row r="912" spans="1:11" ht="15.75" customHeight="1">
      <c r="A912" s="2"/>
      <c r="B912" s="1"/>
      <c r="C912" s="1"/>
      <c r="D912" s="1"/>
      <c r="E912" s="1"/>
      <c r="F912" s="1"/>
      <c r="G912" s="1"/>
      <c r="H912" s="1"/>
      <c r="I912" s="61"/>
      <c r="J912" s="1"/>
      <c r="K912" s="1"/>
    </row>
    <row r="913" spans="1:11" ht="15.75" customHeight="1">
      <c r="A913" s="2"/>
      <c r="B913" s="1"/>
      <c r="C913" s="1"/>
      <c r="D913" s="1"/>
      <c r="E913" s="1"/>
      <c r="F913" s="1"/>
      <c r="G913" s="1"/>
      <c r="H913" s="1"/>
      <c r="I913" s="61"/>
      <c r="J913" s="1"/>
      <c r="K913" s="1"/>
    </row>
    <row r="914" spans="1:11" ht="15.75" customHeight="1">
      <c r="A914" s="2"/>
      <c r="B914" s="1"/>
      <c r="C914" s="1"/>
      <c r="D914" s="1"/>
      <c r="E914" s="1"/>
      <c r="F914" s="1"/>
      <c r="G914" s="1"/>
      <c r="H914" s="1"/>
      <c r="I914" s="61"/>
      <c r="J914" s="1"/>
      <c r="K914" s="1"/>
    </row>
    <row r="915" spans="1:11" ht="15.75" customHeight="1">
      <c r="A915" s="2"/>
      <c r="B915" s="1"/>
      <c r="C915" s="1"/>
      <c r="D915" s="1"/>
      <c r="E915" s="1"/>
      <c r="F915" s="1"/>
      <c r="G915" s="1"/>
      <c r="H915" s="1"/>
      <c r="I915" s="61"/>
      <c r="J915" s="1"/>
      <c r="K915" s="1"/>
    </row>
    <row r="916" spans="1:11" ht="15.75" customHeight="1">
      <c r="A916" s="2"/>
      <c r="B916" s="1"/>
      <c r="C916" s="1"/>
      <c r="D916" s="1"/>
      <c r="E916" s="1"/>
      <c r="F916" s="1"/>
      <c r="G916" s="1"/>
      <c r="H916" s="1"/>
      <c r="I916" s="61"/>
      <c r="J916" s="1"/>
      <c r="K916" s="1"/>
    </row>
    <row r="917" spans="1:11" ht="15.75" customHeight="1">
      <c r="A917" s="2"/>
      <c r="B917" s="1"/>
      <c r="C917" s="1"/>
      <c r="D917" s="1"/>
      <c r="E917" s="1"/>
      <c r="F917" s="1"/>
      <c r="G917" s="1"/>
      <c r="H917" s="1"/>
      <c r="I917" s="61"/>
      <c r="J917" s="1"/>
      <c r="K917" s="1"/>
    </row>
    <row r="918" spans="1:11" ht="15.75" customHeight="1">
      <c r="A918" s="2"/>
      <c r="B918" s="1"/>
      <c r="C918" s="1"/>
      <c r="D918" s="1"/>
      <c r="E918" s="1"/>
      <c r="F918" s="1"/>
      <c r="G918" s="1"/>
      <c r="H918" s="1"/>
      <c r="I918" s="61"/>
      <c r="J918" s="1"/>
      <c r="K918" s="1"/>
    </row>
    <row r="919" spans="1:11" ht="15.75" customHeight="1">
      <c r="A919" s="2"/>
      <c r="B919" s="1"/>
      <c r="C919" s="1"/>
      <c r="D919" s="1"/>
      <c r="E919" s="1"/>
      <c r="F919" s="1"/>
      <c r="G919" s="1"/>
      <c r="H919" s="1"/>
      <c r="I919" s="61"/>
      <c r="J919" s="1"/>
      <c r="K919" s="1"/>
    </row>
    <row r="920" spans="1:11" ht="15.75" customHeight="1">
      <c r="A920" s="2"/>
      <c r="B920" s="1"/>
      <c r="C920" s="1"/>
      <c r="D920" s="1"/>
      <c r="E920" s="1"/>
      <c r="F920" s="1"/>
      <c r="G920" s="1"/>
      <c r="H920" s="1"/>
      <c r="I920" s="61"/>
      <c r="J920" s="1"/>
      <c r="K920" s="1"/>
    </row>
    <row r="921" spans="1:11" ht="15.75" customHeight="1">
      <c r="A921" s="2"/>
      <c r="B921" s="1"/>
      <c r="C921" s="1"/>
      <c r="D921" s="1"/>
      <c r="E921" s="1"/>
      <c r="F921" s="1"/>
      <c r="G921" s="1"/>
      <c r="H921" s="1"/>
      <c r="I921" s="61"/>
      <c r="J921" s="1"/>
      <c r="K921" s="1"/>
    </row>
    <row r="922" spans="1:11" ht="15.75" customHeight="1">
      <c r="A922" s="2"/>
      <c r="B922" s="1"/>
      <c r="C922" s="1"/>
      <c r="D922" s="1"/>
      <c r="E922" s="1"/>
      <c r="F922" s="1"/>
      <c r="G922" s="1"/>
      <c r="H922" s="1"/>
      <c r="I922" s="61"/>
      <c r="J922" s="1"/>
      <c r="K922" s="1"/>
    </row>
    <row r="923" spans="1:11" ht="15.75" customHeight="1">
      <c r="A923" s="2"/>
      <c r="B923" s="1"/>
      <c r="C923" s="1"/>
      <c r="D923" s="1"/>
      <c r="E923" s="1"/>
      <c r="F923" s="1"/>
      <c r="G923" s="1"/>
      <c r="H923" s="1"/>
      <c r="I923" s="61"/>
      <c r="J923" s="1"/>
      <c r="K923" s="1"/>
    </row>
    <row r="924" spans="1:11" ht="15.75" customHeight="1">
      <c r="A924" s="2"/>
      <c r="B924" s="1"/>
      <c r="C924" s="1"/>
      <c r="D924" s="1"/>
      <c r="E924" s="1"/>
      <c r="F924" s="1"/>
      <c r="G924" s="1"/>
      <c r="H924" s="1"/>
      <c r="I924" s="61"/>
      <c r="J924" s="1"/>
      <c r="K924" s="1"/>
    </row>
    <row r="925" spans="1:11" ht="15.75" customHeight="1">
      <c r="A925" s="2"/>
      <c r="B925" s="1"/>
      <c r="C925" s="1"/>
      <c r="D925" s="1"/>
      <c r="E925" s="1"/>
      <c r="F925" s="1"/>
      <c r="G925" s="1"/>
      <c r="H925" s="1"/>
      <c r="I925" s="61"/>
      <c r="J925" s="1"/>
      <c r="K925" s="1"/>
    </row>
    <row r="926" spans="1:11" ht="15.75" customHeight="1">
      <c r="A926" s="2"/>
      <c r="B926" s="1"/>
      <c r="C926" s="1"/>
      <c r="D926" s="1"/>
      <c r="E926" s="1"/>
      <c r="F926" s="1"/>
      <c r="G926" s="1"/>
      <c r="H926" s="1"/>
      <c r="I926" s="61"/>
      <c r="J926" s="1"/>
      <c r="K926" s="1"/>
    </row>
    <row r="927" spans="1:11" ht="15.75" customHeight="1">
      <c r="A927" s="2"/>
      <c r="B927" s="1"/>
      <c r="C927" s="1"/>
      <c r="D927" s="1"/>
      <c r="E927" s="1"/>
      <c r="F927" s="1"/>
      <c r="G927" s="1"/>
      <c r="H927" s="1"/>
      <c r="I927" s="61"/>
      <c r="J927" s="1"/>
      <c r="K927" s="1"/>
    </row>
    <row r="928" spans="1:11" ht="15.75" customHeight="1">
      <c r="A928" s="2"/>
      <c r="B928" s="1"/>
      <c r="C928" s="1"/>
      <c r="D928" s="1"/>
      <c r="E928" s="1"/>
      <c r="F928" s="1"/>
      <c r="G928" s="1"/>
      <c r="H928" s="1"/>
      <c r="I928" s="61"/>
      <c r="J928" s="1"/>
      <c r="K928" s="1"/>
    </row>
    <row r="929" spans="1:11" ht="15.75" customHeight="1">
      <c r="A929" s="2"/>
      <c r="B929" s="1"/>
      <c r="C929" s="1"/>
      <c r="D929" s="1"/>
      <c r="E929" s="1"/>
      <c r="F929" s="1"/>
      <c r="G929" s="1"/>
      <c r="H929" s="1"/>
      <c r="I929" s="61"/>
      <c r="J929" s="1"/>
      <c r="K929" s="1"/>
    </row>
    <row r="930" spans="1:11" ht="15.75" customHeight="1">
      <c r="A930" s="2"/>
      <c r="B930" s="1"/>
      <c r="C930" s="1"/>
      <c r="D930" s="1"/>
      <c r="E930" s="1"/>
      <c r="F930" s="1"/>
      <c r="G930" s="1"/>
      <c r="H930" s="1"/>
      <c r="I930" s="61"/>
      <c r="J930" s="1"/>
      <c r="K930" s="1"/>
    </row>
    <row r="931" spans="1:11" ht="15.75" customHeight="1">
      <c r="A931" s="2"/>
      <c r="B931" s="1"/>
      <c r="C931" s="1"/>
      <c r="D931" s="1"/>
      <c r="E931" s="1"/>
      <c r="F931" s="1"/>
      <c r="G931" s="1"/>
      <c r="H931" s="1"/>
      <c r="I931" s="61"/>
      <c r="J931" s="1"/>
      <c r="K931" s="1"/>
    </row>
    <row r="932" spans="1:11" ht="15.75" customHeight="1">
      <c r="A932" s="2"/>
      <c r="B932" s="1"/>
      <c r="C932" s="1"/>
      <c r="D932" s="1"/>
      <c r="E932" s="1"/>
      <c r="F932" s="1"/>
      <c r="G932" s="1"/>
      <c r="H932" s="1"/>
      <c r="I932" s="61"/>
      <c r="J932" s="1"/>
      <c r="K932" s="1"/>
    </row>
    <row r="933" spans="1:11" ht="15.75" customHeight="1">
      <c r="A933" s="2"/>
      <c r="B933" s="1"/>
      <c r="C933" s="1"/>
      <c r="D933" s="1"/>
      <c r="E933" s="1"/>
      <c r="F933" s="1"/>
      <c r="G933" s="1"/>
      <c r="H933" s="1"/>
      <c r="I933" s="61"/>
      <c r="J933" s="1"/>
      <c r="K933" s="1"/>
    </row>
    <row r="934" spans="1:11" ht="15.75" customHeight="1">
      <c r="A934" s="2"/>
      <c r="B934" s="1"/>
      <c r="C934" s="1"/>
      <c r="D934" s="1"/>
      <c r="E934" s="1"/>
      <c r="F934" s="1"/>
      <c r="G934" s="1"/>
      <c r="H934" s="1"/>
      <c r="I934" s="61"/>
      <c r="J934" s="1"/>
      <c r="K934" s="1"/>
    </row>
    <row r="935" spans="1:11" ht="15.75" customHeight="1">
      <c r="A935" s="2"/>
      <c r="B935" s="1"/>
      <c r="C935" s="1"/>
      <c r="D935" s="1"/>
      <c r="E935" s="1"/>
      <c r="F935" s="1"/>
      <c r="G935" s="1"/>
      <c r="H935" s="1"/>
      <c r="I935" s="61"/>
      <c r="J935" s="1"/>
      <c r="K935" s="1"/>
    </row>
    <row r="936" spans="1:11" ht="15.75" customHeight="1">
      <c r="A936" s="2"/>
      <c r="B936" s="1"/>
      <c r="C936" s="1"/>
      <c r="D936" s="1"/>
      <c r="E936" s="1"/>
      <c r="F936" s="1"/>
      <c r="G936" s="1"/>
      <c r="H936" s="1"/>
      <c r="I936" s="61"/>
      <c r="J936" s="1"/>
      <c r="K936" s="1"/>
    </row>
    <row r="937" spans="1:11" ht="15.75" customHeight="1">
      <c r="A937" s="2"/>
      <c r="B937" s="1"/>
      <c r="C937" s="1"/>
      <c r="D937" s="1"/>
      <c r="E937" s="1"/>
      <c r="F937" s="1"/>
      <c r="G937" s="1"/>
      <c r="H937" s="1"/>
      <c r="I937" s="61"/>
      <c r="J937" s="1"/>
      <c r="K937" s="1"/>
    </row>
    <row r="938" spans="1:11" ht="15.75" customHeight="1">
      <c r="A938" s="2"/>
      <c r="B938" s="1"/>
      <c r="C938" s="1"/>
      <c r="D938" s="1"/>
      <c r="E938" s="1"/>
      <c r="F938" s="1"/>
      <c r="G938" s="1"/>
      <c r="H938" s="1"/>
      <c r="I938" s="61"/>
      <c r="J938" s="1"/>
      <c r="K938" s="1"/>
    </row>
    <row r="939" spans="1:11" ht="15.75" customHeight="1">
      <c r="A939" s="2"/>
      <c r="B939" s="1"/>
      <c r="C939" s="1"/>
      <c r="D939" s="1"/>
      <c r="E939" s="1"/>
      <c r="F939" s="1"/>
      <c r="G939" s="1"/>
      <c r="H939" s="1"/>
      <c r="I939" s="61"/>
      <c r="J939" s="1"/>
      <c r="K939" s="1"/>
    </row>
    <row r="940" spans="1:11" ht="15.75" customHeight="1">
      <c r="A940" s="2"/>
      <c r="B940" s="1"/>
      <c r="C940" s="1"/>
      <c r="D940" s="1"/>
      <c r="E940" s="1"/>
      <c r="F940" s="1"/>
      <c r="G940" s="1"/>
      <c r="H940" s="1"/>
      <c r="I940" s="61"/>
      <c r="J940" s="1"/>
      <c r="K940" s="1"/>
    </row>
    <row r="941" spans="1:11" ht="15.75" customHeight="1">
      <c r="A941" s="2"/>
      <c r="B941" s="1"/>
      <c r="C941" s="1"/>
      <c r="D941" s="1"/>
      <c r="E941" s="1"/>
      <c r="F941" s="1"/>
      <c r="G941" s="1"/>
      <c r="H941" s="1"/>
      <c r="I941" s="61"/>
      <c r="J941" s="1"/>
      <c r="K941" s="1"/>
    </row>
    <row r="942" spans="1:11" ht="15.75" customHeight="1">
      <c r="A942" s="2"/>
      <c r="B942" s="1"/>
      <c r="C942" s="1"/>
      <c r="D942" s="1"/>
      <c r="E942" s="1"/>
      <c r="F942" s="1"/>
      <c r="G942" s="1"/>
      <c r="H942" s="1"/>
      <c r="I942" s="61"/>
      <c r="J942" s="1"/>
      <c r="K942" s="1"/>
    </row>
    <row r="943" spans="1:11" ht="15.75" customHeight="1">
      <c r="A943" s="2"/>
      <c r="B943" s="1"/>
      <c r="C943" s="1"/>
      <c r="D943" s="1"/>
      <c r="E943" s="1"/>
      <c r="F943" s="1"/>
      <c r="G943" s="1"/>
      <c r="H943" s="1"/>
      <c r="I943" s="61"/>
      <c r="J943" s="1"/>
      <c r="K943" s="1"/>
    </row>
    <row r="944" spans="1:11" ht="15.75" customHeight="1">
      <c r="A944" s="2"/>
      <c r="B944" s="1"/>
      <c r="C944" s="1"/>
      <c r="D944" s="1"/>
      <c r="E944" s="1"/>
      <c r="F944" s="1"/>
      <c r="G944" s="1"/>
      <c r="H944" s="1"/>
      <c r="I944" s="61"/>
      <c r="J944" s="1"/>
      <c r="K944" s="1"/>
    </row>
    <row r="945" spans="1:11" ht="15.75" customHeight="1">
      <c r="A945" s="2"/>
      <c r="B945" s="1"/>
      <c r="C945" s="1"/>
      <c r="D945" s="1"/>
      <c r="E945" s="1"/>
      <c r="F945" s="1"/>
      <c r="G945" s="1"/>
      <c r="H945" s="1"/>
      <c r="I945" s="61"/>
      <c r="J945" s="1"/>
      <c r="K945" s="1"/>
    </row>
    <row r="946" spans="1:11" ht="15.75" customHeight="1">
      <c r="A946" s="2"/>
      <c r="B946" s="1"/>
      <c r="C946" s="1"/>
      <c r="D946" s="1"/>
      <c r="E946" s="1"/>
      <c r="F946" s="1"/>
      <c r="G946" s="1"/>
      <c r="H946" s="1"/>
      <c r="I946" s="61"/>
      <c r="J946" s="1"/>
      <c r="K946" s="1"/>
    </row>
    <row r="947" spans="1:11" ht="15.75" customHeight="1">
      <c r="A947" s="2"/>
      <c r="B947" s="1"/>
      <c r="C947" s="1"/>
      <c r="D947" s="1"/>
      <c r="E947" s="1"/>
      <c r="F947" s="1"/>
      <c r="G947" s="1"/>
      <c r="H947" s="1"/>
      <c r="I947" s="61"/>
      <c r="J947" s="1"/>
      <c r="K947" s="1"/>
    </row>
    <row r="948" spans="1:11" ht="15.75" customHeight="1">
      <c r="A948" s="2"/>
      <c r="B948" s="1"/>
      <c r="C948" s="1"/>
      <c r="D948" s="1"/>
      <c r="E948" s="1"/>
      <c r="F948" s="1"/>
      <c r="G948" s="1"/>
      <c r="H948" s="1"/>
      <c r="I948" s="61"/>
      <c r="J948" s="1"/>
      <c r="K948" s="1"/>
    </row>
    <row r="949" spans="1:11" ht="15.75" customHeight="1">
      <c r="A949" s="2"/>
      <c r="B949" s="1"/>
      <c r="C949" s="1"/>
      <c r="D949" s="1"/>
      <c r="E949" s="1"/>
      <c r="F949" s="1"/>
      <c r="G949" s="1"/>
      <c r="H949" s="1"/>
      <c r="I949" s="61"/>
      <c r="J949" s="1"/>
      <c r="K949" s="1"/>
    </row>
    <row r="950" spans="1:11" ht="15.75" customHeight="1">
      <c r="A950" s="2"/>
      <c r="B950" s="1"/>
      <c r="C950" s="1"/>
      <c r="D950" s="1"/>
      <c r="E950" s="1"/>
      <c r="F950" s="1"/>
      <c r="G950" s="1"/>
      <c r="H950" s="1"/>
      <c r="I950" s="61"/>
      <c r="J950" s="1"/>
      <c r="K950" s="1"/>
    </row>
    <row r="951" spans="1:11" ht="15.75" customHeight="1">
      <c r="A951" s="2"/>
      <c r="B951" s="1"/>
      <c r="C951" s="1"/>
      <c r="D951" s="1"/>
      <c r="E951" s="1"/>
      <c r="F951" s="1"/>
      <c r="G951" s="1"/>
      <c r="H951" s="1"/>
      <c r="I951" s="61"/>
      <c r="J951" s="1"/>
      <c r="K951" s="1"/>
    </row>
    <row r="952" spans="1:11" ht="15.75" customHeight="1">
      <c r="A952" s="2"/>
      <c r="B952" s="1"/>
      <c r="C952" s="1"/>
      <c r="D952" s="1"/>
      <c r="E952" s="1"/>
      <c r="F952" s="1"/>
      <c r="G952" s="1"/>
      <c r="H952" s="1"/>
      <c r="I952" s="61"/>
      <c r="J952" s="1"/>
      <c r="K952" s="1"/>
    </row>
    <row r="953" spans="1:11" ht="15.75" customHeight="1">
      <c r="A953" s="2"/>
      <c r="B953" s="1"/>
      <c r="C953" s="1"/>
      <c r="D953" s="1"/>
      <c r="E953" s="1"/>
      <c r="F953" s="1"/>
      <c r="G953" s="1"/>
      <c r="H953" s="1"/>
      <c r="I953" s="61"/>
      <c r="J953" s="1"/>
      <c r="K953" s="1"/>
    </row>
    <row r="954" spans="1:11" ht="15.75" customHeight="1">
      <c r="A954" s="2"/>
      <c r="B954" s="1"/>
      <c r="C954" s="1"/>
      <c r="D954" s="1"/>
      <c r="E954" s="1"/>
      <c r="F954" s="1"/>
      <c r="G954" s="1"/>
      <c r="H954" s="1"/>
      <c r="I954" s="61"/>
      <c r="J954" s="1"/>
      <c r="K954" s="1"/>
    </row>
    <row r="955" spans="1:11" ht="15.75" customHeight="1">
      <c r="A955" s="2"/>
      <c r="B955" s="1"/>
      <c r="C955" s="1"/>
      <c r="D955" s="1"/>
      <c r="E955" s="1"/>
      <c r="F955" s="1"/>
      <c r="G955" s="1"/>
      <c r="H955" s="1"/>
      <c r="I955" s="61"/>
      <c r="J955" s="1"/>
      <c r="K955" s="1"/>
    </row>
    <row r="956" spans="1:11" ht="15.75" customHeight="1">
      <c r="A956" s="2"/>
      <c r="B956" s="1"/>
      <c r="C956" s="1"/>
      <c r="D956" s="1"/>
      <c r="E956" s="1"/>
      <c r="F956" s="1"/>
      <c r="G956" s="1"/>
      <c r="H956" s="1"/>
      <c r="I956" s="61"/>
      <c r="J956" s="1"/>
      <c r="K956" s="1"/>
    </row>
    <row r="957" spans="1:11" ht="15.75" customHeight="1">
      <c r="A957" s="2"/>
      <c r="B957" s="1"/>
      <c r="C957" s="1"/>
      <c r="D957" s="1"/>
      <c r="E957" s="1"/>
      <c r="F957" s="1"/>
      <c r="G957" s="1"/>
      <c r="H957" s="1"/>
      <c r="I957" s="61"/>
      <c r="J957" s="1"/>
      <c r="K957" s="1"/>
    </row>
    <row r="958" spans="1:11" ht="15.75" customHeight="1">
      <c r="A958" s="2"/>
      <c r="B958" s="1"/>
      <c r="C958" s="1"/>
      <c r="D958" s="1"/>
      <c r="E958" s="1"/>
      <c r="F958" s="1"/>
      <c r="G958" s="1"/>
      <c r="H958" s="1"/>
      <c r="I958" s="61"/>
      <c r="J958" s="1"/>
      <c r="K958" s="1"/>
    </row>
    <row r="959" spans="1:11" ht="15.75" customHeight="1">
      <c r="A959" s="2"/>
      <c r="B959" s="1"/>
      <c r="C959" s="1"/>
      <c r="D959" s="1"/>
      <c r="E959" s="1"/>
      <c r="F959" s="1"/>
      <c r="G959" s="1"/>
      <c r="H959" s="1"/>
      <c r="I959" s="61"/>
      <c r="J959" s="1"/>
      <c r="K959" s="1"/>
    </row>
    <row r="960" spans="1:11" ht="15.75" customHeight="1">
      <c r="A960" s="2"/>
      <c r="B960" s="1"/>
      <c r="C960" s="1"/>
      <c r="D960" s="1"/>
      <c r="E960" s="1"/>
      <c r="F960" s="1"/>
      <c r="G960" s="1"/>
      <c r="H960" s="1"/>
      <c r="I960" s="61"/>
      <c r="J960" s="1"/>
      <c r="K960" s="1"/>
    </row>
    <row r="961" spans="1:11" ht="15.75" customHeight="1">
      <c r="A961" s="2"/>
      <c r="B961" s="1"/>
      <c r="C961" s="1"/>
      <c r="D961" s="1"/>
      <c r="E961" s="1"/>
      <c r="F961" s="1"/>
      <c r="G961" s="1"/>
      <c r="H961" s="1"/>
      <c r="I961" s="61"/>
      <c r="J961" s="1"/>
      <c r="K961" s="1"/>
    </row>
    <row r="962" spans="1:11" ht="15.75" customHeight="1">
      <c r="A962" s="2"/>
      <c r="B962" s="1"/>
      <c r="C962" s="1"/>
      <c r="D962" s="1"/>
      <c r="E962" s="1"/>
      <c r="F962" s="1"/>
      <c r="G962" s="1"/>
      <c r="H962" s="1"/>
      <c r="I962" s="61"/>
      <c r="J962" s="1"/>
      <c r="K962" s="1"/>
    </row>
    <row r="963" spans="1:11" ht="15.75" customHeight="1">
      <c r="A963" s="2"/>
      <c r="B963" s="1"/>
      <c r="C963" s="1"/>
      <c r="D963" s="1"/>
      <c r="E963" s="1"/>
      <c r="F963" s="1"/>
      <c r="G963" s="1"/>
      <c r="H963" s="1"/>
      <c r="I963" s="61"/>
      <c r="J963" s="1"/>
      <c r="K963" s="1"/>
    </row>
    <row r="964" spans="1:11" ht="15.75" customHeight="1">
      <c r="A964" s="2"/>
      <c r="B964" s="1"/>
      <c r="C964" s="1"/>
      <c r="D964" s="1"/>
      <c r="E964" s="1"/>
      <c r="F964" s="1"/>
      <c r="G964" s="1"/>
      <c r="H964" s="1"/>
      <c r="I964" s="61"/>
      <c r="J964" s="1"/>
      <c r="K964" s="1"/>
    </row>
    <row r="965" spans="1:11" ht="15.75" customHeight="1">
      <c r="A965" s="2"/>
      <c r="B965" s="1"/>
      <c r="C965" s="1"/>
      <c r="D965" s="1"/>
      <c r="E965" s="1"/>
      <c r="F965" s="1"/>
      <c r="G965" s="1"/>
      <c r="H965" s="1"/>
      <c r="I965" s="61"/>
      <c r="J965" s="1"/>
      <c r="K965" s="1"/>
    </row>
    <row r="966" spans="1:11" ht="15.75" customHeight="1">
      <c r="A966" s="2"/>
      <c r="B966" s="1"/>
      <c r="C966" s="1"/>
      <c r="D966" s="1"/>
      <c r="E966" s="1"/>
      <c r="F966" s="1"/>
      <c r="G966" s="1"/>
      <c r="H966" s="1"/>
      <c r="I966" s="61"/>
      <c r="J966" s="1"/>
      <c r="K966" s="1"/>
    </row>
    <row r="967" spans="1:11" ht="15.75" customHeight="1">
      <c r="A967" s="2"/>
      <c r="B967" s="1"/>
      <c r="C967" s="1"/>
      <c r="D967" s="1"/>
      <c r="E967" s="1"/>
      <c r="F967" s="1"/>
      <c r="G967" s="1"/>
      <c r="H967" s="1"/>
      <c r="I967" s="61"/>
      <c r="J967" s="1"/>
      <c r="K967" s="1"/>
    </row>
    <row r="968" spans="1:11" ht="15.75" customHeight="1">
      <c r="A968" s="2"/>
      <c r="B968" s="1"/>
      <c r="C968" s="1"/>
      <c r="D968" s="1"/>
      <c r="E968" s="1"/>
      <c r="F968" s="1"/>
      <c r="G968" s="1"/>
      <c r="H968" s="1"/>
      <c r="I968" s="61"/>
      <c r="J968" s="1"/>
      <c r="K968" s="1"/>
    </row>
    <row r="969" spans="1:11" ht="15.75" customHeight="1">
      <c r="A969" s="2"/>
      <c r="B969" s="1"/>
      <c r="C969" s="1"/>
      <c r="D969" s="1"/>
      <c r="E969" s="1"/>
      <c r="F969" s="1"/>
      <c r="G969" s="1"/>
      <c r="H969" s="1"/>
      <c r="I969" s="61"/>
      <c r="J969" s="1"/>
      <c r="K969" s="1"/>
    </row>
    <row r="970" spans="1:11" ht="15.75" customHeight="1">
      <c r="A970" s="2"/>
      <c r="B970" s="1"/>
      <c r="C970" s="1"/>
      <c r="D970" s="1"/>
      <c r="E970" s="1"/>
      <c r="F970" s="1"/>
      <c r="G970" s="1"/>
      <c r="H970" s="1"/>
      <c r="I970" s="61"/>
      <c r="J970" s="1"/>
      <c r="K970" s="1"/>
    </row>
    <row r="971" spans="1:11" ht="15.75" customHeight="1">
      <c r="A971" s="2"/>
      <c r="B971" s="1"/>
      <c r="C971" s="1"/>
      <c r="D971" s="1"/>
      <c r="E971" s="1"/>
      <c r="F971" s="1"/>
      <c r="G971" s="1"/>
      <c r="H971" s="1"/>
      <c r="I971" s="61"/>
      <c r="J971" s="1"/>
      <c r="K971" s="1"/>
    </row>
    <row r="972" spans="1:11" ht="15.75" customHeight="1">
      <c r="A972" s="2"/>
      <c r="B972" s="1"/>
      <c r="C972" s="1"/>
      <c r="D972" s="1"/>
      <c r="E972" s="1"/>
      <c r="F972" s="1"/>
      <c r="G972" s="1"/>
      <c r="H972" s="1"/>
      <c r="I972" s="61"/>
      <c r="J972" s="1"/>
      <c r="K972" s="1"/>
    </row>
    <row r="973" spans="1:11" ht="15.75" customHeight="1">
      <c r="A973" s="2"/>
      <c r="B973" s="1"/>
      <c r="C973" s="1"/>
      <c r="D973" s="1"/>
      <c r="E973" s="1"/>
      <c r="F973" s="1"/>
      <c r="G973" s="1"/>
      <c r="H973" s="1"/>
      <c r="I973" s="61"/>
      <c r="J973" s="1"/>
      <c r="K973" s="1"/>
    </row>
    <row r="974" spans="1:11" ht="15.75" customHeight="1">
      <c r="A974" s="2"/>
      <c r="B974" s="1"/>
      <c r="C974" s="1"/>
      <c r="D974" s="1"/>
      <c r="E974" s="1"/>
      <c r="F974" s="1"/>
      <c r="G974" s="1"/>
      <c r="H974" s="1"/>
      <c r="I974" s="61"/>
      <c r="J974" s="1"/>
      <c r="K974" s="1"/>
    </row>
    <row r="975" spans="1:11" ht="15.75" customHeight="1">
      <c r="A975" s="2"/>
      <c r="B975" s="1"/>
      <c r="C975" s="1"/>
      <c r="D975" s="1"/>
      <c r="E975" s="1"/>
      <c r="F975" s="1"/>
      <c r="G975" s="1"/>
      <c r="H975" s="1"/>
      <c r="I975" s="61"/>
      <c r="J975" s="1"/>
      <c r="K975" s="1"/>
    </row>
    <row r="976" spans="1:11" ht="15.75" customHeight="1">
      <c r="A976" s="2"/>
      <c r="B976" s="1"/>
      <c r="C976" s="1"/>
      <c r="D976" s="1"/>
      <c r="E976" s="1"/>
      <c r="F976" s="1"/>
      <c r="G976" s="1"/>
      <c r="H976" s="1"/>
      <c r="I976" s="61"/>
      <c r="J976" s="1"/>
      <c r="K976" s="1"/>
    </row>
    <row r="977" spans="1:11" ht="15.75" customHeight="1">
      <c r="A977" s="2"/>
      <c r="B977" s="1"/>
      <c r="C977" s="1"/>
      <c r="D977" s="1"/>
      <c r="E977" s="1"/>
      <c r="F977" s="1"/>
      <c r="G977" s="1"/>
      <c r="H977" s="1"/>
      <c r="I977" s="61"/>
      <c r="J977" s="1"/>
      <c r="K977" s="1"/>
    </row>
    <row r="978" spans="1:11" ht="15.75" customHeight="1">
      <c r="A978" s="2"/>
      <c r="B978" s="1"/>
      <c r="C978" s="1"/>
      <c r="D978" s="1"/>
      <c r="E978" s="1"/>
      <c r="F978" s="1"/>
      <c r="G978" s="1"/>
      <c r="H978" s="1"/>
      <c r="I978" s="61"/>
      <c r="J978" s="1"/>
      <c r="K978" s="1"/>
    </row>
    <row r="979" spans="1:11" ht="15.75" customHeight="1">
      <c r="A979" s="2"/>
      <c r="B979" s="1"/>
      <c r="C979" s="1"/>
      <c r="D979" s="1"/>
      <c r="E979" s="1"/>
      <c r="F979" s="1"/>
      <c r="G979" s="1"/>
      <c r="H979" s="1"/>
      <c r="I979" s="61"/>
      <c r="J979" s="1"/>
      <c r="K979" s="1"/>
    </row>
    <row r="980" spans="1:11" ht="15.75" customHeight="1">
      <c r="A980" s="2"/>
      <c r="B980" s="1"/>
      <c r="C980" s="1"/>
      <c r="D980" s="1"/>
      <c r="E980" s="1"/>
      <c r="F980" s="1"/>
      <c r="G980" s="1"/>
      <c r="H980" s="1"/>
      <c r="I980" s="61"/>
      <c r="J980" s="1"/>
      <c r="K980" s="1"/>
    </row>
    <row r="981" spans="1:11" ht="15.75" customHeight="1">
      <c r="A981" s="2"/>
      <c r="B981" s="1"/>
      <c r="C981" s="1"/>
      <c r="D981" s="1"/>
      <c r="E981" s="1"/>
      <c r="F981" s="1"/>
      <c r="G981" s="1"/>
      <c r="H981" s="1"/>
      <c r="I981" s="61"/>
      <c r="J981" s="1"/>
      <c r="K981" s="1"/>
    </row>
    <row r="982" spans="1:11" ht="15.75" customHeight="1">
      <c r="A982" s="2"/>
      <c r="B982" s="1"/>
      <c r="C982" s="1"/>
      <c r="D982" s="1"/>
      <c r="E982" s="1"/>
      <c r="F982" s="1"/>
      <c r="G982" s="1"/>
      <c r="H982" s="1"/>
      <c r="I982" s="61"/>
      <c r="J982" s="1"/>
      <c r="K982" s="1"/>
    </row>
    <row r="983" spans="1:11" ht="15.75" customHeight="1">
      <c r="A983" s="2"/>
      <c r="B983" s="1"/>
      <c r="C983" s="1"/>
      <c r="D983" s="1"/>
      <c r="E983" s="1"/>
      <c r="F983" s="1"/>
      <c r="G983" s="1"/>
      <c r="H983" s="1"/>
      <c r="I983" s="61"/>
      <c r="J983" s="1"/>
      <c r="K983" s="1"/>
    </row>
    <row r="984" spans="1:11" ht="15.75" customHeight="1">
      <c r="A984" s="2"/>
      <c r="B984" s="1"/>
      <c r="C984" s="1"/>
      <c r="D984" s="1"/>
      <c r="E984" s="1"/>
      <c r="F984" s="1"/>
      <c r="G984" s="1"/>
      <c r="H984" s="1"/>
      <c r="I984" s="61"/>
      <c r="J984" s="1"/>
      <c r="K984" s="1"/>
    </row>
    <row r="985" spans="1:11" ht="15.75" customHeight="1">
      <c r="A985" s="2"/>
      <c r="B985" s="1"/>
      <c r="C985" s="1"/>
      <c r="D985" s="1"/>
      <c r="E985" s="1"/>
      <c r="F985" s="1"/>
      <c r="G985" s="1"/>
      <c r="H985" s="1"/>
      <c r="I985" s="61"/>
      <c r="J985" s="1"/>
      <c r="K985" s="1"/>
    </row>
    <row r="986" spans="1:11" ht="15.75" customHeight="1">
      <c r="A986" s="2"/>
      <c r="B986" s="1"/>
      <c r="C986" s="1"/>
      <c r="D986" s="1"/>
      <c r="E986" s="1"/>
      <c r="F986" s="1"/>
      <c r="G986" s="1"/>
      <c r="H986" s="1"/>
      <c r="I986" s="61"/>
      <c r="J986" s="1"/>
      <c r="K986" s="1"/>
    </row>
    <row r="987" spans="1:11" ht="15.75" customHeight="1">
      <c r="A987" s="2"/>
      <c r="B987" s="1"/>
      <c r="C987" s="1"/>
      <c r="D987" s="1"/>
      <c r="E987" s="1"/>
      <c r="F987" s="1"/>
      <c r="G987" s="1"/>
      <c r="H987" s="1"/>
      <c r="I987" s="61"/>
      <c r="J987" s="1"/>
      <c r="K987" s="1"/>
    </row>
    <row r="988" spans="1:11" ht="15.75" customHeight="1">
      <c r="A988" s="2"/>
      <c r="B988" s="1"/>
      <c r="C988" s="1"/>
      <c r="D988" s="1"/>
      <c r="E988" s="1"/>
      <c r="F988" s="1"/>
      <c r="G988" s="1"/>
      <c r="H988" s="1"/>
      <c r="I988" s="61"/>
      <c r="J988" s="1"/>
      <c r="K988" s="1"/>
    </row>
    <row r="989" spans="1:11" ht="15.75" customHeight="1">
      <c r="A989" s="2"/>
      <c r="B989" s="1"/>
      <c r="C989" s="1"/>
      <c r="D989" s="1"/>
      <c r="E989" s="1"/>
      <c r="F989" s="1"/>
      <c r="G989" s="1"/>
      <c r="H989" s="1"/>
      <c r="I989" s="61"/>
      <c r="J989" s="1"/>
      <c r="K989" s="1"/>
    </row>
    <row r="990" spans="1:11" ht="15.75" customHeight="1">
      <c r="A990" s="2"/>
      <c r="B990" s="1"/>
      <c r="C990" s="1"/>
      <c r="D990" s="1"/>
      <c r="E990" s="1"/>
      <c r="F990" s="1"/>
      <c r="G990" s="1"/>
      <c r="H990" s="1"/>
      <c r="I990" s="61"/>
      <c r="J990" s="1"/>
      <c r="K990" s="1"/>
    </row>
    <row r="991" spans="1:11" ht="15.75" customHeight="1">
      <c r="A991" s="2"/>
      <c r="B991" s="1"/>
      <c r="C991" s="1"/>
      <c r="D991" s="1"/>
      <c r="E991" s="1"/>
      <c r="F991" s="1"/>
      <c r="G991" s="1"/>
      <c r="H991" s="1"/>
      <c r="I991" s="61"/>
      <c r="J991" s="1"/>
      <c r="K991" s="1"/>
    </row>
    <row r="992" spans="1:11" ht="15.75" customHeight="1">
      <c r="A992" s="2"/>
      <c r="B992" s="1"/>
      <c r="C992" s="1"/>
      <c r="D992" s="1"/>
      <c r="E992" s="1"/>
      <c r="F992" s="1"/>
      <c r="G992" s="1"/>
      <c r="H992" s="1"/>
      <c r="I992" s="61"/>
      <c r="J992" s="1"/>
      <c r="K992" s="1"/>
    </row>
    <row r="993" spans="1:11" ht="15.75" customHeight="1">
      <c r="A993" s="2"/>
      <c r="B993" s="1"/>
      <c r="C993" s="1"/>
      <c r="D993" s="1"/>
      <c r="E993" s="1"/>
      <c r="F993" s="1"/>
      <c r="G993" s="1"/>
      <c r="H993" s="1"/>
      <c r="I993" s="61"/>
      <c r="J993" s="1"/>
      <c r="K993" s="1"/>
    </row>
    <row r="994" spans="1:11" ht="15.75" customHeight="1">
      <c r="A994" s="2"/>
      <c r="B994" s="1"/>
      <c r="C994" s="1"/>
      <c r="D994" s="1"/>
      <c r="E994" s="1"/>
      <c r="F994" s="1"/>
      <c r="G994" s="1"/>
      <c r="H994" s="1"/>
      <c r="I994" s="61"/>
      <c r="J994" s="1"/>
      <c r="K994" s="1"/>
    </row>
    <row r="995" spans="1:11" ht="15.75" customHeight="1">
      <c r="A995" s="2"/>
      <c r="B995" s="1"/>
      <c r="C995" s="1"/>
      <c r="D995" s="1"/>
      <c r="E995" s="1"/>
      <c r="F995" s="1"/>
      <c r="G995" s="1"/>
      <c r="H995" s="1"/>
      <c r="I995" s="61"/>
      <c r="J995" s="1"/>
      <c r="K995" s="1"/>
    </row>
    <row r="996" spans="1:11" ht="15.75" customHeight="1">
      <c r="A996" s="2"/>
      <c r="B996" s="1"/>
      <c r="C996" s="1"/>
      <c r="D996" s="1"/>
      <c r="E996" s="1"/>
      <c r="F996" s="1"/>
      <c r="G996" s="1"/>
      <c r="H996" s="1"/>
      <c r="I996" s="61"/>
      <c r="J996" s="1"/>
      <c r="K996" s="1"/>
    </row>
    <row r="997" spans="1:11" ht="15.75" customHeight="1">
      <c r="A997" s="2"/>
      <c r="B997" s="1"/>
      <c r="C997" s="1"/>
      <c r="D997" s="1"/>
      <c r="E997" s="1"/>
      <c r="F997" s="1"/>
      <c r="G997" s="1"/>
      <c r="H997" s="1"/>
      <c r="I997" s="61"/>
      <c r="J997" s="1"/>
      <c r="K997" s="1"/>
    </row>
    <row r="998" spans="1:11" ht="15.75" customHeight="1">
      <c r="A998" s="2"/>
      <c r="B998" s="1"/>
      <c r="C998" s="1"/>
      <c r="D998" s="1"/>
      <c r="E998" s="1"/>
      <c r="F998" s="1"/>
      <c r="G998" s="1"/>
      <c r="H998" s="1"/>
      <c r="I998" s="61"/>
      <c r="J998" s="1"/>
      <c r="K998" s="1"/>
    </row>
    <row r="999" spans="1:11" ht="15.75" customHeight="1">
      <c r="A999" s="2"/>
      <c r="B999" s="1"/>
      <c r="C999" s="1"/>
      <c r="D999" s="1"/>
      <c r="E999" s="1"/>
      <c r="F999" s="1"/>
      <c r="G999" s="1"/>
      <c r="H999" s="1"/>
      <c r="I999" s="61"/>
      <c r="J999" s="1"/>
      <c r="K999" s="1"/>
    </row>
    <row r="1000" spans="1:11" ht="15.75" customHeight="1">
      <c r="A1000" s="2"/>
      <c r="B1000" s="1"/>
      <c r="C1000" s="1"/>
      <c r="D1000" s="1"/>
      <c r="E1000" s="1"/>
      <c r="F1000" s="1"/>
      <c r="G1000" s="1"/>
      <c r="H1000" s="1"/>
      <c r="I1000" s="61"/>
      <c r="J1000" s="1"/>
      <c r="K1000" s="1"/>
    </row>
  </sheetData>
  <mergeCells count="17">
    <mergeCell ref="F7:H7"/>
    <mergeCell ref="A8:B8"/>
    <mergeCell ref="P220:Q220"/>
    <mergeCell ref="E259:H259"/>
    <mergeCell ref="E260:H260"/>
    <mergeCell ref="J7:K7"/>
    <mergeCell ref="P54:Q54"/>
    <mergeCell ref="P58:Q58"/>
    <mergeCell ref="P61:Q61"/>
    <mergeCell ref="P64:Q64"/>
    <mergeCell ref="P214:Q214"/>
    <mergeCell ref="P217:Q217"/>
    <mergeCell ref="A1:K1"/>
    <mergeCell ref="A2:K2"/>
    <mergeCell ref="J3:K3"/>
    <mergeCell ref="A6:B6"/>
    <mergeCell ref="J6:K6"/>
  </mergeCells>
  <printOptions horizontalCentered="1"/>
  <pageMargins left="0.5" right="0.5" top="0.75" bottom="0.75" header="0" footer="0"/>
  <pageSetup paperSize="5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O1000"/>
  <sheetViews>
    <sheetView workbookViewId="0"/>
  </sheetViews>
  <sheetFormatPr defaultColWidth="14.42578125" defaultRowHeight="15" customHeight="1"/>
  <cols>
    <col min="1" max="1" width="4.7109375" customWidth="1"/>
    <col min="2" max="2" width="22" customWidth="1"/>
    <col min="3" max="3" width="9.28515625" customWidth="1"/>
    <col min="4" max="4" width="15.7109375" customWidth="1"/>
    <col min="5" max="5" width="14.85546875" customWidth="1"/>
    <col min="6" max="6" width="16.140625" customWidth="1"/>
    <col min="7" max="7" width="21.85546875" customWidth="1"/>
    <col min="8" max="8" width="12.42578125" customWidth="1"/>
    <col min="9" max="9" width="16.5703125" customWidth="1"/>
    <col min="10" max="10" width="13.7109375" customWidth="1"/>
    <col min="11" max="11" width="8.28515625" customWidth="1"/>
    <col min="12" max="12" width="18.140625" customWidth="1"/>
    <col min="13" max="26" width="8.7109375" customWidth="1"/>
  </cols>
  <sheetData>
    <row r="1" spans="1:15" ht="23.25">
      <c r="A1" s="555" t="s">
        <v>0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</row>
    <row r="2" spans="1:15" ht="18">
      <c r="A2" s="556" t="s">
        <v>1061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</row>
    <row r="3" spans="1:15">
      <c r="A3" s="2"/>
      <c r="B3" s="3"/>
      <c r="C3" s="71"/>
      <c r="D3" s="3"/>
      <c r="E3" s="3"/>
      <c r="G3" s="3"/>
      <c r="H3" s="71"/>
      <c r="I3" s="45"/>
      <c r="J3" s="72"/>
      <c r="K3" s="557" t="s">
        <v>1525</v>
      </c>
      <c r="L3" s="558"/>
    </row>
    <row r="4" spans="1:15">
      <c r="A4" s="2"/>
      <c r="B4" s="3"/>
      <c r="C4" s="71"/>
      <c r="D4" s="3"/>
      <c r="E4" s="3"/>
      <c r="G4" s="3"/>
      <c r="H4" s="71"/>
      <c r="I4" s="45"/>
      <c r="J4" s="72"/>
      <c r="K4" s="73" t="s">
        <v>1526</v>
      </c>
      <c r="L4" s="294"/>
    </row>
    <row r="5" spans="1:15">
      <c r="A5" s="2"/>
      <c r="B5" s="3"/>
      <c r="C5" s="71"/>
      <c r="D5" s="3"/>
      <c r="E5" s="3"/>
      <c r="G5" s="3"/>
      <c r="H5" s="71"/>
      <c r="I5" s="45"/>
      <c r="J5" s="72"/>
      <c r="K5" s="73" t="s">
        <v>1527</v>
      </c>
      <c r="L5" s="294"/>
    </row>
    <row r="6" spans="1:15" ht="18">
      <c r="A6" s="567" t="s">
        <v>360</v>
      </c>
      <c r="B6" s="560"/>
      <c r="C6" s="75"/>
      <c r="D6" s="3"/>
      <c r="E6" s="10"/>
      <c r="F6" s="76"/>
      <c r="G6" s="3"/>
      <c r="H6" s="71"/>
      <c r="I6" s="45"/>
      <c r="J6" s="72"/>
      <c r="K6" s="77" t="s">
        <v>1528</v>
      </c>
      <c r="L6" s="53"/>
    </row>
    <row r="7" spans="1:15">
      <c r="A7" s="11"/>
      <c r="B7" s="12"/>
      <c r="C7" s="78" t="s">
        <v>362</v>
      </c>
      <c r="D7" s="14"/>
      <c r="E7" s="14"/>
      <c r="F7" s="79" t="s">
        <v>363</v>
      </c>
      <c r="G7" s="78" t="s">
        <v>364</v>
      </c>
      <c r="H7" s="563" t="s">
        <v>365</v>
      </c>
      <c r="I7" s="558"/>
      <c r="J7" s="80"/>
      <c r="K7" s="550" t="s">
        <v>8</v>
      </c>
      <c r="L7" s="551"/>
    </row>
    <row r="8" spans="1:15">
      <c r="A8" s="565" t="s">
        <v>366</v>
      </c>
      <c r="B8" s="566"/>
      <c r="C8" s="79" t="s">
        <v>367</v>
      </c>
      <c r="D8" s="17" t="s">
        <v>11</v>
      </c>
      <c r="E8" s="18" t="s">
        <v>12</v>
      </c>
      <c r="F8" s="79" t="s">
        <v>368</v>
      </c>
      <c r="G8" s="81" t="s">
        <v>369</v>
      </c>
      <c r="H8" s="82"/>
      <c r="I8" s="83" t="s">
        <v>14</v>
      </c>
      <c r="J8" s="84" t="s">
        <v>15</v>
      </c>
      <c r="K8" s="24"/>
      <c r="L8" s="85"/>
    </row>
    <row r="9" spans="1:15">
      <c r="A9" s="25"/>
      <c r="B9" s="26"/>
      <c r="C9" s="79" t="s">
        <v>370</v>
      </c>
      <c r="D9" s="27"/>
      <c r="E9" s="26"/>
      <c r="F9" s="79" t="s">
        <v>371</v>
      </c>
      <c r="G9" s="81" t="s">
        <v>372</v>
      </c>
      <c r="H9" s="86" t="s">
        <v>17</v>
      </c>
      <c r="I9" s="83" t="s">
        <v>18</v>
      </c>
      <c r="J9" s="87"/>
      <c r="K9" s="17" t="s">
        <v>19</v>
      </c>
      <c r="L9" s="17" t="s">
        <v>20</v>
      </c>
    </row>
    <row r="10" spans="1:15">
      <c r="A10" s="30"/>
      <c r="B10" s="31"/>
      <c r="C10" s="88"/>
      <c r="D10" s="33"/>
      <c r="E10" s="33"/>
      <c r="F10" s="89" t="s">
        <v>373</v>
      </c>
      <c r="G10" s="38"/>
      <c r="H10" s="90"/>
      <c r="I10" s="91" t="s">
        <v>374</v>
      </c>
      <c r="J10" s="92"/>
      <c r="K10" s="34"/>
      <c r="L10" s="38" t="s">
        <v>22</v>
      </c>
    </row>
    <row r="11" spans="1:15">
      <c r="A11" s="39" t="s">
        <v>23</v>
      </c>
      <c r="B11" s="57"/>
      <c r="C11" s="93"/>
      <c r="D11" s="57"/>
      <c r="E11" s="57"/>
      <c r="F11" s="40"/>
      <c r="G11" s="57"/>
      <c r="H11" s="93"/>
      <c r="I11" s="44"/>
      <c r="J11" s="94"/>
      <c r="K11" s="40"/>
      <c r="L11" s="40"/>
    </row>
    <row r="12" spans="1:15">
      <c r="A12" s="95">
        <v>4</v>
      </c>
      <c r="B12" s="333" t="s">
        <v>388</v>
      </c>
      <c r="C12" s="334"/>
      <c r="D12" s="97" t="s">
        <v>1529</v>
      </c>
      <c r="E12" s="97" t="s">
        <v>389</v>
      </c>
      <c r="F12" s="97"/>
      <c r="G12" s="96" t="s">
        <v>1029</v>
      </c>
      <c r="H12" s="295" t="s">
        <v>29</v>
      </c>
      <c r="I12" s="101">
        <v>3500</v>
      </c>
      <c r="J12" s="335" t="s">
        <v>101</v>
      </c>
      <c r="K12" s="98"/>
      <c r="L12" s="96" t="s">
        <v>31</v>
      </c>
    </row>
    <row r="13" spans="1:15" ht="29.25">
      <c r="A13" s="305">
        <v>20</v>
      </c>
      <c r="B13" s="333" t="s">
        <v>1530</v>
      </c>
      <c r="C13" s="336"/>
      <c r="D13" s="97" t="s">
        <v>1511</v>
      </c>
      <c r="E13" s="103" t="s">
        <v>111</v>
      </c>
      <c r="F13" s="99" t="s">
        <v>1531</v>
      </c>
      <c r="G13" s="96" t="s">
        <v>1532</v>
      </c>
      <c r="H13" s="296" t="s">
        <v>1533</v>
      </c>
      <c r="I13" s="101">
        <v>4000</v>
      </c>
      <c r="J13" s="337" t="s">
        <v>101</v>
      </c>
      <c r="K13" s="98"/>
      <c r="L13" s="96" t="s">
        <v>31</v>
      </c>
      <c r="O13" s="65"/>
    </row>
    <row r="14" spans="1:15">
      <c r="A14" s="569">
        <v>21</v>
      </c>
      <c r="B14" s="597" t="s">
        <v>1534</v>
      </c>
      <c r="C14" s="598"/>
      <c r="D14" s="569"/>
      <c r="E14" s="572" t="s">
        <v>1197</v>
      </c>
      <c r="F14" s="600" t="s">
        <v>1535</v>
      </c>
      <c r="G14" s="572" t="s">
        <v>1536</v>
      </c>
      <c r="H14" s="338" t="s">
        <v>29</v>
      </c>
      <c r="I14" s="339">
        <v>15000</v>
      </c>
      <c r="J14" s="340" t="s">
        <v>101</v>
      </c>
      <c r="K14" s="95"/>
      <c r="L14" s="341" t="s">
        <v>31</v>
      </c>
    </row>
    <row r="15" spans="1:15">
      <c r="A15" s="571"/>
      <c r="B15" s="571"/>
      <c r="C15" s="571"/>
      <c r="D15" s="571"/>
      <c r="E15" s="571"/>
      <c r="F15" s="571"/>
      <c r="G15" s="571"/>
      <c r="H15" s="100" t="s">
        <v>420</v>
      </c>
      <c r="I15" s="101">
        <v>200</v>
      </c>
      <c r="J15" s="342" t="s">
        <v>101</v>
      </c>
      <c r="K15" s="98"/>
      <c r="L15" s="96" t="s">
        <v>31</v>
      </c>
      <c r="O15" s="65"/>
    </row>
    <row r="16" spans="1:15">
      <c r="A16" s="95">
        <v>25</v>
      </c>
      <c r="B16" s="97" t="s">
        <v>1537</v>
      </c>
      <c r="C16" s="97"/>
      <c r="D16" s="97" t="s">
        <v>1538</v>
      </c>
      <c r="E16" s="97" t="s">
        <v>166</v>
      </c>
      <c r="F16" s="99" t="s">
        <v>1539</v>
      </c>
      <c r="G16" s="96" t="s">
        <v>1540</v>
      </c>
      <c r="H16" s="100" t="s">
        <v>29</v>
      </c>
      <c r="I16" s="101">
        <v>6500</v>
      </c>
      <c r="J16" s="335" t="s">
        <v>101</v>
      </c>
      <c r="K16" s="98"/>
      <c r="L16" s="96" t="s">
        <v>31</v>
      </c>
    </row>
    <row r="17" spans="1:15">
      <c r="A17" s="95"/>
      <c r="B17" s="97"/>
      <c r="C17" s="97"/>
      <c r="D17" s="97"/>
      <c r="E17" s="97"/>
      <c r="F17" s="97"/>
      <c r="G17" s="96"/>
      <c r="H17" s="100"/>
      <c r="I17" s="101"/>
      <c r="J17" s="335"/>
      <c r="K17" s="98"/>
      <c r="L17" s="96" t="s">
        <v>31</v>
      </c>
      <c r="O17" s="65"/>
    </row>
    <row r="18" spans="1:15">
      <c r="A18" s="95"/>
      <c r="B18" s="97"/>
      <c r="C18" s="97"/>
      <c r="D18" s="97"/>
      <c r="E18" s="97"/>
      <c r="F18" s="97"/>
      <c r="G18" s="96"/>
      <c r="H18" s="100"/>
      <c r="I18" s="101"/>
      <c r="J18" s="335"/>
      <c r="K18" s="98"/>
      <c r="L18" s="96"/>
    </row>
    <row r="19" spans="1:15">
      <c r="A19" s="95"/>
      <c r="B19" s="97"/>
      <c r="C19" s="97"/>
      <c r="D19" s="97"/>
      <c r="E19" s="97"/>
      <c r="F19" s="97"/>
      <c r="G19" s="96"/>
      <c r="H19" s="100"/>
      <c r="I19" s="101"/>
      <c r="J19" s="335"/>
      <c r="K19" s="98"/>
      <c r="L19" s="96"/>
    </row>
    <row r="20" spans="1:15">
      <c r="A20" s="95"/>
      <c r="B20" s="97"/>
      <c r="C20" s="97"/>
      <c r="D20" s="97"/>
      <c r="E20" s="313"/>
      <c r="F20" s="97"/>
      <c r="G20" s="96"/>
      <c r="H20" s="100"/>
      <c r="I20" s="101"/>
      <c r="J20" s="343"/>
      <c r="K20" s="98"/>
      <c r="L20" s="96"/>
    </row>
    <row r="21" spans="1:15" ht="15.75" customHeight="1">
      <c r="A21" s="95"/>
      <c r="B21" s="97"/>
      <c r="C21" s="97"/>
      <c r="D21" s="97"/>
      <c r="E21" s="97"/>
      <c r="F21" s="97"/>
      <c r="G21" s="97"/>
      <c r="H21" s="110"/>
      <c r="I21" s="101"/>
      <c r="J21" s="97"/>
      <c r="K21" s="97"/>
      <c r="L21" s="97"/>
    </row>
    <row r="22" spans="1:15" ht="15.75" customHeight="1">
      <c r="A22" s="98"/>
      <c r="B22" s="97"/>
      <c r="C22" s="97"/>
      <c r="D22" s="97"/>
      <c r="E22" s="97"/>
      <c r="F22" s="97"/>
      <c r="G22" s="97"/>
      <c r="H22" s="110"/>
      <c r="I22" s="101"/>
      <c r="J22" s="97"/>
      <c r="K22" s="97"/>
      <c r="L22" s="97"/>
    </row>
    <row r="23" spans="1:15" ht="15.75" customHeight="1">
      <c r="A23" s="98"/>
      <c r="B23" s="97"/>
      <c r="C23" s="97"/>
      <c r="D23" s="97"/>
      <c r="E23" s="97"/>
      <c r="F23" s="97"/>
      <c r="G23" s="97"/>
      <c r="H23" s="110"/>
      <c r="I23" s="97"/>
      <c r="J23" s="97"/>
      <c r="K23" s="97"/>
      <c r="L23" s="97"/>
    </row>
    <row r="24" spans="1:15" ht="15.75" customHeight="1">
      <c r="I24" s="111" t="s">
        <v>335</v>
      </c>
      <c r="J24" s="63"/>
    </row>
    <row r="25" spans="1:15" ht="15.75" customHeight="1">
      <c r="I25" s="63" t="s">
        <v>338</v>
      </c>
      <c r="J25" s="291">
        <v>0</v>
      </c>
      <c r="L25" s="65"/>
      <c r="N25" s="65"/>
    </row>
    <row r="26" spans="1:15" ht="15.75" customHeight="1">
      <c r="I26" s="63" t="s">
        <v>340</v>
      </c>
      <c r="J26" s="291" t="s">
        <v>1541</v>
      </c>
      <c r="N26" s="65"/>
    </row>
    <row r="27" spans="1:15" ht="15.75" customHeight="1">
      <c r="I27" s="63"/>
      <c r="J27" s="291" t="s">
        <v>1542</v>
      </c>
      <c r="K27" s="112" t="s">
        <v>403</v>
      </c>
      <c r="N27" s="65"/>
    </row>
    <row r="28" spans="1:15" ht="15.75" customHeight="1">
      <c r="B28" s="157" t="s">
        <v>336</v>
      </c>
      <c r="E28" s="157" t="s">
        <v>337</v>
      </c>
      <c r="I28" s="63" t="s">
        <v>342</v>
      </c>
      <c r="J28" s="292">
        <v>0</v>
      </c>
    </row>
    <row r="29" spans="1:15" ht="15.75" customHeight="1">
      <c r="I29" s="63" t="s">
        <v>1543</v>
      </c>
      <c r="J29" s="292" t="s">
        <v>1544</v>
      </c>
    </row>
    <row r="30" spans="1:15" ht="15.75" customHeight="1">
      <c r="I30" s="63" t="s">
        <v>349</v>
      </c>
      <c r="J30" s="292">
        <v>0</v>
      </c>
    </row>
    <row r="31" spans="1:15" ht="15.75" customHeight="1">
      <c r="B31" s="70" t="s">
        <v>343</v>
      </c>
      <c r="E31" s="568" t="s">
        <v>344</v>
      </c>
      <c r="F31" s="553"/>
      <c r="G31" s="553"/>
      <c r="H31" s="553"/>
      <c r="I31" s="63" t="s">
        <v>406</v>
      </c>
      <c r="J31" s="292">
        <v>0</v>
      </c>
    </row>
    <row r="32" spans="1:15" ht="15.75" customHeight="1">
      <c r="B32" s="157" t="s">
        <v>347</v>
      </c>
      <c r="E32" s="552" t="s">
        <v>348</v>
      </c>
      <c r="F32" s="553"/>
      <c r="G32" s="553"/>
      <c r="H32" s="553"/>
      <c r="I32" s="63" t="s">
        <v>353</v>
      </c>
      <c r="J32" s="293"/>
    </row>
    <row r="33" spans="9:10" ht="15.75" customHeight="1">
      <c r="I33" s="4" t="s">
        <v>407</v>
      </c>
      <c r="J33" s="291"/>
    </row>
    <row r="34" spans="9:10" ht="15.75" customHeight="1">
      <c r="I34" s="4" t="s">
        <v>1545</v>
      </c>
      <c r="J34" s="291"/>
    </row>
    <row r="35" spans="9:10" ht="15.75" customHeight="1"/>
    <row r="36" spans="9:10" ht="15.75" customHeight="1"/>
    <row r="37" spans="9:10" ht="15.75" customHeight="1"/>
    <row r="38" spans="9:10" ht="15.75" customHeight="1"/>
    <row r="39" spans="9:10" ht="15.75" customHeight="1"/>
    <row r="40" spans="9:10" ht="15.75" customHeight="1"/>
    <row r="41" spans="9:10" ht="15.75" customHeight="1"/>
    <row r="42" spans="9:10" ht="15.75" customHeight="1"/>
    <row r="43" spans="9:10" ht="15.75" customHeight="1"/>
    <row r="44" spans="9:10" ht="15.75" customHeight="1"/>
    <row r="45" spans="9:10" ht="15.75" customHeight="1"/>
    <row r="46" spans="9:10" ht="15.75" customHeight="1"/>
    <row r="47" spans="9:10" ht="15.75" customHeight="1"/>
    <row r="48" spans="9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8:B8"/>
    <mergeCell ref="E31:H31"/>
    <mergeCell ref="E32:H32"/>
    <mergeCell ref="A14:A15"/>
    <mergeCell ref="B14:B15"/>
    <mergeCell ref="C14:C15"/>
    <mergeCell ref="D14:D15"/>
    <mergeCell ref="E14:E15"/>
    <mergeCell ref="F14:F15"/>
    <mergeCell ref="G14:G15"/>
    <mergeCell ref="A1:L1"/>
    <mergeCell ref="A2:L2"/>
    <mergeCell ref="K3:L3"/>
    <mergeCell ref="A6:B6"/>
    <mergeCell ref="H7:I7"/>
    <mergeCell ref="K7:L7"/>
  </mergeCells>
  <pageMargins left="0.7" right="0.7" top="0.75" bottom="0.75" header="0" footer="0"/>
  <pageSetup orientation="portrait"/>
  <rowBreaks count="1" manualBreakCount="1">
    <brk id="16" man="1"/>
  </rowBreaks>
  <colBreaks count="1" manualBreakCount="1">
    <brk id="8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1:Z1000"/>
  <sheetViews>
    <sheetView workbookViewId="0"/>
  </sheetViews>
  <sheetFormatPr defaultColWidth="14.42578125" defaultRowHeight="15" customHeight="1"/>
  <cols>
    <col min="1" max="1" width="4.7109375" customWidth="1"/>
    <col min="2" max="2" width="23.7109375" customWidth="1"/>
    <col min="3" max="3" width="8.140625" customWidth="1"/>
    <col min="4" max="4" width="16.140625" customWidth="1"/>
    <col min="5" max="5" width="14.5703125" customWidth="1"/>
    <col min="6" max="6" width="14.85546875" customWidth="1"/>
    <col min="7" max="7" width="14" customWidth="1"/>
    <col min="8" max="8" width="16.42578125" customWidth="1"/>
    <col min="9" max="9" width="16.85546875" customWidth="1"/>
    <col min="10" max="10" width="9.5703125" customWidth="1"/>
    <col min="11" max="11" width="17.85546875" customWidth="1"/>
    <col min="12" max="15" width="8.7109375" customWidth="1"/>
    <col min="16" max="16" width="11.5703125" customWidth="1"/>
    <col min="17" max="26" width="8.7109375" customWidth="1"/>
  </cols>
  <sheetData>
    <row r="1" spans="1:13" ht="23.25">
      <c r="A1" s="555" t="s">
        <v>0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</row>
    <row r="2" spans="1:13" ht="18">
      <c r="A2" s="556" t="s">
        <v>1546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</row>
    <row r="3" spans="1:13">
      <c r="A3" s="2"/>
      <c r="B3" s="3"/>
      <c r="C3" s="4"/>
      <c r="D3" s="3"/>
      <c r="E3" s="3"/>
      <c r="F3" s="1"/>
      <c r="G3" s="4"/>
      <c r="H3" s="5"/>
      <c r="I3" s="6"/>
      <c r="J3" s="557" t="s">
        <v>1547</v>
      </c>
      <c r="K3" s="558"/>
    </row>
    <row r="4" spans="1:13">
      <c r="A4" s="2"/>
      <c r="B4" s="3"/>
      <c r="C4" s="4"/>
      <c r="D4" s="3"/>
      <c r="E4" s="3"/>
      <c r="F4" s="1"/>
      <c r="G4" s="4"/>
      <c r="H4" s="5"/>
      <c r="I4" s="7"/>
      <c r="J4" s="8" t="s">
        <v>3</v>
      </c>
      <c r="K4" s="248">
        <v>215</v>
      </c>
    </row>
    <row r="5" spans="1:13">
      <c r="A5" s="2"/>
      <c r="B5" s="3"/>
      <c r="C5" s="4"/>
      <c r="D5" s="3"/>
      <c r="E5" s="3"/>
      <c r="F5" s="1"/>
      <c r="G5" s="4"/>
      <c r="H5" s="5"/>
      <c r="I5" s="7"/>
      <c r="J5" s="8" t="s">
        <v>4</v>
      </c>
      <c r="K5" s="248">
        <v>23</v>
      </c>
    </row>
    <row r="6" spans="1:13">
      <c r="A6" s="559" t="s">
        <v>5</v>
      </c>
      <c r="B6" s="560"/>
      <c r="C6" s="4"/>
      <c r="D6" s="3"/>
      <c r="E6" s="10"/>
      <c r="F6" s="1"/>
      <c r="G6" s="4"/>
      <c r="H6" s="5"/>
      <c r="I6" s="6"/>
      <c r="J6" s="561" t="s">
        <v>1548</v>
      </c>
      <c r="K6" s="562"/>
    </row>
    <row r="7" spans="1:13">
      <c r="A7" s="11"/>
      <c r="B7" s="12"/>
      <c r="C7" s="13"/>
      <c r="D7" s="14"/>
      <c r="E7" s="14"/>
      <c r="F7" s="563" t="s">
        <v>7</v>
      </c>
      <c r="G7" s="564"/>
      <c r="H7" s="558"/>
      <c r="I7" s="15"/>
      <c r="J7" s="550" t="s">
        <v>8</v>
      </c>
      <c r="K7" s="551"/>
    </row>
    <row r="8" spans="1:13">
      <c r="A8" s="565" t="s">
        <v>9</v>
      </c>
      <c r="B8" s="566"/>
      <c r="C8" s="16" t="s">
        <v>10</v>
      </c>
      <c r="D8" s="17" t="s">
        <v>11</v>
      </c>
      <c r="E8" s="18" t="s">
        <v>12</v>
      </c>
      <c r="F8" s="19" t="s">
        <v>13</v>
      </c>
      <c r="G8" s="20"/>
      <c r="H8" s="21" t="s">
        <v>14</v>
      </c>
      <c r="I8" s="22" t="s">
        <v>15</v>
      </c>
      <c r="J8" s="23"/>
      <c r="K8" s="24"/>
    </row>
    <row r="9" spans="1:13">
      <c r="A9" s="25"/>
      <c r="B9" s="26"/>
      <c r="C9" s="20"/>
      <c r="D9" s="27"/>
      <c r="E9" s="26"/>
      <c r="F9" s="28" t="s">
        <v>16</v>
      </c>
      <c r="G9" s="16" t="s">
        <v>17</v>
      </c>
      <c r="H9" s="21" t="s">
        <v>18</v>
      </c>
      <c r="I9" s="29"/>
      <c r="J9" s="17" t="s">
        <v>19</v>
      </c>
      <c r="K9" s="17" t="s">
        <v>20</v>
      </c>
    </row>
    <row r="10" spans="1:13">
      <c r="A10" s="30"/>
      <c r="B10" s="31"/>
      <c r="C10" s="32"/>
      <c r="D10" s="33"/>
      <c r="E10" s="33"/>
      <c r="F10" s="34"/>
      <c r="G10" s="35"/>
      <c r="H10" s="36" t="s">
        <v>21</v>
      </c>
      <c r="I10" s="37"/>
      <c r="J10" s="34"/>
      <c r="K10" s="38" t="s">
        <v>22</v>
      </c>
    </row>
    <row r="11" spans="1:13">
      <c r="A11" s="39" t="s">
        <v>23</v>
      </c>
      <c r="B11" s="40"/>
      <c r="C11" s="40"/>
      <c r="D11" s="40"/>
      <c r="E11" s="40"/>
      <c r="F11" s="40"/>
      <c r="G11" s="40"/>
      <c r="H11" s="40"/>
      <c r="I11" s="41"/>
      <c r="J11" s="40"/>
      <c r="K11" s="40"/>
    </row>
    <row r="12" spans="1:13">
      <c r="A12" s="42">
        <v>1</v>
      </c>
      <c r="B12" s="40" t="s">
        <v>1549</v>
      </c>
      <c r="C12" s="40" t="s">
        <v>25</v>
      </c>
      <c r="D12" s="40" t="s">
        <v>570</v>
      </c>
      <c r="E12" s="40" t="s">
        <v>60</v>
      </c>
      <c r="F12" s="43" t="s">
        <v>1550</v>
      </c>
      <c r="G12" s="40" t="s">
        <v>29</v>
      </c>
      <c r="H12" s="44">
        <v>2000</v>
      </c>
      <c r="I12" s="41">
        <v>400</v>
      </c>
      <c r="J12" s="40" t="s">
        <v>30</v>
      </c>
      <c r="K12" s="40" t="s">
        <v>31</v>
      </c>
      <c r="M12" s="157">
        <v>600</v>
      </c>
    </row>
    <row r="13" spans="1:13">
      <c r="A13" s="42">
        <v>1</v>
      </c>
      <c r="B13" s="40" t="s">
        <v>267</v>
      </c>
      <c r="C13" s="40" t="s">
        <v>25</v>
      </c>
      <c r="D13" s="40" t="s">
        <v>268</v>
      </c>
      <c r="E13" s="40" t="s">
        <v>78</v>
      </c>
      <c r="F13" s="43" t="s">
        <v>269</v>
      </c>
      <c r="G13" s="40" t="s">
        <v>29</v>
      </c>
      <c r="H13" s="44">
        <v>300</v>
      </c>
      <c r="I13" s="41">
        <v>60</v>
      </c>
      <c r="J13" s="40" t="s">
        <v>30</v>
      </c>
      <c r="K13" s="40" t="s">
        <v>31</v>
      </c>
      <c r="M13" s="157">
        <v>80</v>
      </c>
    </row>
    <row r="14" spans="1:13">
      <c r="A14" s="42">
        <v>1</v>
      </c>
      <c r="B14" s="40" t="s">
        <v>1551</v>
      </c>
      <c r="C14" s="40" t="s">
        <v>25</v>
      </c>
      <c r="D14" s="40" t="s">
        <v>63</v>
      </c>
      <c r="E14" s="40" t="s">
        <v>50</v>
      </c>
      <c r="F14" s="43" t="s">
        <v>1552</v>
      </c>
      <c r="G14" s="40" t="s">
        <v>29</v>
      </c>
      <c r="H14" s="44">
        <v>500</v>
      </c>
      <c r="I14" s="41">
        <v>100</v>
      </c>
      <c r="J14" s="40" t="s">
        <v>30</v>
      </c>
      <c r="K14" s="40" t="s">
        <v>31</v>
      </c>
      <c r="M14" s="157">
        <v>150</v>
      </c>
    </row>
    <row r="15" spans="1:13">
      <c r="A15" s="42">
        <v>1</v>
      </c>
      <c r="B15" s="40" t="s">
        <v>1553</v>
      </c>
      <c r="C15" s="40" t="s">
        <v>25</v>
      </c>
      <c r="D15" s="40" t="s">
        <v>86</v>
      </c>
      <c r="E15" s="40" t="s">
        <v>42</v>
      </c>
      <c r="F15" s="40"/>
      <c r="G15" s="40" t="s">
        <v>29</v>
      </c>
      <c r="H15" s="44">
        <v>4000</v>
      </c>
      <c r="I15" s="41">
        <v>800</v>
      </c>
      <c r="J15" s="40" t="s">
        <v>30</v>
      </c>
      <c r="K15" s="40" t="s">
        <v>31</v>
      </c>
      <c r="M15" s="157">
        <v>600</v>
      </c>
    </row>
    <row r="16" spans="1:13">
      <c r="A16" s="42">
        <v>1</v>
      </c>
      <c r="B16" s="40" t="s">
        <v>1554</v>
      </c>
      <c r="C16" s="40" t="s">
        <v>25</v>
      </c>
      <c r="D16" s="40" t="s">
        <v>1555</v>
      </c>
      <c r="E16" s="40" t="s">
        <v>258</v>
      </c>
      <c r="F16" s="43" t="s">
        <v>1556</v>
      </c>
      <c r="G16" s="40" t="s">
        <v>29</v>
      </c>
      <c r="H16" s="44">
        <v>1000</v>
      </c>
      <c r="I16" s="41">
        <v>200</v>
      </c>
      <c r="J16" s="40" t="s">
        <v>30</v>
      </c>
      <c r="K16" s="40" t="s">
        <v>31</v>
      </c>
      <c r="M16" s="157">
        <v>200</v>
      </c>
    </row>
    <row r="17" spans="1:13">
      <c r="A17" s="42">
        <v>1</v>
      </c>
      <c r="B17" s="40" t="s">
        <v>1557</v>
      </c>
      <c r="C17" s="40" t="s">
        <v>25</v>
      </c>
      <c r="D17" s="40" t="s">
        <v>192</v>
      </c>
      <c r="E17" s="40" t="s">
        <v>150</v>
      </c>
      <c r="F17" s="43" t="s">
        <v>1558</v>
      </c>
      <c r="G17" s="40" t="s">
        <v>29</v>
      </c>
      <c r="H17" s="44">
        <v>100</v>
      </c>
      <c r="I17" s="41">
        <v>20</v>
      </c>
      <c r="J17" s="40" t="s">
        <v>30</v>
      </c>
      <c r="K17" s="40" t="s">
        <v>31</v>
      </c>
      <c r="M17" s="157">
        <f t="shared" ref="M17:M256" si="0">H17/5</f>
        <v>20</v>
      </c>
    </row>
    <row r="18" spans="1:13">
      <c r="A18" s="284">
        <v>2</v>
      </c>
      <c r="B18" s="285" t="s">
        <v>1559</v>
      </c>
      <c r="C18" s="40" t="s">
        <v>59</v>
      </c>
      <c r="D18" s="40" t="s">
        <v>110</v>
      </c>
      <c r="E18" s="40" t="s">
        <v>111</v>
      </c>
      <c r="F18" s="43" t="s">
        <v>1560</v>
      </c>
      <c r="G18" s="344" t="s">
        <v>1030</v>
      </c>
      <c r="H18" s="252">
        <v>2000</v>
      </c>
      <c r="I18" s="41">
        <v>4000</v>
      </c>
      <c r="J18" s="40" t="s">
        <v>30</v>
      </c>
      <c r="K18" s="40" t="s">
        <v>31</v>
      </c>
      <c r="M18" s="157">
        <f t="shared" si="0"/>
        <v>400</v>
      </c>
    </row>
    <row r="19" spans="1:13">
      <c r="A19" s="42">
        <v>2</v>
      </c>
      <c r="B19" s="40" t="s">
        <v>1561</v>
      </c>
      <c r="C19" s="40" t="s">
        <v>59</v>
      </c>
      <c r="D19" s="40" t="s">
        <v>566</v>
      </c>
      <c r="E19" s="40" t="s">
        <v>96</v>
      </c>
      <c r="F19" s="43" t="s">
        <v>1562</v>
      </c>
      <c r="G19" s="40" t="s">
        <v>29</v>
      </c>
      <c r="H19" s="44">
        <v>500</v>
      </c>
      <c r="I19" s="41">
        <v>100</v>
      </c>
      <c r="J19" s="40" t="s">
        <v>30</v>
      </c>
      <c r="K19" s="40" t="s">
        <v>31</v>
      </c>
      <c r="M19" s="157">
        <f t="shared" si="0"/>
        <v>100</v>
      </c>
    </row>
    <row r="20" spans="1:13">
      <c r="A20" s="42">
        <v>3</v>
      </c>
      <c r="B20" s="40" t="s">
        <v>1563</v>
      </c>
      <c r="C20" s="40" t="s">
        <v>25</v>
      </c>
      <c r="D20" s="40" t="s">
        <v>1564</v>
      </c>
      <c r="E20" s="40" t="s">
        <v>46</v>
      </c>
      <c r="F20" s="40"/>
      <c r="G20" s="40" t="s">
        <v>29</v>
      </c>
      <c r="H20" s="44">
        <v>600</v>
      </c>
      <c r="I20" s="41">
        <v>120</v>
      </c>
      <c r="J20" s="40" t="s">
        <v>30</v>
      </c>
      <c r="K20" s="40" t="s">
        <v>31</v>
      </c>
      <c r="M20" s="157">
        <f t="shared" si="0"/>
        <v>120</v>
      </c>
    </row>
    <row r="21" spans="1:13" ht="15.75" customHeight="1">
      <c r="A21" s="42">
        <v>3</v>
      </c>
      <c r="B21" s="40" t="s">
        <v>1565</v>
      </c>
      <c r="C21" s="40" t="s">
        <v>25</v>
      </c>
      <c r="D21" s="40" t="s">
        <v>110</v>
      </c>
      <c r="E21" s="40" t="s">
        <v>111</v>
      </c>
      <c r="F21" s="43" t="s">
        <v>1566</v>
      </c>
      <c r="G21" s="40" t="s">
        <v>29</v>
      </c>
      <c r="H21" s="44">
        <v>500</v>
      </c>
      <c r="I21" s="41">
        <v>100</v>
      </c>
      <c r="J21" s="40" t="s">
        <v>30</v>
      </c>
      <c r="K21" s="40" t="s">
        <v>31</v>
      </c>
      <c r="M21" s="157">
        <f t="shared" si="0"/>
        <v>100</v>
      </c>
    </row>
    <row r="22" spans="1:13" ht="15.75" customHeight="1">
      <c r="A22" s="42">
        <v>3</v>
      </c>
      <c r="B22" s="40" t="s">
        <v>1567</v>
      </c>
      <c r="C22" s="40" t="s">
        <v>25</v>
      </c>
      <c r="D22" s="40" t="s">
        <v>820</v>
      </c>
      <c r="E22" s="40" t="s">
        <v>46</v>
      </c>
      <c r="F22" s="43" t="s">
        <v>1568</v>
      </c>
      <c r="G22" s="40" t="s">
        <v>29</v>
      </c>
      <c r="H22" s="44">
        <v>500</v>
      </c>
      <c r="I22" s="41">
        <v>100</v>
      </c>
      <c r="J22" s="40" t="s">
        <v>30</v>
      </c>
      <c r="K22" s="40" t="s">
        <v>31</v>
      </c>
      <c r="M22" s="157">
        <f t="shared" si="0"/>
        <v>100</v>
      </c>
    </row>
    <row r="23" spans="1:13" ht="15.75" customHeight="1">
      <c r="A23" s="42">
        <v>3</v>
      </c>
      <c r="B23" s="40" t="s">
        <v>1569</v>
      </c>
      <c r="C23" s="40" t="s">
        <v>25</v>
      </c>
      <c r="D23" s="40" t="s">
        <v>86</v>
      </c>
      <c r="E23" s="40" t="s">
        <v>42</v>
      </c>
      <c r="F23" s="43" t="s">
        <v>1570</v>
      </c>
      <c r="G23" s="40" t="s">
        <v>29</v>
      </c>
      <c r="H23" s="44">
        <v>10000</v>
      </c>
      <c r="I23" s="41">
        <v>2000</v>
      </c>
      <c r="J23" s="40" t="s">
        <v>30</v>
      </c>
      <c r="K23" s="40" t="s">
        <v>31</v>
      </c>
      <c r="M23" s="157">
        <f t="shared" si="0"/>
        <v>2000</v>
      </c>
    </row>
    <row r="24" spans="1:13" ht="15.75" customHeight="1">
      <c r="A24" s="42">
        <v>6</v>
      </c>
      <c r="B24" s="40" t="s">
        <v>1356</v>
      </c>
      <c r="C24" s="40" t="s">
        <v>25</v>
      </c>
      <c r="D24" s="40" t="s">
        <v>1190</v>
      </c>
      <c r="E24" s="40" t="s">
        <v>42</v>
      </c>
      <c r="F24" s="43" t="s">
        <v>1571</v>
      </c>
      <c r="G24" s="40" t="s">
        <v>29</v>
      </c>
      <c r="H24" s="44">
        <v>7000</v>
      </c>
      <c r="I24" s="41">
        <v>1400</v>
      </c>
      <c r="J24" s="40" t="s">
        <v>30</v>
      </c>
      <c r="K24" s="40" t="s">
        <v>31</v>
      </c>
      <c r="M24" s="157">
        <f t="shared" si="0"/>
        <v>1400</v>
      </c>
    </row>
    <row r="25" spans="1:13" ht="15.75" customHeight="1">
      <c r="A25" s="42">
        <v>6</v>
      </c>
      <c r="B25" s="40" t="s">
        <v>1572</v>
      </c>
      <c r="C25" s="40" t="s">
        <v>25</v>
      </c>
      <c r="D25" s="40" t="s">
        <v>63</v>
      </c>
      <c r="E25" s="40" t="s">
        <v>60</v>
      </c>
      <c r="F25" s="43" t="s">
        <v>1573</v>
      </c>
      <c r="G25" s="40" t="s">
        <v>29</v>
      </c>
      <c r="H25" s="44">
        <v>1000</v>
      </c>
      <c r="I25" s="41">
        <v>200</v>
      </c>
      <c r="J25" s="40" t="s">
        <v>30</v>
      </c>
      <c r="K25" s="40" t="s">
        <v>31</v>
      </c>
      <c r="M25" s="157">
        <f t="shared" si="0"/>
        <v>200</v>
      </c>
    </row>
    <row r="26" spans="1:13" ht="15.75" customHeight="1">
      <c r="A26" s="42">
        <v>6</v>
      </c>
      <c r="B26" s="40" t="s">
        <v>1574</v>
      </c>
      <c r="C26" s="40" t="s">
        <v>25</v>
      </c>
      <c r="D26" s="40" t="s">
        <v>158</v>
      </c>
      <c r="E26" s="40" t="s">
        <v>141</v>
      </c>
      <c r="F26" s="43" t="s">
        <v>1575</v>
      </c>
      <c r="G26" s="40" t="s">
        <v>29</v>
      </c>
      <c r="H26" s="44">
        <v>3500</v>
      </c>
      <c r="I26" s="41">
        <v>700</v>
      </c>
      <c r="J26" s="40" t="s">
        <v>30</v>
      </c>
      <c r="K26" s="40" t="s">
        <v>31</v>
      </c>
      <c r="M26" s="157">
        <f t="shared" si="0"/>
        <v>700</v>
      </c>
    </row>
    <row r="27" spans="1:13" ht="15.75" customHeight="1">
      <c r="A27" s="42">
        <v>6</v>
      </c>
      <c r="B27" s="40" t="s">
        <v>1317</v>
      </c>
      <c r="C27" s="40" t="s">
        <v>25</v>
      </c>
      <c r="D27" s="40" t="s">
        <v>332</v>
      </c>
      <c r="E27" s="40" t="s">
        <v>46</v>
      </c>
      <c r="F27" s="43" t="s">
        <v>1318</v>
      </c>
      <c r="G27" s="40" t="s">
        <v>29</v>
      </c>
      <c r="H27" s="44">
        <v>1000</v>
      </c>
      <c r="I27" s="41">
        <v>200</v>
      </c>
      <c r="J27" s="40" t="s">
        <v>30</v>
      </c>
      <c r="K27" s="40" t="s">
        <v>31</v>
      </c>
      <c r="M27" s="157">
        <f t="shared" si="0"/>
        <v>200</v>
      </c>
    </row>
    <row r="28" spans="1:13" ht="15.75" customHeight="1">
      <c r="A28" s="42">
        <v>6</v>
      </c>
      <c r="B28" s="40" t="s">
        <v>1576</v>
      </c>
      <c r="C28" s="40" t="s">
        <v>25</v>
      </c>
      <c r="D28" s="40" t="s">
        <v>63</v>
      </c>
      <c r="E28" s="40" t="s">
        <v>60</v>
      </c>
      <c r="F28" s="43" t="s">
        <v>1577</v>
      </c>
      <c r="G28" s="40" t="s">
        <v>29</v>
      </c>
      <c r="H28" s="44">
        <v>3000</v>
      </c>
      <c r="I28" s="41">
        <v>600</v>
      </c>
      <c r="J28" s="40" t="s">
        <v>30</v>
      </c>
      <c r="K28" s="40" t="s">
        <v>31</v>
      </c>
      <c r="M28" s="157">
        <f t="shared" si="0"/>
        <v>600</v>
      </c>
    </row>
    <row r="29" spans="1:13" ht="15.75" customHeight="1">
      <c r="A29" s="42">
        <v>6</v>
      </c>
      <c r="B29" s="40" t="s">
        <v>1578</v>
      </c>
      <c r="C29" s="40" t="s">
        <v>25</v>
      </c>
      <c r="D29" s="40" t="s">
        <v>89</v>
      </c>
      <c r="E29" s="40" t="s">
        <v>46</v>
      </c>
      <c r="F29" s="43" t="s">
        <v>1579</v>
      </c>
      <c r="G29" s="40" t="s">
        <v>29</v>
      </c>
      <c r="H29" s="44">
        <v>1000</v>
      </c>
      <c r="I29" s="41">
        <v>200</v>
      </c>
      <c r="J29" s="40" t="s">
        <v>30</v>
      </c>
      <c r="K29" s="40" t="s">
        <v>31</v>
      </c>
      <c r="M29" s="157">
        <f t="shared" si="0"/>
        <v>200</v>
      </c>
    </row>
    <row r="30" spans="1:13" ht="15.75" customHeight="1">
      <c r="A30" s="42">
        <v>6</v>
      </c>
      <c r="B30" s="40" t="s">
        <v>1580</v>
      </c>
      <c r="C30" s="40" t="s">
        <v>25</v>
      </c>
      <c r="D30" s="40" t="s">
        <v>631</v>
      </c>
      <c r="E30" s="40" t="s">
        <v>60</v>
      </c>
      <c r="F30" s="43" t="s">
        <v>79</v>
      </c>
      <c r="G30" s="40" t="s">
        <v>29</v>
      </c>
      <c r="H30" s="44">
        <v>1000</v>
      </c>
      <c r="I30" s="41">
        <v>200</v>
      </c>
      <c r="J30" s="40" t="s">
        <v>30</v>
      </c>
      <c r="K30" s="40" t="s">
        <v>31</v>
      </c>
      <c r="M30" s="157">
        <f t="shared" si="0"/>
        <v>200</v>
      </c>
    </row>
    <row r="31" spans="1:13" ht="15.75" customHeight="1">
      <c r="A31" s="42">
        <v>6</v>
      </c>
      <c r="B31" s="40" t="s">
        <v>1581</v>
      </c>
      <c r="C31" s="40" t="s">
        <v>25</v>
      </c>
      <c r="D31" s="40" t="s">
        <v>99</v>
      </c>
      <c r="E31" s="40" t="s">
        <v>42</v>
      </c>
      <c r="F31" s="43" t="s">
        <v>1582</v>
      </c>
      <c r="G31" s="40" t="s">
        <v>29</v>
      </c>
      <c r="H31" s="44">
        <v>3000</v>
      </c>
      <c r="I31" s="41">
        <v>600</v>
      </c>
      <c r="J31" s="40" t="s">
        <v>30</v>
      </c>
      <c r="K31" s="40" t="s">
        <v>31</v>
      </c>
      <c r="M31" s="157">
        <f t="shared" si="0"/>
        <v>600</v>
      </c>
    </row>
    <row r="32" spans="1:13" ht="15.75" customHeight="1">
      <c r="A32" s="42">
        <v>6</v>
      </c>
      <c r="B32" s="40" t="s">
        <v>1583</v>
      </c>
      <c r="C32" s="40" t="s">
        <v>25</v>
      </c>
      <c r="D32" s="40" t="s">
        <v>849</v>
      </c>
      <c r="E32" s="40" t="s">
        <v>38</v>
      </c>
      <c r="F32" s="43" t="s">
        <v>1584</v>
      </c>
      <c r="G32" s="40" t="s">
        <v>29</v>
      </c>
      <c r="H32" s="44">
        <v>5000</v>
      </c>
      <c r="I32" s="41">
        <v>1000</v>
      </c>
      <c r="J32" s="40" t="s">
        <v>30</v>
      </c>
      <c r="K32" s="40" t="s">
        <v>31</v>
      </c>
      <c r="M32" s="157">
        <f t="shared" si="0"/>
        <v>1000</v>
      </c>
    </row>
    <row r="33" spans="1:13" ht="15.75" customHeight="1">
      <c r="A33" s="42">
        <v>6</v>
      </c>
      <c r="B33" s="40" t="s">
        <v>1585</v>
      </c>
      <c r="C33" s="40" t="s">
        <v>25</v>
      </c>
      <c r="D33" s="40" t="s">
        <v>263</v>
      </c>
      <c r="E33" s="40" t="s">
        <v>42</v>
      </c>
      <c r="F33" s="43" t="s">
        <v>1586</v>
      </c>
      <c r="G33" s="40" t="s">
        <v>29</v>
      </c>
      <c r="H33" s="44">
        <v>800</v>
      </c>
      <c r="I33" s="41">
        <v>160</v>
      </c>
      <c r="J33" s="40" t="s">
        <v>30</v>
      </c>
      <c r="K33" s="40" t="s">
        <v>31</v>
      </c>
      <c r="M33" s="157">
        <f t="shared" si="0"/>
        <v>160</v>
      </c>
    </row>
    <row r="34" spans="1:13" ht="15.75" customHeight="1">
      <c r="A34" s="42">
        <v>6</v>
      </c>
      <c r="B34" s="40" t="s">
        <v>1587</v>
      </c>
      <c r="C34" s="40" t="s">
        <v>25</v>
      </c>
      <c r="D34" s="40" t="s">
        <v>33</v>
      </c>
      <c r="E34" s="40" t="s">
        <v>38</v>
      </c>
      <c r="F34" s="43" t="s">
        <v>1588</v>
      </c>
      <c r="G34" s="40" t="s">
        <v>29</v>
      </c>
      <c r="H34" s="44">
        <v>2000</v>
      </c>
      <c r="I34" s="41">
        <v>400</v>
      </c>
      <c r="J34" s="40" t="s">
        <v>30</v>
      </c>
      <c r="K34" s="40" t="s">
        <v>31</v>
      </c>
      <c r="M34" s="157">
        <f t="shared" si="0"/>
        <v>400</v>
      </c>
    </row>
    <row r="35" spans="1:13" ht="15.75" customHeight="1">
      <c r="A35" s="42">
        <v>6</v>
      </c>
      <c r="B35" s="40" t="s">
        <v>1589</v>
      </c>
      <c r="C35" s="40" t="s">
        <v>25</v>
      </c>
      <c r="D35" s="40" t="s">
        <v>55</v>
      </c>
      <c r="E35" s="40" t="s">
        <v>38</v>
      </c>
      <c r="F35" s="43" t="s">
        <v>1590</v>
      </c>
      <c r="G35" s="40" t="s">
        <v>29</v>
      </c>
      <c r="H35" s="44">
        <v>500</v>
      </c>
      <c r="I35" s="41">
        <v>100</v>
      </c>
      <c r="J35" s="40" t="s">
        <v>30</v>
      </c>
      <c r="K35" s="40" t="s">
        <v>31</v>
      </c>
      <c r="M35" s="157">
        <f t="shared" si="0"/>
        <v>100</v>
      </c>
    </row>
    <row r="36" spans="1:13" ht="15.75" customHeight="1">
      <c r="A36" s="42">
        <v>6</v>
      </c>
      <c r="B36" s="40" t="s">
        <v>1591</v>
      </c>
      <c r="C36" s="40" t="s">
        <v>25</v>
      </c>
      <c r="D36" s="40" t="s">
        <v>669</v>
      </c>
      <c r="E36" s="40" t="s">
        <v>141</v>
      </c>
      <c r="F36" s="43" t="s">
        <v>1592</v>
      </c>
      <c r="G36" s="40" t="s">
        <v>29</v>
      </c>
      <c r="H36" s="44">
        <v>300</v>
      </c>
      <c r="I36" s="41">
        <v>60</v>
      </c>
      <c r="J36" s="40" t="s">
        <v>30</v>
      </c>
      <c r="K36" s="40" t="s">
        <v>31</v>
      </c>
      <c r="M36" s="157">
        <f t="shared" si="0"/>
        <v>60</v>
      </c>
    </row>
    <row r="37" spans="1:13" ht="15.75" customHeight="1">
      <c r="A37" s="42">
        <v>7</v>
      </c>
      <c r="B37" s="40" t="s">
        <v>1593</v>
      </c>
      <c r="C37" s="40" t="s">
        <v>25</v>
      </c>
      <c r="D37" s="40" t="s">
        <v>63</v>
      </c>
      <c r="E37" s="40" t="s">
        <v>60</v>
      </c>
      <c r="F37" s="43" t="s">
        <v>1594</v>
      </c>
      <c r="G37" s="40" t="s">
        <v>29</v>
      </c>
      <c r="H37" s="44">
        <v>500</v>
      </c>
      <c r="I37" s="41" t="s">
        <v>101</v>
      </c>
      <c r="J37" s="40" t="s">
        <v>30</v>
      </c>
      <c r="K37" s="40" t="s">
        <v>31</v>
      </c>
      <c r="M37" s="157">
        <f t="shared" si="0"/>
        <v>100</v>
      </c>
    </row>
    <row r="38" spans="1:13" ht="15.75" customHeight="1">
      <c r="A38" s="42">
        <v>7</v>
      </c>
      <c r="B38" s="40" t="s">
        <v>1593</v>
      </c>
      <c r="C38" s="40" t="s">
        <v>25</v>
      </c>
      <c r="D38" s="40" t="s">
        <v>63</v>
      </c>
      <c r="E38" s="40" t="s">
        <v>60</v>
      </c>
      <c r="F38" s="40"/>
      <c r="G38" s="40" t="s">
        <v>29</v>
      </c>
      <c r="H38" s="44">
        <v>500</v>
      </c>
      <c r="I38" s="41">
        <v>100</v>
      </c>
      <c r="J38" s="40" t="s">
        <v>30</v>
      </c>
      <c r="K38" s="40" t="s">
        <v>31</v>
      </c>
      <c r="M38" s="157">
        <f t="shared" si="0"/>
        <v>100</v>
      </c>
    </row>
    <row r="39" spans="1:13" ht="15.75" customHeight="1">
      <c r="A39" s="42">
        <v>7</v>
      </c>
      <c r="B39" s="40" t="s">
        <v>1595</v>
      </c>
      <c r="C39" s="40" t="s">
        <v>25</v>
      </c>
      <c r="D39" s="40" t="s">
        <v>1596</v>
      </c>
      <c r="E39" s="40" t="s">
        <v>46</v>
      </c>
      <c r="F39" s="43" t="s">
        <v>1597</v>
      </c>
      <c r="G39" s="40" t="s">
        <v>29</v>
      </c>
      <c r="H39" s="44">
        <v>200</v>
      </c>
      <c r="I39" s="41">
        <v>40</v>
      </c>
      <c r="J39" s="40" t="s">
        <v>30</v>
      </c>
      <c r="K39" s="40" t="s">
        <v>31</v>
      </c>
      <c r="M39" s="157">
        <f t="shared" si="0"/>
        <v>40</v>
      </c>
    </row>
    <row r="40" spans="1:13" ht="15.75" customHeight="1">
      <c r="A40" s="42">
        <v>7</v>
      </c>
      <c r="B40" s="40" t="s">
        <v>1598</v>
      </c>
      <c r="C40" s="40" t="s">
        <v>25</v>
      </c>
      <c r="D40" s="40" t="s">
        <v>33</v>
      </c>
      <c r="E40" s="40" t="s">
        <v>540</v>
      </c>
      <c r="F40" s="43" t="s">
        <v>1599</v>
      </c>
      <c r="G40" s="40" t="s">
        <v>29</v>
      </c>
      <c r="H40" s="44">
        <v>5000</v>
      </c>
      <c r="I40" s="41">
        <v>1000</v>
      </c>
      <c r="J40" s="40" t="s">
        <v>30</v>
      </c>
      <c r="K40" s="40" t="s">
        <v>31</v>
      </c>
      <c r="M40" s="157">
        <f t="shared" si="0"/>
        <v>1000</v>
      </c>
    </row>
    <row r="41" spans="1:13" ht="15.75" customHeight="1">
      <c r="A41" s="42">
        <v>7</v>
      </c>
      <c r="B41" s="40" t="s">
        <v>1600</v>
      </c>
      <c r="C41" s="40" t="s">
        <v>25</v>
      </c>
      <c r="D41" s="40" t="s">
        <v>1371</v>
      </c>
      <c r="E41" s="40" t="s">
        <v>96</v>
      </c>
      <c r="F41" s="43" t="s">
        <v>1601</v>
      </c>
      <c r="G41" s="40" t="s">
        <v>29</v>
      </c>
      <c r="H41" s="44">
        <v>2000</v>
      </c>
      <c r="I41" s="41">
        <v>400</v>
      </c>
      <c r="J41" s="40" t="s">
        <v>30</v>
      </c>
      <c r="K41" s="40" t="s">
        <v>31</v>
      </c>
      <c r="M41" s="157">
        <f t="shared" si="0"/>
        <v>400</v>
      </c>
    </row>
    <row r="42" spans="1:13" ht="15.75" customHeight="1">
      <c r="A42" s="42">
        <v>7</v>
      </c>
      <c r="B42" s="40" t="s">
        <v>1602</v>
      </c>
      <c r="C42" s="40" t="s">
        <v>25</v>
      </c>
      <c r="D42" s="40" t="s">
        <v>268</v>
      </c>
      <c r="E42" s="40" t="s">
        <v>78</v>
      </c>
      <c r="F42" s="43" t="s">
        <v>1603</v>
      </c>
      <c r="G42" s="40" t="s">
        <v>29</v>
      </c>
      <c r="H42" s="44">
        <v>300</v>
      </c>
      <c r="I42" s="41">
        <v>60</v>
      </c>
      <c r="J42" s="40" t="s">
        <v>30</v>
      </c>
      <c r="K42" s="40" t="s">
        <v>31</v>
      </c>
      <c r="M42" s="157">
        <f t="shared" si="0"/>
        <v>60</v>
      </c>
    </row>
    <row r="43" spans="1:13" ht="15.75" customHeight="1">
      <c r="A43" s="42">
        <v>7</v>
      </c>
      <c r="B43" s="40" t="s">
        <v>1604</v>
      </c>
      <c r="C43" s="40" t="s">
        <v>25</v>
      </c>
      <c r="D43" s="40" t="s">
        <v>700</v>
      </c>
      <c r="E43" s="40" t="s">
        <v>46</v>
      </c>
      <c r="F43" s="43" t="s">
        <v>1605</v>
      </c>
      <c r="G43" s="40" t="s">
        <v>29</v>
      </c>
      <c r="H43" s="44">
        <v>700</v>
      </c>
      <c r="I43" s="41">
        <v>140</v>
      </c>
      <c r="J43" s="40" t="s">
        <v>30</v>
      </c>
      <c r="K43" s="40" t="s">
        <v>31</v>
      </c>
      <c r="M43" s="157">
        <f t="shared" si="0"/>
        <v>140</v>
      </c>
    </row>
    <row r="44" spans="1:13" ht="15.75" customHeight="1">
      <c r="A44" s="42">
        <v>7</v>
      </c>
      <c r="B44" s="40" t="s">
        <v>1606</v>
      </c>
      <c r="C44" s="40" t="s">
        <v>25</v>
      </c>
      <c r="D44" s="40" t="s">
        <v>570</v>
      </c>
      <c r="E44" s="40" t="s">
        <v>60</v>
      </c>
      <c r="F44" s="43" t="s">
        <v>1607</v>
      </c>
      <c r="G44" s="40" t="s">
        <v>29</v>
      </c>
      <c r="H44" s="44">
        <v>2000</v>
      </c>
      <c r="I44" s="41">
        <v>400</v>
      </c>
      <c r="J44" s="40" t="s">
        <v>30</v>
      </c>
      <c r="K44" s="40" t="s">
        <v>31</v>
      </c>
      <c r="M44" s="157">
        <f t="shared" si="0"/>
        <v>400</v>
      </c>
    </row>
    <row r="45" spans="1:13" ht="15.75" customHeight="1">
      <c r="A45" s="42">
        <v>7</v>
      </c>
      <c r="B45" s="40" t="s">
        <v>1608</v>
      </c>
      <c r="C45" s="40" t="s">
        <v>25</v>
      </c>
      <c r="D45" s="40" t="s">
        <v>144</v>
      </c>
      <c r="E45" s="40" t="s">
        <v>50</v>
      </c>
      <c r="F45" s="43" t="s">
        <v>1609</v>
      </c>
      <c r="G45" s="40" t="s">
        <v>29</v>
      </c>
      <c r="H45" s="44">
        <v>2000</v>
      </c>
      <c r="I45" s="41">
        <v>400</v>
      </c>
      <c r="J45" s="40" t="s">
        <v>30</v>
      </c>
      <c r="K45" s="40" t="s">
        <v>31</v>
      </c>
      <c r="M45" s="157">
        <f t="shared" si="0"/>
        <v>400</v>
      </c>
    </row>
    <row r="46" spans="1:13" ht="15.75" customHeight="1">
      <c r="A46" s="42">
        <v>7</v>
      </c>
      <c r="B46" s="40" t="s">
        <v>1610</v>
      </c>
      <c r="C46" s="40" t="s">
        <v>25</v>
      </c>
      <c r="D46" s="40" t="s">
        <v>688</v>
      </c>
      <c r="E46" s="40" t="s">
        <v>141</v>
      </c>
      <c r="F46" s="43" t="s">
        <v>1611</v>
      </c>
      <c r="G46" s="40" t="s">
        <v>29</v>
      </c>
      <c r="H46" s="44">
        <v>2000</v>
      </c>
      <c r="I46" s="41">
        <v>400</v>
      </c>
      <c r="J46" s="40" t="s">
        <v>30</v>
      </c>
      <c r="K46" s="40" t="s">
        <v>31</v>
      </c>
      <c r="M46" s="157">
        <f t="shared" si="0"/>
        <v>400</v>
      </c>
    </row>
    <row r="47" spans="1:13" ht="15.75" customHeight="1">
      <c r="A47" s="42">
        <v>7</v>
      </c>
      <c r="B47" s="40" t="s">
        <v>1612</v>
      </c>
      <c r="C47" s="40" t="s">
        <v>25</v>
      </c>
      <c r="D47" s="40" t="s">
        <v>724</v>
      </c>
      <c r="E47" s="40" t="s">
        <v>540</v>
      </c>
      <c r="F47" s="43" t="s">
        <v>1613</v>
      </c>
      <c r="G47" s="40" t="s">
        <v>29</v>
      </c>
      <c r="H47" s="44">
        <v>2000</v>
      </c>
      <c r="I47" s="41">
        <v>400</v>
      </c>
      <c r="J47" s="40" t="s">
        <v>30</v>
      </c>
      <c r="K47" s="40" t="s">
        <v>31</v>
      </c>
      <c r="M47" s="157">
        <f t="shared" si="0"/>
        <v>400</v>
      </c>
    </row>
    <row r="48" spans="1:13" ht="15.75" customHeight="1">
      <c r="A48" s="42">
        <v>7</v>
      </c>
      <c r="B48" s="40" t="s">
        <v>1614</v>
      </c>
      <c r="C48" s="40" t="s">
        <v>25</v>
      </c>
      <c r="D48" s="40" t="s">
        <v>155</v>
      </c>
      <c r="E48" s="40" t="s">
        <v>42</v>
      </c>
      <c r="F48" s="40"/>
      <c r="G48" s="40" t="s">
        <v>29</v>
      </c>
      <c r="H48" s="44">
        <v>500</v>
      </c>
      <c r="I48" s="41">
        <v>100</v>
      </c>
      <c r="J48" s="40" t="s">
        <v>30</v>
      </c>
      <c r="K48" s="40" t="s">
        <v>31</v>
      </c>
      <c r="M48" s="157">
        <f t="shared" si="0"/>
        <v>100</v>
      </c>
    </row>
    <row r="49" spans="1:18" ht="15.75" customHeight="1">
      <c r="A49" s="42">
        <v>7</v>
      </c>
      <c r="B49" s="40" t="s">
        <v>1615</v>
      </c>
      <c r="C49" s="40" t="s">
        <v>59</v>
      </c>
      <c r="D49" s="40" t="s">
        <v>55</v>
      </c>
      <c r="E49" s="40" t="s">
        <v>38</v>
      </c>
      <c r="F49" s="43" t="s">
        <v>1616</v>
      </c>
      <c r="G49" s="40" t="s">
        <v>29</v>
      </c>
      <c r="H49" s="44">
        <v>500</v>
      </c>
      <c r="I49" s="41" t="s">
        <v>101</v>
      </c>
      <c r="J49" s="40" t="s">
        <v>30</v>
      </c>
      <c r="K49" s="40" t="s">
        <v>31</v>
      </c>
      <c r="M49" s="157">
        <f t="shared" si="0"/>
        <v>100</v>
      </c>
    </row>
    <row r="50" spans="1:18" ht="15.75" customHeight="1">
      <c r="A50" s="42">
        <v>8</v>
      </c>
      <c r="B50" s="40" t="s">
        <v>1617</v>
      </c>
      <c r="C50" s="40" t="s">
        <v>25</v>
      </c>
      <c r="D50" s="40" t="s">
        <v>74</v>
      </c>
      <c r="E50" s="40" t="s">
        <v>38</v>
      </c>
      <c r="F50" s="40"/>
      <c r="G50" s="40" t="s">
        <v>29</v>
      </c>
      <c r="H50" s="44">
        <v>500</v>
      </c>
      <c r="I50" s="41">
        <v>100</v>
      </c>
      <c r="J50" s="40" t="s">
        <v>30</v>
      </c>
      <c r="K50" s="40" t="s">
        <v>31</v>
      </c>
      <c r="M50" s="157">
        <f t="shared" si="0"/>
        <v>100</v>
      </c>
    </row>
    <row r="51" spans="1:18" ht="15.75" customHeight="1">
      <c r="A51" s="42">
        <v>8</v>
      </c>
      <c r="B51" s="40" t="s">
        <v>1618</v>
      </c>
      <c r="C51" s="40" t="s">
        <v>25</v>
      </c>
      <c r="D51" s="40" t="s">
        <v>1619</v>
      </c>
      <c r="E51" s="40" t="s">
        <v>78</v>
      </c>
      <c r="F51" s="43" t="s">
        <v>1620</v>
      </c>
      <c r="G51" s="40" t="s">
        <v>29</v>
      </c>
      <c r="H51" s="44">
        <v>1000</v>
      </c>
      <c r="I51" s="41">
        <v>200</v>
      </c>
      <c r="J51" s="40" t="s">
        <v>30</v>
      </c>
      <c r="K51" s="40" t="s">
        <v>31</v>
      </c>
      <c r="M51" s="157">
        <f t="shared" si="0"/>
        <v>200</v>
      </c>
    </row>
    <row r="52" spans="1:18" ht="15.75" customHeight="1">
      <c r="A52" s="42">
        <v>8</v>
      </c>
      <c r="B52" s="40" t="s">
        <v>1621</v>
      </c>
      <c r="C52" s="40" t="s">
        <v>59</v>
      </c>
      <c r="D52" s="40" t="s">
        <v>77</v>
      </c>
      <c r="E52" s="40" t="s">
        <v>78</v>
      </c>
      <c r="F52" s="43" t="s">
        <v>1622</v>
      </c>
      <c r="G52" s="40" t="s">
        <v>29</v>
      </c>
      <c r="H52" s="44">
        <v>2000</v>
      </c>
      <c r="I52" s="41">
        <v>400</v>
      </c>
      <c r="J52" s="40" t="s">
        <v>30</v>
      </c>
      <c r="K52" s="40" t="s">
        <v>31</v>
      </c>
      <c r="M52" s="157">
        <f t="shared" si="0"/>
        <v>400</v>
      </c>
      <c r="P52" s="45"/>
    </row>
    <row r="53" spans="1:18" ht="15.75" customHeight="1">
      <c r="A53" s="42">
        <v>8</v>
      </c>
      <c r="B53" s="40" t="s">
        <v>1623</v>
      </c>
      <c r="C53" s="40" t="s">
        <v>25</v>
      </c>
      <c r="D53" s="40" t="s">
        <v>1160</v>
      </c>
      <c r="E53" s="40" t="s">
        <v>46</v>
      </c>
      <c r="F53" s="43" t="s">
        <v>1624</v>
      </c>
      <c r="G53" s="40" t="s">
        <v>29</v>
      </c>
      <c r="H53" s="44">
        <v>500</v>
      </c>
      <c r="I53" s="41">
        <v>100</v>
      </c>
      <c r="J53" s="40" t="s">
        <v>30</v>
      </c>
      <c r="K53" s="40" t="s">
        <v>31</v>
      </c>
      <c r="M53" s="157">
        <f t="shared" si="0"/>
        <v>100</v>
      </c>
      <c r="P53" s="45"/>
    </row>
    <row r="54" spans="1:18" ht="15.75" customHeight="1">
      <c r="A54" s="42">
        <v>8</v>
      </c>
      <c r="B54" s="40" t="s">
        <v>1625</v>
      </c>
      <c r="C54" s="40" t="s">
        <v>25</v>
      </c>
      <c r="D54" s="40" t="s">
        <v>1626</v>
      </c>
      <c r="E54" s="40" t="s">
        <v>46</v>
      </c>
      <c r="F54" s="43" t="s">
        <v>1627</v>
      </c>
      <c r="G54" s="40" t="s">
        <v>29</v>
      </c>
      <c r="H54" s="44">
        <v>200</v>
      </c>
      <c r="I54" s="41">
        <v>40</v>
      </c>
      <c r="J54" s="40" t="s">
        <v>30</v>
      </c>
      <c r="K54" s="40" t="s">
        <v>31</v>
      </c>
      <c r="M54" s="157">
        <f t="shared" si="0"/>
        <v>40</v>
      </c>
    </row>
    <row r="55" spans="1:18" ht="15.75" customHeight="1">
      <c r="A55" s="42">
        <v>8</v>
      </c>
      <c r="B55" s="40" t="s">
        <v>1628</v>
      </c>
      <c r="C55" s="40" t="s">
        <v>25</v>
      </c>
      <c r="D55" s="40" t="s">
        <v>63</v>
      </c>
      <c r="E55" s="40" t="s">
        <v>60</v>
      </c>
      <c r="F55" s="43" t="s">
        <v>1629</v>
      </c>
      <c r="G55" s="40" t="s">
        <v>29</v>
      </c>
      <c r="H55" s="44">
        <v>500</v>
      </c>
      <c r="I55" s="41" t="s">
        <v>101</v>
      </c>
      <c r="J55" s="40" t="s">
        <v>30</v>
      </c>
      <c r="K55" s="40" t="s">
        <v>31</v>
      </c>
      <c r="M55" s="157">
        <f t="shared" si="0"/>
        <v>100</v>
      </c>
    </row>
    <row r="56" spans="1:18" ht="15.75" customHeight="1">
      <c r="A56" s="42">
        <v>8</v>
      </c>
      <c r="B56" s="40" t="s">
        <v>1628</v>
      </c>
      <c r="C56" s="40" t="s">
        <v>25</v>
      </c>
      <c r="D56" s="40" t="s">
        <v>63</v>
      </c>
      <c r="E56" s="40" t="s">
        <v>60</v>
      </c>
      <c r="F56" s="40"/>
      <c r="G56" s="40" t="s">
        <v>29</v>
      </c>
      <c r="H56" s="44">
        <v>500</v>
      </c>
      <c r="I56" s="41">
        <v>100</v>
      </c>
      <c r="J56" s="40" t="s">
        <v>30</v>
      </c>
      <c r="K56" s="40" t="s">
        <v>31</v>
      </c>
      <c r="M56" s="157">
        <f t="shared" si="0"/>
        <v>100</v>
      </c>
    </row>
    <row r="57" spans="1:18" ht="15.75" customHeight="1">
      <c r="A57" s="42">
        <v>8</v>
      </c>
      <c r="B57" s="40" t="s">
        <v>1630</v>
      </c>
      <c r="C57" s="40" t="s">
        <v>59</v>
      </c>
      <c r="D57" s="40" t="s">
        <v>1631</v>
      </c>
      <c r="E57" s="40" t="s">
        <v>216</v>
      </c>
      <c r="F57" s="43" t="s">
        <v>1632</v>
      </c>
      <c r="G57" s="40" t="s">
        <v>29</v>
      </c>
      <c r="H57" s="44">
        <v>250</v>
      </c>
      <c r="I57" s="41">
        <v>50</v>
      </c>
      <c r="J57" s="40" t="s">
        <v>30</v>
      </c>
      <c r="K57" s="40" t="s">
        <v>31</v>
      </c>
      <c r="M57" s="157">
        <f t="shared" si="0"/>
        <v>50</v>
      </c>
      <c r="P57" s="45">
        <f>SUM(H12:H17,H19:H36,H38:H48,H50:H54,H56:H60,H62:H64)</f>
        <v>77750</v>
      </c>
    </row>
    <row r="58" spans="1:18" ht="15.75" customHeight="1">
      <c r="A58" s="42">
        <v>8</v>
      </c>
      <c r="B58" s="40" t="s">
        <v>1633</v>
      </c>
      <c r="C58" s="40" t="s">
        <v>25</v>
      </c>
      <c r="D58" s="40" t="s">
        <v>1634</v>
      </c>
      <c r="E58" s="40" t="s">
        <v>27</v>
      </c>
      <c r="F58" s="43" t="s">
        <v>1205</v>
      </c>
      <c r="G58" s="40" t="s">
        <v>29</v>
      </c>
      <c r="H58" s="44">
        <v>500</v>
      </c>
      <c r="I58" s="41">
        <v>100</v>
      </c>
      <c r="J58" s="40" t="s">
        <v>30</v>
      </c>
      <c r="K58" s="40" t="s">
        <v>31</v>
      </c>
      <c r="M58" s="157">
        <f t="shared" si="0"/>
        <v>100</v>
      </c>
      <c r="P58" s="45">
        <f>SUM(H37,H49,H55,H61)</f>
        <v>2500</v>
      </c>
      <c r="Q58" s="157">
        <v>5500</v>
      </c>
      <c r="R58" s="45">
        <f>SUM(P58:Q58)</f>
        <v>8000</v>
      </c>
    </row>
    <row r="59" spans="1:18" ht="15.75" customHeight="1">
      <c r="A59" s="42">
        <v>8</v>
      </c>
      <c r="B59" s="40" t="s">
        <v>1635</v>
      </c>
      <c r="C59" s="40" t="s">
        <v>25</v>
      </c>
      <c r="D59" s="40" t="s">
        <v>647</v>
      </c>
      <c r="E59" s="40" t="s">
        <v>96</v>
      </c>
      <c r="F59" s="43" t="s">
        <v>1508</v>
      </c>
      <c r="G59" s="40" t="s">
        <v>29</v>
      </c>
      <c r="H59" s="44">
        <v>3000</v>
      </c>
      <c r="I59" s="41">
        <v>600</v>
      </c>
      <c r="J59" s="40" t="s">
        <v>30</v>
      </c>
      <c r="K59" s="40" t="s">
        <v>31</v>
      </c>
      <c r="M59" s="157">
        <f t="shared" si="0"/>
        <v>600</v>
      </c>
    </row>
    <row r="60" spans="1:18" ht="15.75" customHeight="1">
      <c r="A60" s="42">
        <v>8</v>
      </c>
      <c r="B60" s="40" t="s">
        <v>1636</v>
      </c>
      <c r="C60" s="40" t="s">
        <v>25</v>
      </c>
      <c r="D60" s="40" t="s">
        <v>1637</v>
      </c>
      <c r="E60" s="40" t="s">
        <v>141</v>
      </c>
      <c r="F60" s="43" t="s">
        <v>1638</v>
      </c>
      <c r="G60" s="40" t="s">
        <v>29</v>
      </c>
      <c r="H60" s="44">
        <v>1000</v>
      </c>
      <c r="I60" s="41">
        <v>200</v>
      </c>
      <c r="J60" s="40" t="s">
        <v>30</v>
      </c>
      <c r="K60" s="40" t="s">
        <v>31</v>
      </c>
      <c r="M60" s="157">
        <f t="shared" si="0"/>
        <v>200</v>
      </c>
    </row>
    <row r="61" spans="1:18" ht="15.75" customHeight="1">
      <c r="A61" s="42">
        <v>9</v>
      </c>
      <c r="B61" s="40" t="s">
        <v>1639</v>
      </c>
      <c r="C61" s="40" t="s">
        <v>25</v>
      </c>
      <c r="D61" s="40" t="s">
        <v>570</v>
      </c>
      <c r="E61" s="40" t="s">
        <v>60</v>
      </c>
      <c r="F61" s="40"/>
      <c r="G61" s="40" t="s">
        <v>29</v>
      </c>
      <c r="H61" s="44">
        <v>1000</v>
      </c>
      <c r="I61" s="41" t="s">
        <v>101</v>
      </c>
      <c r="J61" s="40" t="s">
        <v>30</v>
      </c>
      <c r="K61" s="40" t="s">
        <v>31</v>
      </c>
      <c r="M61" s="157">
        <f t="shared" si="0"/>
        <v>200</v>
      </c>
    </row>
    <row r="62" spans="1:18" ht="15.75" customHeight="1">
      <c r="A62" s="42">
        <v>9</v>
      </c>
      <c r="B62" s="40" t="s">
        <v>1640</v>
      </c>
      <c r="C62" s="40" t="s">
        <v>25</v>
      </c>
      <c r="D62" s="40" t="s">
        <v>332</v>
      </c>
      <c r="E62" s="40" t="s">
        <v>46</v>
      </c>
      <c r="F62" s="43" t="s">
        <v>1641</v>
      </c>
      <c r="G62" s="40" t="s">
        <v>29</v>
      </c>
      <c r="H62" s="44">
        <v>500</v>
      </c>
      <c r="I62" s="41">
        <v>100</v>
      </c>
      <c r="J62" s="40" t="s">
        <v>30</v>
      </c>
      <c r="K62" s="40" t="s">
        <v>31</v>
      </c>
      <c r="M62" s="157">
        <f t="shared" si="0"/>
        <v>100</v>
      </c>
      <c r="Q62" s="45">
        <f>P57+R58</f>
        <v>85750</v>
      </c>
    </row>
    <row r="63" spans="1:18" ht="15.75" customHeight="1">
      <c r="A63" s="42">
        <v>9</v>
      </c>
      <c r="B63" s="40" t="s">
        <v>1642</v>
      </c>
      <c r="C63" s="40" t="s">
        <v>25</v>
      </c>
      <c r="D63" s="40" t="s">
        <v>63</v>
      </c>
      <c r="E63" s="40" t="s">
        <v>103</v>
      </c>
      <c r="F63" s="43" t="s">
        <v>79</v>
      </c>
      <c r="G63" s="40" t="s">
        <v>29</v>
      </c>
      <c r="H63" s="44">
        <v>1000</v>
      </c>
      <c r="I63" s="41">
        <v>200</v>
      </c>
      <c r="J63" s="40" t="s">
        <v>30</v>
      </c>
      <c r="K63" s="40" t="s">
        <v>31</v>
      </c>
      <c r="M63" s="157">
        <f t="shared" si="0"/>
        <v>200</v>
      </c>
    </row>
    <row r="64" spans="1:18" ht="15.75" customHeight="1">
      <c r="A64" s="47">
        <v>9</v>
      </c>
      <c r="B64" s="48" t="s">
        <v>1643</v>
      </c>
      <c r="C64" s="48" t="s">
        <v>25</v>
      </c>
      <c r="D64" s="48" t="s">
        <v>570</v>
      </c>
      <c r="E64" s="48" t="s">
        <v>60</v>
      </c>
      <c r="F64" s="49" t="s">
        <v>1644</v>
      </c>
      <c r="G64" s="48" t="s">
        <v>29</v>
      </c>
      <c r="H64" s="50">
        <v>500</v>
      </c>
      <c r="I64" s="51">
        <v>100</v>
      </c>
      <c r="J64" s="48" t="s">
        <v>30</v>
      </c>
      <c r="K64" s="48" t="s">
        <v>31</v>
      </c>
      <c r="M64" s="157">
        <f t="shared" si="0"/>
        <v>100</v>
      </c>
    </row>
    <row r="65" spans="1:16" ht="15.75" customHeight="1">
      <c r="A65" s="52">
        <v>13</v>
      </c>
      <c r="B65" s="53" t="s">
        <v>1645</v>
      </c>
      <c r="C65" s="53" t="s">
        <v>25</v>
      </c>
      <c r="D65" s="53" t="s">
        <v>826</v>
      </c>
      <c r="E65" s="53" t="s">
        <v>96</v>
      </c>
      <c r="F65" s="60" t="s">
        <v>1646</v>
      </c>
      <c r="G65" s="53" t="s">
        <v>29</v>
      </c>
      <c r="H65" s="54">
        <v>4000</v>
      </c>
      <c r="I65" s="55">
        <v>800</v>
      </c>
      <c r="J65" s="53" t="s">
        <v>30</v>
      </c>
      <c r="K65" s="53" t="s">
        <v>1186</v>
      </c>
      <c r="M65" s="157">
        <f t="shared" si="0"/>
        <v>800</v>
      </c>
    </row>
    <row r="66" spans="1:16" ht="15.75" customHeight="1">
      <c r="A66" s="42">
        <v>13</v>
      </c>
      <c r="B66" s="40" t="s">
        <v>1647</v>
      </c>
      <c r="C66" s="40" t="s">
        <v>25</v>
      </c>
      <c r="D66" s="40" t="s">
        <v>566</v>
      </c>
      <c r="E66" s="40" t="s">
        <v>96</v>
      </c>
      <c r="F66" s="43" t="s">
        <v>1648</v>
      </c>
      <c r="G66" s="40" t="s">
        <v>29</v>
      </c>
      <c r="H66" s="44">
        <v>3000</v>
      </c>
      <c r="I66" s="41">
        <v>600</v>
      </c>
      <c r="J66" s="40" t="s">
        <v>30</v>
      </c>
      <c r="K66" s="40" t="s">
        <v>31</v>
      </c>
      <c r="M66" s="157">
        <f t="shared" si="0"/>
        <v>600</v>
      </c>
    </row>
    <row r="67" spans="1:16" ht="15.75" customHeight="1">
      <c r="A67" s="42">
        <v>13</v>
      </c>
      <c r="B67" s="40" t="s">
        <v>1649</v>
      </c>
      <c r="C67" s="40" t="s">
        <v>25</v>
      </c>
      <c r="D67" s="40" t="s">
        <v>63</v>
      </c>
      <c r="E67" s="40" t="s">
        <v>141</v>
      </c>
      <c r="F67" s="43" t="s">
        <v>1650</v>
      </c>
      <c r="G67" s="40" t="s">
        <v>29</v>
      </c>
      <c r="H67" s="44">
        <v>2000</v>
      </c>
      <c r="I67" s="41">
        <v>400</v>
      </c>
      <c r="J67" s="40" t="s">
        <v>30</v>
      </c>
      <c r="K67" s="40" t="s">
        <v>31</v>
      </c>
      <c r="M67" s="157">
        <f t="shared" si="0"/>
        <v>400</v>
      </c>
    </row>
    <row r="68" spans="1:16" ht="15.75" customHeight="1">
      <c r="A68" s="42">
        <v>13</v>
      </c>
      <c r="B68" s="40" t="s">
        <v>1651</v>
      </c>
      <c r="C68" s="40" t="s">
        <v>25</v>
      </c>
      <c r="D68" s="40" t="s">
        <v>1082</v>
      </c>
      <c r="E68" s="40" t="s">
        <v>96</v>
      </c>
      <c r="F68" s="43" t="s">
        <v>1652</v>
      </c>
      <c r="G68" s="40" t="s">
        <v>29</v>
      </c>
      <c r="H68" s="44">
        <v>7000</v>
      </c>
      <c r="I68" s="41">
        <v>1400</v>
      </c>
      <c r="J68" s="40" t="s">
        <v>30</v>
      </c>
      <c r="K68" s="40" t="s">
        <v>31</v>
      </c>
      <c r="M68" s="157">
        <f t="shared" si="0"/>
        <v>1400</v>
      </c>
    </row>
    <row r="69" spans="1:16" ht="15.75" customHeight="1">
      <c r="A69" s="42">
        <v>13</v>
      </c>
      <c r="B69" s="40" t="s">
        <v>786</v>
      </c>
      <c r="C69" s="40" t="s">
        <v>25</v>
      </c>
      <c r="D69" s="40" t="s">
        <v>1336</v>
      </c>
      <c r="E69" s="40" t="s">
        <v>38</v>
      </c>
      <c r="F69" s="43" t="s">
        <v>1653</v>
      </c>
      <c r="G69" s="40" t="s">
        <v>29</v>
      </c>
      <c r="H69" s="44">
        <v>5000</v>
      </c>
      <c r="I69" s="41">
        <v>1000</v>
      </c>
      <c r="J69" s="40" t="s">
        <v>30</v>
      </c>
      <c r="K69" s="40" t="s">
        <v>31</v>
      </c>
      <c r="M69" s="157">
        <f t="shared" si="0"/>
        <v>1000</v>
      </c>
    </row>
    <row r="70" spans="1:16" ht="15.75" customHeight="1">
      <c r="A70" s="42">
        <v>13</v>
      </c>
      <c r="B70" s="40" t="s">
        <v>1654</v>
      </c>
      <c r="C70" s="40" t="s">
        <v>25</v>
      </c>
      <c r="D70" s="40" t="s">
        <v>1655</v>
      </c>
      <c r="E70" s="40" t="s">
        <v>540</v>
      </c>
      <c r="F70" s="40"/>
      <c r="G70" s="40" t="s">
        <v>29</v>
      </c>
      <c r="H70" s="44">
        <v>3000</v>
      </c>
      <c r="I70" s="41">
        <v>600</v>
      </c>
      <c r="J70" s="40" t="s">
        <v>30</v>
      </c>
      <c r="K70" s="40" t="s">
        <v>31</v>
      </c>
      <c r="M70" s="157">
        <f t="shared" si="0"/>
        <v>600</v>
      </c>
    </row>
    <row r="71" spans="1:16" ht="15.75" customHeight="1">
      <c r="A71" s="42">
        <v>13</v>
      </c>
      <c r="B71" s="40" t="s">
        <v>1656</v>
      </c>
      <c r="C71" s="40" t="s">
        <v>25</v>
      </c>
      <c r="D71" s="40" t="s">
        <v>1282</v>
      </c>
      <c r="E71" s="40" t="s">
        <v>38</v>
      </c>
      <c r="F71" s="43" t="s">
        <v>1283</v>
      </c>
      <c r="G71" s="40" t="s">
        <v>29</v>
      </c>
      <c r="H71" s="44">
        <v>2000</v>
      </c>
      <c r="I71" s="41" t="s">
        <v>101</v>
      </c>
      <c r="J71" s="40" t="s">
        <v>30</v>
      </c>
      <c r="K71" s="40" t="s">
        <v>31</v>
      </c>
      <c r="M71" s="157">
        <f t="shared" si="0"/>
        <v>400</v>
      </c>
    </row>
    <row r="72" spans="1:16" ht="15.75" customHeight="1">
      <c r="A72" s="42">
        <v>13</v>
      </c>
      <c r="B72" s="40" t="s">
        <v>1657</v>
      </c>
      <c r="C72" s="40" t="s">
        <v>25</v>
      </c>
      <c r="D72" s="40" t="s">
        <v>836</v>
      </c>
      <c r="E72" s="40" t="s">
        <v>42</v>
      </c>
      <c r="F72" s="43" t="s">
        <v>1658</v>
      </c>
      <c r="G72" s="40" t="s">
        <v>29</v>
      </c>
      <c r="H72" s="44">
        <v>1200</v>
      </c>
      <c r="I72" s="41">
        <v>240</v>
      </c>
      <c r="J72" s="40" t="s">
        <v>30</v>
      </c>
      <c r="K72" s="40" t="s">
        <v>31</v>
      </c>
      <c r="M72" s="157">
        <f t="shared" si="0"/>
        <v>240</v>
      </c>
    </row>
    <row r="73" spans="1:16" ht="15.75" customHeight="1">
      <c r="A73" s="42">
        <v>13</v>
      </c>
      <c r="B73" s="40" t="s">
        <v>1659</v>
      </c>
      <c r="C73" s="40" t="s">
        <v>25</v>
      </c>
      <c r="D73" s="40" t="s">
        <v>532</v>
      </c>
      <c r="E73" s="40" t="s">
        <v>533</v>
      </c>
      <c r="F73" s="43" t="s">
        <v>1660</v>
      </c>
      <c r="G73" s="40" t="s">
        <v>29</v>
      </c>
      <c r="H73" s="44">
        <v>8000</v>
      </c>
      <c r="I73" s="41">
        <v>1600</v>
      </c>
      <c r="J73" s="40" t="s">
        <v>30</v>
      </c>
      <c r="K73" s="40" t="s">
        <v>31</v>
      </c>
      <c r="M73" s="157">
        <f t="shared" si="0"/>
        <v>1600</v>
      </c>
    </row>
    <row r="74" spans="1:16" ht="15.75" customHeight="1">
      <c r="A74" s="42">
        <v>13</v>
      </c>
      <c r="B74" s="40" t="s">
        <v>1661</v>
      </c>
      <c r="C74" s="40" t="s">
        <v>25</v>
      </c>
      <c r="D74" s="40" t="s">
        <v>1596</v>
      </c>
      <c r="E74" s="40" t="s">
        <v>46</v>
      </c>
      <c r="F74" s="43" t="s">
        <v>1662</v>
      </c>
      <c r="G74" s="40" t="s">
        <v>29</v>
      </c>
      <c r="H74" s="44">
        <v>1000</v>
      </c>
      <c r="I74" s="41">
        <v>200</v>
      </c>
      <c r="J74" s="40" t="s">
        <v>30</v>
      </c>
      <c r="K74" s="40" t="s">
        <v>31</v>
      </c>
      <c r="M74" s="157">
        <f t="shared" si="0"/>
        <v>200</v>
      </c>
    </row>
    <row r="75" spans="1:16" ht="15.75" customHeight="1">
      <c r="A75" s="42">
        <v>13</v>
      </c>
      <c r="B75" s="40" t="s">
        <v>1663</v>
      </c>
      <c r="C75" s="40" t="s">
        <v>25</v>
      </c>
      <c r="D75" s="40"/>
      <c r="E75" s="40" t="s">
        <v>533</v>
      </c>
      <c r="F75" s="43" t="s">
        <v>1664</v>
      </c>
      <c r="G75" s="40" t="s">
        <v>29</v>
      </c>
      <c r="H75" s="44">
        <v>1000</v>
      </c>
      <c r="I75" s="41">
        <v>200</v>
      </c>
      <c r="J75" s="40" t="s">
        <v>30</v>
      </c>
      <c r="K75" s="40" t="s">
        <v>31</v>
      </c>
      <c r="M75" s="157">
        <f t="shared" si="0"/>
        <v>200</v>
      </c>
    </row>
    <row r="76" spans="1:16" ht="15.75" customHeight="1">
      <c r="A76" s="42">
        <v>13</v>
      </c>
      <c r="B76" s="40" t="s">
        <v>1665</v>
      </c>
      <c r="C76" s="40" t="s">
        <v>25</v>
      </c>
      <c r="D76" s="40" t="s">
        <v>1666</v>
      </c>
      <c r="E76" s="40" t="s">
        <v>103</v>
      </c>
      <c r="F76" s="43" t="s">
        <v>1667</v>
      </c>
      <c r="G76" s="40" t="s">
        <v>29</v>
      </c>
      <c r="H76" s="44">
        <v>300</v>
      </c>
      <c r="I76" s="41">
        <v>60</v>
      </c>
      <c r="J76" s="40" t="s">
        <v>30</v>
      </c>
      <c r="K76" s="40" t="s">
        <v>31</v>
      </c>
      <c r="M76" s="157">
        <f t="shared" si="0"/>
        <v>60</v>
      </c>
      <c r="P76" s="45">
        <f>SUM(H65:H70,H72:H77,H80,H82:H90)</f>
        <v>46400</v>
      </c>
    </row>
    <row r="77" spans="1:16" ht="15.75" customHeight="1">
      <c r="A77" s="42">
        <v>13</v>
      </c>
      <c r="B77" s="40" t="s">
        <v>1317</v>
      </c>
      <c r="C77" s="40" t="s">
        <v>25</v>
      </c>
      <c r="D77" s="40" t="s">
        <v>332</v>
      </c>
      <c r="E77" s="40" t="s">
        <v>46</v>
      </c>
      <c r="F77" s="43" t="s">
        <v>1318</v>
      </c>
      <c r="G77" s="40" t="s">
        <v>29</v>
      </c>
      <c r="H77" s="44">
        <v>100</v>
      </c>
      <c r="I77" s="41">
        <v>20</v>
      </c>
      <c r="J77" s="40" t="s">
        <v>30</v>
      </c>
      <c r="K77" s="40" t="s">
        <v>31</v>
      </c>
      <c r="M77" s="157">
        <f t="shared" si="0"/>
        <v>20</v>
      </c>
      <c r="P77" s="45">
        <f>SUM(H71,H78,H79,H81)</f>
        <v>5200</v>
      </c>
    </row>
    <row r="78" spans="1:16" ht="15.75" customHeight="1">
      <c r="A78" s="42">
        <v>13</v>
      </c>
      <c r="B78" s="40" t="s">
        <v>1437</v>
      </c>
      <c r="C78" s="40" t="s">
        <v>25</v>
      </c>
      <c r="D78" s="40" t="s">
        <v>86</v>
      </c>
      <c r="E78" s="40" t="s">
        <v>42</v>
      </c>
      <c r="F78" s="40"/>
      <c r="G78" s="40" t="s">
        <v>29</v>
      </c>
      <c r="H78" s="44">
        <v>2200</v>
      </c>
      <c r="I78" s="41" t="s">
        <v>101</v>
      </c>
      <c r="J78" s="40" t="s">
        <v>30</v>
      </c>
      <c r="K78" s="40" t="s">
        <v>31</v>
      </c>
      <c r="M78" s="157">
        <f t="shared" si="0"/>
        <v>440</v>
      </c>
      <c r="P78" s="45">
        <f>SUM(P76:P77)</f>
        <v>51600</v>
      </c>
    </row>
    <row r="79" spans="1:16" ht="15.75" customHeight="1">
      <c r="A79" s="42">
        <v>13</v>
      </c>
      <c r="B79" s="40" t="s">
        <v>1668</v>
      </c>
      <c r="C79" s="40" t="s">
        <v>25</v>
      </c>
      <c r="D79" s="40" t="s">
        <v>245</v>
      </c>
      <c r="E79" s="40" t="s">
        <v>150</v>
      </c>
      <c r="F79" s="43" t="s">
        <v>79</v>
      </c>
      <c r="G79" s="40" t="s">
        <v>29</v>
      </c>
      <c r="H79" s="44">
        <v>500</v>
      </c>
      <c r="I79" s="41" t="s">
        <v>101</v>
      </c>
      <c r="J79" s="40" t="s">
        <v>30</v>
      </c>
      <c r="K79" s="40" t="s">
        <v>31</v>
      </c>
      <c r="M79" s="157">
        <f t="shared" si="0"/>
        <v>100</v>
      </c>
      <c r="P79" s="157">
        <f>P78*0.2</f>
        <v>10320</v>
      </c>
    </row>
    <row r="80" spans="1:16" ht="15.75" customHeight="1">
      <c r="A80" s="42">
        <v>13</v>
      </c>
      <c r="B80" s="40" t="s">
        <v>1669</v>
      </c>
      <c r="C80" s="40" t="s">
        <v>25</v>
      </c>
      <c r="D80" s="40" t="s">
        <v>1160</v>
      </c>
      <c r="E80" s="40" t="s">
        <v>46</v>
      </c>
      <c r="F80" s="43" t="s">
        <v>1670</v>
      </c>
      <c r="G80" s="40" t="s">
        <v>29</v>
      </c>
      <c r="H80" s="44">
        <v>500</v>
      </c>
      <c r="I80" s="41">
        <v>100</v>
      </c>
      <c r="J80" s="40" t="s">
        <v>30</v>
      </c>
      <c r="K80" s="40" t="s">
        <v>31</v>
      </c>
      <c r="M80" s="157">
        <f t="shared" si="0"/>
        <v>100</v>
      </c>
      <c r="P80" s="45">
        <f>SUM(P78:P79)</f>
        <v>61920</v>
      </c>
    </row>
    <row r="81" spans="1:13" ht="15.75" customHeight="1">
      <c r="A81" s="42">
        <v>13</v>
      </c>
      <c r="B81" s="40" t="s">
        <v>1671</v>
      </c>
      <c r="C81" s="40" t="s">
        <v>25</v>
      </c>
      <c r="D81" s="40" t="s">
        <v>55</v>
      </c>
      <c r="E81" s="40" t="s">
        <v>96</v>
      </c>
      <c r="F81" s="43" t="s">
        <v>1672</v>
      </c>
      <c r="G81" s="40" t="s">
        <v>29</v>
      </c>
      <c r="H81" s="44">
        <v>500</v>
      </c>
      <c r="I81" s="41" t="s">
        <v>101</v>
      </c>
      <c r="J81" s="40" t="s">
        <v>30</v>
      </c>
      <c r="K81" s="40" t="s">
        <v>31</v>
      </c>
      <c r="M81" s="157">
        <f t="shared" si="0"/>
        <v>100</v>
      </c>
    </row>
    <row r="82" spans="1:13" ht="15.75" customHeight="1">
      <c r="A82" s="42">
        <v>13</v>
      </c>
      <c r="B82" s="40" t="s">
        <v>1673</v>
      </c>
      <c r="C82" s="40" t="s">
        <v>25</v>
      </c>
      <c r="D82" s="40" t="s">
        <v>55</v>
      </c>
      <c r="E82" s="40" t="s">
        <v>96</v>
      </c>
      <c r="F82" s="40"/>
      <c r="G82" s="40" t="s">
        <v>29</v>
      </c>
      <c r="H82" s="44">
        <v>500</v>
      </c>
      <c r="I82" s="41">
        <v>100</v>
      </c>
      <c r="J82" s="40" t="s">
        <v>30</v>
      </c>
      <c r="K82" s="40" t="s">
        <v>31</v>
      </c>
      <c r="M82" s="157">
        <f t="shared" si="0"/>
        <v>100</v>
      </c>
    </row>
    <row r="83" spans="1:13" ht="15.75" customHeight="1">
      <c r="A83" s="42">
        <v>13</v>
      </c>
      <c r="B83" s="40" t="s">
        <v>1674</v>
      </c>
      <c r="C83" s="40" t="s">
        <v>25</v>
      </c>
      <c r="D83" s="40" t="s">
        <v>1675</v>
      </c>
      <c r="E83" s="40" t="s">
        <v>42</v>
      </c>
      <c r="F83" s="43" t="s">
        <v>1676</v>
      </c>
      <c r="G83" s="40" t="s">
        <v>29</v>
      </c>
      <c r="H83" s="44">
        <v>500</v>
      </c>
      <c r="I83" s="41">
        <v>100</v>
      </c>
      <c r="J83" s="40" t="s">
        <v>30</v>
      </c>
      <c r="K83" s="40" t="s">
        <v>31</v>
      </c>
      <c r="M83" s="157">
        <f t="shared" si="0"/>
        <v>100</v>
      </c>
    </row>
    <row r="84" spans="1:13" ht="15.75" customHeight="1">
      <c r="A84" s="42">
        <v>13</v>
      </c>
      <c r="B84" s="40" t="s">
        <v>1677</v>
      </c>
      <c r="C84" s="40" t="s">
        <v>25</v>
      </c>
      <c r="D84" s="40" t="s">
        <v>1678</v>
      </c>
      <c r="E84" s="40" t="s">
        <v>96</v>
      </c>
      <c r="F84" s="43" t="s">
        <v>1679</v>
      </c>
      <c r="G84" s="40" t="s">
        <v>29</v>
      </c>
      <c r="H84" s="44">
        <v>500</v>
      </c>
      <c r="I84" s="41">
        <v>100</v>
      </c>
      <c r="J84" s="40" t="s">
        <v>30</v>
      </c>
      <c r="K84" s="40" t="s">
        <v>31</v>
      </c>
      <c r="M84" s="157">
        <f t="shared" si="0"/>
        <v>100</v>
      </c>
    </row>
    <row r="85" spans="1:13" ht="15.75" customHeight="1">
      <c r="A85" s="42">
        <v>13</v>
      </c>
      <c r="B85" s="40" t="s">
        <v>1402</v>
      </c>
      <c r="C85" s="40" t="s">
        <v>25</v>
      </c>
      <c r="D85" s="40" t="s">
        <v>1403</v>
      </c>
      <c r="E85" s="40" t="s">
        <v>46</v>
      </c>
      <c r="F85" s="40"/>
      <c r="G85" s="40" t="s">
        <v>29</v>
      </c>
      <c r="H85" s="44">
        <v>3500</v>
      </c>
      <c r="I85" s="41">
        <v>700</v>
      </c>
      <c r="J85" s="40" t="s">
        <v>30</v>
      </c>
      <c r="K85" s="40" t="s">
        <v>31</v>
      </c>
      <c r="M85" s="157">
        <f t="shared" si="0"/>
        <v>700</v>
      </c>
    </row>
    <row r="86" spans="1:13" ht="15.75" customHeight="1">
      <c r="A86" s="42">
        <v>13</v>
      </c>
      <c r="B86" s="40" t="s">
        <v>1680</v>
      </c>
      <c r="C86" s="40" t="s">
        <v>25</v>
      </c>
      <c r="D86" s="40" t="s">
        <v>63</v>
      </c>
      <c r="E86" s="40" t="s">
        <v>38</v>
      </c>
      <c r="F86" s="43" t="s">
        <v>79</v>
      </c>
      <c r="G86" s="40" t="s">
        <v>29</v>
      </c>
      <c r="H86" s="44">
        <v>3000</v>
      </c>
      <c r="I86" s="41">
        <v>600</v>
      </c>
      <c r="J86" s="40" t="s">
        <v>30</v>
      </c>
      <c r="K86" s="40" t="s">
        <v>31</v>
      </c>
      <c r="M86" s="157">
        <f t="shared" si="0"/>
        <v>600</v>
      </c>
    </row>
    <row r="87" spans="1:13" ht="15.75" customHeight="1">
      <c r="A87" s="42">
        <v>13</v>
      </c>
      <c r="B87" s="40" t="s">
        <v>1681</v>
      </c>
      <c r="C87" s="40" t="s">
        <v>25</v>
      </c>
      <c r="D87" s="40" t="s">
        <v>532</v>
      </c>
      <c r="E87" s="40" t="s">
        <v>27</v>
      </c>
      <c r="F87" s="40"/>
      <c r="G87" s="40" t="s">
        <v>29</v>
      </c>
      <c r="H87" s="44">
        <v>1500</v>
      </c>
      <c r="I87" s="41">
        <v>300</v>
      </c>
      <c r="J87" s="40" t="s">
        <v>30</v>
      </c>
      <c r="K87" s="40" t="s">
        <v>31</v>
      </c>
      <c r="M87" s="157">
        <f t="shared" si="0"/>
        <v>300</v>
      </c>
    </row>
    <row r="88" spans="1:13" ht="15.75" customHeight="1">
      <c r="A88" s="42">
        <v>13</v>
      </c>
      <c r="B88" s="40" t="s">
        <v>1682</v>
      </c>
      <c r="C88" s="40" t="s">
        <v>25</v>
      </c>
      <c r="D88" s="40" t="s">
        <v>1282</v>
      </c>
      <c r="E88" s="40" t="s">
        <v>38</v>
      </c>
      <c r="F88" s="40"/>
      <c r="G88" s="40" t="s">
        <v>29</v>
      </c>
      <c r="H88" s="44">
        <v>300</v>
      </c>
      <c r="I88" s="41">
        <v>60</v>
      </c>
      <c r="J88" s="40" t="s">
        <v>30</v>
      </c>
      <c r="K88" s="40" t="s">
        <v>31</v>
      </c>
      <c r="M88" s="157">
        <f t="shared" si="0"/>
        <v>60</v>
      </c>
    </row>
    <row r="89" spans="1:13" ht="15.75" customHeight="1">
      <c r="A89" s="42">
        <v>13</v>
      </c>
      <c r="B89" s="40" t="s">
        <v>1683</v>
      </c>
      <c r="C89" s="40" t="s">
        <v>25</v>
      </c>
      <c r="D89" s="40" t="s">
        <v>1619</v>
      </c>
      <c r="E89" s="40" t="s">
        <v>78</v>
      </c>
      <c r="F89" s="40"/>
      <c r="G89" s="40" t="s">
        <v>29</v>
      </c>
      <c r="H89" s="44">
        <v>300</v>
      </c>
      <c r="I89" s="41">
        <v>60</v>
      </c>
      <c r="J89" s="40" t="s">
        <v>30</v>
      </c>
      <c r="K89" s="40" t="s">
        <v>31</v>
      </c>
      <c r="M89" s="157">
        <f t="shared" si="0"/>
        <v>60</v>
      </c>
    </row>
    <row r="90" spans="1:13" ht="15.75" customHeight="1">
      <c r="A90" s="47">
        <v>13</v>
      </c>
      <c r="B90" s="48" t="s">
        <v>1684</v>
      </c>
      <c r="C90" s="48" t="s">
        <v>25</v>
      </c>
      <c r="D90" s="48" t="s">
        <v>89</v>
      </c>
      <c r="E90" s="48" t="s">
        <v>38</v>
      </c>
      <c r="F90" s="49" t="s">
        <v>1685</v>
      </c>
      <c r="G90" s="48" t="s">
        <v>29</v>
      </c>
      <c r="H90" s="50">
        <v>200</v>
      </c>
      <c r="I90" s="51">
        <v>40</v>
      </c>
      <c r="J90" s="48" t="s">
        <v>30</v>
      </c>
      <c r="K90" s="48" t="s">
        <v>31</v>
      </c>
      <c r="M90" s="157">
        <f t="shared" si="0"/>
        <v>40</v>
      </c>
    </row>
    <row r="91" spans="1:13" ht="15.75" customHeight="1">
      <c r="A91" s="52">
        <v>14</v>
      </c>
      <c r="B91" s="53" t="s">
        <v>1686</v>
      </c>
      <c r="C91" s="53" t="s">
        <v>25</v>
      </c>
      <c r="D91" s="53" t="s">
        <v>1200</v>
      </c>
      <c r="E91" s="53" t="s">
        <v>46</v>
      </c>
      <c r="F91" s="60" t="s">
        <v>1687</v>
      </c>
      <c r="G91" s="53" t="s">
        <v>29</v>
      </c>
      <c r="H91" s="54">
        <v>500</v>
      </c>
      <c r="I91" s="55">
        <v>1000</v>
      </c>
      <c r="J91" s="53" t="s">
        <v>30</v>
      </c>
      <c r="K91" s="53" t="s">
        <v>31</v>
      </c>
      <c r="M91" s="157">
        <f t="shared" si="0"/>
        <v>100</v>
      </c>
    </row>
    <row r="92" spans="1:13" ht="15.75" customHeight="1">
      <c r="A92" s="42">
        <v>14</v>
      </c>
      <c r="B92" s="40" t="s">
        <v>1688</v>
      </c>
      <c r="C92" s="40" t="s">
        <v>25</v>
      </c>
      <c r="D92" s="40" t="s">
        <v>63</v>
      </c>
      <c r="E92" s="40" t="s">
        <v>561</v>
      </c>
      <c r="F92" s="43" t="s">
        <v>1689</v>
      </c>
      <c r="G92" s="40" t="s">
        <v>29</v>
      </c>
      <c r="H92" s="44">
        <v>20000</v>
      </c>
      <c r="I92" s="41">
        <v>4000</v>
      </c>
      <c r="J92" s="40" t="s">
        <v>30</v>
      </c>
      <c r="K92" s="40" t="s">
        <v>31</v>
      </c>
      <c r="M92" s="157">
        <f t="shared" si="0"/>
        <v>4000</v>
      </c>
    </row>
    <row r="93" spans="1:13" ht="15.75" customHeight="1">
      <c r="A93" s="42">
        <v>14</v>
      </c>
      <c r="B93" s="40" t="s">
        <v>1690</v>
      </c>
      <c r="C93" s="40" t="s">
        <v>25</v>
      </c>
      <c r="D93" s="40" t="s">
        <v>1691</v>
      </c>
      <c r="E93" s="40" t="s">
        <v>34</v>
      </c>
      <c r="F93" s="43" t="s">
        <v>1692</v>
      </c>
      <c r="G93" s="40" t="s">
        <v>29</v>
      </c>
      <c r="H93" s="44">
        <v>20000</v>
      </c>
      <c r="I93" s="41">
        <v>4000</v>
      </c>
      <c r="J93" s="40" t="s">
        <v>30</v>
      </c>
      <c r="K93" s="40" t="s">
        <v>31</v>
      </c>
      <c r="M93" s="157">
        <f t="shared" si="0"/>
        <v>4000</v>
      </c>
    </row>
    <row r="94" spans="1:13" ht="15.75" customHeight="1">
      <c r="A94" s="42">
        <v>14</v>
      </c>
      <c r="B94" s="40" t="s">
        <v>1438</v>
      </c>
      <c r="C94" s="40" t="s">
        <v>25</v>
      </c>
      <c r="D94" s="40" t="s">
        <v>63</v>
      </c>
      <c r="E94" s="40" t="s">
        <v>38</v>
      </c>
      <c r="F94" s="43" t="s">
        <v>1439</v>
      </c>
      <c r="G94" s="40" t="s">
        <v>29</v>
      </c>
      <c r="H94" s="44">
        <v>6000</v>
      </c>
      <c r="I94" s="41">
        <v>1200</v>
      </c>
      <c r="J94" s="40" t="s">
        <v>30</v>
      </c>
      <c r="K94" s="40" t="s">
        <v>31</v>
      </c>
      <c r="M94" s="157">
        <f t="shared" si="0"/>
        <v>1200</v>
      </c>
    </row>
    <row r="95" spans="1:13" ht="15.75" customHeight="1">
      <c r="A95" s="42">
        <v>14</v>
      </c>
      <c r="B95" s="40" t="s">
        <v>1693</v>
      </c>
      <c r="C95" s="40" t="s">
        <v>25</v>
      </c>
      <c r="D95" s="40" t="s">
        <v>55</v>
      </c>
      <c r="E95" s="40" t="s">
        <v>96</v>
      </c>
      <c r="F95" s="43" t="s">
        <v>1694</v>
      </c>
      <c r="G95" s="40" t="s">
        <v>29</v>
      </c>
      <c r="H95" s="44">
        <v>1000</v>
      </c>
      <c r="I95" s="41">
        <v>200</v>
      </c>
      <c r="J95" s="40" t="s">
        <v>30</v>
      </c>
      <c r="K95" s="40" t="s">
        <v>31</v>
      </c>
      <c r="M95" s="157">
        <f t="shared" si="0"/>
        <v>200</v>
      </c>
    </row>
    <row r="96" spans="1:13" ht="15.75" customHeight="1">
      <c r="A96" s="42">
        <v>14</v>
      </c>
      <c r="B96" s="40" t="s">
        <v>1695</v>
      </c>
      <c r="C96" s="40" t="s">
        <v>25</v>
      </c>
      <c r="D96" s="40" t="s">
        <v>55</v>
      </c>
      <c r="E96" s="40" t="s">
        <v>96</v>
      </c>
      <c r="F96" s="43" t="s">
        <v>1696</v>
      </c>
      <c r="G96" s="40" t="s">
        <v>29</v>
      </c>
      <c r="H96" s="44">
        <v>1000</v>
      </c>
      <c r="I96" s="41">
        <v>200</v>
      </c>
      <c r="J96" s="40" t="s">
        <v>30</v>
      </c>
      <c r="K96" s="40" t="s">
        <v>31</v>
      </c>
      <c r="M96" s="157">
        <f t="shared" si="0"/>
        <v>200</v>
      </c>
    </row>
    <row r="97" spans="1:16" ht="15.75" customHeight="1">
      <c r="A97" s="42">
        <v>14</v>
      </c>
      <c r="B97" s="40" t="s">
        <v>1697</v>
      </c>
      <c r="C97" s="40" t="s">
        <v>25</v>
      </c>
      <c r="D97" s="40" t="s">
        <v>771</v>
      </c>
      <c r="E97" s="40" t="s">
        <v>258</v>
      </c>
      <c r="F97" s="43" t="s">
        <v>1698</v>
      </c>
      <c r="G97" s="40" t="s">
        <v>29</v>
      </c>
      <c r="H97" s="44">
        <v>1000</v>
      </c>
      <c r="I97" s="41">
        <v>200</v>
      </c>
      <c r="J97" s="40" t="s">
        <v>30</v>
      </c>
      <c r="K97" s="40" t="s">
        <v>31</v>
      </c>
      <c r="M97" s="157">
        <f t="shared" si="0"/>
        <v>200</v>
      </c>
    </row>
    <row r="98" spans="1:16" ht="15.75" customHeight="1">
      <c r="A98" s="42">
        <v>14</v>
      </c>
      <c r="B98" s="40" t="s">
        <v>1699</v>
      </c>
      <c r="C98" s="40" t="s">
        <v>25</v>
      </c>
      <c r="D98" s="40" t="s">
        <v>631</v>
      </c>
      <c r="E98" s="40" t="s">
        <v>60</v>
      </c>
      <c r="F98" s="43" t="s">
        <v>1700</v>
      </c>
      <c r="G98" s="40" t="s">
        <v>29</v>
      </c>
      <c r="H98" s="44">
        <v>200</v>
      </c>
      <c r="I98" s="41">
        <v>40</v>
      </c>
      <c r="J98" s="40" t="s">
        <v>30</v>
      </c>
      <c r="K98" s="40" t="s">
        <v>31</v>
      </c>
      <c r="M98" s="157">
        <f t="shared" si="0"/>
        <v>40</v>
      </c>
    </row>
    <row r="99" spans="1:16" ht="15.75" customHeight="1">
      <c r="A99" s="42">
        <v>15</v>
      </c>
      <c r="B99" s="40" t="s">
        <v>98</v>
      </c>
      <c r="C99" s="40" t="s">
        <v>59</v>
      </c>
      <c r="D99" s="40" t="s">
        <v>99</v>
      </c>
      <c r="E99" s="40" t="s">
        <v>42</v>
      </c>
      <c r="F99" s="43" t="s">
        <v>638</v>
      </c>
      <c r="G99" s="40" t="s">
        <v>29</v>
      </c>
      <c r="H99" s="44">
        <v>5000</v>
      </c>
      <c r="I99" s="41">
        <v>1000</v>
      </c>
      <c r="J99" s="40" t="s">
        <v>30</v>
      </c>
      <c r="K99" s="40" t="s">
        <v>31</v>
      </c>
      <c r="M99" s="157">
        <f t="shared" si="0"/>
        <v>1000</v>
      </c>
    </row>
    <row r="100" spans="1:16" ht="15.75" customHeight="1">
      <c r="A100" s="42">
        <v>15</v>
      </c>
      <c r="B100" s="40" t="s">
        <v>1701</v>
      </c>
      <c r="C100" s="40" t="s">
        <v>25</v>
      </c>
      <c r="D100" s="40" t="s">
        <v>1229</v>
      </c>
      <c r="E100" s="40" t="s">
        <v>38</v>
      </c>
      <c r="F100" s="43" t="s">
        <v>638</v>
      </c>
      <c r="G100" s="40" t="s">
        <v>29</v>
      </c>
      <c r="H100" s="44">
        <v>600</v>
      </c>
      <c r="I100" s="41">
        <v>120</v>
      </c>
      <c r="J100" s="40" t="s">
        <v>30</v>
      </c>
      <c r="K100" s="40" t="s">
        <v>31</v>
      </c>
      <c r="M100" s="157">
        <f t="shared" si="0"/>
        <v>120</v>
      </c>
    </row>
    <row r="101" spans="1:16" ht="15.75" customHeight="1">
      <c r="A101" s="42">
        <v>15</v>
      </c>
      <c r="B101" s="40" t="s">
        <v>687</v>
      </c>
      <c r="C101" s="40" t="s">
        <v>25</v>
      </c>
      <c r="D101" s="40" t="s">
        <v>688</v>
      </c>
      <c r="E101" s="40" t="s">
        <v>38</v>
      </c>
      <c r="F101" s="43" t="s">
        <v>1702</v>
      </c>
      <c r="G101" s="40" t="s">
        <v>29</v>
      </c>
      <c r="H101" s="44">
        <v>300</v>
      </c>
      <c r="I101" s="41">
        <v>60</v>
      </c>
      <c r="J101" s="40" t="s">
        <v>30</v>
      </c>
      <c r="K101" s="40" t="s">
        <v>31</v>
      </c>
      <c r="M101" s="157">
        <f t="shared" si="0"/>
        <v>60</v>
      </c>
    </row>
    <row r="102" spans="1:16" ht="15.75" customHeight="1">
      <c r="A102" s="42">
        <v>15</v>
      </c>
      <c r="B102" s="40" t="s">
        <v>1703</v>
      </c>
      <c r="C102" s="40" t="s">
        <v>25</v>
      </c>
      <c r="D102" s="40" t="s">
        <v>1704</v>
      </c>
      <c r="E102" s="40" t="s">
        <v>46</v>
      </c>
      <c r="F102" s="40"/>
      <c r="G102" s="40" t="s">
        <v>29</v>
      </c>
      <c r="H102" s="44">
        <v>600</v>
      </c>
      <c r="I102" s="41">
        <v>120</v>
      </c>
      <c r="J102" s="40" t="s">
        <v>30</v>
      </c>
      <c r="K102" s="40" t="s">
        <v>31</v>
      </c>
      <c r="M102" s="157">
        <f t="shared" si="0"/>
        <v>120</v>
      </c>
    </row>
    <row r="103" spans="1:16" ht="15.75" customHeight="1">
      <c r="A103" s="42">
        <v>15</v>
      </c>
      <c r="B103" s="40" t="s">
        <v>1705</v>
      </c>
      <c r="C103" s="40" t="s">
        <v>25</v>
      </c>
      <c r="D103" s="40" t="s">
        <v>836</v>
      </c>
      <c r="E103" s="40" t="s">
        <v>42</v>
      </c>
      <c r="F103" s="43" t="s">
        <v>1706</v>
      </c>
      <c r="G103" s="40" t="s">
        <v>29</v>
      </c>
      <c r="H103" s="44">
        <v>300</v>
      </c>
      <c r="I103" s="41">
        <v>60</v>
      </c>
      <c r="J103" s="40" t="s">
        <v>30</v>
      </c>
      <c r="K103" s="40" t="s">
        <v>31</v>
      </c>
      <c r="M103" s="157">
        <f t="shared" si="0"/>
        <v>60</v>
      </c>
    </row>
    <row r="104" spans="1:16" ht="15.75" customHeight="1">
      <c r="A104" s="42">
        <v>15</v>
      </c>
      <c r="B104" s="40" t="s">
        <v>1707</v>
      </c>
      <c r="C104" s="40" t="s">
        <v>59</v>
      </c>
      <c r="D104" s="40" t="s">
        <v>1262</v>
      </c>
      <c r="E104" s="40" t="s">
        <v>60</v>
      </c>
      <c r="F104" s="40"/>
      <c r="G104" s="40" t="s">
        <v>29</v>
      </c>
      <c r="H104" s="44">
        <v>500</v>
      </c>
      <c r="I104" s="41">
        <v>100</v>
      </c>
      <c r="J104" s="40" t="s">
        <v>30</v>
      </c>
      <c r="K104" s="40" t="s">
        <v>31</v>
      </c>
      <c r="M104" s="157">
        <f t="shared" si="0"/>
        <v>100</v>
      </c>
    </row>
    <row r="105" spans="1:16" ht="15.75" customHeight="1">
      <c r="A105" s="42">
        <v>15</v>
      </c>
      <c r="B105" s="40" t="s">
        <v>1708</v>
      </c>
      <c r="C105" s="40" t="s">
        <v>59</v>
      </c>
      <c r="D105" s="40" t="s">
        <v>849</v>
      </c>
      <c r="E105" s="40" t="s">
        <v>38</v>
      </c>
      <c r="F105" s="43" t="s">
        <v>1709</v>
      </c>
      <c r="G105" s="40" t="s">
        <v>29</v>
      </c>
      <c r="H105" s="44">
        <v>200</v>
      </c>
      <c r="I105" s="41">
        <v>40</v>
      </c>
      <c r="J105" s="40" t="s">
        <v>30</v>
      </c>
      <c r="K105" s="40" t="s">
        <v>31</v>
      </c>
      <c r="M105" s="157">
        <f t="shared" si="0"/>
        <v>40</v>
      </c>
    </row>
    <row r="106" spans="1:16" ht="15.75" customHeight="1">
      <c r="A106" s="42">
        <v>15</v>
      </c>
      <c r="B106" s="40" t="s">
        <v>1710</v>
      </c>
      <c r="C106" s="40" t="s">
        <v>25</v>
      </c>
      <c r="D106" s="40" t="s">
        <v>1082</v>
      </c>
      <c r="E106" s="40" t="s">
        <v>96</v>
      </c>
      <c r="F106" s="43" t="s">
        <v>1711</v>
      </c>
      <c r="G106" s="40" t="s">
        <v>29</v>
      </c>
      <c r="H106" s="44">
        <v>1000</v>
      </c>
      <c r="I106" s="41">
        <v>200</v>
      </c>
      <c r="J106" s="40" t="s">
        <v>30</v>
      </c>
      <c r="K106" s="40" t="s">
        <v>31</v>
      </c>
      <c r="M106" s="157">
        <f t="shared" si="0"/>
        <v>200</v>
      </c>
      <c r="P106" s="45"/>
    </row>
    <row r="107" spans="1:16" ht="15.75" customHeight="1">
      <c r="A107" s="42">
        <v>15</v>
      </c>
      <c r="B107" s="40" t="s">
        <v>1712</v>
      </c>
      <c r="C107" s="40" t="s">
        <v>25</v>
      </c>
      <c r="D107" s="40" t="s">
        <v>27</v>
      </c>
      <c r="E107" s="40" t="s">
        <v>60</v>
      </c>
      <c r="F107" s="43" t="s">
        <v>1713</v>
      </c>
      <c r="G107" s="40" t="s">
        <v>29</v>
      </c>
      <c r="H107" s="44">
        <v>1000</v>
      </c>
      <c r="I107" s="41">
        <v>200</v>
      </c>
      <c r="J107" s="40" t="s">
        <v>30</v>
      </c>
      <c r="K107" s="40" t="s">
        <v>31</v>
      </c>
      <c r="M107" s="157">
        <f t="shared" si="0"/>
        <v>200</v>
      </c>
    </row>
    <row r="108" spans="1:16" ht="15.75" customHeight="1">
      <c r="A108" s="42">
        <v>15</v>
      </c>
      <c r="B108" s="40" t="s">
        <v>1714</v>
      </c>
      <c r="C108" s="40" t="s">
        <v>25</v>
      </c>
      <c r="D108" s="40" t="s">
        <v>655</v>
      </c>
      <c r="E108" s="40" t="s">
        <v>42</v>
      </c>
      <c r="F108" s="43" t="s">
        <v>1715</v>
      </c>
      <c r="G108" s="40" t="s">
        <v>29</v>
      </c>
      <c r="H108" s="44">
        <v>1000</v>
      </c>
      <c r="I108" s="41" t="s">
        <v>101</v>
      </c>
      <c r="J108" s="40" t="s">
        <v>30</v>
      </c>
      <c r="K108" s="40" t="s">
        <v>31</v>
      </c>
      <c r="M108" s="157">
        <f t="shared" si="0"/>
        <v>200</v>
      </c>
    </row>
    <row r="109" spans="1:16" ht="15.75" customHeight="1">
      <c r="A109" s="42">
        <v>15</v>
      </c>
      <c r="B109" s="40" t="s">
        <v>1714</v>
      </c>
      <c r="C109" s="40" t="s">
        <v>25</v>
      </c>
      <c r="D109" s="40" t="s">
        <v>655</v>
      </c>
      <c r="E109" s="40" t="s">
        <v>42</v>
      </c>
      <c r="F109" s="40"/>
      <c r="G109" s="40" t="s">
        <v>29</v>
      </c>
      <c r="H109" s="44">
        <v>1000</v>
      </c>
      <c r="I109" s="41">
        <v>200</v>
      </c>
      <c r="J109" s="40" t="s">
        <v>30</v>
      </c>
      <c r="K109" s="40" t="s">
        <v>31</v>
      </c>
      <c r="M109" s="157">
        <f t="shared" si="0"/>
        <v>200</v>
      </c>
    </row>
    <row r="110" spans="1:16" ht="15.75" customHeight="1">
      <c r="A110" s="42">
        <v>15</v>
      </c>
      <c r="B110" s="40" t="s">
        <v>1716</v>
      </c>
      <c r="C110" s="40" t="s">
        <v>25</v>
      </c>
      <c r="D110" s="40" t="s">
        <v>570</v>
      </c>
      <c r="E110" s="40" t="s">
        <v>60</v>
      </c>
      <c r="F110" s="40"/>
      <c r="G110" s="40" t="s">
        <v>29</v>
      </c>
      <c r="H110" s="44">
        <v>500</v>
      </c>
      <c r="I110" s="41" t="s">
        <v>101</v>
      </c>
      <c r="J110" s="40" t="s">
        <v>30</v>
      </c>
      <c r="K110" s="40" t="s">
        <v>31</v>
      </c>
      <c r="M110" s="157">
        <f t="shared" si="0"/>
        <v>100</v>
      </c>
    </row>
    <row r="111" spans="1:16" ht="15.75" customHeight="1">
      <c r="A111" s="42">
        <v>15</v>
      </c>
      <c r="B111" s="40" t="s">
        <v>1717</v>
      </c>
      <c r="C111" s="40" t="s">
        <v>25</v>
      </c>
      <c r="D111" s="40" t="s">
        <v>310</v>
      </c>
      <c r="E111" s="40" t="s">
        <v>311</v>
      </c>
      <c r="F111" s="43" t="s">
        <v>1130</v>
      </c>
      <c r="G111" s="40" t="s">
        <v>29</v>
      </c>
      <c r="H111" s="44">
        <v>300</v>
      </c>
      <c r="I111" s="41">
        <v>60</v>
      </c>
      <c r="J111" s="40" t="s">
        <v>30</v>
      </c>
      <c r="K111" s="40" t="s">
        <v>31</v>
      </c>
      <c r="M111" s="157">
        <f t="shared" si="0"/>
        <v>60</v>
      </c>
    </row>
    <row r="112" spans="1:16" ht="15.75" customHeight="1">
      <c r="A112" s="42">
        <v>15</v>
      </c>
      <c r="B112" s="40" t="s">
        <v>1718</v>
      </c>
      <c r="C112" s="40" t="s">
        <v>25</v>
      </c>
      <c r="D112" s="40" t="s">
        <v>1678</v>
      </c>
      <c r="E112" s="40" t="s">
        <v>96</v>
      </c>
      <c r="F112" s="43" t="s">
        <v>1719</v>
      </c>
      <c r="G112" s="40" t="s">
        <v>29</v>
      </c>
      <c r="H112" s="44">
        <v>1000</v>
      </c>
      <c r="I112" s="41">
        <v>200</v>
      </c>
      <c r="J112" s="40" t="s">
        <v>30</v>
      </c>
      <c r="K112" s="40" t="s">
        <v>31</v>
      </c>
      <c r="M112" s="157">
        <f t="shared" si="0"/>
        <v>200</v>
      </c>
    </row>
    <row r="113" spans="1:13" ht="15.75" customHeight="1">
      <c r="A113" s="42">
        <v>15</v>
      </c>
      <c r="B113" s="40" t="s">
        <v>1720</v>
      </c>
      <c r="C113" s="40" t="s">
        <v>25</v>
      </c>
      <c r="D113" s="40" t="s">
        <v>123</v>
      </c>
      <c r="E113" s="40" t="s">
        <v>96</v>
      </c>
      <c r="F113" s="43" t="s">
        <v>1721</v>
      </c>
      <c r="G113" s="40" t="s">
        <v>29</v>
      </c>
      <c r="H113" s="44">
        <v>1000</v>
      </c>
      <c r="I113" s="41">
        <v>200</v>
      </c>
      <c r="J113" s="40" t="s">
        <v>30</v>
      </c>
      <c r="K113" s="40" t="s">
        <v>31</v>
      </c>
      <c r="M113" s="157">
        <f t="shared" si="0"/>
        <v>200</v>
      </c>
    </row>
    <row r="114" spans="1:13" ht="15.75" customHeight="1">
      <c r="A114" s="42">
        <v>15</v>
      </c>
      <c r="B114" s="40" t="s">
        <v>1722</v>
      </c>
      <c r="C114" s="40" t="s">
        <v>25</v>
      </c>
      <c r="D114" s="40" t="s">
        <v>103</v>
      </c>
      <c r="E114" s="40" t="s">
        <v>38</v>
      </c>
      <c r="F114" s="43" t="s">
        <v>1723</v>
      </c>
      <c r="G114" s="40" t="s">
        <v>29</v>
      </c>
      <c r="H114" s="44">
        <v>6000</v>
      </c>
      <c r="I114" s="41">
        <v>1200</v>
      </c>
      <c r="J114" s="40" t="s">
        <v>30</v>
      </c>
      <c r="K114" s="40" t="s">
        <v>31</v>
      </c>
      <c r="M114" s="157">
        <f t="shared" si="0"/>
        <v>1200</v>
      </c>
    </row>
    <row r="115" spans="1:13" ht="15.75" customHeight="1">
      <c r="A115" s="42">
        <v>16</v>
      </c>
      <c r="B115" s="40" t="s">
        <v>1724</v>
      </c>
      <c r="C115" s="40" t="s">
        <v>25</v>
      </c>
      <c r="D115" s="40" t="s">
        <v>1200</v>
      </c>
      <c r="E115" s="40" t="s">
        <v>46</v>
      </c>
      <c r="F115" s="43" t="s">
        <v>1725</v>
      </c>
      <c r="G115" s="40" t="s">
        <v>29</v>
      </c>
      <c r="H115" s="44">
        <v>100</v>
      </c>
      <c r="I115" s="41">
        <v>20</v>
      </c>
      <c r="J115" s="40" t="s">
        <v>30</v>
      </c>
      <c r="K115" s="40" t="s">
        <v>31</v>
      </c>
      <c r="M115" s="157">
        <f t="shared" si="0"/>
        <v>20</v>
      </c>
    </row>
    <row r="116" spans="1:13" ht="15.75" customHeight="1">
      <c r="A116" s="42">
        <v>16</v>
      </c>
      <c r="B116" s="40" t="s">
        <v>1726</v>
      </c>
      <c r="C116" s="40" t="s">
        <v>25</v>
      </c>
      <c r="D116" s="40" t="s">
        <v>849</v>
      </c>
      <c r="E116" s="40" t="s">
        <v>38</v>
      </c>
      <c r="F116" s="43" t="s">
        <v>1727</v>
      </c>
      <c r="G116" s="40" t="s">
        <v>29</v>
      </c>
      <c r="H116" s="44">
        <v>200</v>
      </c>
      <c r="I116" s="41">
        <v>40</v>
      </c>
      <c r="J116" s="40" t="s">
        <v>30</v>
      </c>
      <c r="K116" s="40" t="s">
        <v>31</v>
      </c>
      <c r="M116" s="157">
        <f t="shared" si="0"/>
        <v>40</v>
      </c>
    </row>
    <row r="117" spans="1:13" ht="15.75" customHeight="1">
      <c r="A117" s="42">
        <v>16</v>
      </c>
      <c r="B117" s="40" t="s">
        <v>1728</v>
      </c>
      <c r="C117" s="40" t="s">
        <v>25</v>
      </c>
      <c r="D117" s="40" t="s">
        <v>947</v>
      </c>
      <c r="E117" s="40" t="s">
        <v>42</v>
      </c>
      <c r="F117" s="43" t="s">
        <v>1729</v>
      </c>
      <c r="G117" s="40" t="s">
        <v>29</v>
      </c>
      <c r="H117" s="44">
        <v>400</v>
      </c>
      <c r="I117" s="41">
        <v>80</v>
      </c>
      <c r="J117" s="40" t="s">
        <v>30</v>
      </c>
      <c r="K117" s="40" t="s">
        <v>31</v>
      </c>
      <c r="M117" s="157">
        <f t="shared" si="0"/>
        <v>80</v>
      </c>
    </row>
    <row r="118" spans="1:13" ht="15.75" customHeight="1">
      <c r="A118" s="42">
        <v>16</v>
      </c>
      <c r="B118" s="40" t="s">
        <v>1730</v>
      </c>
      <c r="C118" s="40" t="s">
        <v>59</v>
      </c>
      <c r="D118" s="40" t="s">
        <v>263</v>
      </c>
      <c r="E118" s="40" t="s">
        <v>42</v>
      </c>
      <c r="F118" s="43" t="s">
        <v>1731</v>
      </c>
      <c r="G118" s="40" t="s">
        <v>29</v>
      </c>
      <c r="H118" s="44">
        <v>200</v>
      </c>
      <c r="I118" s="41">
        <v>40</v>
      </c>
      <c r="J118" s="40" t="s">
        <v>30</v>
      </c>
      <c r="K118" s="40" t="s">
        <v>31</v>
      </c>
      <c r="M118" s="157">
        <f t="shared" si="0"/>
        <v>40</v>
      </c>
    </row>
    <row r="119" spans="1:13" ht="15.75" customHeight="1">
      <c r="A119" s="42">
        <v>16</v>
      </c>
      <c r="B119" s="40" t="s">
        <v>1732</v>
      </c>
      <c r="C119" s="40" t="s">
        <v>25</v>
      </c>
      <c r="D119" s="40" t="s">
        <v>1733</v>
      </c>
      <c r="E119" s="40" t="s">
        <v>46</v>
      </c>
      <c r="F119" s="43" t="s">
        <v>1734</v>
      </c>
      <c r="G119" s="40" t="s">
        <v>29</v>
      </c>
      <c r="H119" s="44">
        <v>1000</v>
      </c>
      <c r="I119" s="41">
        <v>200</v>
      </c>
      <c r="J119" s="40" t="s">
        <v>30</v>
      </c>
      <c r="K119" s="40" t="s">
        <v>31</v>
      </c>
      <c r="M119" s="157">
        <f t="shared" si="0"/>
        <v>200</v>
      </c>
    </row>
    <row r="120" spans="1:13" ht="15.75" customHeight="1">
      <c r="A120" s="42">
        <v>16</v>
      </c>
      <c r="B120" s="40" t="s">
        <v>1735</v>
      </c>
      <c r="C120" s="40" t="s">
        <v>59</v>
      </c>
      <c r="D120" s="40" t="s">
        <v>1349</v>
      </c>
      <c r="E120" s="40" t="s">
        <v>249</v>
      </c>
      <c r="F120" s="43" t="s">
        <v>1736</v>
      </c>
      <c r="G120" s="40" t="s">
        <v>29</v>
      </c>
      <c r="H120" s="44">
        <v>1000</v>
      </c>
      <c r="I120" s="41">
        <v>200</v>
      </c>
      <c r="J120" s="40" t="s">
        <v>30</v>
      </c>
      <c r="K120" s="40" t="s">
        <v>31</v>
      </c>
      <c r="M120" s="157">
        <f t="shared" si="0"/>
        <v>200</v>
      </c>
    </row>
    <row r="121" spans="1:13" ht="15.75" customHeight="1">
      <c r="A121" s="42">
        <v>16</v>
      </c>
      <c r="B121" s="40" t="s">
        <v>1737</v>
      </c>
      <c r="C121" s="40" t="s">
        <v>59</v>
      </c>
      <c r="D121" s="40" t="s">
        <v>1349</v>
      </c>
      <c r="E121" s="40" t="s">
        <v>249</v>
      </c>
      <c r="F121" s="43" t="s">
        <v>1738</v>
      </c>
      <c r="G121" s="40" t="s">
        <v>29</v>
      </c>
      <c r="H121" s="44">
        <v>1000</v>
      </c>
      <c r="I121" s="41">
        <v>200</v>
      </c>
      <c r="J121" s="40" t="s">
        <v>30</v>
      </c>
      <c r="K121" s="40" t="s">
        <v>31</v>
      </c>
      <c r="M121" s="157">
        <f t="shared" si="0"/>
        <v>200</v>
      </c>
    </row>
    <row r="122" spans="1:13" ht="15.75" customHeight="1">
      <c r="A122" s="42">
        <v>16</v>
      </c>
      <c r="B122" s="40" t="s">
        <v>1090</v>
      </c>
      <c r="C122" s="40" t="s">
        <v>25</v>
      </c>
      <c r="D122" s="40" t="s">
        <v>1091</v>
      </c>
      <c r="E122" s="40" t="s">
        <v>801</v>
      </c>
      <c r="F122" s="43" t="s">
        <v>1092</v>
      </c>
      <c r="G122" s="40" t="s">
        <v>29</v>
      </c>
      <c r="H122" s="44">
        <v>1000</v>
      </c>
      <c r="I122" s="41">
        <v>200</v>
      </c>
      <c r="J122" s="40" t="s">
        <v>30</v>
      </c>
      <c r="K122" s="40" t="s">
        <v>31</v>
      </c>
      <c r="M122" s="157">
        <f t="shared" si="0"/>
        <v>200</v>
      </c>
    </row>
    <row r="123" spans="1:13" ht="15.75" customHeight="1">
      <c r="A123" s="42">
        <v>16</v>
      </c>
      <c r="B123" s="40" t="s">
        <v>1739</v>
      </c>
      <c r="C123" s="40" t="s">
        <v>59</v>
      </c>
      <c r="D123" s="40" t="s">
        <v>1675</v>
      </c>
      <c r="E123" s="40" t="s">
        <v>42</v>
      </c>
      <c r="F123" s="40"/>
      <c r="G123" s="40" t="s">
        <v>29</v>
      </c>
      <c r="H123" s="44">
        <v>1000</v>
      </c>
      <c r="I123" s="41">
        <v>200</v>
      </c>
      <c r="J123" s="40" t="s">
        <v>30</v>
      </c>
      <c r="K123" s="40" t="s">
        <v>31</v>
      </c>
      <c r="M123" s="157">
        <f t="shared" si="0"/>
        <v>200</v>
      </c>
    </row>
    <row r="124" spans="1:13" ht="15.75" customHeight="1">
      <c r="A124" s="42">
        <v>16</v>
      </c>
      <c r="B124" s="40" t="s">
        <v>1740</v>
      </c>
      <c r="C124" s="40" t="s">
        <v>25</v>
      </c>
      <c r="D124" s="40" t="s">
        <v>1082</v>
      </c>
      <c r="E124" s="40" t="s">
        <v>96</v>
      </c>
      <c r="F124" s="43" t="s">
        <v>1741</v>
      </c>
      <c r="G124" s="40" t="s">
        <v>29</v>
      </c>
      <c r="H124" s="44">
        <v>2000</v>
      </c>
      <c r="I124" s="41">
        <v>400</v>
      </c>
      <c r="J124" s="40" t="s">
        <v>30</v>
      </c>
      <c r="K124" s="40" t="s">
        <v>31</v>
      </c>
      <c r="M124" s="157">
        <f t="shared" si="0"/>
        <v>400</v>
      </c>
    </row>
    <row r="125" spans="1:13" ht="15.75" customHeight="1">
      <c r="A125" s="42">
        <v>16</v>
      </c>
      <c r="B125" s="40" t="s">
        <v>1742</v>
      </c>
      <c r="C125" s="40" t="s">
        <v>25</v>
      </c>
      <c r="D125" s="40" t="s">
        <v>724</v>
      </c>
      <c r="E125" s="40" t="s">
        <v>1743</v>
      </c>
      <c r="F125" s="43" t="s">
        <v>1744</v>
      </c>
      <c r="G125" s="40" t="s">
        <v>29</v>
      </c>
      <c r="H125" s="44">
        <v>1000</v>
      </c>
      <c r="I125" s="41">
        <v>200</v>
      </c>
      <c r="J125" s="40" t="s">
        <v>30</v>
      </c>
      <c r="K125" s="40" t="s">
        <v>31</v>
      </c>
      <c r="M125" s="157">
        <f t="shared" si="0"/>
        <v>200</v>
      </c>
    </row>
    <row r="126" spans="1:13" ht="15.75" customHeight="1">
      <c r="A126" s="42">
        <v>16</v>
      </c>
      <c r="B126" s="40" t="s">
        <v>1745</v>
      </c>
      <c r="C126" s="40" t="s">
        <v>25</v>
      </c>
      <c r="D126" s="40" t="s">
        <v>63</v>
      </c>
      <c r="E126" s="40" t="s">
        <v>38</v>
      </c>
      <c r="F126" s="43" t="s">
        <v>1746</v>
      </c>
      <c r="G126" s="40" t="s">
        <v>29</v>
      </c>
      <c r="H126" s="44">
        <v>1000</v>
      </c>
      <c r="I126" s="41">
        <v>200</v>
      </c>
      <c r="J126" s="40" t="s">
        <v>30</v>
      </c>
      <c r="K126" s="40" t="s">
        <v>31</v>
      </c>
      <c r="M126" s="157">
        <f t="shared" si="0"/>
        <v>200</v>
      </c>
    </row>
    <row r="127" spans="1:13" ht="15.75" customHeight="1">
      <c r="A127" s="42">
        <v>16</v>
      </c>
      <c r="B127" s="40" t="s">
        <v>1747</v>
      </c>
      <c r="C127" s="40" t="s">
        <v>59</v>
      </c>
      <c r="D127" s="40" t="s">
        <v>849</v>
      </c>
      <c r="E127" s="40" t="s">
        <v>38</v>
      </c>
      <c r="F127" s="43" t="s">
        <v>1748</v>
      </c>
      <c r="G127" s="40" t="s">
        <v>29</v>
      </c>
      <c r="H127" s="44">
        <v>500</v>
      </c>
      <c r="I127" s="41">
        <v>100</v>
      </c>
      <c r="J127" s="40" t="s">
        <v>30</v>
      </c>
      <c r="K127" s="40" t="s">
        <v>31</v>
      </c>
      <c r="M127" s="157">
        <f t="shared" si="0"/>
        <v>100</v>
      </c>
    </row>
    <row r="128" spans="1:13" ht="15.75" customHeight="1">
      <c r="A128" s="42">
        <v>16</v>
      </c>
      <c r="B128" s="40" t="s">
        <v>1614</v>
      </c>
      <c r="C128" s="40" t="s">
        <v>25</v>
      </c>
      <c r="D128" s="40" t="s">
        <v>1471</v>
      </c>
      <c r="E128" s="40" t="s">
        <v>42</v>
      </c>
      <c r="F128" s="40"/>
      <c r="G128" s="40" t="s">
        <v>29</v>
      </c>
      <c r="H128" s="44">
        <v>400</v>
      </c>
      <c r="I128" s="41">
        <v>80</v>
      </c>
      <c r="J128" s="40" t="s">
        <v>30</v>
      </c>
      <c r="K128" s="40" t="s">
        <v>31</v>
      </c>
      <c r="M128" s="157">
        <f t="shared" si="0"/>
        <v>80</v>
      </c>
    </row>
    <row r="129" spans="1:16" ht="15.75" customHeight="1">
      <c r="A129" s="42">
        <v>17</v>
      </c>
      <c r="B129" s="40" t="s">
        <v>1749</v>
      </c>
      <c r="C129" s="40" t="s">
        <v>25</v>
      </c>
      <c r="D129" s="40" t="s">
        <v>688</v>
      </c>
      <c r="E129" s="40" t="s">
        <v>38</v>
      </c>
      <c r="F129" s="43" t="s">
        <v>1750</v>
      </c>
      <c r="G129" s="40" t="s">
        <v>29</v>
      </c>
      <c r="H129" s="44">
        <v>5000</v>
      </c>
      <c r="I129" s="41">
        <v>1000</v>
      </c>
      <c r="J129" s="40" t="s">
        <v>30</v>
      </c>
      <c r="K129" s="40" t="s">
        <v>31</v>
      </c>
      <c r="M129" s="157">
        <f t="shared" si="0"/>
        <v>1000</v>
      </c>
    </row>
    <row r="130" spans="1:16" ht="15.75" customHeight="1">
      <c r="A130" s="42">
        <v>17</v>
      </c>
      <c r="B130" s="40" t="s">
        <v>1751</v>
      </c>
      <c r="C130" s="40" t="s">
        <v>59</v>
      </c>
      <c r="D130" s="40" t="s">
        <v>86</v>
      </c>
      <c r="E130" s="40" t="s">
        <v>42</v>
      </c>
      <c r="F130" s="40"/>
      <c r="G130" s="40" t="s">
        <v>29</v>
      </c>
      <c r="H130" s="44">
        <v>5000</v>
      </c>
      <c r="I130" s="41">
        <v>1000</v>
      </c>
      <c r="J130" s="40" t="s">
        <v>30</v>
      </c>
      <c r="K130" s="40" t="s">
        <v>31</v>
      </c>
      <c r="M130" s="157">
        <f t="shared" si="0"/>
        <v>1000</v>
      </c>
    </row>
    <row r="131" spans="1:16" ht="15.75" customHeight="1">
      <c r="A131" s="42">
        <v>17</v>
      </c>
      <c r="B131" s="40" t="s">
        <v>1553</v>
      </c>
      <c r="C131" s="40" t="s">
        <v>25</v>
      </c>
      <c r="D131" s="40" t="s">
        <v>86</v>
      </c>
      <c r="E131" s="40" t="s">
        <v>42</v>
      </c>
      <c r="F131" s="40"/>
      <c r="G131" s="40" t="s">
        <v>29</v>
      </c>
      <c r="H131" s="44">
        <v>2000</v>
      </c>
      <c r="I131" s="41">
        <v>400</v>
      </c>
      <c r="J131" s="40" t="s">
        <v>30</v>
      </c>
      <c r="K131" s="40" t="s">
        <v>31</v>
      </c>
      <c r="M131" s="157">
        <f t="shared" si="0"/>
        <v>400</v>
      </c>
      <c r="P131" s="45"/>
    </row>
    <row r="132" spans="1:16" ht="15.75" customHeight="1">
      <c r="A132" s="42">
        <v>17</v>
      </c>
      <c r="B132" s="40" t="s">
        <v>1752</v>
      </c>
      <c r="C132" s="40" t="s">
        <v>25</v>
      </c>
      <c r="D132" s="40" t="s">
        <v>63</v>
      </c>
      <c r="E132" s="40" t="s">
        <v>50</v>
      </c>
      <c r="F132" s="40"/>
      <c r="G132" s="40" t="s">
        <v>29</v>
      </c>
      <c r="H132" s="44">
        <v>600</v>
      </c>
      <c r="I132" s="41">
        <v>120</v>
      </c>
      <c r="J132" s="40" t="s">
        <v>30</v>
      </c>
      <c r="K132" s="40" t="s">
        <v>31</v>
      </c>
      <c r="M132" s="157">
        <f t="shared" si="0"/>
        <v>120</v>
      </c>
    </row>
    <row r="133" spans="1:16" ht="15.75" customHeight="1">
      <c r="A133" s="42">
        <v>17</v>
      </c>
      <c r="B133" s="40" t="s">
        <v>1753</v>
      </c>
      <c r="C133" s="40" t="s">
        <v>25</v>
      </c>
      <c r="D133" s="40" t="s">
        <v>68</v>
      </c>
      <c r="E133" s="40" t="s">
        <v>38</v>
      </c>
      <c r="F133" s="40"/>
      <c r="G133" s="40" t="s">
        <v>29</v>
      </c>
      <c r="H133" s="44">
        <v>500</v>
      </c>
      <c r="I133" s="41">
        <v>100</v>
      </c>
      <c r="J133" s="40" t="s">
        <v>30</v>
      </c>
      <c r="K133" s="40" t="s">
        <v>31</v>
      </c>
      <c r="M133" s="157">
        <f t="shared" si="0"/>
        <v>100</v>
      </c>
      <c r="P133" s="45"/>
    </row>
    <row r="134" spans="1:16" ht="15.75" customHeight="1">
      <c r="A134" s="42">
        <v>17</v>
      </c>
      <c r="B134" s="40" t="s">
        <v>1754</v>
      </c>
      <c r="C134" s="40" t="s">
        <v>25</v>
      </c>
      <c r="D134" s="40" t="s">
        <v>1755</v>
      </c>
      <c r="E134" s="40" t="s">
        <v>60</v>
      </c>
      <c r="F134" s="43" t="s">
        <v>1756</v>
      </c>
      <c r="G134" s="40" t="s">
        <v>29</v>
      </c>
      <c r="H134" s="44">
        <v>3000</v>
      </c>
      <c r="I134" s="41">
        <v>600</v>
      </c>
      <c r="J134" s="40" t="s">
        <v>30</v>
      </c>
      <c r="K134" s="40" t="s">
        <v>31</v>
      </c>
      <c r="M134" s="157">
        <f t="shared" si="0"/>
        <v>600</v>
      </c>
    </row>
    <row r="135" spans="1:16" ht="15.75" customHeight="1">
      <c r="A135" s="42">
        <v>17</v>
      </c>
      <c r="B135" s="40" t="s">
        <v>1757</v>
      </c>
      <c r="C135" s="40" t="s">
        <v>25</v>
      </c>
      <c r="D135" s="40" t="s">
        <v>598</v>
      </c>
      <c r="E135" s="40" t="s">
        <v>27</v>
      </c>
      <c r="F135" s="43" t="s">
        <v>1758</v>
      </c>
      <c r="G135" s="40" t="s">
        <v>29</v>
      </c>
      <c r="H135" s="44">
        <v>3000</v>
      </c>
      <c r="I135" s="41">
        <v>600</v>
      </c>
      <c r="J135" s="40" t="s">
        <v>30</v>
      </c>
      <c r="K135" s="40" t="s">
        <v>31</v>
      </c>
      <c r="M135" s="157">
        <f t="shared" si="0"/>
        <v>600</v>
      </c>
    </row>
    <row r="136" spans="1:16" ht="15.75" customHeight="1">
      <c r="A136" s="42">
        <v>17</v>
      </c>
      <c r="B136" s="40" t="s">
        <v>1759</v>
      </c>
      <c r="C136" s="40" t="s">
        <v>25</v>
      </c>
      <c r="D136" s="40" t="s">
        <v>63</v>
      </c>
      <c r="E136" s="40" t="s">
        <v>533</v>
      </c>
      <c r="F136" s="43" t="s">
        <v>1760</v>
      </c>
      <c r="G136" s="40" t="s">
        <v>29</v>
      </c>
      <c r="H136" s="44">
        <v>1000</v>
      </c>
      <c r="I136" s="41">
        <v>200</v>
      </c>
      <c r="J136" s="40" t="s">
        <v>30</v>
      </c>
      <c r="K136" s="40" t="s">
        <v>31</v>
      </c>
      <c r="M136" s="157">
        <f t="shared" si="0"/>
        <v>200</v>
      </c>
    </row>
    <row r="137" spans="1:16" ht="15.75" customHeight="1">
      <c r="A137" s="42">
        <v>17</v>
      </c>
      <c r="B137" s="40" t="s">
        <v>1761</v>
      </c>
      <c r="C137" s="40" t="s">
        <v>25</v>
      </c>
      <c r="D137" s="40" t="s">
        <v>1675</v>
      </c>
      <c r="E137" s="40" t="s">
        <v>42</v>
      </c>
      <c r="F137" s="43" t="s">
        <v>1762</v>
      </c>
      <c r="G137" s="40" t="s">
        <v>29</v>
      </c>
      <c r="H137" s="44">
        <v>500</v>
      </c>
      <c r="I137" s="41">
        <v>100</v>
      </c>
      <c r="J137" s="40" t="s">
        <v>30</v>
      </c>
      <c r="K137" s="40" t="s">
        <v>31</v>
      </c>
      <c r="M137" s="157">
        <f t="shared" si="0"/>
        <v>100</v>
      </c>
    </row>
    <row r="138" spans="1:16" ht="15.75" customHeight="1">
      <c r="A138" s="42">
        <v>17</v>
      </c>
      <c r="B138" s="40" t="s">
        <v>1763</v>
      </c>
      <c r="C138" s="40" t="s">
        <v>25</v>
      </c>
      <c r="D138" s="40" t="s">
        <v>631</v>
      </c>
      <c r="E138" s="40" t="s">
        <v>60</v>
      </c>
      <c r="F138" s="43" t="s">
        <v>1764</v>
      </c>
      <c r="G138" s="40" t="s">
        <v>29</v>
      </c>
      <c r="H138" s="44">
        <v>500</v>
      </c>
      <c r="I138" s="41" t="s">
        <v>101</v>
      </c>
      <c r="J138" s="40" t="s">
        <v>30</v>
      </c>
      <c r="K138" s="40" t="s">
        <v>31</v>
      </c>
      <c r="M138" s="157">
        <f t="shared" si="0"/>
        <v>100</v>
      </c>
    </row>
    <row r="139" spans="1:16" ht="15.75" customHeight="1">
      <c r="A139" s="42">
        <v>17</v>
      </c>
      <c r="B139" s="40" t="s">
        <v>1765</v>
      </c>
      <c r="C139" s="40" t="s">
        <v>25</v>
      </c>
      <c r="D139" s="40" t="s">
        <v>631</v>
      </c>
      <c r="E139" s="40" t="s">
        <v>60</v>
      </c>
      <c r="F139" s="43" t="s">
        <v>1766</v>
      </c>
      <c r="G139" s="40" t="s">
        <v>29</v>
      </c>
      <c r="H139" s="44">
        <v>500</v>
      </c>
      <c r="I139" s="41" t="s">
        <v>101</v>
      </c>
      <c r="J139" s="40" t="s">
        <v>30</v>
      </c>
      <c r="K139" s="40" t="s">
        <v>31</v>
      </c>
      <c r="M139" s="157">
        <f t="shared" si="0"/>
        <v>100</v>
      </c>
    </row>
    <row r="140" spans="1:16" ht="15.75" customHeight="1">
      <c r="A140" s="42">
        <v>20</v>
      </c>
      <c r="B140" s="40" t="s">
        <v>1767</v>
      </c>
      <c r="C140" s="40" t="s">
        <v>25</v>
      </c>
      <c r="D140" s="40" t="s">
        <v>631</v>
      </c>
      <c r="E140" s="40" t="s">
        <v>60</v>
      </c>
      <c r="F140" s="40"/>
      <c r="G140" s="40" t="s">
        <v>29</v>
      </c>
      <c r="H140" s="44">
        <v>500</v>
      </c>
      <c r="I140" s="41" t="s">
        <v>101</v>
      </c>
      <c r="J140" s="40" t="s">
        <v>30</v>
      </c>
      <c r="K140" s="40" t="s">
        <v>31</v>
      </c>
      <c r="M140" s="157">
        <f t="shared" si="0"/>
        <v>100</v>
      </c>
    </row>
    <row r="141" spans="1:16" ht="15.75" customHeight="1">
      <c r="A141" s="42">
        <v>20</v>
      </c>
      <c r="B141" s="40" t="s">
        <v>1768</v>
      </c>
      <c r="C141" s="40" t="s">
        <v>25</v>
      </c>
      <c r="D141" s="40" t="s">
        <v>947</v>
      </c>
      <c r="E141" s="40" t="s">
        <v>42</v>
      </c>
      <c r="F141" s="40"/>
      <c r="G141" s="40" t="s">
        <v>29</v>
      </c>
      <c r="H141" s="44">
        <v>1000</v>
      </c>
      <c r="I141" s="41">
        <v>200</v>
      </c>
      <c r="J141" s="40" t="s">
        <v>30</v>
      </c>
      <c r="K141" s="40" t="s">
        <v>31</v>
      </c>
      <c r="M141" s="157">
        <f t="shared" si="0"/>
        <v>200</v>
      </c>
    </row>
    <row r="142" spans="1:16" ht="15.75" customHeight="1">
      <c r="A142" s="42">
        <v>20</v>
      </c>
      <c r="B142" s="40" t="s">
        <v>1769</v>
      </c>
      <c r="C142" s="40" t="s">
        <v>25</v>
      </c>
      <c r="D142" s="40" t="s">
        <v>86</v>
      </c>
      <c r="E142" s="40" t="s">
        <v>42</v>
      </c>
      <c r="F142" s="40"/>
      <c r="G142" s="40" t="s">
        <v>29</v>
      </c>
      <c r="H142" s="44">
        <v>1000</v>
      </c>
      <c r="I142" s="41">
        <v>200</v>
      </c>
      <c r="J142" s="40" t="s">
        <v>30</v>
      </c>
      <c r="K142" s="40" t="s">
        <v>31</v>
      </c>
      <c r="M142" s="157">
        <f t="shared" si="0"/>
        <v>200</v>
      </c>
    </row>
    <row r="143" spans="1:16" ht="15.75" customHeight="1">
      <c r="A143" s="42">
        <v>20</v>
      </c>
      <c r="B143" s="40" t="s">
        <v>1770</v>
      </c>
      <c r="C143" s="40" t="s">
        <v>25</v>
      </c>
      <c r="D143" s="40"/>
      <c r="E143" s="40" t="s">
        <v>216</v>
      </c>
      <c r="F143" s="43" t="s">
        <v>1771</v>
      </c>
      <c r="G143" s="40" t="s">
        <v>29</v>
      </c>
      <c r="H143" s="44">
        <v>1000</v>
      </c>
      <c r="I143" s="41">
        <v>200</v>
      </c>
      <c r="J143" s="40" t="s">
        <v>30</v>
      </c>
      <c r="K143" s="40" t="s">
        <v>31</v>
      </c>
      <c r="M143" s="157">
        <f t="shared" si="0"/>
        <v>200</v>
      </c>
    </row>
    <row r="144" spans="1:16" ht="15.75" customHeight="1">
      <c r="A144" s="42">
        <v>20</v>
      </c>
      <c r="B144" s="40" t="s">
        <v>1772</v>
      </c>
      <c r="C144" s="40" t="s">
        <v>25</v>
      </c>
      <c r="D144" s="40" t="s">
        <v>593</v>
      </c>
      <c r="E144" s="40" t="s">
        <v>96</v>
      </c>
      <c r="F144" s="43" t="s">
        <v>1773</v>
      </c>
      <c r="G144" s="40" t="s">
        <v>29</v>
      </c>
      <c r="H144" s="44">
        <v>1000</v>
      </c>
      <c r="I144" s="41">
        <v>200</v>
      </c>
      <c r="J144" s="40" t="s">
        <v>30</v>
      </c>
      <c r="K144" s="40" t="s">
        <v>31</v>
      </c>
      <c r="M144" s="157">
        <f t="shared" si="0"/>
        <v>200</v>
      </c>
    </row>
    <row r="145" spans="1:13" ht="15.75" customHeight="1">
      <c r="A145" s="42">
        <v>20</v>
      </c>
      <c r="B145" s="40" t="s">
        <v>1774</v>
      </c>
      <c r="C145" s="40" t="s">
        <v>25</v>
      </c>
      <c r="D145" s="40" t="s">
        <v>593</v>
      </c>
      <c r="E145" s="40" t="s">
        <v>96</v>
      </c>
      <c r="F145" s="40"/>
      <c r="G145" s="40" t="s">
        <v>29</v>
      </c>
      <c r="H145" s="44">
        <v>1000</v>
      </c>
      <c r="I145" s="41">
        <v>200</v>
      </c>
      <c r="J145" s="40" t="s">
        <v>30</v>
      </c>
      <c r="K145" s="40" t="s">
        <v>31</v>
      </c>
      <c r="M145" s="157">
        <f t="shared" si="0"/>
        <v>200</v>
      </c>
    </row>
    <row r="146" spans="1:13" ht="15.75" customHeight="1">
      <c r="A146" s="42">
        <v>20</v>
      </c>
      <c r="B146" s="40" t="s">
        <v>1775</v>
      </c>
      <c r="C146" s="40" t="s">
        <v>25</v>
      </c>
      <c r="D146" s="40" t="s">
        <v>849</v>
      </c>
      <c r="E146" s="40" t="s">
        <v>38</v>
      </c>
      <c r="F146" s="40"/>
      <c r="G146" s="40" t="s">
        <v>29</v>
      </c>
      <c r="H146" s="44">
        <v>1000</v>
      </c>
      <c r="I146" s="41">
        <v>200</v>
      </c>
      <c r="J146" s="40" t="s">
        <v>30</v>
      </c>
      <c r="K146" s="40" t="s">
        <v>31</v>
      </c>
      <c r="M146" s="157">
        <f t="shared" si="0"/>
        <v>200</v>
      </c>
    </row>
    <row r="147" spans="1:13" ht="15.75" customHeight="1">
      <c r="A147" s="42">
        <v>20</v>
      </c>
      <c r="B147" s="40" t="s">
        <v>1776</v>
      </c>
      <c r="C147" s="40" t="s">
        <v>25</v>
      </c>
      <c r="D147" s="40" t="s">
        <v>81</v>
      </c>
      <c r="E147" s="40" t="s">
        <v>50</v>
      </c>
      <c r="F147" s="43" t="s">
        <v>1777</v>
      </c>
      <c r="G147" s="40" t="s">
        <v>29</v>
      </c>
      <c r="H147" s="44">
        <v>1000</v>
      </c>
      <c r="I147" s="41">
        <v>200</v>
      </c>
      <c r="J147" s="40" t="s">
        <v>30</v>
      </c>
      <c r="K147" s="40" t="s">
        <v>31</v>
      </c>
      <c r="M147" s="157">
        <f t="shared" si="0"/>
        <v>200</v>
      </c>
    </row>
    <row r="148" spans="1:13" ht="15.75" customHeight="1">
      <c r="A148" s="42">
        <v>20</v>
      </c>
      <c r="B148" s="40" t="s">
        <v>1778</v>
      </c>
      <c r="C148" s="40" t="s">
        <v>25</v>
      </c>
      <c r="D148" s="40" t="s">
        <v>1675</v>
      </c>
      <c r="E148" s="40" t="s">
        <v>42</v>
      </c>
      <c r="F148" s="43" t="s">
        <v>1779</v>
      </c>
      <c r="G148" s="40" t="s">
        <v>29</v>
      </c>
      <c r="H148" s="44">
        <v>1000</v>
      </c>
      <c r="I148" s="41">
        <v>200</v>
      </c>
      <c r="J148" s="40" t="s">
        <v>30</v>
      </c>
      <c r="K148" s="40" t="s">
        <v>31</v>
      </c>
      <c r="M148" s="157">
        <f t="shared" si="0"/>
        <v>200</v>
      </c>
    </row>
    <row r="149" spans="1:13" ht="15.75" customHeight="1">
      <c r="A149" s="42">
        <v>20</v>
      </c>
      <c r="B149" s="40" t="s">
        <v>1780</v>
      </c>
      <c r="C149" s="40" t="s">
        <v>25</v>
      </c>
      <c r="D149" s="40" t="s">
        <v>1490</v>
      </c>
      <c r="E149" s="40" t="s">
        <v>38</v>
      </c>
      <c r="F149" s="43" t="s">
        <v>1781</v>
      </c>
      <c r="G149" s="40" t="s">
        <v>29</v>
      </c>
      <c r="H149" s="44">
        <v>1000</v>
      </c>
      <c r="I149" s="41">
        <v>200</v>
      </c>
      <c r="J149" s="40" t="s">
        <v>30</v>
      </c>
      <c r="K149" s="40" t="s">
        <v>31</v>
      </c>
      <c r="M149" s="157">
        <f t="shared" si="0"/>
        <v>200</v>
      </c>
    </row>
    <row r="150" spans="1:13" ht="15.75" customHeight="1">
      <c r="A150" s="42">
        <v>20</v>
      </c>
      <c r="B150" s="40" t="s">
        <v>1782</v>
      </c>
      <c r="C150" s="40" t="s">
        <v>25</v>
      </c>
      <c r="D150" s="40" t="s">
        <v>171</v>
      </c>
      <c r="E150" s="40" t="s">
        <v>60</v>
      </c>
      <c r="F150" s="43" t="s">
        <v>1783</v>
      </c>
      <c r="G150" s="40" t="s">
        <v>29</v>
      </c>
      <c r="H150" s="44">
        <v>1000</v>
      </c>
      <c r="I150" s="41">
        <v>200</v>
      </c>
      <c r="J150" s="40" t="s">
        <v>30</v>
      </c>
      <c r="K150" s="40" t="s">
        <v>31</v>
      </c>
      <c r="M150" s="157">
        <f t="shared" si="0"/>
        <v>200</v>
      </c>
    </row>
    <row r="151" spans="1:13" ht="15.75" customHeight="1">
      <c r="A151" s="42">
        <v>20</v>
      </c>
      <c r="B151" s="40" t="s">
        <v>1784</v>
      </c>
      <c r="C151" s="40" t="s">
        <v>25</v>
      </c>
      <c r="D151" s="40" t="s">
        <v>1785</v>
      </c>
      <c r="E151" s="40" t="s">
        <v>166</v>
      </c>
      <c r="F151" s="40"/>
      <c r="G151" s="40" t="s">
        <v>29</v>
      </c>
      <c r="H151" s="44">
        <v>2000</v>
      </c>
      <c r="I151" s="41">
        <v>400</v>
      </c>
      <c r="J151" s="40" t="s">
        <v>30</v>
      </c>
      <c r="K151" s="40" t="s">
        <v>31</v>
      </c>
      <c r="M151" s="157">
        <f t="shared" si="0"/>
        <v>400</v>
      </c>
    </row>
    <row r="152" spans="1:13" ht="15.75" customHeight="1">
      <c r="A152" s="42">
        <v>20</v>
      </c>
      <c r="B152" s="40" t="s">
        <v>1786</v>
      </c>
      <c r="C152" s="40" t="s">
        <v>59</v>
      </c>
      <c r="D152" s="40" t="s">
        <v>552</v>
      </c>
      <c r="E152" s="40" t="s">
        <v>46</v>
      </c>
      <c r="F152" s="43" t="s">
        <v>1787</v>
      </c>
      <c r="G152" s="40" t="s">
        <v>29</v>
      </c>
      <c r="H152" s="44">
        <v>500</v>
      </c>
      <c r="I152" s="41">
        <v>100</v>
      </c>
      <c r="J152" s="40" t="s">
        <v>30</v>
      </c>
      <c r="K152" s="40" t="s">
        <v>31</v>
      </c>
      <c r="M152" s="157">
        <f t="shared" si="0"/>
        <v>100</v>
      </c>
    </row>
    <row r="153" spans="1:13" ht="15.75" customHeight="1">
      <c r="A153" s="42">
        <v>20</v>
      </c>
      <c r="B153" s="40" t="s">
        <v>1380</v>
      </c>
      <c r="C153" s="40" t="s">
        <v>25</v>
      </c>
      <c r="D153" s="40" t="s">
        <v>779</v>
      </c>
      <c r="E153" s="40" t="s">
        <v>42</v>
      </c>
      <c r="F153" s="43" t="s">
        <v>1381</v>
      </c>
      <c r="G153" s="40" t="s">
        <v>29</v>
      </c>
      <c r="H153" s="44">
        <v>500</v>
      </c>
      <c r="I153" s="41">
        <v>100</v>
      </c>
      <c r="J153" s="40" t="s">
        <v>30</v>
      </c>
      <c r="K153" s="40" t="s">
        <v>31</v>
      </c>
      <c r="M153" s="157">
        <f t="shared" si="0"/>
        <v>100</v>
      </c>
    </row>
    <row r="154" spans="1:13" ht="15.75" customHeight="1">
      <c r="A154" s="42">
        <v>20</v>
      </c>
      <c r="B154" s="40" t="s">
        <v>1788</v>
      </c>
      <c r="C154" s="40" t="s">
        <v>25</v>
      </c>
      <c r="D154" s="40" t="s">
        <v>831</v>
      </c>
      <c r="E154" s="40" t="s">
        <v>50</v>
      </c>
      <c r="F154" s="43" t="s">
        <v>1789</v>
      </c>
      <c r="G154" s="40" t="s">
        <v>29</v>
      </c>
      <c r="H154" s="44">
        <v>200</v>
      </c>
      <c r="I154" s="41">
        <v>40</v>
      </c>
      <c r="J154" s="40" t="s">
        <v>30</v>
      </c>
      <c r="K154" s="40" t="s">
        <v>31</v>
      </c>
      <c r="M154" s="157">
        <f t="shared" si="0"/>
        <v>40</v>
      </c>
    </row>
    <row r="155" spans="1:13" ht="15.75" customHeight="1">
      <c r="A155" s="42">
        <v>20</v>
      </c>
      <c r="B155" s="40" t="s">
        <v>1790</v>
      </c>
      <c r="C155" s="40" t="s">
        <v>25</v>
      </c>
      <c r="D155" s="40" t="s">
        <v>63</v>
      </c>
      <c r="E155" s="40" t="s">
        <v>38</v>
      </c>
      <c r="F155" s="43" t="s">
        <v>1791</v>
      </c>
      <c r="G155" s="40" t="s">
        <v>29</v>
      </c>
      <c r="H155" s="44">
        <v>500</v>
      </c>
      <c r="I155" s="41">
        <v>100</v>
      </c>
      <c r="J155" s="40" t="s">
        <v>30</v>
      </c>
      <c r="K155" s="40" t="s">
        <v>31</v>
      </c>
      <c r="M155" s="157">
        <f t="shared" si="0"/>
        <v>100</v>
      </c>
    </row>
    <row r="156" spans="1:13" ht="15.75" customHeight="1">
      <c r="A156" s="42">
        <v>20</v>
      </c>
      <c r="B156" s="40" t="s">
        <v>1792</v>
      </c>
      <c r="C156" s="40" t="s">
        <v>25</v>
      </c>
      <c r="D156" s="40" t="s">
        <v>1165</v>
      </c>
      <c r="E156" s="40" t="s">
        <v>96</v>
      </c>
      <c r="F156" s="43" t="s">
        <v>1793</v>
      </c>
      <c r="G156" s="40" t="s">
        <v>29</v>
      </c>
      <c r="H156" s="44">
        <v>1000</v>
      </c>
      <c r="I156" s="41">
        <v>200</v>
      </c>
      <c r="J156" s="40" t="s">
        <v>30</v>
      </c>
      <c r="K156" s="40" t="s">
        <v>31</v>
      </c>
      <c r="M156" s="157">
        <f t="shared" si="0"/>
        <v>200</v>
      </c>
    </row>
    <row r="157" spans="1:13" ht="15.75" customHeight="1">
      <c r="A157" s="42">
        <v>20</v>
      </c>
      <c r="B157" s="40" t="s">
        <v>1794</v>
      </c>
      <c r="C157" s="40" t="s">
        <v>25</v>
      </c>
      <c r="D157" s="40" t="s">
        <v>706</v>
      </c>
      <c r="E157" s="40" t="s">
        <v>38</v>
      </c>
      <c r="F157" s="43" t="s">
        <v>1795</v>
      </c>
      <c r="G157" s="40" t="s">
        <v>29</v>
      </c>
      <c r="H157" s="44">
        <v>1000</v>
      </c>
      <c r="I157" s="41">
        <v>200</v>
      </c>
      <c r="J157" s="40" t="s">
        <v>30</v>
      </c>
      <c r="K157" s="40" t="s">
        <v>31</v>
      </c>
      <c r="M157" s="157">
        <f t="shared" si="0"/>
        <v>200</v>
      </c>
    </row>
    <row r="158" spans="1:13" ht="15.75" customHeight="1">
      <c r="A158" s="42">
        <v>20</v>
      </c>
      <c r="B158" s="40" t="s">
        <v>1796</v>
      </c>
      <c r="C158" s="40" t="s">
        <v>25</v>
      </c>
      <c r="D158" s="40" t="s">
        <v>63</v>
      </c>
      <c r="E158" s="40" t="s">
        <v>38</v>
      </c>
      <c r="F158" s="43" t="s">
        <v>1746</v>
      </c>
      <c r="G158" s="40" t="s">
        <v>29</v>
      </c>
      <c r="H158" s="44">
        <v>1000</v>
      </c>
      <c r="I158" s="41">
        <v>200</v>
      </c>
      <c r="J158" s="40" t="s">
        <v>30</v>
      </c>
      <c r="K158" s="40" t="s">
        <v>31</v>
      </c>
      <c r="M158" s="157">
        <f t="shared" si="0"/>
        <v>200</v>
      </c>
    </row>
    <row r="159" spans="1:13" ht="15.75" customHeight="1">
      <c r="A159" s="42">
        <v>20</v>
      </c>
      <c r="B159" s="40" t="s">
        <v>1797</v>
      </c>
      <c r="C159" s="40" t="s">
        <v>25</v>
      </c>
      <c r="D159" s="40" t="s">
        <v>1733</v>
      </c>
      <c r="E159" s="40" t="s">
        <v>46</v>
      </c>
      <c r="F159" s="43" t="s">
        <v>1798</v>
      </c>
      <c r="G159" s="40" t="s">
        <v>29</v>
      </c>
      <c r="H159" s="44">
        <v>800</v>
      </c>
      <c r="I159" s="41">
        <v>160</v>
      </c>
      <c r="J159" s="40" t="s">
        <v>30</v>
      </c>
      <c r="K159" s="40" t="s">
        <v>31</v>
      </c>
      <c r="M159" s="157">
        <f t="shared" si="0"/>
        <v>160</v>
      </c>
    </row>
    <row r="160" spans="1:13" ht="15.75" customHeight="1">
      <c r="A160" s="42">
        <v>20</v>
      </c>
      <c r="B160" s="40" t="s">
        <v>1799</v>
      </c>
      <c r="C160" s="40" t="s">
        <v>25</v>
      </c>
      <c r="D160" s="40" t="s">
        <v>263</v>
      </c>
      <c r="E160" s="40" t="s">
        <v>42</v>
      </c>
      <c r="F160" s="43" t="s">
        <v>1800</v>
      </c>
      <c r="G160" s="40" t="s">
        <v>29</v>
      </c>
      <c r="H160" s="44">
        <v>800</v>
      </c>
      <c r="I160" s="41">
        <v>160</v>
      </c>
      <c r="J160" s="40" t="s">
        <v>30</v>
      </c>
      <c r="K160" s="40" t="s">
        <v>31</v>
      </c>
      <c r="M160" s="157">
        <f t="shared" si="0"/>
        <v>160</v>
      </c>
    </row>
    <row r="161" spans="1:13" ht="15.75" customHeight="1">
      <c r="A161" s="42">
        <v>20</v>
      </c>
      <c r="B161" s="40" t="s">
        <v>1801</v>
      </c>
      <c r="C161" s="40" t="s">
        <v>25</v>
      </c>
      <c r="D161" s="40" t="s">
        <v>548</v>
      </c>
      <c r="E161" s="40" t="s">
        <v>42</v>
      </c>
      <c r="F161" s="43" t="s">
        <v>1802</v>
      </c>
      <c r="G161" s="40" t="s">
        <v>29</v>
      </c>
      <c r="H161" s="44">
        <v>500</v>
      </c>
      <c r="I161" s="41">
        <v>100</v>
      </c>
      <c r="J161" s="40" t="s">
        <v>30</v>
      </c>
      <c r="K161" s="40" t="s">
        <v>31</v>
      </c>
      <c r="M161" s="157">
        <f t="shared" si="0"/>
        <v>100</v>
      </c>
    </row>
    <row r="162" spans="1:13" ht="15.75" customHeight="1">
      <c r="A162" s="42">
        <v>20</v>
      </c>
      <c r="B162" s="40" t="s">
        <v>1803</v>
      </c>
      <c r="C162" s="40" t="s">
        <v>25</v>
      </c>
      <c r="D162" s="40" t="s">
        <v>1804</v>
      </c>
      <c r="E162" s="40" t="s">
        <v>389</v>
      </c>
      <c r="F162" s="43" t="s">
        <v>1805</v>
      </c>
      <c r="G162" s="40" t="s">
        <v>29</v>
      </c>
      <c r="H162" s="44">
        <v>1500</v>
      </c>
      <c r="I162" s="41">
        <v>300</v>
      </c>
      <c r="J162" s="40" t="s">
        <v>30</v>
      </c>
      <c r="K162" s="40" t="s">
        <v>31</v>
      </c>
      <c r="M162" s="157">
        <f t="shared" si="0"/>
        <v>300</v>
      </c>
    </row>
    <row r="163" spans="1:13" ht="15.75" customHeight="1">
      <c r="A163" s="42">
        <v>20</v>
      </c>
      <c r="B163" s="40" t="s">
        <v>1806</v>
      </c>
      <c r="C163" s="40" t="s">
        <v>25</v>
      </c>
      <c r="D163" s="40" t="s">
        <v>99</v>
      </c>
      <c r="E163" s="40" t="s">
        <v>42</v>
      </c>
      <c r="F163" s="43" t="s">
        <v>1807</v>
      </c>
      <c r="G163" s="40" t="s">
        <v>29</v>
      </c>
      <c r="H163" s="44">
        <v>3000</v>
      </c>
      <c r="I163" s="41">
        <v>600</v>
      </c>
      <c r="J163" s="40" t="s">
        <v>30</v>
      </c>
      <c r="K163" s="40" t="s">
        <v>31</v>
      </c>
      <c r="M163" s="157">
        <f t="shared" si="0"/>
        <v>600</v>
      </c>
    </row>
    <row r="164" spans="1:13" ht="15.75" customHeight="1">
      <c r="A164" s="42">
        <v>20</v>
      </c>
      <c r="B164" s="40" t="s">
        <v>1808</v>
      </c>
      <c r="C164" s="40" t="s">
        <v>59</v>
      </c>
      <c r="D164" s="40" t="s">
        <v>1809</v>
      </c>
      <c r="E164" s="40" t="s">
        <v>1461</v>
      </c>
      <c r="F164" s="43" t="s">
        <v>1810</v>
      </c>
      <c r="G164" s="40" t="s">
        <v>29</v>
      </c>
      <c r="H164" s="44">
        <v>3000</v>
      </c>
      <c r="I164" s="41">
        <v>600</v>
      </c>
      <c r="J164" s="40" t="s">
        <v>30</v>
      </c>
      <c r="K164" s="40" t="s">
        <v>31</v>
      </c>
      <c r="M164" s="157">
        <f t="shared" si="0"/>
        <v>600</v>
      </c>
    </row>
    <row r="165" spans="1:13" ht="15.75" customHeight="1">
      <c r="A165" s="42">
        <v>20</v>
      </c>
      <c r="B165" s="40" t="s">
        <v>1811</v>
      </c>
      <c r="C165" s="40" t="s">
        <v>25</v>
      </c>
      <c r="D165" s="40" t="s">
        <v>77</v>
      </c>
      <c r="E165" s="40" t="s">
        <v>96</v>
      </c>
      <c r="F165" s="43" t="s">
        <v>1812</v>
      </c>
      <c r="G165" s="40" t="s">
        <v>29</v>
      </c>
      <c r="H165" s="44">
        <v>2000</v>
      </c>
      <c r="I165" s="41">
        <v>600</v>
      </c>
      <c r="J165" s="40" t="s">
        <v>30</v>
      </c>
      <c r="K165" s="40" t="s">
        <v>31</v>
      </c>
      <c r="M165" s="157">
        <f t="shared" si="0"/>
        <v>400</v>
      </c>
    </row>
    <row r="166" spans="1:13" ht="15.75" customHeight="1">
      <c r="A166" s="42">
        <v>21</v>
      </c>
      <c r="B166" s="40" t="s">
        <v>1813</v>
      </c>
      <c r="C166" s="40" t="s">
        <v>25</v>
      </c>
      <c r="D166" s="40" t="s">
        <v>63</v>
      </c>
      <c r="E166" s="40" t="s">
        <v>27</v>
      </c>
      <c r="F166" s="43" t="s">
        <v>1814</v>
      </c>
      <c r="G166" s="40" t="s">
        <v>29</v>
      </c>
      <c r="H166" s="44">
        <v>10000</v>
      </c>
      <c r="I166" s="41">
        <v>2000</v>
      </c>
      <c r="J166" s="40" t="s">
        <v>30</v>
      </c>
      <c r="K166" s="40" t="s">
        <v>31</v>
      </c>
      <c r="M166" s="157">
        <f t="shared" si="0"/>
        <v>2000</v>
      </c>
    </row>
    <row r="167" spans="1:13" ht="15.75" customHeight="1">
      <c r="A167" s="42">
        <v>21</v>
      </c>
      <c r="B167" s="40" t="s">
        <v>1815</v>
      </c>
      <c r="C167" s="40" t="s">
        <v>25</v>
      </c>
      <c r="D167" s="40" t="s">
        <v>1816</v>
      </c>
      <c r="E167" s="40" t="s">
        <v>96</v>
      </c>
      <c r="F167" s="43" t="s">
        <v>1817</v>
      </c>
      <c r="G167" s="40" t="s">
        <v>29</v>
      </c>
      <c r="H167" s="44">
        <v>1000</v>
      </c>
      <c r="I167" s="41">
        <v>200</v>
      </c>
      <c r="J167" s="40" t="s">
        <v>30</v>
      </c>
      <c r="K167" s="40" t="s">
        <v>31</v>
      </c>
      <c r="M167" s="157">
        <f t="shared" si="0"/>
        <v>200</v>
      </c>
    </row>
    <row r="168" spans="1:13" ht="15.75" customHeight="1">
      <c r="A168" s="42">
        <v>21</v>
      </c>
      <c r="B168" s="40" t="s">
        <v>1818</v>
      </c>
      <c r="C168" s="40" t="s">
        <v>25</v>
      </c>
      <c r="D168" s="40" t="s">
        <v>1819</v>
      </c>
      <c r="E168" s="40" t="s">
        <v>540</v>
      </c>
      <c r="F168" s="43" t="s">
        <v>1820</v>
      </c>
      <c r="G168" s="40" t="s">
        <v>29</v>
      </c>
      <c r="H168" s="44">
        <v>1000</v>
      </c>
      <c r="I168" s="41">
        <v>200</v>
      </c>
      <c r="J168" s="40" t="s">
        <v>30</v>
      </c>
      <c r="K168" s="40" t="s">
        <v>31</v>
      </c>
      <c r="M168" s="157">
        <f t="shared" si="0"/>
        <v>200</v>
      </c>
    </row>
    <row r="169" spans="1:13" ht="15.75" customHeight="1">
      <c r="A169" s="42">
        <v>21</v>
      </c>
      <c r="B169" s="40" t="s">
        <v>1821</v>
      </c>
      <c r="C169" s="40" t="s">
        <v>25</v>
      </c>
      <c r="D169" s="40" t="s">
        <v>849</v>
      </c>
      <c r="E169" s="40" t="s">
        <v>38</v>
      </c>
      <c r="F169" s="43" t="s">
        <v>1822</v>
      </c>
      <c r="G169" s="40" t="s">
        <v>29</v>
      </c>
      <c r="H169" s="44">
        <v>1000</v>
      </c>
      <c r="I169" s="41">
        <v>200</v>
      </c>
      <c r="J169" s="40" t="s">
        <v>30</v>
      </c>
      <c r="K169" s="40" t="s">
        <v>31</v>
      </c>
      <c r="M169" s="157">
        <f t="shared" si="0"/>
        <v>200</v>
      </c>
    </row>
    <row r="170" spans="1:13" ht="15.75" customHeight="1">
      <c r="A170" s="42">
        <v>21</v>
      </c>
      <c r="B170" s="40" t="s">
        <v>1823</v>
      </c>
      <c r="C170" s="40" t="s">
        <v>25</v>
      </c>
      <c r="D170" s="40" t="s">
        <v>841</v>
      </c>
      <c r="E170" s="40" t="s">
        <v>533</v>
      </c>
      <c r="F170" s="40"/>
      <c r="G170" s="40" t="s">
        <v>29</v>
      </c>
      <c r="H170" s="44">
        <v>1000</v>
      </c>
      <c r="I170" s="41">
        <v>200</v>
      </c>
      <c r="J170" s="40" t="s">
        <v>30</v>
      </c>
      <c r="K170" s="40" t="s">
        <v>31</v>
      </c>
      <c r="M170" s="157">
        <f t="shared" si="0"/>
        <v>200</v>
      </c>
    </row>
    <row r="171" spans="1:13" ht="15.75" customHeight="1">
      <c r="A171" s="42">
        <v>21</v>
      </c>
      <c r="B171" s="40" t="s">
        <v>1066</v>
      </c>
      <c r="C171" s="40" t="s">
        <v>25</v>
      </c>
      <c r="D171" s="40" t="s">
        <v>245</v>
      </c>
      <c r="E171" s="40" t="s">
        <v>150</v>
      </c>
      <c r="F171" s="43" t="s">
        <v>1067</v>
      </c>
      <c r="G171" s="40" t="s">
        <v>29</v>
      </c>
      <c r="H171" s="44">
        <v>1000</v>
      </c>
      <c r="I171" s="41">
        <v>200</v>
      </c>
      <c r="J171" s="40" t="s">
        <v>30</v>
      </c>
      <c r="K171" s="40" t="s">
        <v>31</v>
      </c>
      <c r="M171" s="157">
        <f t="shared" si="0"/>
        <v>200</v>
      </c>
    </row>
    <row r="172" spans="1:13" ht="15.75" customHeight="1">
      <c r="A172" s="42">
        <v>21</v>
      </c>
      <c r="B172" s="40" t="s">
        <v>1824</v>
      </c>
      <c r="C172" s="40" t="s">
        <v>25</v>
      </c>
      <c r="D172" s="40" t="s">
        <v>63</v>
      </c>
      <c r="E172" s="40" t="s">
        <v>60</v>
      </c>
      <c r="F172" s="43" t="s">
        <v>1825</v>
      </c>
      <c r="G172" s="40" t="s">
        <v>29</v>
      </c>
      <c r="H172" s="44">
        <v>1000</v>
      </c>
      <c r="I172" s="41">
        <v>200</v>
      </c>
      <c r="J172" s="40" t="s">
        <v>30</v>
      </c>
      <c r="K172" s="40" t="s">
        <v>31</v>
      </c>
      <c r="M172" s="157">
        <f t="shared" si="0"/>
        <v>200</v>
      </c>
    </row>
    <row r="173" spans="1:13" ht="15.75" customHeight="1">
      <c r="A173" s="42">
        <v>21</v>
      </c>
      <c r="B173" s="40" t="s">
        <v>1826</v>
      </c>
      <c r="C173" s="40" t="s">
        <v>25</v>
      </c>
      <c r="D173" s="40" t="s">
        <v>826</v>
      </c>
      <c r="E173" s="40" t="s">
        <v>96</v>
      </c>
      <c r="F173" s="43" t="s">
        <v>1827</v>
      </c>
      <c r="G173" s="40" t="s">
        <v>29</v>
      </c>
      <c r="H173" s="44">
        <v>2000</v>
      </c>
      <c r="I173" s="41">
        <v>400</v>
      </c>
      <c r="J173" s="40" t="s">
        <v>30</v>
      </c>
      <c r="K173" s="40" t="s">
        <v>31</v>
      </c>
      <c r="M173" s="157">
        <f t="shared" si="0"/>
        <v>400</v>
      </c>
    </row>
    <row r="174" spans="1:13" ht="15.75" customHeight="1">
      <c r="A174" s="42">
        <v>21</v>
      </c>
      <c r="B174" s="40" t="s">
        <v>1828</v>
      </c>
      <c r="C174" s="40" t="s">
        <v>25</v>
      </c>
      <c r="D174" s="40" t="s">
        <v>55</v>
      </c>
      <c r="E174" s="40" t="s">
        <v>96</v>
      </c>
      <c r="F174" s="43" t="s">
        <v>1829</v>
      </c>
      <c r="G174" s="40" t="s">
        <v>29</v>
      </c>
      <c r="H174" s="44">
        <v>2500</v>
      </c>
      <c r="I174" s="41">
        <v>500</v>
      </c>
      <c r="J174" s="40" t="s">
        <v>30</v>
      </c>
      <c r="K174" s="40" t="s">
        <v>31</v>
      </c>
      <c r="M174" s="157">
        <f t="shared" si="0"/>
        <v>500</v>
      </c>
    </row>
    <row r="175" spans="1:13" ht="15.75" customHeight="1">
      <c r="A175" s="42">
        <v>21</v>
      </c>
      <c r="B175" s="40" t="s">
        <v>1830</v>
      </c>
      <c r="C175" s="40" t="s">
        <v>25</v>
      </c>
      <c r="D175" s="40" t="s">
        <v>1831</v>
      </c>
      <c r="E175" s="40" t="s">
        <v>311</v>
      </c>
      <c r="F175" s="43" t="s">
        <v>1832</v>
      </c>
      <c r="G175" s="40" t="s">
        <v>29</v>
      </c>
      <c r="H175" s="44">
        <v>600</v>
      </c>
      <c r="I175" s="41">
        <v>120</v>
      </c>
      <c r="J175" s="40" t="s">
        <v>30</v>
      </c>
      <c r="K175" s="40" t="s">
        <v>31</v>
      </c>
      <c r="M175" s="157">
        <f t="shared" si="0"/>
        <v>120</v>
      </c>
    </row>
    <row r="176" spans="1:13" ht="15.75" customHeight="1">
      <c r="A176" s="42">
        <v>21</v>
      </c>
      <c r="B176" s="40" t="s">
        <v>1833</v>
      </c>
      <c r="C176" s="40" t="s">
        <v>25</v>
      </c>
      <c r="D176" s="40" t="s">
        <v>63</v>
      </c>
      <c r="E176" s="40" t="s">
        <v>96</v>
      </c>
      <c r="F176" s="43" t="s">
        <v>1834</v>
      </c>
      <c r="G176" s="40" t="s">
        <v>29</v>
      </c>
      <c r="H176" s="44">
        <v>300</v>
      </c>
      <c r="I176" s="41">
        <v>60</v>
      </c>
      <c r="J176" s="40" t="s">
        <v>30</v>
      </c>
      <c r="K176" s="40" t="s">
        <v>31</v>
      </c>
      <c r="M176" s="157">
        <f t="shared" si="0"/>
        <v>60</v>
      </c>
    </row>
    <row r="177" spans="1:13" ht="15.75" customHeight="1">
      <c r="A177" s="42">
        <v>21</v>
      </c>
      <c r="B177" s="40" t="s">
        <v>1835</v>
      </c>
      <c r="C177" s="40" t="s">
        <v>25</v>
      </c>
      <c r="D177" s="40" t="s">
        <v>548</v>
      </c>
      <c r="E177" s="40" t="s">
        <v>42</v>
      </c>
      <c r="F177" s="43" t="s">
        <v>1836</v>
      </c>
      <c r="G177" s="40" t="s">
        <v>29</v>
      </c>
      <c r="H177" s="44">
        <v>300</v>
      </c>
      <c r="I177" s="41">
        <v>60</v>
      </c>
      <c r="J177" s="40" t="s">
        <v>30</v>
      </c>
      <c r="K177" s="40" t="s">
        <v>31</v>
      </c>
      <c r="M177" s="157">
        <f t="shared" si="0"/>
        <v>60</v>
      </c>
    </row>
    <row r="178" spans="1:13" ht="15.75" customHeight="1">
      <c r="A178" s="42">
        <v>21</v>
      </c>
      <c r="B178" s="132" t="s">
        <v>1835</v>
      </c>
      <c r="C178" s="132" t="s">
        <v>25</v>
      </c>
      <c r="D178" s="132" t="s">
        <v>548</v>
      </c>
      <c r="E178" s="132" t="s">
        <v>42</v>
      </c>
      <c r="F178" s="132"/>
      <c r="G178" s="132" t="s">
        <v>72</v>
      </c>
      <c r="H178" s="254">
        <v>100</v>
      </c>
      <c r="I178" s="255">
        <v>100</v>
      </c>
      <c r="J178" s="40" t="s">
        <v>30</v>
      </c>
      <c r="K178" s="40" t="s">
        <v>31</v>
      </c>
      <c r="M178" s="157">
        <f t="shared" si="0"/>
        <v>20</v>
      </c>
    </row>
    <row r="179" spans="1:13" ht="15.75" customHeight="1">
      <c r="A179" s="42">
        <v>21</v>
      </c>
      <c r="B179" s="132" t="s">
        <v>1837</v>
      </c>
      <c r="C179" s="132" t="s">
        <v>25</v>
      </c>
      <c r="D179" s="132" t="s">
        <v>792</v>
      </c>
      <c r="E179" s="132" t="s">
        <v>60</v>
      </c>
      <c r="F179" s="132"/>
      <c r="G179" s="132" t="s">
        <v>72</v>
      </c>
      <c r="H179" s="254">
        <v>600</v>
      </c>
      <c r="I179" s="255">
        <v>600</v>
      </c>
      <c r="J179" s="40" t="s">
        <v>30</v>
      </c>
      <c r="K179" s="40" t="s">
        <v>31</v>
      </c>
      <c r="M179" s="157">
        <f t="shared" si="0"/>
        <v>120</v>
      </c>
    </row>
    <row r="180" spans="1:13" ht="15.75" customHeight="1">
      <c r="A180" s="42">
        <v>22</v>
      </c>
      <c r="B180" s="40" t="s">
        <v>1838</v>
      </c>
      <c r="C180" s="40" t="s">
        <v>25</v>
      </c>
      <c r="D180" s="40" t="s">
        <v>1839</v>
      </c>
      <c r="E180" s="40" t="s">
        <v>38</v>
      </c>
      <c r="F180" s="43" t="s">
        <v>1840</v>
      </c>
      <c r="G180" s="40" t="s">
        <v>29</v>
      </c>
      <c r="H180" s="44">
        <v>500</v>
      </c>
      <c r="I180" s="41">
        <v>100</v>
      </c>
      <c r="J180" s="40" t="s">
        <v>30</v>
      </c>
      <c r="K180" s="40" t="s">
        <v>31</v>
      </c>
      <c r="M180" s="157">
        <f t="shared" si="0"/>
        <v>100</v>
      </c>
    </row>
    <row r="181" spans="1:13" ht="15.75" customHeight="1">
      <c r="A181" s="42">
        <v>22</v>
      </c>
      <c r="B181" s="40" t="s">
        <v>1841</v>
      </c>
      <c r="C181" s="40" t="s">
        <v>25</v>
      </c>
      <c r="D181" s="40" t="s">
        <v>700</v>
      </c>
      <c r="E181" s="40" t="s">
        <v>46</v>
      </c>
      <c r="F181" s="43" t="s">
        <v>1842</v>
      </c>
      <c r="G181" s="40" t="s">
        <v>29</v>
      </c>
      <c r="H181" s="44">
        <v>450</v>
      </c>
      <c r="I181" s="41">
        <v>90</v>
      </c>
      <c r="J181" s="40" t="s">
        <v>30</v>
      </c>
      <c r="K181" s="40" t="s">
        <v>31</v>
      </c>
      <c r="M181" s="157">
        <f t="shared" si="0"/>
        <v>90</v>
      </c>
    </row>
    <row r="182" spans="1:13" ht="15.75" customHeight="1">
      <c r="A182" s="42">
        <v>22</v>
      </c>
      <c r="B182" s="40" t="s">
        <v>1436</v>
      </c>
      <c r="C182" s="40" t="s">
        <v>25</v>
      </c>
      <c r="D182" s="40" t="s">
        <v>63</v>
      </c>
      <c r="E182" s="40" t="s">
        <v>38</v>
      </c>
      <c r="F182" s="40"/>
      <c r="G182" s="40" t="s">
        <v>29</v>
      </c>
      <c r="H182" s="44">
        <v>17000</v>
      </c>
      <c r="I182" s="41">
        <v>3400</v>
      </c>
      <c r="J182" s="40" t="s">
        <v>30</v>
      </c>
      <c r="K182" s="40" t="s">
        <v>31</v>
      </c>
      <c r="M182" s="157">
        <f t="shared" si="0"/>
        <v>3400</v>
      </c>
    </row>
    <row r="183" spans="1:13" ht="15.75" customHeight="1">
      <c r="A183" s="42">
        <v>22</v>
      </c>
      <c r="B183" s="40" t="s">
        <v>1843</v>
      </c>
      <c r="C183" s="40" t="s">
        <v>25</v>
      </c>
      <c r="D183" s="40" t="s">
        <v>114</v>
      </c>
      <c r="E183" s="40" t="s">
        <v>78</v>
      </c>
      <c r="F183" s="40"/>
      <c r="G183" s="40" t="s">
        <v>29</v>
      </c>
      <c r="H183" s="44">
        <v>1000</v>
      </c>
      <c r="I183" s="41">
        <v>200</v>
      </c>
      <c r="J183" s="40" t="s">
        <v>30</v>
      </c>
      <c r="K183" s="40" t="s">
        <v>31</v>
      </c>
      <c r="M183" s="157">
        <f t="shared" si="0"/>
        <v>200</v>
      </c>
    </row>
    <row r="184" spans="1:13" ht="15.75" customHeight="1">
      <c r="A184" s="42">
        <v>22</v>
      </c>
      <c r="B184" s="40" t="s">
        <v>1844</v>
      </c>
      <c r="C184" s="40" t="s">
        <v>25</v>
      </c>
      <c r="D184" s="40" t="s">
        <v>669</v>
      </c>
      <c r="E184" s="40" t="s">
        <v>50</v>
      </c>
      <c r="F184" s="43" t="s">
        <v>1845</v>
      </c>
      <c r="G184" s="40" t="s">
        <v>29</v>
      </c>
      <c r="H184" s="44">
        <v>1000</v>
      </c>
      <c r="I184" s="41">
        <v>200</v>
      </c>
      <c r="J184" s="40" t="s">
        <v>30</v>
      </c>
      <c r="K184" s="40" t="s">
        <v>31</v>
      </c>
      <c r="M184" s="157">
        <f t="shared" si="0"/>
        <v>200</v>
      </c>
    </row>
    <row r="185" spans="1:13" ht="15.75" customHeight="1">
      <c r="A185" s="42">
        <v>22</v>
      </c>
      <c r="B185" s="40" t="s">
        <v>1846</v>
      </c>
      <c r="C185" s="40" t="s">
        <v>25</v>
      </c>
      <c r="D185" s="40" t="s">
        <v>77</v>
      </c>
      <c r="E185" s="40" t="s">
        <v>78</v>
      </c>
      <c r="F185" s="43" t="s">
        <v>1847</v>
      </c>
      <c r="G185" s="40" t="s">
        <v>29</v>
      </c>
      <c r="H185" s="44">
        <v>1000</v>
      </c>
      <c r="I185" s="41">
        <v>200</v>
      </c>
      <c r="J185" s="40" t="s">
        <v>30</v>
      </c>
      <c r="K185" s="40" t="s">
        <v>31</v>
      </c>
      <c r="M185" s="157">
        <f t="shared" si="0"/>
        <v>200</v>
      </c>
    </row>
    <row r="186" spans="1:13" ht="15.75" customHeight="1">
      <c r="A186" s="42">
        <v>22</v>
      </c>
      <c r="B186" s="40" t="s">
        <v>1848</v>
      </c>
      <c r="C186" s="40" t="s">
        <v>25</v>
      </c>
      <c r="D186" s="40" t="s">
        <v>63</v>
      </c>
      <c r="E186" s="40" t="s">
        <v>60</v>
      </c>
      <c r="F186" s="43" t="s">
        <v>1849</v>
      </c>
      <c r="G186" s="40" t="s">
        <v>29</v>
      </c>
      <c r="H186" s="44">
        <v>1000</v>
      </c>
      <c r="I186" s="41">
        <v>200</v>
      </c>
      <c r="J186" s="40" t="s">
        <v>30</v>
      </c>
      <c r="K186" s="40" t="s">
        <v>31</v>
      </c>
      <c r="M186" s="157">
        <f t="shared" si="0"/>
        <v>200</v>
      </c>
    </row>
    <row r="187" spans="1:13" ht="15.75" customHeight="1">
      <c r="A187" s="42">
        <v>22</v>
      </c>
      <c r="B187" s="132" t="s">
        <v>1848</v>
      </c>
      <c r="C187" s="132" t="s">
        <v>25</v>
      </c>
      <c r="D187" s="132" t="s">
        <v>63</v>
      </c>
      <c r="E187" s="132" t="s">
        <v>60</v>
      </c>
      <c r="F187" s="132"/>
      <c r="G187" s="132" t="s">
        <v>72</v>
      </c>
      <c r="H187" s="254">
        <v>300</v>
      </c>
      <c r="I187" s="255">
        <v>300</v>
      </c>
      <c r="J187" s="40" t="s">
        <v>30</v>
      </c>
      <c r="K187" s="40" t="s">
        <v>31</v>
      </c>
      <c r="M187" s="157">
        <f t="shared" si="0"/>
        <v>60</v>
      </c>
    </row>
    <row r="188" spans="1:13" ht="15.75" customHeight="1">
      <c r="A188" s="42">
        <v>22</v>
      </c>
      <c r="B188" s="40" t="s">
        <v>1850</v>
      </c>
      <c r="C188" s="40" t="s">
        <v>25</v>
      </c>
      <c r="D188" s="40" t="s">
        <v>1704</v>
      </c>
      <c r="E188" s="40" t="s">
        <v>38</v>
      </c>
      <c r="F188" s="40"/>
      <c r="G188" s="40" t="s">
        <v>29</v>
      </c>
      <c r="H188" s="44">
        <v>400</v>
      </c>
      <c r="I188" s="41">
        <v>80</v>
      </c>
      <c r="J188" s="40" t="s">
        <v>30</v>
      </c>
      <c r="K188" s="40" t="s">
        <v>31</v>
      </c>
      <c r="M188" s="157">
        <f t="shared" si="0"/>
        <v>80</v>
      </c>
    </row>
    <row r="189" spans="1:13" ht="15.75" customHeight="1">
      <c r="A189" s="42">
        <v>22</v>
      </c>
      <c r="B189" s="40" t="s">
        <v>1851</v>
      </c>
      <c r="C189" s="40" t="s">
        <v>25</v>
      </c>
      <c r="D189" s="40" t="s">
        <v>1190</v>
      </c>
      <c r="E189" s="40" t="s">
        <v>42</v>
      </c>
      <c r="F189" s="40"/>
      <c r="G189" s="40" t="s">
        <v>29</v>
      </c>
      <c r="H189" s="44">
        <v>600</v>
      </c>
      <c r="I189" s="41">
        <v>120</v>
      </c>
      <c r="J189" s="40" t="s">
        <v>30</v>
      </c>
      <c r="K189" s="40" t="s">
        <v>31</v>
      </c>
      <c r="M189" s="157">
        <f t="shared" si="0"/>
        <v>120</v>
      </c>
    </row>
    <row r="190" spans="1:13" ht="15.75" customHeight="1">
      <c r="A190" s="42">
        <v>22</v>
      </c>
      <c r="B190" s="40" t="s">
        <v>1852</v>
      </c>
      <c r="C190" s="40" t="s">
        <v>25</v>
      </c>
      <c r="D190" s="40" t="s">
        <v>141</v>
      </c>
      <c r="E190" s="40" t="s">
        <v>27</v>
      </c>
      <c r="F190" s="43" t="s">
        <v>1227</v>
      </c>
      <c r="G190" s="40" t="s">
        <v>29</v>
      </c>
      <c r="H190" s="44">
        <v>1000</v>
      </c>
      <c r="I190" s="41">
        <v>200</v>
      </c>
      <c r="J190" s="40" t="s">
        <v>30</v>
      </c>
      <c r="K190" s="40" t="s">
        <v>31</v>
      </c>
      <c r="M190" s="157">
        <f t="shared" si="0"/>
        <v>200</v>
      </c>
    </row>
    <row r="191" spans="1:13" ht="15.75" customHeight="1">
      <c r="A191" s="42">
        <v>22</v>
      </c>
      <c r="B191" s="40" t="s">
        <v>1853</v>
      </c>
      <c r="C191" s="40" t="s">
        <v>25</v>
      </c>
      <c r="D191" s="40" t="s">
        <v>1854</v>
      </c>
      <c r="E191" s="40" t="s">
        <v>249</v>
      </c>
      <c r="F191" s="43" t="s">
        <v>1855</v>
      </c>
      <c r="G191" s="40" t="s">
        <v>29</v>
      </c>
      <c r="H191" s="44">
        <v>1500</v>
      </c>
      <c r="I191" s="41">
        <v>300</v>
      </c>
      <c r="J191" s="40" t="s">
        <v>30</v>
      </c>
      <c r="K191" s="40" t="s">
        <v>31</v>
      </c>
      <c r="M191" s="157">
        <f t="shared" si="0"/>
        <v>300</v>
      </c>
    </row>
    <row r="192" spans="1:13" ht="15.75" customHeight="1">
      <c r="A192" s="42">
        <v>23</v>
      </c>
      <c r="B192" s="40" t="s">
        <v>1856</v>
      </c>
      <c r="C192" s="40" t="s">
        <v>25</v>
      </c>
      <c r="D192" s="40" t="s">
        <v>206</v>
      </c>
      <c r="E192" s="40" t="s">
        <v>96</v>
      </c>
      <c r="F192" s="43" t="s">
        <v>1857</v>
      </c>
      <c r="G192" s="40" t="s">
        <v>29</v>
      </c>
      <c r="H192" s="44">
        <v>3000</v>
      </c>
      <c r="I192" s="41">
        <v>600</v>
      </c>
      <c r="J192" s="40" t="s">
        <v>30</v>
      </c>
      <c r="K192" s="40" t="s">
        <v>31</v>
      </c>
      <c r="M192" s="157">
        <f t="shared" si="0"/>
        <v>600</v>
      </c>
    </row>
    <row r="193" spans="1:16" ht="15.75" customHeight="1">
      <c r="A193" s="42">
        <v>23</v>
      </c>
      <c r="B193" s="40" t="s">
        <v>1858</v>
      </c>
      <c r="C193" s="40" t="s">
        <v>25</v>
      </c>
      <c r="D193" s="40" t="s">
        <v>849</v>
      </c>
      <c r="E193" s="40" t="s">
        <v>38</v>
      </c>
      <c r="F193" s="43" t="s">
        <v>1859</v>
      </c>
      <c r="G193" s="40" t="s">
        <v>29</v>
      </c>
      <c r="H193" s="44">
        <v>4000</v>
      </c>
      <c r="I193" s="41">
        <v>800</v>
      </c>
      <c r="J193" s="40" t="s">
        <v>30</v>
      </c>
      <c r="K193" s="40" t="s">
        <v>31</v>
      </c>
      <c r="M193" s="157">
        <f t="shared" si="0"/>
        <v>800</v>
      </c>
    </row>
    <row r="194" spans="1:16" ht="15.75" customHeight="1">
      <c r="A194" s="42">
        <v>23</v>
      </c>
      <c r="B194" s="40" t="s">
        <v>1860</v>
      </c>
      <c r="C194" s="40" t="s">
        <v>59</v>
      </c>
      <c r="D194" s="40" t="s">
        <v>303</v>
      </c>
      <c r="E194" s="40" t="s">
        <v>96</v>
      </c>
      <c r="F194" s="40"/>
      <c r="G194" s="40" t="s">
        <v>29</v>
      </c>
      <c r="H194" s="44">
        <v>7000</v>
      </c>
      <c r="I194" s="41">
        <v>1400</v>
      </c>
      <c r="J194" s="40" t="s">
        <v>30</v>
      </c>
      <c r="K194" s="40" t="s">
        <v>31</v>
      </c>
      <c r="M194" s="157">
        <f t="shared" si="0"/>
        <v>1400</v>
      </c>
    </row>
    <row r="195" spans="1:16" ht="15.75" customHeight="1">
      <c r="A195" s="42">
        <v>23</v>
      </c>
      <c r="B195" s="40" t="s">
        <v>1861</v>
      </c>
      <c r="C195" s="40" t="s">
        <v>25</v>
      </c>
      <c r="D195" s="40" t="s">
        <v>669</v>
      </c>
      <c r="E195" s="40" t="s">
        <v>50</v>
      </c>
      <c r="F195" s="43" t="s">
        <v>1862</v>
      </c>
      <c r="G195" s="40" t="s">
        <v>29</v>
      </c>
      <c r="H195" s="44">
        <v>500</v>
      </c>
      <c r="I195" s="41">
        <v>100</v>
      </c>
      <c r="J195" s="40" t="s">
        <v>30</v>
      </c>
      <c r="K195" s="40" t="s">
        <v>31</v>
      </c>
      <c r="M195" s="157">
        <f t="shared" si="0"/>
        <v>100</v>
      </c>
    </row>
    <row r="196" spans="1:16" ht="15.75" customHeight="1">
      <c r="A196" s="42">
        <v>23</v>
      </c>
      <c r="B196" s="40" t="s">
        <v>1863</v>
      </c>
      <c r="C196" s="40" t="s">
        <v>25</v>
      </c>
      <c r="D196" s="40" t="s">
        <v>63</v>
      </c>
      <c r="E196" s="40" t="s">
        <v>46</v>
      </c>
      <c r="F196" s="43" t="s">
        <v>1864</v>
      </c>
      <c r="G196" s="40" t="s">
        <v>29</v>
      </c>
      <c r="H196" s="44">
        <v>1000</v>
      </c>
      <c r="I196" s="41">
        <v>200</v>
      </c>
      <c r="J196" s="40" t="s">
        <v>30</v>
      </c>
      <c r="K196" s="40" t="s">
        <v>31</v>
      </c>
      <c r="M196" s="157">
        <f t="shared" si="0"/>
        <v>200</v>
      </c>
    </row>
    <row r="197" spans="1:16" ht="15.75" customHeight="1">
      <c r="A197" s="42">
        <v>23</v>
      </c>
      <c r="B197" s="40" t="s">
        <v>1865</v>
      </c>
      <c r="C197" s="40" t="s">
        <v>25</v>
      </c>
      <c r="D197" s="40" t="s">
        <v>1866</v>
      </c>
      <c r="E197" s="40" t="s">
        <v>1197</v>
      </c>
      <c r="F197" s="43" t="s">
        <v>1867</v>
      </c>
      <c r="G197" s="40" t="s">
        <v>29</v>
      </c>
      <c r="H197" s="44">
        <v>500</v>
      </c>
      <c r="I197" s="41">
        <v>100</v>
      </c>
      <c r="J197" s="40" t="s">
        <v>30</v>
      </c>
      <c r="K197" s="40" t="s">
        <v>31</v>
      </c>
      <c r="M197" s="157">
        <f t="shared" si="0"/>
        <v>100</v>
      </c>
    </row>
    <row r="198" spans="1:16" ht="15.75" customHeight="1">
      <c r="A198" s="42">
        <v>23</v>
      </c>
      <c r="B198" s="40" t="s">
        <v>1868</v>
      </c>
      <c r="C198" s="40" t="s">
        <v>25</v>
      </c>
      <c r="D198" s="40" t="s">
        <v>1007</v>
      </c>
      <c r="E198" s="40" t="s">
        <v>258</v>
      </c>
      <c r="F198" s="43" t="s">
        <v>1869</v>
      </c>
      <c r="G198" s="40" t="s">
        <v>29</v>
      </c>
      <c r="H198" s="44">
        <v>500</v>
      </c>
      <c r="I198" s="41">
        <v>100</v>
      </c>
      <c r="J198" s="40" t="s">
        <v>30</v>
      </c>
      <c r="K198" s="40" t="s">
        <v>31</v>
      </c>
      <c r="M198" s="157">
        <f t="shared" si="0"/>
        <v>100</v>
      </c>
    </row>
    <row r="199" spans="1:16" ht="15.75" customHeight="1">
      <c r="A199" s="42">
        <v>23</v>
      </c>
      <c r="B199" s="40" t="s">
        <v>1870</v>
      </c>
      <c r="C199" s="40" t="s">
        <v>25</v>
      </c>
      <c r="D199" s="40" t="s">
        <v>826</v>
      </c>
      <c r="E199" s="40" t="s">
        <v>96</v>
      </c>
      <c r="F199" s="40"/>
      <c r="G199" s="40" t="s">
        <v>29</v>
      </c>
      <c r="H199" s="44">
        <v>500</v>
      </c>
      <c r="I199" s="41">
        <v>100</v>
      </c>
      <c r="J199" s="40" t="s">
        <v>30</v>
      </c>
      <c r="K199" s="40" t="s">
        <v>31</v>
      </c>
      <c r="M199" s="157">
        <f t="shared" si="0"/>
        <v>100</v>
      </c>
    </row>
    <row r="200" spans="1:16" ht="15.75" customHeight="1">
      <c r="A200" s="42">
        <v>23</v>
      </c>
      <c r="B200" s="40" t="s">
        <v>1871</v>
      </c>
      <c r="C200" s="40" t="s">
        <v>25</v>
      </c>
      <c r="D200" s="40" t="s">
        <v>263</v>
      </c>
      <c r="E200" s="40" t="s">
        <v>42</v>
      </c>
      <c r="F200" s="40"/>
      <c r="G200" s="40" t="s">
        <v>29</v>
      </c>
      <c r="H200" s="44">
        <v>500</v>
      </c>
      <c r="I200" s="41">
        <v>100</v>
      </c>
      <c r="J200" s="40" t="s">
        <v>30</v>
      </c>
      <c r="K200" s="40" t="s">
        <v>31</v>
      </c>
      <c r="M200" s="157">
        <f t="shared" si="0"/>
        <v>100</v>
      </c>
      <c r="O200" s="157" t="s">
        <v>1872</v>
      </c>
      <c r="P200" s="157">
        <v>23</v>
      </c>
    </row>
    <row r="201" spans="1:16" ht="15.75" customHeight="1">
      <c r="A201" s="42">
        <v>23</v>
      </c>
      <c r="B201" s="40" t="s">
        <v>1873</v>
      </c>
      <c r="C201" s="40" t="s">
        <v>25</v>
      </c>
      <c r="D201" s="40" t="s">
        <v>1816</v>
      </c>
      <c r="E201" s="40" t="s">
        <v>96</v>
      </c>
      <c r="F201" s="43" t="s">
        <v>1874</v>
      </c>
      <c r="G201" s="40" t="s">
        <v>29</v>
      </c>
      <c r="H201" s="44">
        <v>500</v>
      </c>
      <c r="I201" s="41" t="s">
        <v>101</v>
      </c>
      <c r="J201" s="40" t="s">
        <v>30</v>
      </c>
      <c r="K201" s="40" t="s">
        <v>31</v>
      </c>
      <c r="M201" s="157">
        <f t="shared" si="0"/>
        <v>100</v>
      </c>
      <c r="O201" s="157" t="s">
        <v>1875</v>
      </c>
      <c r="P201" s="45">
        <f>SUM(H178:H179,H187,H213:H214)</f>
        <v>4000</v>
      </c>
    </row>
    <row r="202" spans="1:16" ht="15.75" customHeight="1">
      <c r="A202" s="42">
        <v>23</v>
      </c>
      <c r="B202" s="40" t="s">
        <v>1873</v>
      </c>
      <c r="C202" s="40" t="s">
        <v>25</v>
      </c>
      <c r="D202" s="40" t="s">
        <v>1816</v>
      </c>
      <c r="E202" s="40" t="s">
        <v>96</v>
      </c>
      <c r="F202" s="40"/>
      <c r="G202" s="40" t="s">
        <v>29</v>
      </c>
      <c r="H202" s="44">
        <v>500</v>
      </c>
      <c r="I202" s="41">
        <v>100</v>
      </c>
      <c r="J202" s="40" t="s">
        <v>30</v>
      </c>
      <c r="K202" s="40" t="s">
        <v>31</v>
      </c>
      <c r="M202" s="157">
        <f t="shared" si="0"/>
        <v>100</v>
      </c>
      <c r="O202" s="157" t="s">
        <v>101</v>
      </c>
      <c r="P202" s="45">
        <f>SUM(H108,H110,H138:H140,H201,H203,H207,H209,H211:H212,'September (Group)'!I16:I17)</f>
        <v>41500</v>
      </c>
    </row>
    <row r="203" spans="1:16" ht="15.75" customHeight="1">
      <c r="A203" s="42">
        <v>23</v>
      </c>
      <c r="B203" s="40" t="s">
        <v>1876</v>
      </c>
      <c r="C203" s="40" t="s">
        <v>59</v>
      </c>
      <c r="D203" s="40" t="s">
        <v>1511</v>
      </c>
      <c r="E203" s="40" t="s">
        <v>111</v>
      </c>
      <c r="F203" s="43" t="s">
        <v>1877</v>
      </c>
      <c r="G203" s="40" t="s">
        <v>29</v>
      </c>
      <c r="H203" s="44">
        <v>3000</v>
      </c>
      <c r="I203" s="41" t="s">
        <v>101</v>
      </c>
      <c r="J203" s="40" t="s">
        <v>30</v>
      </c>
      <c r="K203" s="40" t="s">
        <v>31</v>
      </c>
      <c r="M203" s="157">
        <f t="shared" si="0"/>
        <v>600</v>
      </c>
      <c r="O203" s="157" t="s">
        <v>639</v>
      </c>
      <c r="P203" s="45">
        <f>SUM('September (Group)'!I14:I15,'September 2021'!H91:H107,'September 2021'!H109,'September 2021'!H111:H137,'September 2021'!H141:H169,'September 2021'!H170:H177,'September 2021'!H180:H186,'September 2021'!H188:H200,'September 2021'!H202,'September 2021'!H204:H206,'September 2021'!H208,'September 2021'!H210)</f>
        <v>218850</v>
      </c>
    </row>
    <row r="204" spans="1:16" ht="15.75" customHeight="1">
      <c r="A204" s="42">
        <v>23</v>
      </c>
      <c r="B204" s="40" t="s">
        <v>1878</v>
      </c>
      <c r="C204" s="40" t="s">
        <v>25</v>
      </c>
      <c r="D204" s="40" t="s">
        <v>63</v>
      </c>
      <c r="E204" s="40" t="s">
        <v>60</v>
      </c>
      <c r="F204" s="43" t="s">
        <v>1879</v>
      </c>
      <c r="G204" s="40" t="s">
        <v>29</v>
      </c>
      <c r="H204" s="44">
        <v>1000</v>
      </c>
      <c r="I204" s="41">
        <v>200</v>
      </c>
      <c r="J204" s="40" t="s">
        <v>30</v>
      </c>
      <c r="K204" s="40" t="s">
        <v>31</v>
      </c>
      <c r="M204" s="157">
        <f t="shared" si="0"/>
        <v>200</v>
      </c>
      <c r="P204" s="65"/>
    </row>
    <row r="205" spans="1:16" ht="15.75" customHeight="1">
      <c r="A205" s="42">
        <v>23</v>
      </c>
      <c r="B205" s="40" t="s">
        <v>1880</v>
      </c>
      <c r="C205" s="40" t="s">
        <v>25</v>
      </c>
      <c r="D205" s="40" t="s">
        <v>841</v>
      </c>
      <c r="E205" s="40" t="s">
        <v>533</v>
      </c>
      <c r="F205" s="40"/>
      <c r="G205" s="40" t="s">
        <v>29</v>
      </c>
      <c r="H205" s="44">
        <v>1500</v>
      </c>
      <c r="I205" s="41">
        <v>300</v>
      </c>
      <c r="J205" s="40" t="s">
        <v>30</v>
      </c>
      <c r="K205" s="40" t="s">
        <v>31</v>
      </c>
      <c r="M205" s="157">
        <f t="shared" si="0"/>
        <v>300</v>
      </c>
    </row>
    <row r="206" spans="1:16" ht="15.75" customHeight="1">
      <c r="A206" s="42">
        <v>23</v>
      </c>
      <c r="B206" s="40" t="s">
        <v>1881</v>
      </c>
      <c r="C206" s="40" t="s">
        <v>59</v>
      </c>
      <c r="D206" s="40" t="s">
        <v>1816</v>
      </c>
      <c r="E206" s="40" t="s">
        <v>96</v>
      </c>
      <c r="F206" s="43" t="s">
        <v>79</v>
      </c>
      <c r="G206" s="40" t="s">
        <v>29</v>
      </c>
      <c r="H206" s="44">
        <v>1000</v>
      </c>
      <c r="I206" s="41">
        <v>200</v>
      </c>
      <c r="J206" s="40" t="s">
        <v>30</v>
      </c>
      <c r="K206" s="40" t="s">
        <v>31</v>
      </c>
      <c r="M206" s="157">
        <f t="shared" si="0"/>
        <v>200</v>
      </c>
    </row>
    <row r="207" spans="1:16" ht="15.75" customHeight="1">
      <c r="A207" s="42">
        <v>23</v>
      </c>
      <c r="B207" s="40" t="s">
        <v>1882</v>
      </c>
      <c r="C207" s="40" t="s">
        <v>25</v>
      </c>
      <c r="D207" s="40" t="s">
        <v>63</v>
      </c>
      <c r="E207" s="40" t="s">
        <v>60</v>
      </c>
      <c r="F207" s="43" t="s">
        <v>1883</v>
      </c>
      <c r="G207" s="40" t="s">
        <v>29</v>
      </c>
      <c r="H207" s="44">
        <v>500</v>
      </c>
      <c r="I207" s="41" t="s">
        <v>101</v>
      </c>
      <c r="J207" s="40" t="s">
        <v>30</v>
      </c>
      <c r="K207" s="40" t="s">
        <v>31</v>
      </c>
      <c r="M207" s="157">
        <f t="shared" si="0"/>
        <v>100</v>
      </c>
    </row>
    <row r="208" spans="1:16" ht="15.75" customHeight="1">
      <c r="A208" s="42">
        <v>23</v>
      </c>
      <c r="B208" s="40" t="s">
        <v>1882</v>
      </c>
      <c r="C208" s="40" t="s">
        <v>25</v>
      </c>
      <c r="D208" s="40" t="s">
        <v>63</v>
      </c>
      <c r="E208" s="40" t="s">
        <v>60</v>
      </c>
      <c r="F208" s="40"/>
      <c r="G208" s="40" t="s">
        <v>29</v>
      </c>
      <c r="H208" s="44">
        <v>1000</v>
      </c>
      <c r="I208" s="41">
        <v>200</v>
      </c>
      <c r="J208" s="40" t="s">
        <v>30</v>
      </c>
      <c r="K208" s="40" t="s">
        <v>31</v>
      </c>
      <c r="M208" s="157">
        <f t="shared" si="0"/>
        <v>200</v>
      </c>
    </row>
    <row r="209" spans="1:16" ht="15.75" customHeight="1">
      <c r="A209" s="42">
        <v>23</v>
      </c>
      <c r="B209" s="40" t="s">
        <v>1884</v>
      </c>
      <c r="C209" s="40" t="s">
        <v>25</v>
      </c>
      <c r="D209" s="40" t="s">
        <v>63</v>
      </c>
      <c r="E209" s="40" t="s">
        <v>60</v>
      </c>
      <c r="F209" s="43" t="s">
        <v>1885</v>
      </c>
      <c r="G209" s="40" t="s">
        <v>29</v>
      </c>
      <c r="H209" s="44">
        <v>500</v>
      </c>
      <c r="I209" s="41" t="s">
        <v>101</v>
      </c>
      <c r="J209" s="40" t="s">
        <v>30</v>
      </c>
      <c r="K209" s="40" t="s">
        <v>31</v>
      </c>
      <c r="M209" s="157">
        <f t="shared" si="0"/>
        <v>100</v>
      </c>
    </row>
    <row r="210" spans="1:16" ht="15.75" customHeight="1">
      <c r="A210" s="42">
        <v>23</v>
      </c>
      <c r="B210" s="40" t="s">
        <v>1884</v>
      </c>
      <c r="C210" s="40" t="s">
        <v>25</v>
      </c>
      <c r="D210" s="40" t="s">
        <v>63</v>
      </c>
      <c r="E210" s="40" t="s">
        <v>60</v>
      </c>
      <c r="F210" s="40"/>
      <c r="G210" s="40" t="s">
        <v>29</v>
      </c>
      <c r="H210" s="44">
        <v>1000</v>
      </c>
      <c r="I210" s="41">
        <v>200</v>
      </c>
      <c r="J210" s="40" t="s">
        <v>30</v>
      </c>
      <c r="K210" s="40" t="s">
        <v>31</v>
      </c>
      <c r="M210" s="157">
        <f t="shared" si="0"/>
        <v>200</v>
      </c>
    </row>
    <row r="211" spans="1:16" ht="15.75" customHeight="1">
      <c r="A211" s="42">
        <v>23</v>
      </c>
      <c r="B211" s="40" t="s">
        <v>1886</v>
      </c>
      <c r="C211" s="40" t="s">
        <v>25</v>
      </c>
      <c r="D211" s="40" t="s">
        <v>570</v>
      </c>
      <c r="E211" s="40" t="s">
        <v>60</v>
      </c>
      <c r="F211" s="43" t="s">
        <v>1887</v>
      </c>
      <c r="G211" s="40" t="s">
        <v>29</v>
      </c>
      <c r="H211" s="44">
        <v>500</v>
      </c>
      <c r="I211" s="41" t="s">
        <v>101</v>
      </c>
      <c r="J211" s="40" t="s">
        <v>30</v>
      </c>
      <c r="K211" s="40" t="s">
        <v>31</v>
      </c>
      <c r="M211" s="157">
        <f t="shared" si="0"/>
        <v>100</v>
      </c>
    </row>
    <row r="212" spans="1:16" ht="15.75" customHeight="1">
      <c r="A212" s="42">
        <v>23</v>
      </c>
      <c r="B212" s="40" t="s">
        <v>1888</v>
      </c>
      <c r="C212" s="40" t="s">
        <v>25</v>
      </c>
      <c r="D212" s="40" t="s">
        <v>570</v>
      </c>
      <c r="E212" s="40" t="s">
        <v>60</v>
      </c>
      <c r="F212" s="40"/>
      <c r="G212" s="40" t="s">
        <v>29</v>
      </c>
      <c r="H212" s="44">
        <v>500</v>
      </c>
      <c r="I212" s="41" t="s">
        <v>101</v>
      </c>
      <c r="J212" s="40" t="s">
        <v>30</v>
      </c>
      <c r="K212" s="40" t="s">
        <v>31</v>
      </c>
      <c r="M212" s="157">
        <f t="shared" si="0"/>
        <v>100</v>
      </c>
    </row>
    <row r="213" spans="1:16" ht="15.75" customHeight="1">
      <c r="A213" s="42">
        <v>23</v>
      </c>
      <c r="B213" s="132" t="s">
        <v>1889</v>
      </c>
      <c r="C213" s="132" t="s">
        <v>59</v>
      </c>
      <c r="D213" s="132" t="s">
        <v>63</v>
      </c>
      <c r="E213" s="132" t="s">
        <v>27</v>
      </c>
      <c r="F213" s="262" t="s">
        <v>1890</v>
      </c>
      <c r="G213" s="132" t="s">
        <v>72</v>
      </c>
      <c r="H213" s="254">
        <v>2000</v>
      </c>
      <c r="I213" s="255">
        <v>2000</v>
      </c>
      <c r="J213" s="40" t="s">
        <v>30</v>
      </c>
      <c r="K213" s="40" t="s">
        <v>31</v>
      </c>
      <c r="M213" s="157">
        <f t="shared" si="0"/>
        <v>400</v>
      </c>
    </row>
    <row r="214" spans="1:16" ht="15.75" customHeight="1">
      <c r="A214" s="42">
        <v>23</v>
      </c>
      <c r="B214" s="132" t="s">
        <v>1389</v>
      </c>
      <c r="C214" s="132" t="s">
        <v>25</v>
      </c>
      <c r="D214" s="132" t="s">
        <v>1390</v>
      </c>
      <c r="E214" s="132" t="s">
        <v>50</v>
      </c>
      <c r="F214" s="132"/>
      <c r="G214" s="132" t="s">
        <v>72</v>
      </c>
      <c r="H214" s="254">
        <v>1000</v>
      </c>
      <c r="I214" s="255">
        <v>1000</v>
      </c>
      <c r="J214" s="40" t="s">
        <v>30</v>
      </c>
      <c r="K214" s="40" t="s">
        <v>31</v>
      </c>
      <c r="M214" s="157">
        <f t="shared" si="0"/>
        <v>200</v>
      </c>
    </row>
    <row r="215" spans="1:16" ht="15.75" customHeight="1">
      <c r="A215" s="42">
        <v>23</v>
      </c>
      <c r="B215" s="40" t="s">
        <v>1891</v>
      </c>
      <c r="C215" s="40" t="s">
        <v>25</v>
      </c>
      <c r="D215" s="40" t="s">
        <v>274</v>
      </c>
      <c r="E215" s="40" t="s">
        <v>130</v>
      </c>
      <c r="F215" s="43" t="s">
        <v>1892</v>
      </c>
      <c r="G215" s="40" t="s">
        <v>29</v>
      </c>
      <c r="H215" s="44">
        <v>10000</v>
      </c>
      <c r="I215" s="41">
        <v>2000</v>
      </c>
      <c r="J215" s="40" t="s">
        <v>30</v>
      </c>
      <c r="K215" s="40" t="s">
        <v>31</v>
      </c>
      <c r="M215" s="157">
        <f t="shared" si="0"/>
        <v>2000</v>
      </c>
    </row>
    <row r="216" spans="1:16" ht="15.75" customHeight="1">
      <c r="A216" s="42">
        <v>23</v>
      </c>
      <c r="B216" s="40" t="s">
        <v>1893</v>
      </c>
      <c r="C216" s="40" t="s">
        <v>25</v>
      </c>
      <c r="D216" s="40" t="s">
        <v>1894</v>
      </c>
      <c r="E216" s="40" t="s">
        <v>46</v>
      </c>
      <c r="F216" s="43" t="s">
        <v>1895</v>
      </c>
      <c r="G216" s="40" t="s">
        <v>29</v>
      </c>
      <c r="H216" s="44">
        <v>250</v>
      </c>
      <c r="I216" s="41">
        <v>50</v>
      </c>
      <c r="J216" s="40" t="s">
        <v>30</v>
      </c>
      <c r="K216" s="40" t="s">
        <v>31</v>
      </c>
      <c r="M216" s="157">
        <f t="shared" si="0"/>
        <v>50</v>
      </c>
    </row>
    <row r="217" spans="1:16" ht="15.75" customHeight="1">
      <c r="A217" s="42">
        <v>23</v>
      </c>
      <c r="B217" s="132" t="s">
        <v>1893</v>
      </c>
      <c r="C217" s="132" t="s">
        <v>25</v>
      </c>
      <c r="D217" s="132" t="s">
        <v>1894</v>
      </c>
      <c r="E217" s="132" t="s">
        <v>46</v>
      </c>
      <c r="F217" s="132"/>
      <c r="G217" s="132" t="s">
        <v>72</v>
      </c>
      <c r="H217" s="254">
        <v>20</v>
      </c>
      <c r="I217" s="255">
        <v>20</v>
      </c>
      <c r="J217" s="40" t="s">
        <v>30</v>
      </c>
      <c r="K217" s="40" t="s">
        <v>31</v>
      </c>
      <c r="M217" s="157">
        <f t="shared" si="0"/>
        <v>4</v>
      </c>
    </row>
    <row r="218" spans="1:16" ht="15.75" customHeight="1">
      <c r="A218" s="42">
        <v>23</v>
      </c>
      <c r="B218" s="40" t="s">
        <v>1896</v>
      </c>
      <c r="C218" s="40" t="s">
        <v>25</v>
      </c>
      <c r="D218" s="40" t="s">
        <v>176</v>
      </c>
      <c r="E218" s="40" t="s">
        <v>318</v>
      </c>
      <c r="F218" s="43" t="s">
        <v>1897</v>
      </c>
      <c r="G218" s="40" t="s">
        <v>29</v>
      </c>
      <c r="H218" s="44">
        <v>500</v>
      </c>
      <c r="I218" s="41">
        <v>100</v>
      </c>
      <c r="J218" s="40" t="s">
        <v>30</v>
      </c>
      <c r="K218" s="40" t="s">
        <v>31</v>
      </c>
      <c r="M218" s="157">
        <f t="shared" si="0"/>
        <v>100</v>
      </c>
      <c r="P218" s="45">
        <f>SUM(H215:H216,H218:H222)</f>
        <v>18000</v>
      </c>
    </row>
    <row r="219" spans="1:16" ht="15.75" customHeight="1">
      <c r="A219" s="42">
        <v>23</v>
      </c>
      <c r="B219" s="40" t="s">
        <v>1898</v>
      </c>
      <c r="C219" s="40" t="s">
        <v>25</v>
      </c>
      <c r="D219" s="40" t="s">
        <v>1899</v>
      </c>
      <c r="E219" s="40" t="s">
        <v>318</v>
      </c>
      <c r="F219" s="43" t="s">
        <v>1900</v>
      </c>
      <c r="G219" s="40" t="s">
        <v>29</v>
      </c>
      <c r="H219" s="44">
        <v>6000</v>
      </c>
      <c r="I219" s="41">
        <v>1200</v>
      </c>
      <c r="J219" s="40" t="s">
        <v>30</v>
      </c>
      <c r="K219" s="40" t="s">
        <v>31</v>
      </c>
      <c r="M219" s="157">
        <f t="shared" si="0"/>
        <v>1200</v>
      </c>
      <c r="P219" s="45">
        <f>SUM(H217)</f>
        <v>20</v>
      </c>
    </row>
    <row r="220" spans="1:16" ht="15.75" customHeight="1">
      <c r="A220" s="42">
        <v>23</v>
      </c>
      <c r="B220" s="40" t="s">
        <v>1901</v>
      </c>
      <c r="C220" s="40" t="s">
        <v>25</v>
      </c>
      <c r="D220" s="40" t="s">
        <v>1902</v>
      </c>
      <c r="E220" s="40" t="s">
        <v>311</v>
      </c>
      <c r="F220" s="43" t="s">
        <v>1903</v>
      </c>
      <c r="G220" s="40" t="s">
        <v>29</v>
      </c>
      <c r="H220" s="44">
        <v>500</v>
      </c>
      <c r="I220" s="41">
        <v>100</v>
      </c>
      <c r="J220" s="40" t="s">
        <v>30</v>
      </c>
      <c r="K220" s="40" t="s">
        <v>31</v>
      </c>
      <c r="M220" s="157">
        <f t="shared" si="0"/>
        <v>100</v>
      </c>
      <c r="P220" s="157">
        <v>2500</v>
      </c>
    </row>
    <row r="221" spans="1:16" ht="15.75" customHeight="1">
      <c r="A221" s="42">
        <v>23</v>
      </c>
      <c r="B221" s="40" t="s">
        <v>1904</v>
      </c>
      <c r="C221" s="40" t="s">
        <v>25</v>
      </c>
      <c r="D221" s="40" t="s">
        <v>1902</v>
      </c>
      <c r="E221" s="40" t="s">
        <v>311</v>
      </c>
      <c r="F221" s="40"/>
      <c r="G221" s="40" t="s">
        <v>29</v>
      </c>
      <c r="H221" s="44">
        <v>500</v>
      </c>
      <c r="I221" s="41">
        <v>100</v>
      </c>
      <c r="J221" s="40" t="s">
        <v>30</v>
      </c>
      <c r="K221" s="40" t="s">
        <v>31</v>
      </c>
      <c r="M221" s="157">
        <f t="shared" si="0"/>
        <v>100</v>
      </c>
      <c r="P221" s="45">
        <f>SUM(P218:P220)</f>
        <v>20520</v>
      </c>
    </row>
    <row r="222" spans="1:16" ht="15.75" customHeight="1">
      <c r="A222" s="42">
        <v>23</v>
      </c>
      <c r="B222" s="40" t="s">
        <v>1905</v>
      </c>
      <c r="C222" s="40" t="s">
        <v>25</v>
      </c>
      <c r="D222" s="40" t="s">
        <v>1906</v>
      </c>
      <c r="E222" s="40" t="s">
        <v>258</v>
      </c>
      <c r="F222" s="43" t="s">
        <v>1907</v>
      </c>
      <c r="G222" s="40" t="s">
        <v>29</v>
      </c>
      <c r="H222" s="44">
        <v>250</v>
      </c>
      <c r="I222" s="41">
        <v>50</v>
      </c>
      <c r="J222" s="40" t="s">
        <v>30</v>
      </c>
      <c r="K222" s="40" t="s">
        <v>31</v>
      </c>
      <c r="M222" s="157">
        <f t="shared" si="0"/>
        <v>50</v>
      </c>
    </row>
    <row r="223" spans="1:16" ht="15.75" customHeight="1">
      <c r="A223" s="42">
        <v>23</v>
      </c>
      <c r="B223" s="132" t="s">
        <v>1908</v>
      </c>
      <c r="C223" s="132" t="s">
        <v>25</v>
      </c>
      <c r="D223" s="132" t="s">
        <v>55</v>
      </c>
      <c r="E223" s="132" t="s">
        <v>96</v>
      </c>
      <c r="F223" s="262" t="s">
        <v>1909</v>
      </c>
      <c r="G223" s="132" t="s">
        <v>72</v>
      </c>
      <c r="H223" s="254">
        <v>500</v>
      </c>
      <c r="I223" s="255" t="s">
        <v>101</v>
      </c>
      <c r="J223" s="40" t="s">
        <v>30</v>
      </c>
      <c r="K223" s="40" t="s">
        <v>31</v>
      </c>
      <c r="M223" s="157">
        <f t="shared" si="0"/>
        <v>100</v>
      </c>
    </row>
    <row r="224" spans="1:16" ht="15.75" customHeight="1">
      <c r="A224" s="345">
        <v>23</v>
      </c>
      <c r="B224" s="346" t="s">
        <v>1910</v>
      </c>
      <c r="C224" s="346" t="s">
        <v>25</v>
      </c>
      <c r="D224" s="346" t="s">
        <v>1911</v>
      </c>
      <c r="E224" s="346" t="s">
        <v>533</v>
      </c>
      <c r="F224" s="347" t="s">
        <v>1912</v>
      </c>
      <c r="G224" s="346" t="s">
        <v>72</v>
      </c>
      <c r="H224" s="348">
        <v>2000</v>
      </c>
      <c r="I224" s="349" t="s">
        <v>101</v>
      </c>
      <c r="J224" s="85" t="s">
        <v>30</v>
      </c>
      <c r="K224" s="85" t="s">
        <v>31</v>
      </c>
      <c r="M224" s="157">
        <f t="shared" si="0"/>
        <v>400</v>
      </c>
    </row>
    <row r="225" spans="1:17" ht="15.75" customHeight="1">
      <c r="A225" s="42">
        <v>24</v>
      </c>
      <c r="B225" s="40" t="s">
        <v>1913</v>
      </c>
      <c r="C225" s="40" t="s">
        <v>25</v>
      </c>
      <c r="D225" s="40" t="s">
        <v>63</v>
      </c>
      <c r="E225" s="40" t="s">
        <v>96</v>
      </c>
      <c r="F225" s="43" t="s">
        <v>1914</v>
      </c>
      <c r="G225" s="350" t="s">
        <v>29</v>
      </c>
      <c r="H225" s="351">
        <v>500</v>
      </c>
      <c r="I225" s="352" t="s">
        <v>101</v>
      </c>
      <c r="J225" s="40" t="s">
        <v>30</v>
      </c>
      <c r="K225" s="40" t="s">
        <v>31</v>
      </c>
      <c r="M225" s="157">
        <f t="shared" si="0"/>
        <v>100</v>
      </c>
    </row>
    <row r="226" spans="1:17" ht="15.75" customHeight="1">
      <c r="A226" s="42">
        <v>24</v>
      </c>
      <c r="B226" s="40" t="s">
        <v>1913</v>
      </c>
      <c r="C226" s="40" t="s">
        <v>25</v>
      </c>
      <c r="D226" s="40" t="s">
        <v>63</v>
      </c>
      <c r="E226" s="40" t="s">
        <v>96</v>
      </c>
      <c r="F226" s="40"/>
      <c r="G226" s="40" t="s">
        <v>29</v>
      </c>
      <c r="H226" s="44">
        <v>500</v>
      </c>
      <c r="I226" s="41">
        <v>100</v>
      </c>
      <c r="J226" s="40" t="s">
        <v>30</v>
      </c>
      <c r="K226" s="40" t="s">
        <v>31</v>
      </c>
      <c r="M226" s="157">
        <f t="shared" si="0"/>
        <v>100</v>
      </c>
    </row>
    <row r="227" spans="1:17" ht="15.75" customHeight="1">
      <c r="A227" s="42">
        <v>24</v>
      </c>
      <c r="B227" s="132" t="s">
        <v>1915</v>
      </c>
      <c r="C227" s="132" t="s">
        <v>25</v>
      </c>
      <c r="D227" s="132" t="s">
        <v>1916</v>
      </c>
      <c r="E227" s="132" t="s">
        <v>540</v>
      </c>
      <c r="F227" s="262" t="s">
        <v>1917</v>
      </c>
      <c r="G227" s="132" t="s">
        <v>72</v>
      </c>
      <c r="H227" s="254">
        <v>100</v>
      </c>
      <c r="I227" s="255">
        <v>100</v>
      </c>
      <c r="J227" s="40" t="s">
        <v>30</v>
      </c>
      <c r="K227" s="40" t="s">
        <v>31</v>
      </c>
      <c r="M227" s="157">
        <f t="shared" si="0"/>
        <v>20</v>
      </c>
    </row>
    <row r="228" spans="1:17" ht="15.75" customHeight="1">
      <c r="A228" s="42">
        <v>24</v>
      </c>
      <c r="B228" s="40" t="s">
        <v>1918</v>
      </c>
      <c r="C228" s="40" t="s">
        <v>25</v>
      </c>
      <c r="D228" s="40" t="s">
        <v>1490</v>
      </c>
      <c r="E228" s="40" t="s">
        <v>38</v>
      </c>
      <c r="F228" s="40"/>
      <c r="G228" s="40" t="s">
        <v>29</v>
      </c>
      <c r="H228" s="44">
        <v>1500</v>
      </c>
      <c r="I228" s="41">
        <v>300</v>
      </c>
      <c r="J228" s="40" t="s">
        <v>30</v>
      </c>
      <c r="K228" s="40" t="s">
        <v>31</v>
      </c>
      <c r="M228" s="157">
        <f t="shared" si="0"/>
        <v>300</v>
      </c>
    </row>
    <row r="229" spans="1:17" ht="15.75" customHeight="1">
      <c r="A229" s="42">
        <v>24</v>
      </c>
      <c r="B229" s="40" t="s">
        <v>1918</v>
      </c>
      <c r="C229" s="40" t="s">
        <v>25</v>
      </c>
      <c r="D229" s="40" t="s">
        <v>1490</v>
      </c>
      <c r="E229" s="40" t="s">
        <v>38</v>
      </c>
      <c r="F229" s="40"/>
      <c r="G229" s="171" t="s">
        <v>542</v>
      </c>
      <c r="H229" s="260">
        <v>20</v>
      </c>
      <c r="I229" s="41" t="s">
        <v>101</v>
      </c>
      <c r="J229" s="40" t="s">
        <v>30</v>
      </c>
      <c r="K229" s="40" t="s">
        <v>31</v>
      </c>
      <c r="M229" s="157">
        <f t="shared" si="0"/>
        <v>4</v>
      </c>
      <c r="P229" s="157">
        <v>500</v>
      </c>
      <c r="Q229" s="157" t="s">
        <v>101</v>
      </c>
    </row>
    <row r="230" spans="1:17" ht="15.75" customHeight="1">
      <c r="A230" s="42">
        <v>24</v>
      </c>
      <c r="B230" s="40" t="s">
        <v>1919</v>
      </c>
      <c r="C230" s="40" t="s">
        <v>25</v>
      </c>
      <c r="D230" s="40" t="s">
        <v>1920</v>
      </c>
      <c r="E230" s="40" t="s">
        <v>258</v>
      </c>
      <c r="F230" s="43" t="s">
        <v>1921</v>
      </c>
      <c r="G230" s="40" t="s">
        <v>29</v>
      </c>
      <c r="H230" s="44">
        <v>1000</v>
      </c>
      <c r="I230" s="41">
        <v>200</v>
      </c>
      <c r="J230" s="40" t="s">
        <v>30</v>
      </c>
      <c r="K230" s="40" t="s">
        <v>31</v>
      </c>
      <c r="M230" s="157">
        <f t="shared" si="0"/>
        <v>200</v>
      </c>
      <c r="P230" s="45">
        <f>SUM(H226,H228,H230,H233:H246,H248:H251,H253,H255:H256)</f>
        <v>21500</v>
      </c>
      <c r="Q230" s="157" t="s">
        <v>639</v>
      </c>
    </row>
    <row r="231" spans="1:17" ht="15.75" customHeight="1">
      <c r="A231" s="42">
        <v>24</v>
      </c>
      <c r="B231" s="132" t="s">
        <v>1922</v>
      </c>
      <c r="C231" s="132" t="s">
        <v>25</v>
      </c>
      <c r="D231" s="132" t="s">
        <v>33</v>
      </c>
      <c r="E231" s="132" t="s">
        <v>34</v>
      </c>
      <c r="F231" s="132"/>
      <c r="G231" s="132" t="s">
        <v>72</v>
      </c>
      <c r="H231" s="254">
        <v>3000</v>
      </c>
      <c r="I231" s="255">
        <v>3000</v>
      </c>
      <c r="J231" s="40" t="s">
        <v>30</v>
      </c>
      <c r="K231" s="40" t="s">
        <v>31</v>
      </c>
      <c r="M231" s="157">
        <f t="shared" si="0"/>
        <v>600</v>
      </c>
      <c r="P231" s="45">
        <f>SUM(H227,H231:H232,H247,H252,H254)</f>
        <v>10300</v>
      </c>
    </row>
    <row r="232" spans="1:17" ht="15.75" customHeight="1">
      <c r="A232" s="42">
        <v>24</v>
      </c>
      <c r="B232" s="132" t="s">
        <v>1923</v>
      </c>
      <c r="C232" s="132" t="s">
        <v>25</v>
      </c>
      <c r="D232" s="132" t="s">
        <v>328</v>
      </c>
      <c r="E232" s="132" t="s">
        <v>141</v>
      </c>
      <c r="F232" s="262" t="s">
        <v>1924</v>
      </c>
      <c r="G232" s="132" t="s">
        <v>72</v>
      </c>
      <c r="H232" s="254">
        <v>5000</v>
      </c>
      <c r="I232" s="255">
        <v>5000</v>
      </c>
      <c r="J232" s="40" t="s">
        <v>30</v>
      </c>
      <c r="K232" s="40" t="s">
        <v>31</v>
      </c>
      <c r="M232" s="157">
        <f t="shared" si="0"/>
        <v>1000</v>
      </c>
      <c r="P232" s="157">
        <v>20</v>
      </c>
    </row>
    <row r="233" spans="1:17" ht="15.75" customHeight="1">
      <c r="A233" s="42">
        <v>24</v>
      </c>
      <c r="B233" s="40" t="s">
        <v>1925</v>
      </c>
      <c r="C233" s="40" t="s">
        <v>25</v>
      </c>
      <c r="D233" s="40" t="s">
        <v>1926</v>
      </c>
      <c r="E233" s="40" t="s">
        <v>1927</v>
      </c>
      <c r="F233" s="43" t="s">
        <v>1928</v>
      </c>
      <c r="G233" s="40" t="s">
        <v>29</v>
      </c>
      <c r="H233" s="44">
        <v>700</v>
      </c>
      <c r="I233" s="41">
        <v>140</v>
      </c>
      <c r="J233" s="40" t="s">
        <v>30</v>
      </c>
      <c r="K233" s="40" t="s">
        <v>31</v>
      </c>
      <c r="M233" s="157">
        <f t="shared" si="0"/>
        <v>140</v>
      </c>
      <c r="P233" s="45">
        <f>SUM(P229:P232)</f>
        <v>32320</v>
      </c>
    </row>
    <row r="234" spans="1:17" ht="15.75" customHeight="1">
      <c r="A234" s="42">
        <v>24</v>
      </c>
      <c r="B234" s="40" t="s">
        <v>1929</v>
      </c>
      <c r="C234" s="40" t="s">
        <v>25</v>
      </c>
      <c r="D234" s="40" t="s">
        <v>1505</v>
      </c>
      <c r="E234" s="40" t="s">
        <v>42</v>
      </c>
      <c r="F234" s="40"/>
      <c r="G234" s="40" t="s">
        <v>29</v>
      </c>
      <c r="H234" s="44">
        <v>600</v>
      </c>
      <c r="I234" s="41">
        <v>120</v>
      </c>
      <c r="J234" s="40" t="s">
        <v>30</v>
      </c>
      <c r="K234" s="40" t="s">
        <v>31</v>
      </c>
      <c r="M234" s="157">
        <f t="shared" si="0"/>
        <v>120</v>
      </c>
    </row>
    <row r="235" spans="1:17" ht="15.75" customHeight="1">
      <c r="A235" s="42">
        <v>24</v>
      </c>
      <c r="B235" s="40" t="s">
        <v>1930</v>
      </c>
      <c r="C235" s="40" t="s">
        <v>25</v>
      </c>
      <c r="D235" s="40" t="s">
        <v>103</v>
      </c>
      <c r="E235" s="40" t="s">
        <v>38</v>
      </c>
      <c r="F235" s="43" t="s">
        <v>1931</v>
      </c>
      <c r="G235" s="40" t="s">
        <v>29</v>
      </c>
      <c r="H235" s="44">
        <v>500</v>
      </c>
      <c r="I235" s="41">
        <v>100</v>
      </c>
      <c r="J235" s="40" t="s">
        <v>30</v>
      </c>
      <c r="K235" s="40" t="s">
        <v>31</v>
      </c>
      <c r="M235" s="157">
        <f t="shared" si="0"/>
        <v>100</v>
      </c>
    </row>
    <row r="236" spans="1:17" ht="15.75" customHeight="1">
      <c r="A236" s="42">
        <v>24</v>
      </c>
      <c r="B236" s="40" t="s">
        <v>1932</v>
      </c>
      <c r="C236" s="40" t="s">
        <v>25</v>
      </c>
      <c r="D236" s="40" t="s">
        <v>1933</v>
      </c>
      <c r="E236" s="40" t="s">
        <v>1934</v>
      </c>
      <c r="F236" s="43" t="s">
        <v>1935</v>
      </c>
      <c r="G236" s="40" t="s">
        <v>29</v>
      </c>
      <c r="H236" s="44">
        <v>500</v>
      </c>
      <c r="I236" s="41">
        <v>100</v>
      </c>
      <c r="J236" s="40" t="s">
        <v>30</v>
      </c>
      <c r="K236" s="40" t="s">
        <v>31</v>
      </c>
      <c r="M236" s="157">
        <f t="shared" si="0"/>
        <v>100</v>
      </c>
    </row>
    <row r="237" spans="1:17" ht="15.75" customHeight="1">
      <c r="A237" s="42">
        <v>24</v>
      </c>
      <c r="B237" s="40" t="s">
        <v>1936</v>
      </c>
      <c r="C237" s="40" t="s">
        <v>25</v>
      </c>
      <c r="D237" s="40" t="s">
        <v>1666</v>
      </c>
      <c r="E237" s="40" t="s">
        <v>103</v>
      </c>
      <c r="F237" s="43" t="s">
        <v>79</v>
      </c>
      <c r="G237" s="40" t="s">
        <v>29</v>
      </c>
      <c r="H237" s="44">
        <v>500</v>
      </c>
      <c r="I237" s="41">
        <v>100</v>
      </c>
      <c r="J237" s="40" t="s">
        <v>30</v>
      </c>
      <c r="K237" s="40" t="s">
        <v>31</v>
      </c>
      <c r="M237" s="157">
        <f t="shared" si="0"/>
        <v>100</v>
      </c>
    </row>
    <row r="238" spans="1:17" ht="15.75" customHeight="1">
      <c r="A238" s="42">
        <v>27</v>
      </c>
      <c r="B238" s="40" t="s">
        <v>1937</v>
      </c>
      <c r="C238" s="40" t="s">
        <v>25</v>
      </c>
      <c r="D238" s="40" t="s">
        <v>1105</v>
      </c>
      <c r="E238" s="40" t="s">
        <v>27</v>
      </c>
      <c r="F238" s="40"/>
      <c r="G238" s="40" t="s">
        <v>29</v>
      </c>
      <c r="H238" s="44">
        <v>1000</v>
      </c>
      <c r="I238" s="41">
        <v>200</v>
      </c>
      <c r="J238" s="40" t="s">
        <v>30</v>
      </c>
      <c r="K238" s="40" t="s">
        <v>31</v>
      </c>
      <c r="M238" s="157">
        <f t="shared" si="0"/>
        <v>200</v>
      </c>
    </row>
    <row r="239" spans="1:17" ht="15.75" customHeight="1">
      <c r="A239" s="42">
        <v>27</v>
      </c>
      <c r="B239" s="40" t="s">
        <v>1938</v>
      </c>
      <c r="C239" s="40" t="s">
        <v>25</v>
      </c>
      <c r="D239" s="40" t="s">
        <v>811</v>
      </c>
      <c r="E239" s="40" t="s">
        <v>46</v>
      </c>
      <c r="F239" s="43" t="s">
        <v>1939</v>
      </c>
      <c r="G239" s="40" t="s">
        <v>29</v>
      </c>
      <c r="H239" s="44">
        <v>1000</v>
      </c>
      <c r="I239" s="41">
        <v>200</v>
      </c>
      <c r="J239" s="40" t="s">
        <v>30</v>
      </c>
      <c r="K239" s="40" t="s">
        <v>31</v>
      </c>
      <c r="M239" s="157">
        <f t="shared" si="0"/>
        <v>200</v>
      </c>
    </row>
    <row r="240" spans="1:17" ht="15.75" customHeight="1">
      <c r="A240" s="42">
        <v>27</v>
      </c>
      <c r="B240" s="40" t="s">
        <v>1940</v>
      </c>
      <c r="C240" s="40" t="s">
        <v>25</v>
      </c>
      <c r="D240" s="40" t="s">
        <v>843</v>
      </c>
      <c r="E240" s="40" t="s">
        <v>50</v>
      </c>
      <c r="F240" s="43" t="s">
        <v>1941</v>
      </c>
      <c r="G240" s="40" t="s">
        <v>29</v>
      </c>
      <c r="H240" s="44">
        <v>1000</v>
      </c>
      <c r="I240" s="41">
        <v>200</v>
      </c>
      <c r="J240" s="40" t="s">
        <v>30</v>
      </c>
      <c r="K240" s="40" t="s">
        <v>31</v>
      </c>
      <c r="M240" s="157">
        <f t="shared" si="0"/>
        <v>200</v>
      </c>
    </row>
    <row r="241" spans="1:18" ht="15.75" customHeight="1">
      <c r="A241" s="42">
        <v>27</v>
      </c>
      <c r="B241" s="40" t="s">
        <v>1942</v>
      </c>
      <c r="C241" s="40" t="s">
        <v>59</v>
      </c>
      <c r="D241" s="40" t="s">
        <v>1105</v>
      </c>
      <c r="E241" s="40" t="s">
        <v>27</v>
      </c>
      <c r="F241" s="43" t="s">
        <v>1943</v>
      </c>
      <c r="G241" s="40" t="s">
        <v>29</v>
      </c>
      <c r="H241" s="44">
        <v>300</v>
      </c>
      <c r="I241" s="41">
        <v>60</v>
      </c>
      <c r="J241" s="40" t="s">
        <v>30</v>
      </c>
      <c r="K241" s="40" t="s">
        <v>31</v>
      </c>
      <c r="M241" s="157">
        <f t="shared" si="0"/>
        <v>60</v>
      </c>
    </row>
    <row r="242" spans="1:18" ht="15.75" customHeight="1">
      <c r="A242" s="42">
        <v>27</v>
      </c>
      <c r="B242" s="40" t="s">
        <v>1944</v>
      </c>
      <c r="C242" s="40" t="s">
        <v>25</v>
      </c>
      <c r="D242" s="40" t="s">
        <v>63</v>
      </c>
      <c r="E242" s="40" t="s">
        <v>96</v>
      </c>
      <c r="F242" s="43" t="s">
        <v>1834</v>
      </c>
      <c r="G242" s="40" t="s">
        <v>29</v>
      </c>
      <c r="H242" s="44">
        <v>200</v>
      </c>
      <c r="I242" s="41">
        <v>40</v>
      </c>
      <c r="J242" s="40" t="s">
        <v>30</v>
      </c>
      <c r="K242" s="40" t="s">
        <v>31</v>
      </c>
      <c r="M242" s="157">
        <f t="shared" si="0"/>
        <v>40</v>
      </c>
    </row>
    <row r="243" spans="1:18" ht="15.75" customHeight="1">
      <c r="A243" s="42">
        <v>27</v>
      </c>
      <c r="B243" s="40" t="s">
        <v>1945</v>
      </c>
      <c r="C243" s="40" t="s">
        <v>25</v>
      </c>
      <c r="D243" s="40" t="s">
        <v>258</v>
      </c>
      <c r="E243" s="40" t="s">
        <v>249</v>
      </c>
      <c r="F243" s="43" t="s">
        <v>1946</v>
      </c>
      <c r="G243" s="40" t="s">
        <v>29</v>
      </c>
      <c r="H243" s="44">
        <v>300</v>
      </c>
      <c r="I243" s="41">
        <v>90</v>
      </c>
      <c r="J243" s="40" t="s">
        <v>30</v>
      </c>
      <c r="K243" s="40" t="s">
        <v>31</v>
      </c>
      <c r="M243" s="157">
        <f t="shared" si="0"/>
        <v>60</v>
      </c>
    </row>
    <row r="244" spans="1:18" ht="15.75" customHeight="1">
      <c r="A244" s="42">
        <v>27</v>
      </c>
      <c r="B244" s="40" t="s">
        <v>1945</v>
      </c>
      <c r="C244" s="40" t="s">
        <v>25</v>
      </c>
      <c r="D244" s="40" t="s">
        <v>1947</v>
      </c>
      <c r="E244" s="40" t="s">
        <v>249</v>
      </c>
      <c r="F244" s="40"/>
      <c r="G244" s="40" t="s">
        <v>29</v>
      </c>
      <c r="H244" s="44">
        <v>400</v>
      </c>
      <c r="I244" s="41">
        <v>80</v>
      </c>
      <c r="J244" s="40" t="s">
        <v>30</v>
      </c>
      <c r="K244" s="40" t="s">
        <v>31</v>
      </c>
      <c r="M244" s="157">
        <f t="shared" si="0"/>
        <v>80</v>
      </c>
    </row>
    <row r="245" spans="1:18" ht="15.75" customHeight="1">
      <c r="A245" s="42">
        <v>27</v>
      </c>
      <c r="B245" s="40" t="s">
        <v>1948</v>
      </c>
      <c r="C245" s="40" t="s">
        <v>25</v>
      </c>
      <c r="D245" s="40" t="s">
        <v>1675</v>
      </c>
      <c r="E245" s="40" t="s">
        <v>42</v>
      </c>
      <c r="F245" s="43" t="s">
        <v>1949</v>
      </c>
      <c r="G245" s="40" t="s">
        <v>29</v>
      </c>
      <c r="H245" s="44">
        <v>500</v>
      </c>
      <c r="I245" s="41">
        <v>100</v>
      </c>
      <c r="J245" s="40" t="s">
        <v>30</v>
      </c>
      <c r="K245" s="40" t="s">
        <v>31</v>
      </c>
      <c r="M245" s="157">
        <f t="shared" si="0"/>
        <v>100</v>
      </c>
    </row>
    <row r="246" spans="1:18" ht="15.75" customHeight="1">
      <c r="A246" s="42">
        <v>27</v>
      </c>
      <c r="B246" s="40" t="s">
        <v>1621</v>
      </c>
      <c r="C246" s="40" t="s">
        <v>59</v>
      </c>
      <c r="D246" s="40" t="s">
        <v>77</v>
      </c>
      <c r="E246" s="40" t="s">
        <v>78</v>
      </c>
      <c r="F246" s="43" t="s">
        <v>1622</v>
      </c>
      <c r="G246" s="40" t="s">
        <v>29</v>
      </c>
      <c r="H246" s="44">
        <v>4000</v>
      </c>
      <c r="I246" s="41">
        <v>800</v>
      </c>
      <c r="J246" s="40" t="s">
        <v>30</v>
      </c>
      <c r="K246" s="40" t="s">
        <v>31</v>
      </c>
      <c r="M246" s="157">
        <f t="shared" si="0"/>
        <v>800</v>
      </c>
      <c r="P246" s="45"/>
      <c r="R246" s="45"/>
    </row>
    <row r="247" spans="1:18" ht="15.75" customHeight="1">
      <c r="A247" s="42">
        <v>27</v>
      </c>
      <c r="B247" s="132" t="s">
        <v>1950</v>
      </c>
      <c r="C247" s="132" t="s">
        <v>25</v>
      </c>
      <c r="D247" s="132" t="s">
        <v>1082</v>
      </c>
      <c r="E247" s="132" t="s">
        <v>96</v>
      </c>
      <c r="F247" s="262" t="s">
        <v>1951</v>
      </c>
      <c r="G247" s="132" t="s">
        <v>72</v>
      </c>
      <c r="H247" s="254">
        <v>1000</v>
      </c>
      <c r="I247" s="255">
        <v>1000</v>
      </c>
      <c r="J247" s="40" t="s">
        <v>30</v>
      </c>
      <c r="K247" s="40" t="s">
        <v>31</v>
      </c>
      <c r="M247" s="157">
        <f t="shared" si="0"/>
        <v>200</v>
      </c>
      <c r="P247" s="45"/>
    </row>
    <row r="248" spans="1:18" ht="15.75" customHeight="1">
      <c r="A248" s="42">
        <v>27</v>
      </c>
      <c r="B248" s="40" t="s">
        <v>1952</v>
      </c>
      <c r="C248" s="40" t="s">
        <v>25</v>
      </c>
      <c r="D248" s="40" t="s">
        <v>103</v>
      </c>
      <c r="E248" s="40" t="s">
        <v>150</v>
      </c>
      <c r="F248" s="43" t="s">
        <v>1953</v>
      </c>
      <c r="G248" s="40" t="s">
        <v>29</v>
      </c>
      <c r="H248" s="44">
        <v>1000</v>
      </c>
      <c r="I248" s="41">
        <v>200</v>
      </c>
      <c r="J248" s="40" t="s">
        <v>30</v>
      </c>
      <c r="K248" s="40" t="s">
        <v>31</v>
      </c>
      <c r="M248" s="157">
        <f t="shared" si="0"/>
        <v>200</v>
      </c>
    </row>
    <row r="249" spans="1:18" ht="15.75" customHeight="1">
      <c r="A249" s="42">
        <v>28</v>
      </c>
      <c r="B249" s="40" t="s">
        <v>1954</v>
      </c>
      <c r="C249" s="40" t="s">
        <v>59</v>
      </c>
      <c r="D249" s="40" t="s">
        <v>1955</v>
      </c>
      <c r="E249" s="40" t="s">
        <v>103</v>
      </c>
      <c r="F249" s="43" t="s">
        <v>1956</v>
      </c>
      <c r="G249" s="40" t="s">
        <v>29</v>
      </c>
      <c r="H249" s="44">
        <v>1000</v>
      </c>
      <c r="I249" s="41">
        <v>200</v>
      </c>
      <c r="J249" s="40" t="s">
        <v>30</v>
      </c>
      <c r="K249" s="40" t="s">
        <v>31</v>
      </c>
      <c r="M249" s="157">
        <f t="shared" si="0"/>
        <v>200</v>
      </c>
    </row>
    <row r="250" spans="1:18" ht="15.75" customHeight="1">
      <c r="A250" s="42">
        <v>28</v>
      </c>
      <c r="B250" s="40" t="s">
        <v>1957</v>
      </c>
      <c r="C250" s="40" t="s">
        <v>25</v>
      </c>
      <c r="D250" s="40" t="s">
        <v>907</v>
      </c>
      <c r="E250" s="40" t="s">
        <v>130</v>
      </c>
      <c r="F250" s="40"/>
      <c r="G250" s="40" t="s">
        <v>29</v>
      </c>
      <c r="H250" s="44">
        <v>1000</v>
      </c>
      <c r="I250" s="41">
        <v>200</v>
      </c>
      <c r="J250" s="40" t="s">
        <v>30</v>
      </c>
      <c r="K250" s="40" t="s">
        <v>31</v>
      </c>
      <c r="M250" s="157">
        <f t="shared" si="0"/>
        <v>200</v>
      </c>
    </row>
    <row r="251" spans="1:18" ht="15.75" customHeight="1">
      <c r="A251" s="42">
        <v>28</v>
      </c>
      <c r="B251" s="40" t="s">
        <v>1958</v>
      </c>
      <c r="C251" s="40" t="s">
        <v>25</v>
      </c>
      <c r="D251" s="40" t="s">
        <v>907</v>
      </c>
      <c r="E251" s="40" t="s">
        <v>130</v>
      </c>
      <c r="F251" s="43" t="s">
        <v>1959</v>
      </c>
      <c r="G251" s="40" t="s">
        <v>29</v>
      </c>
      <c r="H251" s="44">
        <v>1000</v>
      </c>
      <c r="I251" s="41">
        <v>200</v>
      </c>
      <c r="J251" s="40" t="s">
        <v>30</v>
      </c>
      <c r="K251" s="40" t="s">
        <v>31</v>
      </c>
      <c r="M251" s="157">
        <f t="shared" si="0"/>
        <v>200</v>
      </c>
    </row>
    <row r="252" spans="1:18" ht="15.75" customHeight="1">
      <c r="A252" s="42">
        <v>28</v>
      </c>
      <c r="B252" s="132" t="s">
        <v>1960</v>
      </c>
      <c r="C252" s="132" t="s">
        <v>25</v>
      </c>
      <c r="D252" s="132" t="s">
        <v>1961</v>
      </c>
      <c r="E252" s="132" t="s">
        <v>38</v>
      </c>
      <c r="F252" s="262" t="s">
        <v>1962</v>
      </c>
      <c r="G252" s="132" t="s">
        <v>72</v>
      </c>
      <c r="H252" s="254">
        <v>200</v>
      </c>
      <c r="I252" s="255">
        <v>200</v>
      </c>
      <c r="J252" s="40" t="s">
        <v>30</v>
      </c>
      <c r="K252" s="40" t="s">
        <v>31</v>
      </c>
      <c r="M252" s="157">
        <f t="shared" si="0"/>
        <v>40</v>
      </c>
    </row>
    <row r="253" spans="1:18" ht="15.75" customHeight="1">
      <c r="A253" s="42">
        <v>28</v>
      </c>
      <c r="B253" s="40" t="s">
        <v>1963</v>
      </c>
      <c r="C253" s="40" t="s">
        <v>59</v>
      </c>
      <c r="D253" s="40" t="s">
        <v>1964</v>
      </c>
      <c r="E253" s="40" t="s">
        <v>96</v>
      </c>
      <c r="F253" s="40"/>
      <c r="G253" s="40" t="s">
        <v>29</v>
      </c>
      <c r="H253" s="44">
        <v>2000</v>
      </c>
      <c r="I253" s="41">
        <v>400</v>
      </c>
      <c r="J253" s="40" t="s">
        <v>30</v>
      </c>
      <c r="K253" s="40" t="s">
        <v>31</v>
      </c>
      <c r="M253" s="157">
        <f t="shared" si="0"/>
        <v>400</v>
      </c>
    </row>
    <row r="254" spans="1:18" ht="15.75" customHeight="1">
      <c r="A254" s="42">
        <v>28</v>
      </c>
      <c r="B254" s="132" t="s">
        <v>1963</v>
      </c>
      <c r="C254" s="132" t="s">
        <v>59</v>
      </c>
      <c r="D254" s="132" t="s">
        <v>1964</v>
      </c>
      <c r="E254" s="132" t="s">
        <v>96</v>
      </c>
      <c r="F254" s="132"/>
      <c r="G254" s="132" t="s">
        <v>72</v>
      </c>
      <c r="H254" s="254">
        <v>1000</v>
      </c>
      <c r="I254" s="255">
        <v>1000</v>
      </c>
      <c r="J254" s="40" t="s">
        <v>30</v>
      </c>
      <c r="K254" s="40" t="s">
        <v>31</v>
      </c>
      <c r="M254" s="157">
        <f t="shared" si="0"/>
        <v>200</v>
      </c>
    </row>
    <row r="255" spans="1:18" ht="15.75" customHeight="1">
      <c r="A255" s="42">
        <v>28</v>
      </c>
      <c r="B255" s="40" t="s">
        <v>1965</v>
      </c>
      <c r="C255" s="40" t="s">
        <v>25</v>
      </c>
      <c r="D255" s="40" t="s">
        <v>792</v>
      </c>
      <c r="E255" s="40" t="s">
        <v>60</v>
      </c>
      <c r="F255" s="43" t="s">
        <v>1966</v>
      </c>
      <c r="G255" s="40" t="s">
        <v>29</v>
      </c>
      <c r="H255" s="44">
        <v>500</v>
      </c>
      <c r="I255" s="41">
        <v>100</v>
      </c>
      <c r="J255" s="40" t="s">
        <v>30</v>
      </c>
      <c r="K255" s="40" t="s">
        <v>31</v>
      </c>
      <c r="M255" s="157">
        <f t="shared" si="0"/>
        <v>100</v>
      </c>
    </row>
    <row r="256" spans="1:18" ht="15.75" customHeight="1">
      <c r="A256" s="42">
        <v>28</v>
      </c>
      <c r="B256" s="40" t="s">
        <v>1967</v>
      </c>
      <c r="C256" s="40" t="s">
        <v>25</v>
      </c>
      <c r="D256" s="40" t="s">
        <v>63</v>
      </c>
      <c r="E256" s="40" t="s">
        <v>27</v>
      </c>
      <c r="F256" s="43" t="s">
        <v>1968</v>
      </c>
      <c r="G256" s="40" t="s">
        <v>29</v>
      </c>
      <c r="H256" s="44">
        <v>500</v>
      </c>
      <c r="I256" s="41">
        <v>100</v>
      </c>
      <c r="J256" s="40" t="s">
        <v>30</v>
      </c>
      <c r="K256" s="40" t="s">
        <v>31</v>
      </c>
      <c r="M256" s="157">
        <f t="shared" si="0"/>
        <v>100</v>
      </c>
    </row>
    <row r="257" spans="1:26" ht="15.75" customHeight="1">
      <c r="A257" s="2"/>
      <c r="B257" s="1"/>
      <c r="C257" s="1"/>
      <c r="D257" s="1"/>
      <c r="E257" s="1"/>
      <c r="F257" s="1"/>
      <c r="G257" s="1"/>
      <c r="H257" s="45"/>
      <c r="I257" s="61"/>
      <c r="J257" s="1"/>
      <c r="K257" s="1"/>
    </row>
    <row r="258" spans="1:26" ht="15.75" customHeight="1">
      <c r="A258" s="2"/>
      <c r="B258" s="1"/>
      <c r="C258" s="1"/>
      <c r="D258" s="1"/>
      <c r="E258" s="1"/>
      <c r="F258" s="1"/>
      <c r="G258" s="1"/>
      <c r="H258" s="1"/>
      <c r="I258" s="62" t="s">
        <v>335</v>
      </c>
      <c r="J258" s="63"/>
      <c r="K258" s="1"/>
      <c r="M258" s="157">
        <f>SUM(M12:M257)</f>
        <v>79678</v>
      </c>
    </row>
    <row r="259" spans="1:26" ht="16.5" customHeight="1">
      <c r="A259" s="2"/>
      <c r="B259" s="1" t="s">
        <v>336</v>
      </c>
      <c r="C259" s="1"/>
      <c r="D259" s="1"/>
      <c r="E259" s="1" t="s">
        <v>337</v>
      </c>
      <c r="F259" s="1"/>
      <c r="G259" s="1"/>
      <c r="H259" s="1"/>
      <c r="I259" s="6" t="s">
        <v>338</v>
      </c>
      <c r="J259" s="291" t="s">
        <v>1969</v>
      </c>
      <c r="K259" s="1"/>
    </row>
    <row r="260" spans="1:26" ht="15.75" customHeight="1">
      <c r="A260" s="2"/>
      <c r="B260" s="1"/>
      <c r="C260" s="1"/>
      <c r="D260" s="1"/>
      <c r="E260" s="1"/>
      <c r="F260" s="1"/>
      <c r="G260" s="1"/>
      <c r="H260" s="1"/>
      <c r="I260" s="6" t="s">
        <v>340</v>
      </c>
      <c r="J260" s="291" t="s">
        <v>1970</v>
      </c>
      <c r="K260" s="65"/>
    </row>
    <row r="261" spans="1:26" ht="15.75" customHeight="1">
      <c r="A261" s="2"/>
      <c r="B261" s="1"/>
      <c r="C261" s="1"/>
      <c r="D261" s="1"/>
      <c r="E261" s="1"/>
      <c r="F261" s="1"/>
      <c r="G261" s="1"/>
      <c r="H261" s="1"/>
      <c r="I261" s="6"/>
      <c r="J261" s="292" t="s">
        <v>1971</v>
      </c>
      <c r="K261" s="353" t="s">
        <v>1972</v>
      </c>
    </row>
    <row r="262" spans="1:26" ht="15.75" customHeight="1">
      <c r="A262" s="2"/>
      <c r="B262" s="1"/>
      <c r="C262" s="1"/>
      <c r="D262" s="1"/>
      <c r="E262" s="1"/>
      <c r="F262" s="1"/>
      <c r="G262" s="1"/>
      <c r="H262" s="1"/>
      <c r="I262" s="6" t="s">
        <v>342</v>
      </c>
      <c r="J262" s="292">
        <v>0</v>
      </c>
      <c r="K262" s="1"/>
    </row>
    <row r="263" spans="1:26" ht="15.75" customHeight="1">
      <c r="A263" s="2"/>
      <c r="B263" s="67" t="s">
        <v>343</v>
      </c>
      <c r="C263" s="1"/>
      <c r="D263" s="1"/>
      <c r="E263" s="554" t="s">
        <v>344</v>
      </c>
      <c r="F263" s="553"/>
      <c r="G263" s="553"/>
      <c r="H263" s="553"/>
      <c r="I263" s="6" t="s">
        <v>345</v>
      </c>
      <c r="J263" s="292" t="s">
        <v>1973</v>
      </c>
      <c r="K263" s="1"/>
    </row>
    <row r="264" spans="1:26" ht="15.75" customHeight="1">
      <c r="A264" s="2"/>
      <c r="B264" s="1" t="s">
        <v>347</v>
      </c>
      <c r="C264" s="1"/>
      <c r="D264" s="1"/>
      <c r="E264" s="552" t="s">
        <v>348</v>
      </c>
      <c r="F264" s="553"/>
      <c r="G264" s="553"/>
      <c r="H264" s="553"/>
      <c r="I264" s="6" t="s">
        <v>349</v>
      </c>
      <c r="J264" s="292" t="s">
        <v>1974</v>
      </c>
      <c r="K264" s="1"/>
    </row>
    <row r="265" spans="1:26" ht="15.75" customHeight="1">
      <c r="A265" s="2"/>
      <c r="B265" s="1"/>
      <c r="C265" s="1"/>
      <c r="D265" s="1"/>
      <c r="E265" s="1"/>
      <c r="F265" s="1"/>
      <c r="G265" s="1"/>
      <c r="H265" s="1"/>
      <c r="I265" s="6" t="s">
        <v>351</v>
      </c>
      <c r="J265" s="292">
        <v>0</v>
      </c>
      <c r="K265" s="1"/>
    </row>
    <row r="266" spans="1:26" ht="15.75" customHeight="1">
      <c r="A266" s="2"/>
      <c r="B266" s="1"/>
      <c r="C266" s="1"/>
      <c r="D266" s="1"/>
      <c r="E266" s="1"/>
      <c r="F266" s="1"/>
      <c r="G266" s="1"/>
      <c r="H266" s="1"/>
      <c r="I266" s="6" t="s">
        <v>353</v>
      </c>
      <c r="J266" s="293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2"/>
      <c r="B267" s="1"/>
      <c r="C267" s="1"/>
      <c r="D267" s="1"/>
      <c r="E267" s="1"/>
      <c r="F267" s="1"/>
      <c r="G267" s="1"/>
      <c r="H267" s="1"/>
      <c r="I267" s="68" t="s">
        <v>354</v>
      </c>
      <c r="J267" s="291" t="s">
        <v>1975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2"/>
      <c r="B268" s="1"/>
      <c r="C268" s="1"/>
      <c r="D268" s="1"/>
      <c r="E268" s="1"/>
      <c r="F268" s="1"/>
      <c r="G268" s="1"/>
      <c r="H268" s="1"/>
      <c r="I268" s="68" t="s">
        <v>356</v>
      </c>
      <c r="J268" s="69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2"/>
      <c r="B269" s="70"/>
      <c r="C269" s="1"/>
      <c r="D269" s="1"/>
      <c r="E269" s="70"/>
      <c r="F269" s="70"/>
      <c r="G269" s="70"/>
      <c r="H269" s="1"/>
      <c r="I269" s="6"/>
      <c r="J269" s="63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2"/>
      <c r="B270" s="1"/>
      <c r="C270" s="1"/>
      <c r="D270" s="1"/>
      <c r="E270" s="1"/>
      <c r="F270" s="1"/>
      <c r="G270" s="1"/>
      <c r="H270" s="1"/>
      <c r="I270" s="61"/>
      <c r="J270" s="1"/>
      <c r="K270" s="1"/>
    </row>
    <row r="271" spans="1:26" ht="15.75" customHeight="1">
      <c r="A271" s="2"/>
      <c r="B271" s="1"/>
      <c r="C271" s="1"/>
      <c r="D271" s="1"/>
      <c r="E271" s="1"/>
      <c r="F271" s="1"/>
      <c r="G271" s="1"/>
      <c r="H271" s="1"/>
      <c r="I271" s="61"/>
      <c r="J271" s="1"/>
      <c r="K271" s="1"/>
    </row>
    <row r="272" spans="1:26" ht="15.75" customHeight="1">
      <c r="A272" s="2"/>
      <c r="B272" s="1"/>
      <c r="C272" s="1"/>
      <c r="D272" s="1"/>
      <c r="E272" s="1"/>
      <c r="F272" s="1"/>
      <c r="G272" s="1"/>
      <c r="H272" s="1"/>
      <c r="I272" s="61"/>
      <c r="J272" s="1"/>
      <c r="K272" s="1"/>
    </row>
    <row r="273" spans="1:11" ht="15.75" customHeight="1">
      <c r="A273" s="2"/>
      <c r="B273" s="1"/>
      <c r="C273" s="1"/>
      <c r="D273" s="1"/>
      <c r="E273" s="1"/>
      <c r="F273" s="1"/>
      <c r="G273" s="1"/>
      <c r="H273" s="1"/>
      <c r="I273" s="61"/>
      <c r="J273" s="1"/>
      <c r="K273" s="1"/>
    </row>
    <row r="274" spans="1:11" ht="15.75" customHeight="1">
      <c r="A274" s="2"/>
      <c r="B274" s="1"/>
      <c r="C274" s="1"/>
      <c r="D274" s="1"/>
      <c r="E274" s="1"/>
      <c r="F274" s="1"/>
      <c r="G274" s="1"/>
      <c r="H274" s="1"/>
      <c r="I274" s="61"/>
      <c r="J274" s="1"/>
      <c r="K274" s="1"/>
    </row>
    <row r="275" spans="1:11" ht="15.75" customHeight="1">
      <c r="A275" s="2"/>
      <c r="B275" s="1"/>
      <c r="C275" s="1"/>
      <c r="D275" s="1"/>
      <c r="E275" s="1"/>
      <c r="F275" s="1"/>
      <c r="G275" s="1"/>
      <c r="H275" s="1"/>
      <c r="I275" s="61"/>
      <c r="J275" s="1"/>
      <c r="K275" s="1"/>
    </row>
    <row r="276" spans="1:11" ht="15.75" customHeight="1">
      <c r="A276" s="2"/>
      <c r="B276" s="1"/>
      <c r="C276" s="1"/>
      <c r="D276" s="1"/>
      <c r="E276" s="1"/>
      <c r="F276" s="1"/>
      <c r="G276" s="1"/>
      <c r="H276" s="1"/>
      <c r="I276" s="61"/>
      <c r="J276" s="1"/>
      <c r="K276" s="1"/>
    </row>
    <row r="277" spans="1:11" ht="15.75" customHeight="1">
      <c r="A277" s="2"/>
      <c r="B277" s="1"/>
      <c r="C277" s="1"/>
      <c r="D277" s="1"/>
      <c r="E277" s="1"/>
      <c r="F277" s="1"/>
      <c r="G277" s="1"/>
      <c r="H277" s="1"/>
      <c r="I277" s="61"/>
      <c r="J277" s="1"/>
      <c r="K277" s="1"/>
    </row>
    <row r="278" spans="1:11" ht="15.75" customHeight="1">
      <c r="A278" s="2"/>
      <c r="B278" s="1"/>
      <c r="C278" s="1"/>
      <c r="D278" s="1"/>
      <c r="E278" s="1"/>
      <c r="F278" s="1"/>
      <c r="G278" s="1"/>
      <c r="H278" s="1"/>
      <c r="I278" s="61"/>
      <c r="J278" s="1"/>
      <c r="K278" s="1"/>
    </row>
    <row r="279" spans="1:11" ht="15.75" customHeight="1">
      <c r="A279" s="2"/>
      <c r="B279" s="1"/>
      <c r="C279" s="1"/>
      <c r="D279" s="1"/>
      <c r="E279" s="1"/>
      <c r="F279" s="1"/>
      <c r="G279" s="1"/>
      <c r="H279" s="1"/>
      <c r="I279" s="61"/>
      <c r="J279" s="1"/>
      <c r="K279" s="1"/>
    </row>
    <row r="280" spans="1:11" ht="15.75" customHeight="1">
      <c r="A280" s="2"/>
      <c r="B280" s="1"/>
      <c r="C280" s="1"/>
      <c r="D280" s="1"/>
      <c r="E280" s="1"/>
      <c r="F280" s="1"/>
      <c r="G280" s="1"/>
      <c r="H280" s="1"/>
      <c r="I280" s="61"/>
      <c r="J280" s="1"/>
      <c r="K280" s="1"/>
    </row>
    <row r="281" spans="1:11" ht="15.75" customHeight="1">
      <c r="A281" s="2"/>
      <c r="B281" s="1"/>
      <c r="C281" s="1"/>
      <c r="D281" s="1"/>
      <c r="E281" s="1"/>
      <c r="F281" s="1"/>
      <c r="G281" s="1"/>
      <c r="H281" s="1"/>
      <c r="I281" s="61"/>
      <c r="J281" s="1"/>
      <c r="K281" s="1"/>
    </row>
    <row r="282" spans="1:11" ht="15.75" customHeight="1">
      <c r="A282" s="2"/>
      <c r="B282" s="1"/>
      <c r="C282" s="1"/>
      <c r="D282" s="1"/>
      <c r="E282" s="1"/>
      <c r="F282" s="1"/>
      <c r="G282" s="1"/>
      <c r="H282" s="1"/>
      <c r="I282" s="61"/>
      <c r="J282" s="1"/>
      <c r="K282" s="1"/>
    </row>
    <row r="283" spans="1:11" ht="15.75" customHeight="1">
      <c r="A283" s="2"/>
      <c r="B283" s="1"/>
      <c r="C283" s="1"/>
      <c r="D283" s="1"/>
      <c r="E283" s="1"/>
      <c r="F283" s="1"/>
      <c r="G283" s="1"/>
      <c r="H283" s="1"/>
      <c r="I283" s="61"/>
      <c r="J283" s="1"/>
      <c r="K283" s="1"/>
    </row>
    <row r="284" spans="1:11" ht="15.75" customHeight="1">
      <c r="A284" s="2"/>
      <c r="B284" s="1"/>
      <c r="C284" s="1"/>
      <c r="D284" s="1"/>
      <c r="E284" s="1"/>
      <c r="F284" s="1"/>
      <c r="G284" s="1"/>
      <c r="H284" s="1"/>
      <c r="I284" s="61"/>
      <c r="J284" s="1"/>
      <c r="K284" s="1"/>
    </row>
    <row r="285" spans="1:11" ht="15.75" customHeight="1">
      <c r="A285" s="2"/>
      <c r="B285" s="1"/>
      <c r="C285" s="1"/>
      <c r="D285" s="1"/>
      <c r="E285" s="1"/>
      <c r="F285" s="1"/>
      <c r="G285" s="1"/>
      <c r="H285" s="1"/>
      <c r="I285" s="61"/>
      <c r="J285" s="1"/>
      <c r="K285" s="1"/>
    </row>
    <row r="286" spans="1:11" ht="15.75" customHeight="1">
      <c r="A286" s="2"/>
      <c r="B286" s="1"/>
      <c r="C286" s="1"/>
      <c r="D286" s="1"/>
      <c r="E286" s="1"/>
      <c r="F286" s="1"/>
      <c r="G286" s="1"/>
      <c r="H286" s="1"/>
      <c r="I286" s="61"/>
      <c r="J286" s="1"/>
      <c r="K286" s="1"/>
    </row>
    <row r="287" spans="1:11" ht="15.75" customHeight="1">
      <c r="A287" s="2"/>
      <c r="B287" s="1"/>
      <c r="C287" s="1"/>
      <c r="D287" s="1"/>
      <c r="E287" s="1"/>
      <c r="F287" s="1"/>
      <c r="G287" s="1"/>
      <c r="H287" s="1"/>
      <c r="I287" s="61"/>
      <c r="J287" s="1"/>
      <c r="K287" s="1"/>
    </row>
    <row r="288" spans="1:11" ht="15.75" customHeight="1">
      <c r="A288" s="2"/>
      <c r="B288" s="1"/>
      <c r="C288" s="1"/>
      <c r="D288" s="1"/>
      <c r="E288" s="1"/>
      <c r="F288" s="1"/>
      <c r="G288" s="1"/>
      <c r="H288" s="1"/>
      <c r="I288" s="61"/>
      <c r="J288" s="1"/>
      <c r="K288" s="1"/>
    </row>
    <row r="289" spans="1:11" ht="15.75" customHeight="1">
      <c r="A289" s="2"/>
      <c r="B289" s="1"/>
      <c r="C289" s="1"/>
      <c r="D289" s="1"/>
      <c r="E289" s="1"/>
      <c r="F289" s="1"/>
      <c r="G289" s="1"/>
      <c r="H289" s="1"/>
      <c r="I289" s="61"/>
      <c r="J289" s="1"/>
      <c r="K289" s="1"/>
    </row>
    <row r="290" spans="1:11" ht="15.75" customHeight="1">
      <c r="A290" s="2"/>
      <c r="B290" s="1"/>
      <c r="C290" s="1"/>
      <c r="D290" s="1"/>
      <c r="E290" s="1"/>
      <c r="F290" s="1"/>
      <c r="G290" s="1"/>
      <c r="H290" s="1"/>
      <c r="I290" s="61"/>
      <c r="J290" s="1"/>
      <c r="K290" s="1"/>
    </row>
    <row r="291" spans="1:11" ht="15.75" customHeight="1">
      <c r="A291" s="2"/>
      <c r="B291" s="1"/>
      <c r="C291" s="1"/>
      <c r="D291" s="1"/>
      <c r="E291" s="1"/>
      <c r="F291" s="1"/>
      <c r="G291" s="1"/>
      <c r="H291" s="1"/>
      <c r="I291" s="61"/>
      <c r="J291" s="1"/>
      <c r="K291" s="1"/>
    </row>
    <row r="292" spans="1:11" ht="15.75" customHeight="1">
      <c r="A292" s="2"/>
      <c r="B292" s="1"/>
      <c r="C292" s="1"/>
      <c r="D292" s="1"/>
      <c r="E292" s="1"/>
      <c r="F292" s="1"/>
      <c r="G292" s="1"/>
      <c r="H292" s="1"/>
      <c r="I292" s="61"/>
      <c r="J292" s="1"/>
      <c r="K292" s="1"/>
    </row>
    <row r="293" spans="1:11" ht="15.75" customHeight="1">
      <c r="A293" s="2"/>
      <c r="B293" s="1"/>
      <c r="C293" s="1"/>
      <c r="D293" s="1"/>
      <c r="E293" s="1"/>
      <c r="F293" s="1"/>
      <c r="G293" s="1"/>
      <c r="H293" s="1"/>
      <c r="I293" s="61"/>
      <c r="J293" s="1"/>
      <c r="K293" s="1"/>
    </row>
    <row r="294" spans="1:11" ht="15.75" customHeight="1">
      <c r="A294" s="2"/>
      <c r="B294" s="1"/>
      <c r="C294" s="1"/>
      <c r="D294" s="1"/>
      <c r="E294" s="1"/>
      <c r="F294" s="1"/>
      <c r="G294" s="1"/>
      <c r="H294" s="1"/>
      <c r="I294" s="61"/>
      <c r="J294" s="1"/>
      <c r="K294" s="1"/>
    </row>
    <row r="295" spans="1:11" ht="15.75" customHeight="1">
      <c r="A295" s="2"/>
      <c r="B295" s="1"/>
      <c r="C295" s="1"/>
      <c r="D295" s="1"/>
      <c r="E295" s="1"/>
      <c r="F295" s="1"/>
      <c r="G295" s="1"/>
      <c r="H295" s="1"/>
      <c r="I295" s="61"/>
      <c r="J295" s="1"/>
      <c r="K295" s="1"/>
    </row>
    <row r="296" spans="1:11" ht="15.75" customHeight="1">
      <c r="A296" s="2"/>
      <c r="B296" s="1"/>
      <c r="C296" s="1"/>
      <c r="D296" s="1"/>
      <c r="E296" s="1"/>
      <c r="F296" s="1"/>
      <c r="G296" s="1"/>
      <c r="H296" s="1"/>
      <c r="I296" s="61"/>
      <c r="J296" s="1"/>
      <c r="K296" s="1"/>
    </row>
    <row r="297" spans="1:11" ht="15.75" customHeight="1">
      <c r="A297" s="2"/>
      <c r="B297" s="1"/>
      <c r="C297" s="1"/>
      <c r="D297" s="1"/>
      <c r="E297" s="1"/>
      <c r="F297" s="1"/>
      <c r="G297" s="1"/>
      <c r="H297" s="1"/>
      <c r="I297" s="61"/>
      <c r="J297" s="1"/>
      <c r="K297" s="1"/>
    </row>
    <row r="298" spans="1:11" ht="15.75" customHeight="1">
      <c r="A298" s="2"/>
      <c r="B298" s="1"/>
      <c r="C298" s="1"/>
      <c r="D298" s="1"/>
      <c r="E298" s="1"/>
      <c r="F298" s="1"/>
      <c r="G298" s="1"/>
      <c r="H298" s="1"/>
      <c r="I298" s="61"/>
      <c r="J298" s="1"/>
      <c r="K298" s="1"/>
    </row>
    <row r="299" spans="1:11" ht="15.75" customHeight="1">
      <c r="A299" s="2"/>
      <c r="B299" s="1"/>
      <c r="C299" s="1"/>
      <c r="D299" s="1"/>
      <c r="E299" s="1"/>
      <c r="F299" s="1"/>
      <c r="G299" s="1"/>
      <c r="H299" s="1"/>
      <c r="I299" s="61"/>
      <c r="J299" s="1"/>
      <c r="K299" s="1"/>
    </row>
    <row r="300" spans="1:11" ht="15.75" customHeight="1">
      <c r="A300" s="2"/>
      <c r="B300" s="1"/>
      <c r="C300" s="1"/>
      <c r="D300" s="1"/>
      <c r="E300" s="1"/>
      <c r="F300" s="1"/>
      <c r="G300" s="1"/>
      <c r="H300" s="1"/>
      <c r="I300" s="61"/>
      <c r="J300" s="1"/>
      <c r="K300" s="1"/>
    </row>
    <row r="301" spans="1:11" ht="15.75" customHeight="1">
      <c r="A301" s="2"/>
      <c r="B301" s="1"/>
      <c r="C301" s="1"/>
      <c r="D301" s="1"/>
      <c r="E301" s="1"/>
      <c r="F301" s="1"/>
      <c r="G301" s="1"/>
      <c r="H301" s="1"/>
      <c r="I301" s="61"/>
      <c r="J301" s="1"/>
      <c r="K301" s="1"/>
    </row>
    <row r="302" spans="1:11" ht="15.75" customHeight="1">
      <c r="A302" s="2"/>
      <c r="B302" s="1"/>
      <c r="C302" s="1"/>
      <c r="D302" s="1"/>
      <c r="E302" s="1"/>
      <c r="F302" s="1"/>
      <c r="G302" s="1"/>
      <c r="H302" s="1"/>
      <c r="I302" s="61"/>
      <c r="J302" s="1"/>
      <c r="K302" s="1"/>
    </row>
    <row r="303" spans="1:11" ht="15.75" customHeight="1">
      <c r="A303" s="2"/>
      <c r="B303" s="1"/>
      <c r="C303" s="1"/>
      <c r="D303" s="1"/>
      <c r="E303" s="1"/>
      <c r="F303" s="1"/>
      <c r="G303" s="1"/>
      <c r="H303" s="1"/>
      <c r="I303" s="61"/>
      <c r="J303" s="1"/>
      <c r="K303" s="1"/>
    </row>
    <row r="304" spans="1:11" ht="15.75" customHeight="1">
      <c r="A304" s="2"/>
      <c r="B304" s="1"/>
      <c r="C304" s="1"/>
      <c r="D304" s="1"/>
      <c r="E304" s="1"/>
      <c r="F304" s="1"/>
      <c r="G304" s="1"/>
      <c r="H304" s="1"/>
      <c r="I304" s="61"/>
      <c r="J304" s="1"/>
      <c r="K304" s="1"/>
    </row>
    <row r="305" spans="1:11" ht="15.75" customHeight="1">
      <c r="A305" s="2"/>
      <c r="B305" s="1"/>
      <c r="C305" s="1"/>
      <c r="D305" s="1"/>
      <c r="E305" s="1"/>
      <c r="F305" s="1"/>
      <c r="G305" s="1"/>
      <c r="H305" s="1"/>
      <c r="I305" s="61"/>
      <c r="J305" s="1"/>
      <c r="K305" s="1"/>
    </row>
    <row r="306" spans="1:11" ht="15.75" customHeight="1">
      <c r="A306" s="2"/>
      <c r="B306" s="1"/>
      <c r="C306" s="1"/>
      <c r="D306" s="1"/>
      <c r="E306" s="1"/>
      <c r="F306" s="1"/>
      <c r="G306" s="1"/>
      <c r="H306" s="1"/>
      <c r="I306" s="61"/>
      <c r="J306" s="1"/>
      <c r="K306" s="1"/>
    </row>
    <row r="307" spans="1:11" ht="15.75" customHeight="1">
      <c r="A307" s="2"/>
      <c r="B307" s="1"/>
      <c r="C307" s="1"/>
      <c r="D307" s="1"/>
      <c r="E307" s="1"/>
      <c r="F307" s="1"/>
      <c r="G307" s="1"/>
      <c r="H307" s="1"/>
      <c r="I307" s="61"/>
      <c r="J307" s="1"/>
      <c r="K307" s="1"/>
    </row>
    <row r="308" spans="1:11" ht="15.75" customHeight="1">
      <c r="A308" s="2"/>
      <c r="B308" s="1"/>
      <c r="C308" s="1"/>
      <c r="D308" s="1"/>
      <c r="E308" s="1"/>
      <c r="F308" s="1"/>
      <c r="G308" s="1"/>
      <c r="H308" s="1"/>
      <c r="I308" s="61"/>
      <c r="J308" s="1"/>
      <c r="K308" s="1"/>
    </row>
    <row r="309" spans="1:11" ht="15.75" customHeight="1">
      <c r="A309" s="2"/>
      <c r="B309" s="1"/>
      <c r="C309" s="1"/>
      <c r="D309" s="1"/>
      <c r="E309" s="1"/>
      <c r="F309" s="1"/>
      <c r="G309" s="1"/>
      <c r="H309" s="1"/>
      <c r="I309" s="61"/>
      <c r="J309" s="1"/>
      <c r="K309" s="1"/>
    </row>
    <row r="310" spans="1:11" ht="15.75" customHeight="1">
      <c r="A310" s="2"/>
      <c r="B310" s="1"/>
      <c r="C310" s="1"/>
      <c r="D310" s="1"/>
      <c r="E310" s="1"/>
      <c r="F310" s="1"/>
      <c r="G310" s="1"/>
      <c r="H310" s="1"/>
      <c r="I310" s="61"/>
      <c r="J310" s="1"/>
      <c r="K310" s="1"/>
    </row>
    <row r="311" spans="1:11" ht="15.75" customHeight="1">
      <c r="A311" s="2"/>
      <c r="B311" s="1"/>
      <c r="C311" s="1"/>
      <c r="D311" s="1"/>
      <c r="E311" s="1"/>
      <c r="F311" s="1"/>
      <c r="G311" s="1"/>
      <c r="H311" s="1"/>
      <c r="I311" s="61"/>
      <c r="J311" s="1"/>
      <c r="K311" s="1"/>
    </row>
    <row r="312" spans="1:11" ht="15.75" customHeight="1">
      <c r="A312" s="2"/>
      <c r="B312" s="1"/>
      <c r="C312" s="1"/>
      <c r="D312" s="1"/>
      <c r="E312" s="1"/>
      <c r="F312" s="1"/>
      <c r="G312" s="1"/>
      <c r="H312" s="1"/>
      <c r="I312" s="61"/>
      <c r="J312" s="1"/>
      <c r="K312" s="1"/>
    </row>
    <row r="313" spans="1:11" ht="15.75" customHeight="1">
      <c r="A313" s="2"/>
      <c r="B313" s="1"/>
      <c r="C313" s="1"/>
      <c r="D313" s="1"/>
      <c r="E313" s="1"/>
      <c r="F313" s="1"/>
      <c r="G313" s="1"/>
      <c r="H313" s="1"/>
      <c r="I313" s="61"/>
      <c r="J313" s="1"/>
      <c r="K313" s="1"/>
    </row>
    <row r="314" spans="1:11" ht="15.75" customHeight="1">
      <c r="A314" s="2"/>
      <c r="B314" s="1"/>
      <c r="C314" s="1"/>
      <c r="D314" s="1"/>
      <c r="E314" s="1"/>
      <c r="F314" s="1"/>
      <c r="G314" s="1"/>
      <c r="H314" s="1"/>
      <c r="I314" s="61"/>
      <c r="J314" s="1"/>
      <c r="K314" s="1"/>
    </row>
    <row r="315" spans="1:11" ht="15.75" customHeight="1">
      <c r="A315" s="2"/>
      <c r="B315" s="1"/>
      <c r="C315" s="1"/>
      <c r="D315" s="1"/>
      <c r="E315" s="1"/>
      <c r="F315" s="1"/>
      <c r="G315" s="1"/>
      <c r="H315" s="1"/>
      <c r="I315" s="61"/>
      <c r="J315" s="1"/>
      <c r="K315" s="1"/>
    </row>
    <row r="316" spans="1:11" ht="15.75" customHeight="1">
      <c r="A316" s="2"/>
      <c r="B316" s="1"/>
      <c r="C316" s="1"/>
      <c r="D316" s="1"/>
      <c r="E316" s="1"/>
      <c r="F316" s="1"/>
      <c r="G316" s="1"/>
      <c r="H316" s="1"/>
      <c r="I316" s="61"/>
      <c r="J316" s="1"/>
      <c r="K316" s="1"/>
    </row>
    <row r="317" spans="1:11" ht="15.75" customHeight="1">
      <c r="A317" s="2"/>
      <c r="B317" s="1"/>
      <c r="C317" s="1"/>
      <c r="D317" s="1"/>
      <c r="E317" s="1"/>
      <c r="F317" s="1"/>
      <c r="G317" s="1"/>
      <c r="H317" s="1"/>
      <c r="I317" s="61"/>
      <c r="J317" s="1"/>
      <c r="K317" s="1"/>
    </row>
    <row r="318" spans="1:11" ht="15.75" customHeight="1">
      <c r="A318" s="2"/>
      <c r="B318" s="1"/>
      <c r="C318" s="1"/>
      <c r="D318" s="1"/>
      <c r="E318" s="1"/>
      <c r="F318" s="1"/>
      <c r="G318" s="1"/>
      <c r="H318" s="1"/>
      <c r="I318" s="61"/>
      <c r="J318" s="1"/>
      <c r="K318" s="1"/>
    </row>
    <row r="319" spans="1:11" ht="15.75" customHeight="1">
      <c r="A319" s="2"/>
      <c r="B319" s="1"/>
      <c r="C319" s="1"/>
      <c r="D319" s="1"/>
      <c r="E319" s="1"/>
      <c r="F319" s="1"/>
      <c r="G319" s="1"/>
      <c r="H319" s="1"/>
      <c r="I319" s="61"/>
      <c r="J319" s="1"/>
      <c r="K319" s="1"/>
    </row>
    <row r="320" spans="1:11" ht="15.75" customHeight="1">
      <c r="A320" s="2"/>
      <c r="B320" s="1"/>
      <c r="C320" s="1"/>
      <c r="D320" s="1"/>
      <c r="E320" s="1"/>
      <c r="F320" s="1"/>
      <c r="G320" s="1"/>
      <c r="H320" s="1"/>
      <c r="I320" s="61"/>
      <c r="J320" s="1"/>
      <c r="K320" s="1"/>
    </row>
    <row r="321" spans="1:11" ht="15.75" customHeight="1">
      <c r="A321" s="2"/>
      <c r="B321" s="1"/>
      <c r="C321" s="1"/>
      <c r="D321" s="1"/>
      <c r="E321" s="1"/>
      <c r="F321" s="1"/>
      <c r="G321" s="1"/>
      <c r="H321" s="1"/>
      <c r="I321" s="61"/>
      <c r="J321" s="1"/>
      <c r="K321" s="1"/>
    </row>
    <row r="322" spans="1:11" ht="15.75" customHeight="1">
      <c r="A322" s="2"/>
      <c r="B322" s="1"/>
      <c r="C322" s="1"/>
      <c r="D322" s="1"/>
      <c r="E322" s="1"/>
      <c r="F322" s="1"/>
      <c r="G322" s="1"/>
      <c r="H322" s="1"/>
      <c r="I322" s="61"/>
      <c r="J322" s="1"/>
      <c r="K322" s="1"/>
    </row>
    <row r="323" spans="1:11" ht="15.75" customHeight="1">
      <c r="A323" s="2"/>
      <c r="B323" s="1"/>
      <c r="C323" s="1"/>
      <c r="D323" s="1"/>
      <c r="E323" s="1"/>
      <c r="F323" s="1"/>
      <c r="G323" s="1"/>
      <c r="H323" s="1"/>
      <c r="I323" s="61"/>
      <c r="J323" s="1"/>
      <c r="K323" s="1"/>
    </row>
    <row r="324" spans="1:11" ht="15.75" customHeight="1">
      <c r="A324" s="2"/>
      <c r="B324" s="1"/>
      <c r="C324" s="1"/>
      <c r="D324" s="1"/>
      <c r="E324" s="1"/>
      <c r="F324" s="1"/>
      <c r="G324" s="1"/>
      <c r="H324" s="1"/>
      <c r="I324" s="61"/>
      <c r="J324" s="1"/>
      <c r="K324" s="1"/>
    </row>
    <row r="325" spans="1:11" ht="15.75" customHeight="1">
      <c r="A325" s="2"/>
      <c r="B325" s="1"/>
      <c r="C325" s="1"/>
      <c r="D325" s="1"/>
      <c r="E325" s="1"/>
      <c r="F325" s="1"/>
      <c r="G325" s="1"/>
      <c r="H325" s="1"/>
      <c r="I325" s="61"/>
      <c r="J325" s="1"/>
      <c r="K325" s="1"/>
    </row>
    <row r="326" spans="1:11" ht="15.75" customHeight="1">
      <c r="A326" s="2"/>
      <c r="B326" s="1"/>
      <c r="C326" s="1"/>
      <c r="D326" s="1"/>
      <c r="E326" s="1"/>
      <c r="F326" s="1"/>
      <c r="G326" s="1"/>
      <c r="H326" s="1"/>
      <c r="I326" s="61"/>
      <c r="J326" s="1"/>
      <c r="K326" s="1"/>
    </row>
    <row r="327" spans="1:11" ht="15.75" customHeight="1">
      <c r="A327" s="2"/>
      <c r="B327" s="1"/>
      <c r="C327" s="1"/>
      <c r="D327" s="1"/>
      <c r="E327" s="1"/>
      <c r="F327" s="1"/>
      <c r="G327" s="1"/>
      <c r="H327" s="1"/>
      <c r="I327" s="61"/>
      <c r="J327" s="1"/>
      <c r="K327" s="1"/>
    </row>
    <row r="328" spans="1:11" ht="15.75" customHeight="1">
      <c r="A328" s="2"/>
      <c r="B328" s="1"/>
      <c r="C328" s="1"/>
      <c r="D328" s="1"/>
      <c r="E328" s="1"/>
      <c r="F328" s="1"/>
      <c r="G328" s="1"/>
      <c r="H328" s="1"/>
      <c r="I328" s="61"/>
      <c r="J328" s="1"/>
      <c r="K328" s="1"/>
    </row>
    <row r="329" spans="1:11" ht="15.75" customHeight="1">
      <c r="A329" s="2"/>
      <c r="B329" s="1"/>
      <c r="C329" s="1"/>
      <c r="D329" s="1"/>
      <c r="E329" s="1"/>
      <c r="F329" s="1"/>
      <c r="G329" s="1"/>
      <c r="H329" s="1"/>
      <c r="I329" s="61"/>
      <c r="J329" s="1"/>
      <c r="K329" s="1"/>
    </row>
    <row r="330" spans="1:11" ht="15.75" customHeight="1">
      <c r="A330" s="2"/>
      <c r="B330" s="1"/>
      <c r="C330" s="1"/>
      <c r="D330" s="1"/>
      <c r="E330" s="1"/>
      <c r="F330" s="1"/>
      <c r="G330" s="1"/>
      <c r="H330" s="1"/>
      <c r="I330" s="61"/>
      <c r="J330" s="1"/>
      <c r="K330" s="1"/>
    </row>
    <row r="331" spans="1:11" ht="15.75" customHeight="1">
      <c r="A331" s="2"/>
      <c r="B331" s="1"/>
      <c r="C331" s="1"/>
      <c r="D331" s="1"/>
      <c r="E331" s="1"/>
      <c r="F331" s="1"/>
      <c r="G331" s="1"/>
      <c r="H331" s="1"/>
      <c r="I331" s="61"/>
      <c r="J331" s="1"/>
      <c r="K331" s="1"/>
    </row>
    <row r="332" spans="1:11" ht="15.75" customHeight="1">
      <c r="A332" s="2"/>
      <c r="B332" s="1"/>
      <c r="C332" s="1"/>
      <c r="D332" s="1"/>
      <c r="E332" s="1"/>
      <c r="F332" s="1"/>
      <c r="G332" s="1"/>
      <c r="H332" s="1"/>
      <c r="I332" s="61"/>
      <c r="J332" s="1"/>
      <c r="K332" s="1"/>
    </row>
    <row r="333" spans="1:11" ht="15.75" customHeight="1">
      <c r="A333" s="2"/>
      <c r="B333" s="1"/>
      <c r="C333" s="1"/>
      <c r="D333" s="1"/>
      <c r="E333" s="1"/>
      <c r="F333" s="1"/>
      <c r="G333" s="1"/>
      <c r="H333" s="1"/>
      <c r="I333" s="61"/>
      <c r="J333" s="1"/>
      <c r="K333" s="1"/>
    </row>
    <row r="334" spans="1:11" ht="15.75" customHeight="1">
      <c r="A334" s="2"/>
      <c r="B334" s="1"/>
      <c r="C334" s="1"/>
      <c r="D334" s="1"/>
      <c r="E334" s="1"/>
      <c r="F334" s="1"/>
      <c r="G334" s="1"/>
      <c r="H334" s="1"/>
      <c r="I334" s="61"/>
      <c r="J334" s="1"/>
      <c r="K334" s="1"/>
    </row>
    <row r="335" spans="1:11" ht="15.75" customHeight="1">
      <c r="A335" s="2"/>
      <c r="B335" s="1"/>
      <c r="C335" s="1"/>
      <c r="D335" s="1"/>
      <c r="E335" s="1"/>
      <c r="F335" s="1"/>
      <c r="G335" s="1"/>
      <c r="H335" s="1"/>
      <c r="I335" s="61"/>
      <c r="J335" s="1"/>
      <c r="K335" s="1"/>
    </row>
    <row r="336" spans="1:11" ht="15.75" customHeight="1">
      <c r="A336" s="2"/>
      <c r="B336" s="1"/>
      <c r="C336" s="1"/>
      <c r="D336" s="1"/>
      <c r="E336" s="1"/>
      <c r="F336" s="1"/>
      <c r="G336" s="1"/>
      <c r="H336" s="1"/>
      <c r="I336" s="61"/>
      <c r="J336" s="1"/>
      <c r="K336" s="1"/>
    </row>
    <row r="337" spans="1:11" ht="15.75" customHeight="1">
      <c r="A337" s="2"/>
      <c r="B337" s="1"/>
      <c r="C337" s="1"/>
      <c r="D337" s="1"/>
      <c r="E337" s="1"/>
      <c r="F337" s="1"/>
      <c r="G337" s="1"/>
      <c r="H337" s="1"/>
      <c r="I337" s="61"/>
      <c r="J337" s="1"/>
      <c r="K337" s="1"/>
    </row>
    <row r="338" spans="1:11" ht="15.75" customHeight="1">
      <c r="A338" s="2"/>
      <c r="B338" s="1"/>
      <c r="C338" s="1"/>
      <c r="D338" s="1"/>
      <c r="E338" s="1"/>
      <c r="F338" s="1"/>
      <c r="G338" s="1"/>
      <c r="H338" s="1"/>
      <c r="I338" s="61"/>
      <c r="J338" s="1"/>
      <c r="K338" s="1"/>
    </row>
    <row r="339" spans="1:11" ht="15.75" customHeight="1">
      <c r="A339" s="2"/>
      <c r="B339" s="1"/>
      <c r="C339" s="1"/>
      <c r="D339" s="1"/>
      <c r="E339" s="1"/>
      <c r="F339" s="1"/>
      <c r="G339" s="1"/>
      <c r="H339" s="1"/>
      <c r="I339" s="61"/>
      <c r="J339" s="1"/>
      <c r="K339" s="1"/>
    </row>
    <row r="340" spans="1:11" ht="15.75" customHeight="1">
      <c r="A340" s="2"/>
      <c r="B340" s="1"/>
      <c r="C340" s="1"/>
      <c r="D340" s="1"/>
      <c r="E340" s="1"/>
      <c r="F340" s="1"/>
      <c r="G340" s="1"/>
      <c r="H340" s="1"/>
      <c r="I340" s="61"/>
      <c r="J340" s="1"/>
      <c r="K340" s="1"/>
    </row>
    <row r="341" spans="1:11" ht="15.75" customHeight="1">
      <c r="A341" s="2"/>
      <c r="B341" s="1"/>
      <c r="C341" s="1"/>
      <c r="D341" s="1"/>
      <c r="E341" s="1"/>
      <c r="F341" s="1"/>
      <c r="G341" s="1"/>
      <c r="H341" s="1"/>
      <c r="I341" s="61"/>
      <c r="J341" s="1"/>
      <c r="K341" s="1"/>
    </row>
    <row r="342" spans="1:11" ht="15.75" customHeight="1">
      <c r="A342" s="2"/>
      <c r="B342" s="1"/>
      <c r="C342" s="1"/>
      <c r="D342" s="1"/>
      <c r="E342" s="1"/>
      <c r="F342" s="1"/>
      <c r="G342" s="1"/>
      <c r="H342" s="1"/>
      <c r="I342" s="61"/>
      <c r="J342" s="1"/>
      <c r="K342" s="1"/>
    </row>
    <row r="343" spans="1:11" ht="15.75" customHeight="1">
      <c r="A343" s="2"/>
      <c r="B343" s="1"/>
      <c r="C343" s="1"/>
      <c r="D343" s="1"/>
      <c r="E343" s="1"/>
      <c r="F343" s="1"/>
      <c r="G343" s="1"/>
      <c r="H343" s="1"/>
      <c r="I343" s="61"/>
      <c r="J343" s="1"/>
      <c r="K343" s="1"/>
    </row>
    <row r="344" spans="1:11" ht="15.75" customHeight="1">
      <c r="A344" s="2"/>
      <c r="B344" s="1"/>
      <c r="C344" s="1"/>
      <c r="D344" s="1"/>
      <c r="E344" s="1"/>
      <c r="F344" s="1"/>
      <c r="G344" s="1"/>
      <c r="H344" s="1"/>
      <c r="I344" s="61"/>
      <c r="J344" s="1"/>
      <c r="K344" s="1"/>
    </row>
    <row r="345" spans="1:11" ht="15.75" customHeight="1">
      <c r="A345" s="2"/>
      <c r="B345" s="1"/>
      <c r="C345" s="1"/>
      <c r="D345" s="1"/>
      <c r="E345" s="1"/>
      <c r="F345" s="1"/>
      <c r="G345" s="1"/>
      <c r="H345" s="1"/>
      <c r="I345" s="61"/>
      <c r="J345" s="1"/>
      <c r="K345" s="1"/>
    </row>
    <row r="346" spans="1:11" ht="15.75" customHeight="1">
      <c r="A346" s="2"/>
      <c r="B346" s="1"/>
      <c r="C346" s="1"/>
      <c r="D346" s="1"/>
      <c r="E346" s="1"/>
      <c r="F346" s="1"/>
      <c r="G346" s="1"/>
      <c r="H346" s="1"/>
      <c r="I346" s="61"/>
      <c r="J346" s="1"/>
      <c r="K346" s="1"/>
    </row>
    <row r="347" spans="1:11" ht="15.75" customHeight="1">
      <c r="A347" s="2"/>
      <c r="B347" s="1"/>
      <c r="C347" s="1"/>
      <c r="D347" s="1"/>
      <c r="E347" s="1"/>
      <c r="F347" s="1"/>
      <c r="G347" s="1"/>
      <c r="H347" s="1"/>
      <c r="I347" s="61"/>
      <c r="J347" s="1"/>
      <c r="K347" s="1"/>
    </row>
    <row r="348" spans="1:11" ht="15.75" customHeight="1">
      <c r="A348" s="2"/>
      <c r="B348" s="1"/>
      <c r="C348" s="1"/>
      <c r="D348" s="1"/>
      <c r="E348" s="1"/>
      <c r="F348" s="1"/>
      <c r="G348" s="1"/>
      <c r="H348" s="1"/>
      <c r="I348" s="61"/>
      <c r="J348" s="1"/>
      <c r="K348" s="1"/>
    </row>
    <row r="349" spans="1:11" ht="15.75" customHeight="1">
      <c r="A349" s="2"/>
      <c r="B349" s="1"/>
      <c r="C349" s="1"/>
      <c r="D349" s="1"/>
      <c r="E349" s="1"/>
      <c r="F349" s="1"/>
      <c r="G349" s="1"/>
      <c r="H349" s="1"/>
      <c r="I349" s="61"/>
      <c r="J349" s="1"/>
      <c r="K349" s="1"/>
    </row>
    <row r="350" spans="1:11" ht="15.75" customHeight="1">
      <c r="A350" s="2"/>
      <c r="B350" s="1"/>
      <c r="C350" s="1"/>
      <c r="D350" s="1"/>
      <c r="E350" s="1"/>
      <c r="F350" s="1"/>
      <c r="G350" s="1"/>
      <c r="H350" s="1"/>
      <c r="I350" s="61"/>
      <c r="J350" s="1"/>
      <c r="K350" s="1"/>
    </row>
    <row r="351" spans="1:11" ht="15.75" customHeight="1">
      <c r="A351" s="2"/>
      <c r="B351" s="1"/>
      <c r="C351" s="1"/>
      <c r="D351" s="1"/>
      <c r="E351" s="1"/>
      <c r="F351" s="1"/>
      <c r="G351" s="1"/>
      <c r="H351" s="1"/>
      <c r="I351" s="61"/>
      <c r="J351" s="1"/>
      <c r="K351" s="1"/>
    </row>
    <row r="352" spans="1:11" ht="15.75" customHeight="1">
      <c r="A352" s="2"/>
      <c r="B352" s="1"/>
      <c r="C352" s="1"/>
      <c r="D352" s="1"/>
      <c r="E352" s="1"/>
      <c r="F352" s="1"/>
      <c r="G352" s="1"/>
      <c r="H352" s="1"/>
      <c r="I352" s="61"/>
      <c r="J352" s="1"/>
      <c r="K352" s="1"/>
    </row>
    <row r="353" spans="1:11" ht="15.75" customHeight="1">
      <c r="A353" s="2"/>
      <c r="B353" s="1"/>
      <c r="C353" s="1"/>
      <c r="D353" s="1"/>
      <c r="E353" s="1"/>
      <c r="F353" s="1"/>
      <c r="G353" s="1"/>
      <c r="H353" s="1"/>
      <c r="I353" s="61"/>
      <c r="J353" s="1"/>
      <c r="K353" s="1"/>
    </row>
    <row r="354" spans="1:11" ht="15.75" customHeight="1">
      <c r="A354" s="2"/>
      <c r="B354" s="1"/>
      <c r="C354" s="1"/>
      <c r="D354" s="1"/>
      <c r="E354" s="1"/>
      <c r="F354" s="1"/>
      <c r="G354" s="1"/>
      <c r="H354" s="1"/>
      <c r="I354" s="61"/>
      <c r="J354" s="1"/>
      <c r="K354" s="1"/>
    </row>
    <row r="355" spans="1:11" ht="15.75" customHeight="1">
      <c r="A355" s="2"/>
      <c r="B355" s="1"/>
      <c r="C355" s="1"/>
      <c r="D355" s="1"/>
      <c r="E355" s="1"/>
      <c r="F355" s="1"/>
      <c r="G355" s="1"/>
      <c r="H355" s="1"/>
      <c r="I355" s="61"/>
      <c r="J355" s="1"/>
      <c r="K355" s="1"/>
    </row>
    <row r="356" spans="1:11" ht="15.75" customHeight="1">
      <c r="A356" s="2"/>
      <c r="B356" s="1"/>
      <c r="C356" s="1"/>
      <c r="D356" s="1"/>
      <c r="E356" s="1"/>
      <c r="F356" s="1"/>
      <c r="G356" s="1"/>
      <c r="H356" s="1"/>
      <c r="I356" s="61"/>
      <c r="J356" s="1"/>
      <c r="K356" s="1"/>
    </row>
    <row r="357" spans="1:11" ht="15.75" customHeight="1">
      <c r="A357" s="2"/>
      <c r="B357" s="1"/>
      <c r="C357" s="1"/>
      <c r="D357" s="1"/>
      <c r="E357" s="1"/>
      <c r="F357" s="1"/>
      <c r="G357" s="1"/>
      <c r="H357" s="1"/>
      <c r="I357" s="61"/>
      <c r="J357" s="1"/>
      <c r="K357" s="1"/>
    </row>
    <row r="358" spans="1:11" ht="15.75" customHeight="1">
      <c r="A358" s="2"/>
      <c r="B358" s="1"/>
      <c r="C358" s="1"/>
      <c r="D358" s="1"/>
      <c r="E358" s="1"/>
      <c r="F358" s="1"/>
      <c r="G358" s="1"/>
      <c r="H358" s="1"/>
      <c r="I358" s="61"/>
      <c r="J358" s="1"/>
      <c r="K358" s="1"/>
    </row>
    <row r="359" spans="1:11" ht="15.75" customHeight="1">
      <c r="A359" s="2"/>
      <c r="B359" s="1"/>
      <c r="C359" s="1"/>
      <c r="D359" s="1"/>
      <c r="E359" s="1"/>
      <c r="F359" s="1"/>
      <c r="G359" s="1"/>
      <c r="H359" s="1"/>
      <c r="I359" s="61"/>
      <c r="J359" s="1"/>
      <c r="K359" s="1"/>
    </row>
    <row r="360" spans="1:11" ht="15.75" customHeight="1">
      <c r="A360" s="2"/>
      <c r="B360" s="1"/>
      <c r="C360" s="1"/>
      <c r="D360" s="1"/>
      <c r="E360" s="1"/>
      <c r="F360" s="1"/>
      <c r="G360" s="1"/>
      <c r="H360" s="1"/>
      <c r="I360" s="61"/>
      <c r="J360" s="1"/>
      <c r="K360" s="1"/>
    </row>
    <row r="361" spans="1:11" ht="15.75" customHeight="1">
      <c r="A361" s="2"/>
      <c r="B361" s="1"/>
      <c r="C361" s="1"/>
      <c r="D361" s="1"/>
      <c r="E361" s="1"/>
      <c r="F361" s="1"/>
      <c r="G361" s="1"/>
      <c r="H361" s="1"/>
      <c r="I361" s="61"/>
      <c r="J361" s="1"/>
      <c r="K361" s="1"/>
    </row>
    <row r="362" spans="1:11" ht="15.75" customHeight="1">
      <c r="A362" s="2"/>
      <c r="B362" s="1"/>
      <c r="C362" s="1"/>
      <c r="D362" s="1"/>
      <c r="E362" s="1"/>
      <c r="F362" s="1"/>
      <c r="G362" s="1"/>
      <c r="H362" s="1"/>
      <c r="I362" s="61"/>
      <c r="J362" s="1"/>
      <c r="K362" s="1"/>
    </row>
    <row r="363" spans="1:11" ht="15.75" customHeight="1">
      <c r="A363" s="2"/>
      <c r="B363" s="1"/>
      <c r="C363" s="1"/>
      <c r="D363" s="1"/>
      <c r="E363" s="1"/>
      <c r="F363" s="1"/>
      <c r="G363" s="1"/>
      <c r="H363" s="1"/>
      <c r="I363" s="61"/>
      <c r="J363" s="1"/>
      <c r="K363" s="1"/>
    </row>
    <row r="364" spans="1:11" ht="15.75" customHeight="1">
      <c r="A364" s="2"/>
      <c r="B364" s="1"/>
      <c r="C364" s="1"/>
      <c r="D364" s="1"/>
      <c r="E364" s="1"/>
      <c r="F364" s="1"/>
      <c r="G364" s="1"/>
      <c r="H364" s="1"/>
      <c r="I364" s="61"/>
      <c r="J364" s="1"/>
      <c r="K364" s="1"/>
    </row>
    <row r="365" spans="1:11" ht="15.75" customHeight="1">
      <c r="A365" s="2"/>
      <c r="B365" s="1"/>
      <c r="C365" s="1"/>
      <c r="D365" s="1"/>
      <c r="E365" s="1"/>
      <c r="F365" s="1"/>
      <c r="G365" s="1"/>
      <c r="H365" s="1"/>
      <c r="I365" s="61"/>
      <c r="J365" s="1"/>
      <c r="K365" s="1"/>
    </row>
    <row r="366" spans="1:11" ht="15.75" customHeight="1">
      <c r="A366" s="2"/>
      <c r="B366" s="1"/>
      <c r="C366" s="1"/>
      <c r="D366" s="1"/>
      <c r="E366" s="1"/>
      <c r="F366" s="1"/>
      <c r="G366" s="1"/>
      <c r="H366" s="1"/>
      <c r="I366" s="61"/>
      <c r="J366" s="1"/>
      <c r="K366" s="1"/>
    </row>
    <row r="367" spans="1:11" ht="15.75" customHeight="1">
      <c r="A367" s="2"/>
      <c r="B367" s="1"/>
      <c r="C367" s="1"/>
      <c r="D367" s="1"/>
      <c r="E367" s="1"/>
      <c r="F367" s="1"/>
      <c r="G367" s="1"/>
      <c r="H367" s="1"/>
      <c r="I367" s="61"/>
      <c r="J367" s="1"/>
      <c r="K367" s="1"/>
    </row>
    <row r="368" spans="1:11" ht="15.75" customHeight="1">
      <c r="A368" s="2"/>
      <c r="B368" s="1"/>
      <c r="C368" s="1"/>
      <c r="D368" s="1"/>
      <c r="E368" s="1"/>
      <c r="F368" s="1"/>
      <c r="G368" s="1"/>
      <c r="H368" s="1"/>
      <c r="I368" s="61"/>
      <c r="J368" s="1"/>
      <c r="K368" s="1"/>
    </row>
    <row r="369" spans="1:11" ht="15.75" customHeight="1">
      <c r="A369" s="2"/>
      <c r="B369" s="1"/>
      <c r="C369" s="1"/>
      <c r="D369" s="1"/>
      <c r="E369" s="1"/>
      <c r="F369" s="1"/>
      <c r="G369" s="1"/>
      <c r="H369" s="1"/>
      <c r="I369" s="61"/>
      <c r="J369" s="1"/>
      <c r="K369" s="1"/>
    </row>
    <row r="370" spans="1:11" ht="15.75" customHeight="1">
      <c r="A370" s="2"/>
      <c r="B370" s="1"/>
      <c r="C370" s="1"/>
      <c r="D370" s="1"/>
      <c r="E370" s="1"/>
      <c r="F370" s="1"/>
      <c r="G370" s="1"/>
      <c r="H370" s="1"/>
      <c r="I370" s="61"/>
      <c r="J370" s="1"/>
      <c r="K370" s="1"/>
    </row>
    <row r="371" spans="1:11" ht="15.75" customHeight="1">
      <c r="A371" s="2"/>
      <c r="B371" s="1"/>
      <c r="C371" s="1"/>
      <c r="D371" s="1"/>
      <c r="E371" s="1"/>
      <c r="F371" s="1"/>
      <c r="G371" s="1"/>
      <c r="H371" s="1"/>
      <c r="I371" s="61"/>
      <c r="J371" s="1"/>
      <c r="K371" s="1"/>
    </row>
    <row r="372" spans="1:11" ht="15.75" customHeight="1">
      <c r="A372" s="2"/>
      <c r="B372" s="1"/>
      <c r="C372" s="1"/>
      <c r="D372" s="1"/>
      <c r="E372" s="1"/>
      <c r="F372" s="1"/>
      <c r="G372" s="1"/>
      <c r="H372" s="1"/>
      <c r="I372" s="61"/>
      <c r="J372" s="1"/>
      <c r="K372" s="1"/>
    </row>
    <row r="373" spans="1:11" ht="15.75" customHeight="1">
      <c r="A373" s="2"/>
      <c r="B373" s="1"/>
      <c r="C373" s="1"/>
      <c r="D373" s="1"/>
      <c r="E373" s="1"/>
      <c r="F373" s="1"/>
      <c r="G373" s="1"/>
      <c r="H373" s="1"/>
      <c r="I373" s="61"/>
      <c r="J373" s="1"/>
      <c r="K373" s="1"/>
    </row>
    <row r="374" spans="1:11" ht="15.75" customHeight="1">
      <c r="A374" s="2"/>
      <c r="B374" s="1"/>
      <c r="C374" s="1"/>
      <c r="D374" s="1"/>
      <c r="E374" s="1"/>
      <c r="F374" s="1"/>
      <c r="G374" s="1"/>
      <c r="H374" s="1"/>
      <c r="I374" s="61"/>
      <c r="J374" s="1"/>
      <c r="K374" s="1"/>
    </row>
    <row r="375" spans="1:11" ht="15.75" customHeight="1">
      <c r="A375" s="2"/>
      <c r="B375" s="1"/>
      <c r="C375" s="1"/>
      <c r="D375" s="1"/>
      <c r="E375" s="1"/>
      <c r="F375" s="1"/>
      <c r="G375" s="1"/>
      <c r="H375" s="1"/>
      <c r="I375" s="61"/>
      <c r="J375" s="1"/>
      <c r="K375" s="1"/>
    </row>
    <row r="376" spans="1:11" ht="15.75" customHeight="1">
      <c r="A376" s="2"/>
      <c r="B376" s="1"/>
      <c r="C376" s="1"/>
      <c r="D376" s="1"/>
      <c r="E376" s="1"/>
      <c r="F376" s="1"/>
      <c r="G376" s="1"/>
      <c r="H376" s="1"/>
      <c r="I376" s="61"/>
      <c r="J376" s="1"/>
      <c r="K376" s="1"/>
    </row>
    <row r="377" spans="1:11" ht="15.75" customHeight="1">
      <c r="A377" s="2"/>
      <c r="B377" s="1"/>
      <c r="C377" s="1"/>
      <c r="D377" s="1"/>
      <c r="E377" s="1"/>
      <c r="F377" s="1"/>
      <c r="G377" s="1"/>
      <c r="H377" s="1"/>
      <c r="I377" s="61"/>
      <c r="J377" s="1"/>
      <c r="K377" s="1"/>
    </row>
    <row r="378" spans="1:11" ht="15.75" customHeight="1">
      <c r="A378" s="2"/>
      <c r="B378" s="1"/>
      <c r="C378" s="1"/>
      <c r="D378" s="1"/>
      <c r="E378" s="1"/>
      <c r="F378" s="1"/>
      <c r="G378" s="1"/>
      <c r="H378" s="1"/>
      <c r="I378" s="61"/>
      <c r="J378" s="1"/>
      <c r="K378" s="1"/>
    </row>
    <row r="379" spans="1:11" ht="15.75" customHeight="1">
      <c r="A379" s="2"/>
      <c r="B379" s="1"/>
      <c r="C379" s="1"/>
      <c r="D379" s="1"/>
      <c r="E379" s="1"/>
      <c r="F379" s="1"/>
      <c r="G379" s="1"/>
      <c r="H379" s="1"/>
      <c r="I379" s="61"/>
      <c r="J379" s="1"/>
      <c r="K379" s="1"/>
    </row>
    <row r="380" spans="1:11" ht="15.75" customHeight="1">
      <c r="A380" s="2"/>
      <c r="B380" s="1"/>
      <c r="C380" s="1"/>
      <c r="D380" s="1"/>
      <c r="E380" s="1"/>
      <c r="F380" s="1"/>
      <c r="G380" s="1"/>
      <c r="H380" s="1"/>
      <c r="I380" s="61"/>
      <c r="J380" s="1"/>
      <c r="K380" s="1"/>
    </row>
    <row r="381" spans="1:11" ht="15.75" customHeight="1">
      <c r="A381" s="2"/>
      <c r="B381" s="1"/>
      <c r="C381" s="1"/>
      <c r="D381" s="1"/>
      <c r="E381" s="1"/>
      <c r="F381" s="1"/>
      <c r="G381" s="1"/>
      <c r="H381" s="1"/>
      <c r="I381" s="61"/>
      <c r="J381" s="1"/>
      <c r="K381" s="1"/>
    </row>
    <row r="382" spans="1:11" ht="15.75" customHeight="1">
      <c r="A382" s="2"/>
      <c r="B382" s="1"/>
      <c r="C382" s="1"/>
      <c r="D382" s="1"/>
      <c r="E382" s="1"/>
      <c r="F382" s="1"/>
      <c r="G382" s="1"/>
      <c r="H382" s="1"/>
      <c r="I382" s="61"/>
      <c r="J382" s="1"/>
      <c r="K382" s="1"/>
    </row>
    <row r="383" spans="1:11" ht="15.75" customHeight="1">
      <c r="A383" s="2"/>
      <c r="B383" s="1"/>
      <c r="C383" s="1"/>
      <c r="D383" s="1"/>
      <c r="E383" s="1"/>
      <c r="F383" s="1"/>
      <c r="G383" s="1"/>
      <c r="H383" s="1"/>
      <c r="I383" s="61"/>
      <c r="J383" s="1"/>
      <c r="K383" s="1"/>
    </row>
    <row r="384" spans="1:11" ht="15.75" customHeight="1">
      <c r="A384" s="2"/>
      <c r="B384" s="1"/>
      <c r="C384" s="1"/>
      <c r="D384" s="1"/>
      <c r="E384" s="1"/>
      <c r="F384" s="1"/>
      <c r="G384" s="1"/>
      <c r="H384" s="1"/>
      <c r="I384" s="61"/>
      <c r="J384" s="1"/>
      <c r="K384" s="1"/>
    </row>
    <row r="385" spans="1:11" ht="15.75" customHeight="1">
      <c r="A385" s="2"/>
      <c r="B385" s="1"/>
      <c r="C385" s="1"/>
      <c r="D385" s="1"/>
      <c r="E385" s="1"/>
      <c r="F385" s="1"/>
      <c r="G385" s="1"/>
      <c r="H385" s="1"/>
      <c r="I385" s="61"/>
      <c r="J385" s="1"/>
      <c r="K385" s="1"/>
    </row>
    <row r="386" spans="1:11" ht="15.75" customHeight="1">
      <c r="A386" s="2"/>
      <c r="B386" s="1"/>
      <c r="C386" s="1"/>
      <c r="D386" s="1"/>
      <c r="E386" s="1"/>
      <c r="F386" s="1"/>
      <c r="G386" s="1"/>
      <c r="H386" s="1"/>
      <c r="I386" s="61"/>
      <c r="J386" s="1"/>
      <c r="K386" s="1"/>
    </row>
    <row r="387" spans="1:11" ht="15.75" customHeight="1">
      <c r="A387" s="2"/>
      <c r="B387" s="1"/>
      <c r="C387" s="1"/>
      <c r="D387" s="1"/>
      <c r="E387" s="1"/>
      <c r="F387" s="1"/>
      <c r="G387" s="1"/>
      <c r="H387" s="1"/>
      <c r="I387" s="61"/>
      <c r="J387" s="1"/>
      <c r="K387" s="1"/>
    </row>
    <row r="388" spans="1:11" ht="15.75" customHeight="1">
      <c r="A388" s="2"/>
      <c r="B388" s="1"/>
      <c r="C388" s="1"/>
      <c r="D388" s="1"/>
      <c r="E388" s="1"/>
      <c r="F388" s="1"/>
      <c r="G388" s="1"/>
      <c r="H388" s="1"/>
      <c r="I388" s="61"/>
      <c r="J388" s="1"/>
      <c r="K388" s="1"/>
    </row>
    <row r="389" spans="1:11" ht="15.75" customHeight="1">
      <c r="A389" s="2"/>
      <c r="B389" s="1"/>
      <c r="C389" s="1"/>
      <c r="D389" s="1"/>
      <c r="E389" s="1"/>
      <c r="F389" s="1"/>
      <c r="G389" s="1"/>
      <c r="H389" s="1"/>
      <c r="I389" s="61"/>
      <c r="J389" s="1"/>
      <c r="K389" s="1"/>
    </row>
    <row r="390" spans="1:11" ht="15.75" customHeight="1">
      <c r="A390" s="2"/>
      <c r="B390" s="1"/>
      <c r="C390" s="1"/>
      <c r="D390" s="1"/>
      <c r="E390" s="1"/>
      <c r="F390" s="1"/>
      <c r="G390" s="1"/>
      <c r="H390" s="1"/>
      <c r="I390" s="61"/>
      <c r="J390" s="1"/>
      <c r="K390" s="1"/>
    </row>
    <row r="391" spans="1:11" ht="15.75" customHeight="1">
      <c r="A391" s="2"/>
      <c r="B391" s="1"/>
      <c r="C391" s="1"/>
      <c r="D391" s="1"/>
      <c r="E391" s="1"/>
      <c r="F391" s="1"/>
      <c r="G391" s="1"/>
      <c r="H391" s="1"/>
      <c r="I391" s="61"/>
      <c r="J391" s="1"/>
      <c r="K391" s="1"/>
    </row>
    <row r="392" spans="1:11" ht="15.75" customHeight="1">
      <c r="A392" s="2"/>
      <c r="B392" s="1"/>
      <c r="C392" s="1"/>
      <c r="D392" s="1"/>
      <c r="E392" s="1"/>
      <c r="F392" s="1"/>
      <c r="G392" s="1"/>
      <c r="H392" s="1"/>
      <c r="I392" s="61"/>
      <c r="J392" s="1"/>
      <c r="K392" s="1"/>
    </row>
    <row r="393" spans="1:11" ht="15.75" customHeight="1">
      <c r="A393" s="2"/>
      <c r="B393" s="1"/>
      <c r="C393" s="1"/>
      <c r="D393" s="1"/>
      <c r="E393" s="1"/>
      <c r="F393" s="1"/>
      <c r="G393" s="1"/>
      <c r="H393" s="1"/>
      <c r="I393" s="61"/>
      <c r="J393" s="1"/>
      <c r="K393" s="1"/>
    </row>
    <row r="394" spans="1:11" ht="15.75" customHeight="1">
      <c r="A394" s="2"/>
      <c r="B394" s="1"/>
      <c r="C394" s="1"/>
      <c r="D394" s="1"/>
      <c r="E394" s="1"/>
      <c r="F394" s="1"/>
      <c r="G394" s="1"/>
      <c r="H394" s="1"/>
      <c r="I394" s="61"/>
      <c r="J394" s="1"/>
      <c r="K394" s="1"/>
    </row>
    <row r="395" spans="1:11" ht="15.75" customHeight="1">
      <c r="A395" s="2"/>
      <c r="B395" s="1"/>
      <c r="C395" s="1"/>
      <c r="D395" s="1"/>
      <c r="E395" s="1"/>
      <c r="F395" s="1"/>
      <c r="G395" s="1"/>
      <c r="H395" s="1"/>
      <c r="I395" s="61"/>
      <c r="J395" s="1"/>
      <c r="K395" s="1"/>
    </row>
    <row r="396" spans="1:11" ht="15.75" customHeight="1">
      <c r="A396" s="2"/>
      <c r="B396" s="1"/>
      <c r="C396" s="1"/>
      <c r="D396" s="1"/>
      <c r="E396" s="1"/>
      <c r="F396" s="1"/>
      <c r="G396" s="1"/>
      <c r="H396" s="1"/>
      <c r="I396" s="61"/>
      <c r="J396" s="1"/>
      <c r="K396" s="1"/>
    </row>
    <row r="397" spans="1:11" ht="15.75" customHeight="1">
      <c r="A397" s="2"/>
      <c r="B397" s="1"/>
      <c r="C397" s="1"/>
      <c r="D397" s="1"/>
      <c r="E397" s="1"/>
      <c r="F397" s="1"/>
      <c r="G397" s="1"/>
      <c r="H397" s="1"/>
      <c r="I397" s="61"/>
      <c r="J397" s="1"/>
      <c r="K397" s="1"/>
    </row>
    <row r="398" spans="1:11" ht="15.75" customHeight="1">
      <c r="A398" s="2"/>
      <c r="B398" s="1"/>
      <c r="C398" s="1"/>
      <c r="D398" s="1"/>
      <c r="E398" s="1"/>
      <c r="F398" s="1"/>
      <c r="G398" s="1"/>
      <c r="H398" s="1"/>
      <c r="I398" s="61"/>
      <c r="J398" s="1"/>
      <c r="K398" s="1"/>
    </row>
    <row r="399" spans="1:11" ht="15.75" customHeight="1">
      <c r="A399" s="2"/>
      <c r="B399" s="1"/>
      <c r="C399" s="1"/>
      <c r="D399" s="1"/>
      <c r="E399" s="1"/>
      <c r="F399" s="1"/>
      <c r="G399" s="1"/>
      <c r="H399" s="1"/>
      <c r="I399" s="61"/>
      <c r="J399" s="1"/>
      <c r="K399" s="1"/>
    </row>
    <row r="400" spans="1:11" ht="15.75" customHeight="1">
      <c r="A400" s="2"/>
      <c r="B400" s="1"/>
      <c r="C400" s="1"/>
      <c r="D400" s="1"/>
      <c r="E400" s="1"/>
      <c r="F400" s="1"/>
      <c r="G400" s="1"/>
      <c r="H400" s="1"/>
      <c r="I400" s="61"/>
      <c r="J400" s="1"/>
      <c r="K400" s="1"/>
    </row>
    <row r="401" spans="1:11" ht="15.75" customHeight="1">
      <c r="A401" s="2"/>
      <c r="B401" s="1"/>
      <c r="C401" s="1"/>
      <c r="D401" s="1"/>
      <c r="E401" s="1"/>
      <c r="F401" s="1"/>
      <c r="G401" s="1"/>
      <c r="H401" s="1"/>
      <c r="I401" s="61"/>
      <c r="J401" s="1"/>
      <c r="K401" s="1"/>
    </row>
    <row r="402" spans="1:11" ht="15.75" customHeight="1">
      <c r="A402" s="2"/>
      <c r="B402" s="1"/>
      <c r="C402" s="1"/>
      <c r="D402" s="1"/>
      <c r="E402" s="1"/>
      <c r="F402" s="1"/>
      <c r="G402" s="1"/>
      <c r="H402" s="1"/>
      <c r="I402" s="61"/>
      <c r="J402" s="1"/>
      <c r="K402" s="1"/>
    </row>
    <row r="403" spans="1:11" ht="15.75" customHeight="1">
      <c r="A403" s="2"/>
      <c r="B403" s="1"/>
      <c r="C403" s="1"/>
      <c r="D403" s="1"/>
      <c r="E403" s="1"/>
      <c r="F403" s="1"/>
      <c r="G403" s="1"/>
      <c r="H403" s="1"/>
      <c r="I403" s="61"/>
      <c r="J403" s="1"/>
      <c r="K403" s="1"/>
    </row>
    <row r="404" spans="1:11" ht="15.75" customHeight="1">
      <c r="A404" s="2"/>
      <c r="B404" s="1"/>
      <c r="C404" s="1"/>
      <c r="D404" s="1"/>
      <c r="E404" s="1"/>
      <c r="F404" s="1"/>
      <c r="G404" s="1"/>
      <c r="H404" s="1"/>
      <c r="I404" s="61"/>
      <c r="J404" s="1"/>
      <c r="K404" s="1"/>
    </row>
    <row r="405" spans="1:11" ht="15.75" customHeight="1">
      <c r="A405" s="2"/>
      <c r="B405" s="1"/>
      <c r="C405" s="1"/>
      <c r="D405" s="1"/>
      <c r="E405" s="1"/>
      <c r="F405" s="1"/>
      <c r="G405" s="1"/>
      <c r="H405" s="1"/>
      <c r="I405" s="61"/>
      <c r="J405" s="1"/>
      <c r="K405" s="1"/>
    </row>
    <row r="406" spans="1:11" ht="15.75" customHeight="1">
      <c r="A406" s="2"/>
      <c r="B406" s="1"/>
      <c r="C406" s="1"/>
      <c r="D406" s="1"/>
      <c r="E406" s="1"/>
      <c r="F406" s="1"/>
      <c r="G406" s="1"/>
      <c r="H406" s="1"/>
      <c r="I406" s="61"/>
      <c r="J406" s="1"/>
      <c r="K406" s="1"/>
    </row>
    <row r="407" spans="1:11" ht="15.75" customHeight="1">
      <c r="A407" s="2"/>
      <c r="B407" s="1"/>
      <c r="C407" s="1"/>
      <c r="D407" s="1"/>
      <c r="E407" s="1"/>
      <c r="F407" s="1"/>
      <c r="G407" s="1"/>
      <c r="H407" s="1"/>
      <c r="I407" s="61"/>
      <c r="J407" s="1"/>
      <c r="K407" s="1"/>
    </row>
    <row r="408" spans="1:11" ht="15.75" customHeight="1">
      <c r="A408" s="2"/>
      <c r="B408" s="1"/>
      <c r="C408" s="1"/>
      <c r="D408" s="1"/>
      <c r="E408" s="1"/>
      <c r="F408" s="1"/>
      <c r="G408" s="1"/>
      <c r="H408" s="1"/>
      <c r="I408" s="61"/>
      <c r="J408" s="1"/>
      <c r="K408" s="1"/>
    </row>
    <row r="409" spans="1:11" ht="15.75" customHeight="1">
      <c r="A409" s="2"/>
      <c r="B409" s="1"/>
      <c r="C409" s="1"/>
      <c r="D409" s="1"/>
      <c r="E409" s="1"/>
      <c r="F409" s="1"/>
      <c r="G409" s="1"/>
      <c r="H409" s="1"/>
      <c r="I409" s="61"/>
      <c r="J409" s="1"/>
      <c r="K409" s="1"/>
    </row>
    <row r="410" spans="1:11" ht="15.75" customHeight="1">
      <c r="A410" s="2"/>
      <c r="B410" s="1"/>
      <c r="C410" s="1"/>
      <c r="D410" s="1"/>
      <c r="E410" s="1"/>
      <c r="F410" s="1"/>
      <c r="G410" s="1"/>
      <c r="H410" s="1"/>
      <c r="I410" s="61"/>
      <c r="J410" s="1"/>
      <c r="K410" s="1"/>
    </row>
    <row r="411" spans="1:11" ht="15.75" customHeight="1">
      <c r="A411" s="2"/>
      <c r="B411" s="1"/>
      <c r="C411" s="1"/>
      <c r="D411" s="1"/>
      <c r="E411" s="1"/>
      <c r="F411" s="1"/>
      <c r="G411" s="1"/>
      <c r="H411" s="1"/>
      <c r="I411" s="61"/>
      <c r="J411" s="1"/>
      <c r="K411" s="1"/>
    </row>
    <row r="412" spans="1:11" ht="15.75" customHeight="1">
      <c r="A412" s="2"/>
      <c r="B412" s="1"/>
      <c r="C412" s="1"/>
      <c r="D412" s="1"/>
      <c r="E412" s="1"/>
      <c r="F412" s="1"/>
      <c r="G412" s="1"/>
      <c r="H412" s="1"/>
      <c r="I412" s="61"/>
      <c r="J412" s="1"/>
      <c r="K412" s="1"/>
    </row>
    <row r="413" spans="1:11" ht="15.75" customHeight="1">
      <c r="A413" s="2"/>
      <c r="B413" s="1"/>
      <c r="C413" s="1"/>
      <c r="D413" s="1"/>
      <c r="E413" s="1"/>
      <c r="F413" s="1"/>
      <c r="G413" s="1"/>
      <c r="H413" s="1"/>
      <c r="I413" s="61"/>
      <c r="J413" s="1"/>
      <c r="K413" s="1"/>
    </row>
    <row r="414" spans="1:11" ht="15.75" customHeight="1">
      <c r="A414" s="2"/>
      <c r="B414" s="1"/>
      <c r="C414" s="1"/>
      <c r="D414" s="1"/>
      <c r="E414" s="1"/>
      <c r="F414" s="1"/>
      <c r="G414" s="1"/>
      <c r="H414" s="1"/>
      <c r="I414" s="61"/>
      <c r="J414" s="1"/>
      <c r="K414" s="1"/>
    </row>
    <row r="415" spans="1:11" ht="15.75" customHeight="1">
      <c r="A415" s="2"/>
      <c r="B415" s="1"/>
      <c r="C415" s="1"/>
      <c r="D415" s="1"/>
      <c r="E415" s="1"/>
      <c r="F415" s="1"/>
      <c r="G415" s="1"/>
      <c r="H415" s="1"/>
      <c r="I415" s="61"/>
      <c r="J415" s="1"/>
      <c r="K415" s="1"/>
    </row>
    <row r="416" spans="1:11" ht="15.75" customHeight="1">
      <c r="A416" s="2"/>
      <c r="B416" s="1"/>
      <c r="C416" s="1"/>
      <c r="D416" s="1"/>
      <c r="E416" s="1"/>
      <c r="F416" s="1"/>
      <c r="G416" s="1"/>
      <c r="H416" s="1"/>
      <c r="I416" s="61"/>
      <c r="J416" s="1"/>
      <c r="K416" s="1"/>
    </row>
    <row r="417" spans="1:11" ht="15.75" customHeight="1">
      <c r="A417" s="2"/>
      <c r="B417" s="1"/>
      <c r="C417" s="1"/>
      <c r="D417" s="1"/>
      <c r="E417" s="1"/>
      <c r="F417" s="1"/>
      <c r="G417" s="1"/>
      <c r="H417" s="1"/>
      <c r="I417" s="61"/>
      <c r="J417" s="1"/>
      <c r="K417" s="1"/>
    </row>
    <row r="418" spans="1:11" ht="15.75" customHeight="1">
      <c r="A418" s="2"/>
      <c r="B418" s="1"/>
      <c r="C418" s="1"/>
      <c r="D418" s="1"/>
      <c r="E418" s="1"/>
      <c r="F418" s="1"/>
      <c r="G418" s="1"/>
      <c r="H418" s="1"/>
      <c r="I418" s="61"/>
      <c r="J418" s="1"/>
      <c r="K418" s="1"/>
    </row>
    <row r="419" spans="1:11" ht="15.75" customHeight="1">
      <c r="A419" s="2"/>
      <c r="B419" s="1"/>
      <c r="C419" s="1"/>
      <c r="D419" s="1"/>
      <c r="E419" s="1"/>
      <c r="F419" s="1"/>
      <c r="G419" s="1"/>
      <c r="H419" s="1"/>
      <c r="I419" s="61"/>
      <c r="J419" s="1"/>
      <c r="K419" s="1"/>
    </row>
    <row r="420" spans="1:11" ht="15.75" customHeight="1">
      <c r="A420" s="2"/>
      <c r="B420" s="1"/>
      <c r="C420" s="1"/>
      <c r="D420" s="1"/>
      <c r="E420" s="1"/>
      <c r="F420" s="1"/>
      <c r="G420" s="1"/>
      <c r="H420" s="1"/>
      <c r="I420" s="61"/>
      <c r="J420" s="1"/>
      <c r="K420" s="1"/>
    </row>
    <row r="421" spans="1:11" ht="15.75" customHeight="1">
      <c r="A421" s="2"/>
      <c r="B421" s="1"/>
      <c r="C421" s="1"/>
      <c r="D421" s="1"/>
      <c r="E421" s="1"/>
      <c r="F421" s="1"/>
      <c r="G421" s="1"/>
      <c r="H421" s="1"/>
      <c r="I421" s="61"/>
      <c r="J421" s="1"/>
      <c r="K421" s="1"/>
    </row>
    <row r="422" spans="1:11" ht="15.75" customHeight="1">
      <c r="A422" s="2"/>
      <c r="B422" s="1"/>
      <c r="C422" s="1"/>
      <c r="D422" s="1"/>
      <c r="E422" s="1"/>
      <c r="F422" s="1"/>
      <c r="G422" s="1"/>
      <c r="H422" s="1"/>
      <c r="I422" s="61"/>
      <c r="J422" s="1"/>
      <c r="K422" s="1"/>
    </row>
    <row r="423" spans="1:11" ht="15.75" customHeight="1">
      <c r="A423" s="2"/>
      <c r="B423" s="1"/>
      <c r="C423" s="1"/>
      <c r="D423" s="1"/>
      <c r="E423" s="1"/>
      <c r="F423" s="1"/>
      <c r="G423" s="1"/>
      <c r="H423" s="1"/>
      <c r="I423" s="61"/>
      <c r="J423" s="1"/>
      <c r="K423" s="1"/>
    </row>
    <row r="424" spans="1:11" ht="15.75" customHeight="1">
      <c r="A424" s="2"/>
      <c r="B424" s="1"/>
      <c r="C424" s="1"/>
      <c r="D424" s="1"/>
      <c r="E424" s="1"/>
      <c r="F424" s="1"/>
      <c r="G424" s="1"/>
      <c r="H424" s="1"/>
      <c r="I424" s="61"/>
      <c r="J424" s="1"/>
      <c r="K424" s="1"/>
    </row>
    <row r="425" spans="1:11" ht="15.75" customHeight="1">
      <c r="A425" s="2"/>
      <c r="B425" s="1"/>
      <c r="C425" s="1"/>
      <c r="D425" s="1"/>
      <c r="E425" s="1"/>
      <c r="F425" s="1"/>
      <c r="G425" s="1"/>
      <c r="H425" s="1"/>
      <c r="I425" s="61"/>
      <c r="J425" s="1"/>
      <c r="K425" s="1"/>
    </row>
    <row r="426" spans="1:11" ht="15.75" customHeight="1">
      <c r="A426" s="2"/>
      <c r="B426" s="1"/>
      <c r="C426" s="1"/>
      <c r="D426" s="1"/>
      <c r="E426" s="1"/>
      <c r="F426" s="1"/>
      <c r="G426" s="1"/>
      <c r="H426" s="1"/>
      <c r="I426" s="61"/>
      <c r="J426" s="1"/>
      <c r="K426" s="1"/>
    </row>
    <row r="427" spans="1:11" ht="15.75" customHeight="1">
      <c r="A427" s="2"/>
      <c r="B427" s="1"/>
      <c r="C427" s="1"/>
      <c r="D427" s="1"/>
      <c r="E427" s="1"/>
      <c r="F427" s="1"/>
      <c r="G427" s="1"/>
      <c r="H427" s="1"/>
      <c r="I427" s="61"/>
      <c r="J427" s="1"/>
      <c r="K427" s="1"/>
    </row>
    <row r="428" spans="1:11" ht="15.75" customHeight="1">
      <c r="A428" s="2"/>
      <c r="B428" s="1"/>
      <c r="C428" s="1"/>
      <c r="D428" s="1"/>
      <c r="E428" s="1"/>
      <c r="F428" s="1"/>
      <c r="G428" s="1"/>
      <c r="H428" s="1"/>
      <c r="I428" s="61"/>
      <c r="J428" s="1"/>
      <c r="K428" s="1"/>
    </row>
    <row r="429" spans="1:11" ht="15.75" customHeight="1">
      <c r="A429" s="2"/>
      <c r="B429" s="1"/>
      <c r="C429" s="1"/>
      <c r="D429" s="1"/>
      <c r="E429" s="1"/>
      <c r="F429" s="1"/>
      <c r="G429" s="1"/>
      <c r="H429" s="1"/>
      <c r="I429" s="61"/>
      <c r="J429" s="1"/>
      <c r="K429" s="1"/>
    </row>
    <row r="430" spans="1:11" ht="15.75" customHeight="1">
      <c r="A430" s="2"/>
      <c r="B430" s="1"/>
      <c r="C430" s="1"/>
      <c r="D430" s="1"/>
      <c r="E430" s="1"/>
      <c r="F430" s="1"/>
      <c r="G430" s="1"/>
      <c r="H430" s="1"/>
      <c r="I430" s="61"/>
      <c r="J430" s="1"/>
      <c r="K430" s="1"/>
    </row>
    <row r="431" spans="1:11" ht="15.75" customHeight="1">
      <c r="A431" s="2"/>
      <c r="B431" s="1"/>
      <c r="C431" s="1"/>
      <c r="D431" s="1"/>
      <c r="E431" s="1"/>
      <c r="F431" s="1"/>
      <c r="G431" s="1"/>
      <c r="H431" s="1"/>
      <c r="I431" s="61"/>
      <c r="J431" s="1"/>
      <c r="K431" s="1"/>
    </row>
    <row r="432" spans="1:11" ht="15.75" customHeight="1">
      <c r="A432" s="2"/>
      <c r="B432" s="1"/>
      <c r="C432" s="1"/>
      <c r="D432" s="1"/>
      <c r="E432" s="1"/>
      <c r="F432" s="1"/>
      <c r="G432" s="1"/>
      <c r="H432" s="1"/>
      <c r="I432" s="61"/>
      <c r="J432" s="1"/>
      <c r="K432" s="1"/>
    </row>
    <row r="433" spans="1:11" ht="15.75" customHeight="1">
      <c r="A433" s="2"/>
      <c r="B433" s="1"/>
      <c r="C433" s="1"/>
      <c r="D433" s="1"/>
      <c r="E433" s="1"/>
      <c r="F433" s="1"/>
      <c r="G433" s="1"/>
      <c r="H433" s="1"/>
      <c r="I433" s="61"/>
      <c r="J433" s="1"/>
      <c r="K433" s="1"/>
    </row>
    <row r="434" spans="1:11" ht="15.75" customHeight="1">
      <c r="A434" s="2"/>
      <c r="B434" s="1"/>
      <c r="C434" s="1"/>
      <c r="D434" s="1"/>
      <c r="E434" s="1"/>
      <c r="F434" s="1"/>
      <c r="G434" s="1"/>
      <c r="H434" s="1"/>
      <c r="I434" s="61"/>
      <c r="J434" s="1"/>
      <c r="K434" s="1"/>
    </row>
    <row r="435" spans="1:11" ht="15.75" customHeight="1">
      <c r="A435" s="2"/>
      <c r="B435" s="1"/>
      <c r="C435" s="1"/>
      <c r="D435" s="1"/>
      <c r="E435" s="1"/>
      <c r="F435" s="1"/>
      <c r="G435" s="1"/>
      <c r="H435" s="1"/>
      <c r="I435" s="61"/>
      <c r="J435" s="1"/>
      <c r="K435" s="1"/>
    </row>
    <row r="436" spans="1:11" ht="15.75" customHeight="1">
      <c r="A436" s="2"/>
      <c r="B436" s="1"/>
      <c r="C436" s="1"/>
      <c r="D436" s="1"/>
      <c r="E436" s="1"/>
      <c r="F436" s="1"/>
      <c r="G436" s="1"/>
      <c r="H436" s="1"/>
      <c r="I436" s="61"/>
      <c r="J436" s="1"/>
      <c r="K436" s="1"/>
    </row>
    <row r="437" spans="1:11" ht="15.75" customHeight="1">
      <c r="A437" s="2"/>
      <c r="B437" s="1"/>
      <c r="C437" s="1"/>
      <c r="D437" s="1"/>
      <c r="E437" s="1"/>
      <c r="F437" s="1"/>
      <c r="G437" s="1"/>
      <c r="H437" s="1"/>
      <c r="I437" s="61"/>
      <c r="J437" s="1"/>
      <c r="K437" s="1"/>
    </row>
    <row r="438" spans="1:11" ht="15.75" customHeight="1">
      <c r="A438" s="2"/>
      <c r="B438" s="1"/>
      <c r="C438" s="1"/>
      <c r="D438" s="1"/>
      <c r="E438" s="1"/>
      <c r="F438" s="1"/>
      <c r="G438" s="1"/>
      <c r="H438" s="1"/>
      <c r="I438" s="61"/>
      <c r="J438" s="1"/>
      <c r="K438" s="1"/>
    </row>
    <row r="439" spans="1:11" ht="15.75" customHeight="1">
      <c r="A439" s="2"/>
      <c r="B439" s="1"/>
      <c r="C439" s="1"/>
      <c r="D439" s="1"/>
      <c r="E439" s="1"/>
      <c r="F439" s="1"/>
      <c r="G439" s="1"/>
      <c r="H439" s="1"/>
      <c r="I439" s="61"/>
      <c r="J439" s="1"/>
      <c r="K439" s="1"/>
    </row>
    <row r="440" spans="1:11" ht="15.75" customHeight="1">
      <c r="A440" s="2"/>
      <c r="B440" s="1"/>
      <c r="C440" s="1"/>
      <c r="D440" s="1"/>
      <c r="E440" s="1"/>
      <c r="F440" s="1"/>
      <c r="G440" s="1"/>
      <c r="H440" s="1"/>
      <c r="I440" s="61"/>
      <c r="J440" s="1"/>
      <c r="K440" s="1"/>
    </row>
    <row r="441" spans="1:11" ht="15.75" customHeight="1">
      <c r="A441" s="2"/>
      <c r="B441" s="1"/>
      <c r="C441" s="1"/>
      <c r="D441" s="1"/>
      <c r="E441" s="1"/>
      <c r="F441" s="1"/>
      <c r="G441" s="1"/>
      <c r="H441" s="1"/>
      <c r="I441" s="61"/>
      <c r="J441" s="1"/>
      <c r="K441" s="1"/>
    </row>
    <row r="442" spans="1:11" ht="15.75" customHeight="1">
      <c r="A442" s="2"/>
      <c r="B442" s="1"/>
      <c r="C442" s="1"/>
      <c r="D442" s="1"/>
      <c r="E442" s="1"/>
      <c r="F442" s="1"/>
      <c r="G442" s="1"/>
      <c r="H442" s="1"/>
      <c r="I442" s="61"/>
      <c r="J442" s="1"/>
      <c r="K442" s="1"/>
    </row>
    <row r="443" spans="1:11" ht="15.75" customHeight="1">
      <c r="A443" s="2"/>
      <c r="B443" s="1"/>
      <c r="C443" s="1"/>
      <c r="D443" s="1"/>
      <c r="E443" s="1"/>
      <c r="F443" s="1"/>
      <c r="G443" s="1"/>
      <c r="H443" s="1"/>
      <c r="I443" s="61"/>
      <c r="J443" s="1"/>
      <c r="K443" s="1"/>
    </row>
    <row r="444" spans="1:11" ht="15.75" customHeight="1">
      <c r="A444" s="2"/>
      <c r="B444" s="1"/>
      <c r="C444" s="1"/>
      <c r="D444" s="1"/>
      <c r="E444" s="1"/>
      <c r="F444" s="1"/>
      <c r="G444" s="1"/>
      <c r="H444" s="1"/>
      <c r="I444" s="61"/>
      <c r="J444" s="1"/>
      <c r="K444" s="1"/>
    </row>
    <row r="445" spans="1:11" ht="15.75" customHeight="1">
      <c r="A445" s="2"/>
      <c r="B445" s="1"/>
      <c r="C445" s="1"/>
      <c r="D445" s="1"/>
      <c r="E445" s="1"/>
      <c r="F445" s="1"/>
      <c r="G445" s="1"/>
      <c r="H445" s="1"/>
      <c r="I445" s="61"/>
      <c r="J445" s="1"/>
      <c r="K445" s="1"/>
    </row>
    <row r="446" spans="1:11" ht="15.75" customHeight="1">
      <c r="A446" s="2"/>
      <c r="B446" s="1"/>
      <c r="C446" s="1"/>
      <c r="D446" s="1"/>
      <c r="E446" s="1"/>
      <c r="F446" s="1"/>
      <c r="G446" s="1"/>
      <c r="H446" s="1"/>
      <c r="I446" s="61"/>
      <c r="J446" s="1"/>
      <c r="K446" s="1"/>
    </row>
    <row r="447" spans="1:11" ht="15.75" customHeight="1">
      <c r="A447" s="2"/>
      <c r="B447" s="1"/>
      <c r="C447" s="1"/>
      <c r="D447" s="1"/>
      <c r="E447" s="1"/>
      <c r="F447" s="1"/>
      <c r="G447" s="1"/>
      <c r="H447" s="1"/>
      <c r="I447" s="61"/>
      <c r="J447" s="1"/>
      <c r="K447" s="1"/>
    </row>
    <row r="448" spans="1:11" ht="15.75" customHeight="1">
      <c r="A448" s="2"/>
      <c r="B448" s="1"/>
      <c r="C448" s="1"/>
      <c r="D448" s="1"/>
      <c r="E448" s="1"/>
      <c r="F448" s="1"/>
      <c r="G448" s="1"/>
      <c r="H448" s="1"/>
      <c r="I448" s="61"/>
      <c r="J448" s="1"/>
      <c r="K448" s="1"/>
    </row>
    <row r="449" spans="1:11" ht="15.75" customHeight="1">
      <c r="A449" s="2"/>
      <c r="B449" s="1"/>
      <c r="C449" s="1"/>
      <c r="D449" s="1"/>
      <c r="E449" s="1"/>
      <c r="F449" s="1"/>
      <c r="G449" s="1"/>
      <c r="H449" s="1"/>
      <c r="I449" s="61"/>
      <c r="J449" s="1"/>
      <c r="K449" s="1"/>
    </row>
    <row r="450" spans="1:11" ht="15.75" customHeight="1">
      <c r="A450" s="2"/>
      <c r="B450" s="1"/>
      <c r="C450" s="1"/>
      <c r="D450" s="1"/>
      <c r="E450" s="1"/>
      <c r="F450" s="1"/>
      <c r="G450" s="1"/>
      <c r="H450" s="1"/>
      <c r="I450" s="61"/>
      <c r="J450" s="1"/>
      <c r="K450" s="1"/>
    </row>
    <row r="451" spans="1:11" ht="15.75" customHeight="1">
      <c r="A451" s="2"/>
      <c r="B451" s="1"/>
      <c r="C451" s="1"/>
      <c r="D451" s="1"/>
      <c r="E451" s="1"/>
      <c r="F451" s="1"/>
      <c r="G451" s="1"/>
      <c r="H451" s="1"/>
      <c r="I451" s="61"/>
      <c r="J451" s="1"/>
      <c r="K451" s="1"/>
    </row>
    <row r="452" spans="1:11" ht="15.75" customHeight="1">
      <c r="A452" s="2"/>
      <c r="B452" s="1"/>
      <c r="C452" s="1"/>
      <c r="D452" s="1"/>
      <c r="E452" s="1"/>
      <c r="F452" s="1"/>
      <c r="G452" s="1"/>
      <c r="H452" s="1"/>
      <c r="I452" s="61"/>
      <c r="J452" s="1"/>
      <c r="K452" s="1"/>
    </row>
    <row r="453" spans="1:11" ht="15.75" customHeight="1">
      <c r="A453" s="2"/>
      <c r="B453" s="1"/>
      <c r="C453" s="1"/>
      <c r="D453" s="1"/>
      <c r="E453" s="1"/>
      <c r="F453" s="1"/>
      <c r="G453" s="1"/>
      <c r="H453" s="1"/>
      <c r="I453" s="61"/>
      <c r="J453" s="1"/>
      <c r="K453" s="1"/>
    </row>
    <row r="454" spans="1:11" ht="15.75" customHeight="1">
      <c r="A454" s="2"/>
      <c r="B454" s="1"/>
      <c r="C454" s="1"/>
      <c r="D454" s="1"/>
      <c r="E454" s="1"/>
      <c r="F454" s="1"/>
      <c r="G454" s="1"/>
      <c r="H454" s="1"/>
      <c r="I454" s="61"/>
      <c r="J454" s="1"/>
      <c r="K454" s="1"/>
    </row>
    <row r="455" spans="1:11" ht="15.75" customHeight="1">
      <c r="A455" s="2"/>
      <c r="B455" s="1"/>
      <c r="C455" s="1"/>
      <c r="D455" s="1"/>
      <c r="E455" s="1"/>
      <c r="F455" s="1"/>
      <c r="G455" s="1"/>
      <c r="H455" s="1"/>
      <c r="I455" s="61"/>
      <c r="J455" s="1"/>
      <c r="K455" s="1"/>
    </row>
    <row r="456" spans="1:11" ht="15.75" customHeight="1">
      <c r="A456" s="2"/>
      <c r="B456" s="1"/>
      <c r="C456" s="1"/>
      <c r="D456" s="1"/>
      <c r="E456" s="1"/>
      <c r="F456" s="1"/>
      <c r="G456" s="1"/>
      <c r="H456" s="1"/>
      <c r="I456" s="61"/>
      <c r="J456" s="1"/>
      <c r="K456" s="1"/>
    </row>
    <row r="457" spans="1:11" ht="15.75" customHeight="1">
      <c r="A457" s="2"/>
      <c r="B457" s="1"/>
      <c r="C457" s="1"/>
      <c r="D457" s="1"/>
      <c r="E457" s="1"/>
      <c r="F457" s="1"/>
      <c r="G457" s="1"/>
      <c r="H457" s="1"/>
      <c r="I457" s="61"/>
      <c r="J457" s="1"/>
      <c r="K457" s="1"/>
    </row>
    <row r="458" spans="1:11" ht="15.75" customHeight="1">
      <c r="A458" s="2"/>
      <c r="B458" s="1"/>
      <c r="C458" s="1"/>
      <c r="D458" s="1"/>
      <c r="E458" s="1"/>
      <c r="F458" s="1"/>
      <c r="G458" s="1"/>
      <c r="H458" s="1"/>
      <c r="I458" s="61"/>
      <c r="J458" s="1"/>
      <c r="K458" s="1"/>
    </row>
    <row r="459" spans="1:11" ht="15.75" customHeight="1">
      <c r="A459" s="2"/>
      <c r="B459" s="1"/>
      <c r="C459" s="1"/>
      <c r="D459" s="1"/>
      <c r="E459" s="1"/>
      <c r="F459" s="1"/>
      <c r="G459" s="1"/>
      <c r="H459" s="1"/>
      <c r="I459" s="61"/>
      <c r="J459" s="1"/>
      <c r="K459" s="1"/>
    </row>
    <row r="460" spans="1:11" ht="15.75" customHeight="1">
      <c r="A460" s="2"/>
      <c r="B460" s="1"/>
      <c r="C460" s="1"/>
      <c r="D460" s="1"/>
      <c r="E460" s="1"/>
      <c r="F460" s="1"/>
      <c r="G460" s="1"/>
      <c r="H460" s="1"/>
      <c r="I460" s="61"/>
      <c r="J460" s="1"/>
      <c r="K460" s="1"/>
    </row>
    <row r="461" spans="1:11" ht="15.75" customHeight="1">
      <c r="A461" s="2"/>
      <c r="B461" s="1"/>
      <c r="C461" s="1"/>
      <c r="D461" s="1"/>
      <c r="E461" s="1"/>
      <c r="F461" s="1"/>
      <c r="G461" s="1"/>
      <c r="H461" s="1"/>
      <c r="I461" s="61"/>
      <c r="J461" s="1"/>
      <c r="K461" s="1"/>
    </row>
    <row r="462" spans="1:11" ht="15.75" customHeight="1">
      <c r="A462" s="2"/>
      <c r="B462" s="1"/>
      <c r="C462" s="1"/>
      <c r="D462" s="1"/>
      <c r="E462" s="1"/>
      <c r="F462" s="1"/>
      <c r="G462" s="1"/>
      <c r="H462" s="1"/>
      <c r="I462" s="61"/>
      <c r="J462" s="1"/>
      <c r="K462" s="1"/>
    </row>
    <row r="463" spans="1:11" ht="15.75" customHeight="1">
      <c r="A463" s="2"/>
      <c r="B463" s="1"/>
      <c r="C463" s="1"/>
      <c r="D463" s="1"/>
      <c r="E463" s="1"/>
      <c r="F463" s="1"/>
      <c r="G463" s="1"/>
      <c r="H463" s="1"/>
      <c r="I463" s="61"/>
      <c r="J463" s="1"/>
      <c r="K463" s="1"/>
    </row>
    <row r="464" spans="1:11" ht="15.75" customHeight="1">
      <c r="A464" s="2"/>
      <c r="B464" s="1"/>
      <c r="C464" s="1"/>
      <c r="D464" s="1"/>
      <c r="E464" s="1"/>
      <c r="F464" s="1"/>
      <c r="G464" s="1"/>
      <c r="H464" s="1"/>
      <c r="I464" s="61"/>
      <c r="J464" s="1"/>
      <c r="K464" s="1"/>
    </row>
    <row r="465" spans="1:11" ht="15.75" customHeight="1">
      <c r="A465" s="2"/>
      <c r="B465" s="1"/>
      <c r="C465" s="1"/>
      <c r="D465" s="1"/>
      <c r="E465" s="1"/>
      <c r="F465" s="1"/>
      <c r="G465" s="1"/>
      <c r="H465" s="1"/>
      <c r="I465" s="61"/>
      <c r="J465" s="1"/>
      <c r="K465" s="1"/>
    </row>
    <row r="466" spans="1:11" ht="15.75" customHeight="1">
      <c r="A466" s="2"/>
      <c r="B466" s="1"/>
      <c r="C466" s="1"/>
      <c r="D466" s="1"/>
      <c r="E466" s="1"/>
      <c r="F466" s="1"/>
      <c r="G466" s="1"/>
      <c r="H466" s="1"/>
      <c r="I466" s="61"/>
      <c r="J466" s="1"/>
      <c r="K466" s="1"/>
    </row>
    <row r="467" spans="1:11" ht="15.75" customHeight="1">
      <c r="A467" s="2"/>
      <c r="B467" s="1"/>
      <c r="C467" s="1"/>
      <c r="D467" s="1"/>
      <c r="E467" s="1"/>
      <c r="F467" s="1"/>
      <c r="G467" s="1"/>
      <c r="H467" s="1"/>
      <c r="I467" s="61"/>
      <c r="J467" s="1"/>
      <c r="K467" s="1"/>
    </row>
    <row r="468" spans="1:11" ht="15.75" customHeight="1">
      <c r="A468" s="2"/>
      <c r="B468" s="1"/>
      <c r="C468" s="1"/>
      <c r="D468" s="1"/>
      <c r="E468" s="1"/>
      <c r="F468" s="1"/>
      <c r="G468" s="1"/>
      <c r="H468" s="1"/>
      <c r="I468" s="61"/>
      <c r="J468" s="1"/>
      <c r="K468" s="1"/>
    </row>
    <row r="469" spans="1:11" ht="15.75" customHeight="1">
      <c r="A469" s="2"/>
      <c r="B469" s="1"/>
      <c r="C469" s="1"/>
      <c r="D469" s="1"/>
      <c r="E469" s="1"/>
      <c r="F469" s="1"/>
      <c r="G469" s="1"/>
      <c r="H469" s="1"/>
      <c r="I469" s="61"/>
      <c r="J469" s="1"/>
      <c r="K469" s="1"/>
    </row>
    <row r="470" spans="1:11" ht="15.75" customHeight="1">
      <c r="A470" s="2"/>
      <c r="B470" s="1"/>
      <c r="C470" s="1"/>
      <c r="D470" s="1"/>
      <c r="E470" s="1"/>
      <c r="F470" s="1"/>
      <c r="G470" s="1"/>
      <c r="H470" s="1"/>
      <c r="I470" s="61"/>
      <c r="J470" s="1"/>
      <c r="K470" s="1"/>
    </row>
    <row r="471" spans="1:11" ht="15.75" customHeight="1">
      <c r="A471" s="2"/>
      <c r="B471" s="1"/>
      <c r="C471" s="1"/>
      <c r="D471" s="1"/>
      <c r="E471" s="1"/>
      <c r="F471" s="1"/>
      <c r="G471" s="1"/>
      <c r="H471" s="1"/>
      <c r="I471" s="61"/>
      <c r="J471" s="1"/>
      <c r="K471" s="1"/>
    </row>
    <row r="472" spans="1:11" ht="15.75" customHeight="1">
      <c r="A472" s="2"/>
      <c r="B472" s="1"/>
      <c r="C472" s="1"/>
      <c r="D472" s="1"/>
      <c r="E472" s="1"/>
      <c r="F472" s="1"/>
      <c r="G472" s="1"/>
      <c r="H472" s="1"/>
      <c r="I472" s="61"/>
      <c r="J472" s="1"/>
      <c r="K472" s="1"/>
    </row>
    <row r="473" spans="1:11" ht="15.75" customHeight="1">
      <c r="A473" s="2"/>
      <c r="B473" s="1"/>
      <c r="C473" s="1"/>
      <c r="D473" s="1"/>
      <c r="E473" s="1"/>
      <c r="F473" s="1"/>
      <c r="G473" s="1"/>
      <c r="H473" s="1"/>
      <c r="I473" s="61"/>
      <c r="J473" s="1"/>
      <c r="K473" s="1"/>
    </row>
    <row r="474" spans="1:11" ht="15.75" customHeight="1">
      <c r="A474" s="2"/>
      <c r="B474" s="1"/>
      <c r="C474" s="1"/>
      <c r="D474" s="1"/>
      <c r="E474" s="1"/>
      <c r="F474" s="1"/>
      <c r="G474" s="1"/>
      <c r="H474" s="1"/>
      <c r="I474" s="61"/>
      <c r="J474" s="1"/>
      <c r="K474" s="1"/>
    </row>
    <row r="475" spans="1:11" ht="15.75" customHeight="1">
      <c r="A475" s="2"/>
      <c r="B475" s="1"/>
      <c r="C475" s="1"/>
      <c r="D475" s="1"/>
      <c r="E475" s="1"/>
      <c r="F475" s="1"/>
      <c r="G475" s="1"/>
      <c r="H475" s="1"/>
      <c r="I475" s="61"/>
      <c r="J475" s="1"/>
      <c r="K475" s="1"/>
    </row>
    <row r="476" spans="1:11" ht="15.75" customHeight="1">
      <c r="A476" s="2"/>
      <c r="B476" s="1"/>
      <c r="C476" s="1"/>
      <c r="D476" s="1"/>
      <c r="E476" s="1"/>
      <c r="F476" s="1"/>
      <c r="G476" s="1"/>
      <c r="H476" s="1"/>
      <c r="I476" s="61"/>
      <c r="J476" s="1"/>
      <c r="K476" s="1"/>
    </row>
    <row r="477" spans="1:11" ht="15.75" customHeight="1">
      <c r="A477" s="2"/>
      <c r="B477" s="1"/>
      <c r="C477" s="1"/>
      <c r="D477" s="1"/>
      <c r="E477" s="1"/>
      <c r="F477" s="1"/>
      <c r="G477" s="1"/>
      <c r="H477" s="1"/>
      <c r="I477" s="61"/>
      <c r="J477" s="1"/>
      <c r="K477" s="1"/>
    </row>
    <row r="478" spans="1:11" ht="15.75" customHeight="1">
      <c r="A478" s="2"/>
      <c r="B478" s="1"/>
      <c r="C478" s="1"/>
      <c r="D478" s="1"/>
      <c r="E478" s="1"/>
      <c r="F478" s="1"/>
      <c r="G478" s="1"/>
      <c r="H478" s="1"/>
      <c r="I478" s="61"/>
      <c r="J478" s="1"/>
      <c r="K478" s="1"/>
    </row>
    <row r="479" spans="1:11" ht="15.75" customHeight="1">
      <c r="A479" s="2"/>
      <c r="B479" s="1"/>
      <c r="C479" s="1"/>
      <c r="D479" s="1"/>
      <c r="E479" s="1"/>
      <c r="F479" s="1"/>
      <c r="G479" s="1"/>
      <c r="H479" s="1"/>
      <c r="I479" s="61"/>
      <c r="J479" s="1"/>
      <c r="K479" s="1"/>
    </row>
    <row r="480" spans="1:11" ht="15.75" customHeight="1">
      <c r="A480" s="2"/>
      <c r="B480" s="1"/>
      <c r="C480" s="1"/>
      <c r="D480" s="1"/>
      <c r="E480" s="1"/>
      <c r="F480" s="1"/>
      <c r="G480" s="1"/>
      <c r="H480" s="1"/>
      <c r="I480" s="61"/>
      <c r="J480" s="1"/>
      <c r="K480" s="1"/>
    </row>
    <row r="481" spans="1:11" ht="15.75" customHeight="1">
      <c r="A481" s="2"/>
      <c r="B481" s="1"/>
      <c r="C481" s="1"/>
      <c r="D481" s="1"/>
      <c r="E481" s="1"/>
      <c r="F481" s="1"/>
      <c r="G481" s="1"/>
      <c r="H481" s="1"/>
      <c r="I481" s="61"/>
      <c r="J481" s="1"/>
      <c r="K481" s="1"/>
    </row>
    <row r="482" spans="1:11" ht="15.75" customHeight="1">
      <c r="A482" s="2"/>
      <c r="B482" s="1"/>
      <c r="C482" s="1"/>
      <c r="D482" s="1"/>
      <c r="E482" s="1"/>
      <c r="F482" s="1"/>
      <c r="G482" s="1"/>
      <c r="H482" s="1"/>
      <c r="I482" s="61"/>
      <c r="J482" s="1"/>
      <c r="K482" s="1"/>
    </row>
    <row r="483" spans="1:11" ht="15.75" customHeight="1">
      <c r="A483" s="2"/>
      <c r="B483" s="1"/>
      <c r="C483" s="1"/>
      <c r="D483" s="1"/>
      <c r="E483" s="1"/>
      <c r="F483" s="1"/>
      <c r="G483" s="1"/>
      <c r="H483" s="1"/>
      <c r="I483" s="61"/>
      <c r="J483" s="1"/>
      <c r="K483" s="1"/>
    </row>
    <row r="484" spans="1:11" ht="15.75" customHeight="1">
      <c r="A484" s="2"/>
      <c r="B484" s="1"/>
      <c r="C484" s="1"/>
      <c r="D484" s="1"/>
      <c r="E484" s="1"/>
      <c r="F484" s="1"/>
      <c r="G484" s="1"/>
      <c r="H484" s="1"/>
      <c r="I484" s="61"/>
      <c r="J484" s="1"/>
      <c r="K484" s="1"/>
    </row>
    <row r="485" spans="1:11" ht="15.75" customHeight="1">
      <c r="A485" s="2"/>
      <c r="B485" s="1"/>
      <c r="C485" s="1"/>
      <c r="D485" s="1"/>
      <c r="E485" s="1"/>
      <c r="F485" s="1"/>
      <c r="G485" s="1"/>
      <c r="H485" s="1"/>
      <c r="I485" s="61"/>
      <c r="J485" s="1"/>
      <c r="K485" s="1"/>
    </row>
    <row r="486" spans="1:11" ht="15.75" customHeight="1">
      <c r="A486" s="2"/>
      <c r="B486" s="1"/>
      <c r="C486" s="1"/>
      <c r="D486" s="1"/>
      <c r="E486" s="1"/>
      <c r="F486" s="1"/>
      <c r="G486" s="1"/>
      <c r="H486" s="1"/>
      <c r="I486" s="61"/>
      <c r="J486" s="1"/>
      <c r="K486" s="1"/>
    </row>
    <row r="487" spans="1:11" ht="15.75" customHeight="1">
      <c r="A487" s="2"/>
      <c r="B487" s="1"/>
      <c r="C487" s="1"/>
      <c r="D487" s="1"/>
      <c r="E487" s="1"/>
      <c r="F487" s="1"/>
      <c r="G487" s="1"/>
      <c r="H487" s="1"/>
      <c r="I487" s="61"/>
      <c r="J487" s="1"/>
      <c r="K487" s="1"/>
    </row>
    <row r="488" spans="1:11" ht="15.75" customHeight="1">
      <c r="A488" s="2"/>
      <c r="B488" s="1"/>
      <c r="C488" s="1"/>
      <c r="D488" s="1"/>
      <c r="E488" s="1"/>
      <c r="F488" s="1"/>
      <c r="G488" s="1"/>
      <c r="H488" s="1"/>
      <c r="I488" s="61"/>
      <c r="J488" s="1"/>
      <c r="K488" s="1"/>
    </row>
    <row r="489" spans="1:11" ht="15.75" customHeight="1">
      <c r="A489" s="2"/>
      <c r="B489" s="1"/>
      <c r="C489" s="1"/>
      <c r="D489" s="1"/>
      <c r="E489" s="1"/>
      <c r="F489" s="1"/>
      <c r="G489" s="1"/>
      <c r="H489" s="1"/>
      <c r="I489" s="61"/>
      <c r="J489" s="1"/>
      <c r="K489" s="1"/>
    </row>
    <row r="490" spans="1:11" ht="15.75" customHeight="1">
      <c r="A490" s="2"/>
      <c r="B490" s="1"/>
      <c r="C490" s="1"/>
      <c r="D490" s="1"/>
      <c r="E490" s="1"/>
      <c r="F490" s="1"/>
      <c r="G490" s="1"/>
      <c r="H490" s="1"/>
      <c r="I490" s="61"/>
      <c r="J490" s="1"/>
      <c r="K490" s="1"/>
    </row>
    <row r="491" spans="1:11" ht="15.75" customHeight="1">
      <c r="A491" s="2"/>
      <c r="B491" s="1"/>
      <c r="C491" s="1"/>
      <c r="D491" s="1"/>
      <c r="E491" s="1"/>
      <c r="F491" s="1"/>
      <c r="G491" s="1"/>
      <c r="H491" s="1"/>
      <c r="I491" s="61"/>
      <c r="J491" s="1"/>
      <c r="K491" s="1"/>
    </row>
    <row r="492" spans="1:11" ht="15.75" customHeight="1">
      <c r="A492" s="2"/>
      <c r="B492" s="1"/>
      <c r="C492" s="1"/>
      <c r="D492" s="1"/>
      <c r="E492" s="1"/>
      <c r="F492" s="1"/>
      <c r="G492" s="1"/>
      <c r="H492" s="1"/>
      <c r="I492" s="61"/>
      <c r="J492" s="1"/>
      <c r="K492" s="1"/>
    </row>
    <row r="493" spans="1:11" ht="15.75" customHeight="1">
      <c r="A493" s="2"/>
      <c r="B493" s="1"/>
      <c r="C493" s="1"/>
      <c r="D493" s="1"/>
      <c r="E493" s="1"/>
      <c r="F493" s="1"/>
      <c r="G493" s="1"/>
      <c r="H493" s="1"/>
      <c r="I493" s="61"/>
      <c r="J493" s="1"/>
      <c r="K493" s="1"/>
    </row>
    <row r="494" spans="1:11" ht="15.75" customHeight="1">
      <c r="A494" s="2"/>
      <c r="B494" s="1"/>
      <c r="C494" s="1"/>
      <c r="D494" s="1"/>
      <c r="E494" s="1"/>
      <c r="F494" s="1"/>
      <c r="G494" s="1"/>
      <c r="H494" s="1"/>
      <c r="I494" s="61"/>
      <c r="J494" s="1"/>
      <c r="K494" s="1"/>
    </row>
    <row r="495" spans="1:11" ht="15.75" customHeight="1">
      <c r="A495" s="2"/>
      <c r="B495" s="1"/>
      <c r="C495" s="1"/>
      <c r="D495" s="1"/>
      <c r="E495" s="1"/>
      <c r="F495" s="1"/>
      <c r="G495" s="1"/>
      <c r="H495" s="1"/>
      <c r="I495" s="61"/>
      <c r="J495" s="1"/>
      <c r="K495" s="1"/>
    </row>
    <row r="496" spans="1:11" ht="15.75" customHeight="1">
      <c r="A496" s="2"/>
      <c r="B496" s="1"/>
      <c r="C496" s="1"/>
      <c r="D496" s="1"/>
      <c r="E496" s="1"/>
      <c r="F496" s="1"/>
      <c r="G496" s="1"/>
      <c r="H496" s="1"/>
      <c r="I496" s="61"/>
      <c r="J496" s="1"/>
      <c r="K496" s="1"/>
    </row>
    <row r="497" spans="1:11" ht="15.75" customHeight="1">
      <c r="A497" s="2"/>
      <c r="B497" s="1"/>
      <c r="C497" s="1"/>
      <c r="D497" s="1"/>
      <c r="E497" s="1"/>
      <c r="F497" s="1"/>
      <c r="G497" s="1"/>
      <c r="H497" s="1"/>
      <c r="I497" s="61"/>
      <c r="J497" s="1"/>
      <c r="K497" s="1"/>
    </row>
    <row r="498" spans="1:11" ht="15.75" customHeight="1">
      <c r="A498" s="2"/>
      <c r="B498" s="1"/>
      <c r="C498" s="1"/>
      <c r="D498" s="1"/>
      <c r="E498" s="1"/>
      <c r="F498" s="1"/>
      <c r="G498" s="1"/>
      <c r="H498" s="1"/>
      <c r="I498" s="61"/>
      <c r="J498" s="1"/>
      <c r="K498" s="1"/>
    </row>
    <row r="499" spans="1:11" ht="15.75" customHeight="1">
      <c r="A499" s="2"/>
      <c r="B499" s="1"/>
      <c r="C499" s="1"/>
      <c r="D499" s="1"/>
      <c r="E499" s="1"/>
      <c r="F499" s="1"/>
      <c r="G499" s="1"/>
      <c r="H499" s="1"/>
      <c r="I499" s="61"/>
      <c r="J499" s="1"/>
      <c r="K499" s="1"/>
    </row>
    <row r="500" spans="1:11" ht="15.75" customHeight="1">
      <c r="A500" s="2"/>
      <c r="B500" s="1"/>
      <c r="C500" s="1"/>
      <c r="D500" s="1"/>
      <c r="E500" s="1"/>
      <c r="F500" s="1"/>
      <c r="G500" s="1"/>
      <c r="H500" s="1"/>
      <c r="I500" s="61"/>
      <c r="J500" s="1"/>
      <c r="K500" s="1"/>
    </row>
    <row r="501" spans="1:11" ht="15.75" customHeight="1">
      <c r="A501" s="2"/>
      <c r="B501" s="1"/>
      <c r="C501" s="1"/>
      <c r="D501" s="1"/>
      <c r="E501" s="1"/>
      <c r="F501" s="1"/>
      <c r="G501" s="1"/>
      <c r="H501" s="1"/>
      <c r="I501" s="61"/>
      <c r="J501" s="1"/>
      <c r="K501" s="1"/>
    </row>
    <row r="502" spans="1:11" ht="15.75" customHeight="1">
      <c r="A502" s="2"/>
      <c r="B502" s="1"/>
      <c r="C502" s="1"/>
      <c r="D502" s="1"/>
      <c r="E502" s="1"/>
      <c r="F502" s="1"/>
      <c r="G502" s="1"/>
      <c r="H502" s="1"/>
      <c r="I502" s="61"/>
      <c r="J502" s="1"/>
      <c r="K502" s="1"/>
    </row>
    <row r="503" spans="1:11" ht="15.75" customHeight="1">
      <c r="A503" s="2"/>
      <c r="B503" s="1"/>
      <c r="C503" s="1"/>
      <c r="D503" s="1"/>
      <c r="E503" s="1"/>
      <c r="F503" s="1"/>
      <c r="G503" s="1"/>
      <c r="H503" s="1"/>
      <c r="I503" s="61"/>
      <c r="J503" s="1"/>
      <c r="K503" s="1"/>
    </row>
    <row r="504" spans="1:11" ht="15.75" customHeight="1">
      <c r="A504" s="2"/>
      <c r="B504" s="1"/>
      <c r="C504" s="1"/>
      <c r="D504" s="1"/>
      <c r="E504" s="1"/>
      <c r="F504" s="1"/>
      <c r="G504" s="1"/>
      <c r="H504" s="1"/>
      <c r="I504" s="61"/>
      <c r="J504" s="1"/>
      <c r="K504" s="1"/>
    </row>
    <row r="505" spans="1:11" ht="15.75" customHeight="1">
      <c r="A505" s="2"/>
      <c r="B505" s="1"/>
      <c r="C505" s="1"/>
      <c r="D505" s="1"/>
      <c r="E505" s="1"/>
      <c r="F505" s="1"/>
      <c r="G505" s="1"/>
      <c r="H505" s="1"/>
      <c r="I505" s="61"/>
      <c r="J505" s="1"/>
      <c r="K505" s="1"/>
    </row>
    <row r="506" spans="1:11" ht="15.75" customHeight="1">
      <c r="A506" s="2"/>
      <c r="B506" s="1"/>
      <c r="C506" s="1"/>
      <c r="D506" s="1"/>
      <c r="E506" s="1"/>
      <c r="F506" s="1"/>
      <c r="G506" s="1"/>
      <c r="H506" s="1"/>
      <c r="I506" s="61"/>
      <c r="J506" s="1"/>
      <c r="K506" s="1"/>
    </row>
    <row r="507" spans="1:11" ht="15.75" customHeight="1">
      <c r="A507" s="2"/>
      <c r="B507" s="1"/>
      <c r="C507" s="1"/>
      <c r="D507" s="1"/>
      <c r="E507" s="1"/>
      <c r="F507" s="1"/>
      <c r="G507" s="1"/>
      <c r="H507" s="1"/>
      <c r="I507" s="61"/>
      <c r="J507" s="1"/>
      <c r="K507" s="1"/>
    </row>
    <row r="508" spans="1:11" ht="15.75" customHeight="1">
      <c r="A508" s="2"/>
      <c r="B508" s="1"/>
      <c r="C508" s="1"/>
      <c r="D508" s="1"/>
      <c r="E508" s="1"/>
      <c r="F508" s="1"/>
      <c r="G508" s="1"/>
      <c r="H508" s="1"/>
      <c r="I508" s="61"/>
      <c r="J508" s="1"/>
      <c r="K508" s="1"/>
    </row>
    <row r="509" spans="1:11" ht="15.75" customHeight="1">
      <c r="A509" s="2"/>
      <c r="B509" s="1"/>
      <c r="C509" s="1"/>
      <c r="D509" s="1"/>
      <c r="E509" s="1"/>
      <c r="F509" s="1"/>
      <c r="G509" s="1"/>
      <c r="H509" s="1"/>
      <c r="I509" s="61"/>
      <c r="J509" s="1"/>
      <c r="K509" s="1"/>
    </row>
    <row r="510" spans="1:11" ht="15.75" customHeight="1">
      <c r="A510" s="2"/>
      <c r="B510" s="1"/>
      <c r="C510" s="1"/>
      <c r="D510" s="1"/>
      <c r="E510" s="1"/>
      <c r="F510" s="1"/>
      <c r="G510" s="1"/>
      <c r="H510" s="1"/>
      <c r="I510" s="61"/>
      <c r="J510" s="1"/>
      <c r="K510" s="1"/>
    </row>
    <row r="511" spans="1:11" ht="15.75" customHeight="1">
      <c r="A511" s="2"/>
      <c r="B511" s="1"/>
      <c r="C511" s="1"/>
      <c r="D511" s="1"/>
      <c r="E511" s="1"/>
      <c r="F511" s="1"/>
      <c r="G511" s="1"/>
      <c r="H511" s="1"/>
      <c r="I511" s="61"/>
      <c r="J511" s="1"/>
      <c r="K511" s="1"/>
    </row>
    <row r="512" spans="1:11" ht="15.75" customHeight="1">
      <c r="A512" s="2"/>
      <c r="B512" s="1"/>
      <c r="C512" s="1"/>
      <c r="D512" s="1"/>
      <c r="E512" s="1"/>
      <c r="F512" s="1"/>
      <c r="G512" s="1"/>
      <c r="H512" s="1"/>
      <c r="I512" s="61"/>
      <c r="J512" s="1"/>
      <c r="K512" s="1"/>
    </row>
    <row r="513" spans="1:11" ht="15.75" customHeight="1">
      <c r="A513" s="2"/>
      <c r="B513" s="1"/>
      <c r="C513" s="1"/>
      <c r="D513" s="1"/>
      <c r="E513" s="1"/>
      <c r="F513" s="1"/>
      <c r="G513" s="1"/>
      <c r="H513" s="1"/>
      <c r="I513" s="61"/>
      <c r="J513" s="1"/>
      <c r="K513" s="1"/>
    </row>
    <row r="514" spans="1:11" ht="15.75" customHeight="1">
      <c r="A514" s="2"/>
      <c r="B514" s="1"/>
      <c r="C514" s="1"/>
      <c r="D514" s="1"/>
      <c r="E514" s="1"/>
      <c r="F514" s="1"/>
      <c r="G514" s="1"/>
      <c r="H514" s="1"/>
      <c r="I514" s="61"/>
      <c r="J514" s="1"/>
      <c r="K514" s="1"/>
    </row>
    <row r="515" spans="1:11" ht="15.75" customHeight="1">
      <c r="A515" s="2"/>
      <c r="B515" s="1"/>
      <c r="C515" s="1"/>
      <c r="D515" s="1"/>
      <c r="E515" s="1"/>
      <c r="F515" s="1"/>
      <c r="G515" s="1"/>
      <c r="H515" s="1"/>
      <c r="I515" s="61"/>
      <c r="J515" s="1"/>
      <c r="K515" s="1"/>
    </row>
    <row r="516" spans="1:11" ht="15.75" customHeight="1">
      <c r="A516" s="2"/>
      <c r="B516" s="1"/>
      <c r="C516" s="1"/>
      <c r="D516" s="1"/>
      <c r="E516" s="1"/>
      <c r="F516" s="1"/>
      <c r="G516" s="1"/>
      <c r="H516" s="1"/>
      <c r="I516" s="61"/>
      <c r="J516" s="1"/>
      <c r="K516" s="1"/>
    </row>
    <row r="517" spans="1:11" ht="15.75" customHeight="1">
      <c r="A517" s="2"/>
      <c r="B517" s="1"/>
      <c r="C517" s="1"/>
      <c r="D517" s="1"/>
      <c r="E517" s="1"/>
      <c r="F517" s="1"/>
      <c r="G517" s="1"/>
      <c r="H517" s="1"/>
      <c r="I517" s="61"/>
      <c r="J517" s="1"/>
      <c r="K517" s="1"/>
    </row>
    <row r="518" spans="1:11" ht="15.75" customHeight="1">
      <c r="A518" s="2"/>
      <c r="B518" s="1"/>
      <c r="C518" s="1"/>
      <c r="D518" s="1"/>
      <c r="E518" s="1"/>
      <c r="F518" s="1"/>
      <c r="G518" s="1"/>
      <c r="H518" s="1"/>
      <c r="I518" s="61"/>
      <c r="J518" s="1"/>
      <c r="K518" s="1"/>
    </row>
    <row r="519" spans="1:11" ht="15.75" customHeight="1">
      <c r="A519" s="2"/>
      <c r="B519" s="1"/>
      <c r="C519" s="1"/>
      <c r="D519" s="1"/>
      <c r="E519" s="1"/>
      <c r="F519" s="1"/>
      <c r="G519" s="1"/>
      <c r="H519" s="1"/>
      <c r="I519" s="61"/>
      <c r="J519" s="1"/>
      <c r="K519" s="1"/>
    </row>
    <row r="520" spans="1:11" ht="15.75" customHeight="1">
      <c r="A520" s="2"/>
      <c r="B520" s="1"/>
      <c r="C520" s="1"/>
      <c r="D520" s="1"/>
      <c r="E520" s="1"/>
      <c r="F520" s="1"/>
      <c r="G520" s="1"/>
      <c r="H520" s="1"/>
      <c r="I520" s="61"/>
      <c r="J520" s="1"/>
      <c r="K520" s="1"/>
    </row>
    <row r="521" spans="1:11" ht="15.75" customHeight="1">
      <c r="A521" s="2"/>
      <c r="B521" s="1"/>
      <c r="C521" s="1"/>
      <c r="D521" s="1"/>
      <c r="E521" s="1"/>
      <c r="F521" s="1"/>
      <c r="G521" s="1"/>
      <c r="H521" s="1"/>
      <c r="I521" s="61"/>
      <c r="J521" s="1"/>
      <c r="K521" s="1"/>
    </row>
    <row r="522" spans="1:11" ht="15.75" customHeight="1">
      <c r="A522" s="2"/>
      <c r="B522" s="1"/>
      <c r="C522" s="1"/>
      <c r="D522" s="1"/>
      <c r="E522" s="1"/>
      <c r="F522" s="1"/>
      <c r="G522" s="1"/>
      <c r="H522" s="1"/>
      <c r="I522" s="61"/>
      <c r="J522" s="1"/>
      <c r="K522" s="1"/>
    </row>
    <row r="523" spans="1:11" ht="15.75" customHeight="1">
      <c r="A523" s="2"/>
      <c r="B523" s="1"/>
      <c r="C523" s="1"/>
      <c r="D523" s="1"/>
      <c r="E523" s="1"/>
      <c r="F523" s="1"/>
      <c r="G523" s="1"/>
      <c r="H523" s="1"/>
      <c r="I523" s="61"/>
      <c r="J523" s="1"/>
      <c r="K523" s="1"/>
    </row>
    <row r="524" spans="1:11" ht="15.75" customHeight="1">
      <c r="A524" s="2"/>
      <c r="B524" s="1"/>
      <c r="C524" s="1"/>
      <c r="D524" s="1"/>
      <c r="E524" s="1"/>
      <c r="F524" s="1"/>
      <c r="G524" s="1"/>
      <c r="H524" s="1"/>
      <c r="I524" s="61"/>
      <c r="J524" s="1"/>
      <c r="K524" s="1"/>
    </row>
    <row r="525" spans="1:11" ht="15.75" customHeight="1">
      <c r="A525" s="2"/>
      <c r="B525" s="1"/>
      <c r="C525" s="1"/>
      <c r="D525" s="1"/>
      <c r="E525" s="1"/>
      <c r="F525" s="1"/>
      <c r="G525" s="1"/>
      <c r="H525" s="1"/>
      <c r="I525" s="61"/>
      <c r="J525" s="1"/>
      <c r="K525" s="1"/>
    </row>
    <row r="526" spans="1:11" ht="15.75" customHeight="1">
      <c r="A526" s="2"/>
      <c r="B526" s="1"/>
      <c r="C526" s="1"/>
      <c r="D526" s="1"/>
      <c r="E526" s="1"/>
      <c r="F526" s="1"/>
      <c r="G526" s="1"/>
      <c r="H526" s="1"/>
      <c r="I526" s="61"/>
      <c r="J526" s="1"/>
      <c r="K526" s="1"/>
    </row>
    <row r="527" spans="1:11" ht="15.75" customHeight="1">
      <c r="A527" s="2"/>
      <c r="B527" s="1"/>
      <c r="C527" s="1"/>
      <c r="D527" s="1"/>
      <c r="E527" s="1"/>
      <c r="F527" s="1"/>
      <c r="G527" s="1"/>
      <c r="H527" s="1"/>
      <c r="I527" s="61"/>
      <c r="J527" s="1"/>
      <c r="K527" s="1"/>
    </row>
    <row r="528" spans="1:11" ht="15.75" customHeight="1">
      <c r="A528" s="2"/>
      <c r="B528" s="1"/>
      <c r="C528" s="1"/>
      <c r="D528" s="1"/>
      <c r="E528" s="1"/>
      <c r="F528" s="1"/>
      <c r="G528" s="1"/>
      <c r="H528" s="1"/>
      <c r="I528" s="61"/>
      <c r="J528" s="1"/>
      <c r="K528" s="1"/>
    </row>
    <row r="529" spans="1:11" ht="15.75" customHeight="1">
      <c r="A529" s="2"/>
      <c r="B529" s="1"/>
      <c r="C529" s="1"/>
      <c r="D529" s="1"/>
      <c r="E529" s="1"/>
      <c r="F529" s="1"/>
      <c r="G529" s="1"/>
      <c r="H529" s="1"/>
      <c r="I529" s="61"/>
      <c r="J529" s="1"/>
      <c r="K529" s="1"/>
    </row>
    <row r="530" spans="1:11" ht="15.75" customHeight="1">
      <c r="A530" s="2"/>
      <c r="B530" s="1"/>
      <c r="C530" s="1"/>
      <c r="D530" s="1"/>
      <c r="E530" s="1"/>
      <c r="F530" s="1"/>
      <c r="G530" s="1"/>
      <c r="H530" s="1"/>
      <c r="I530" s="61"/>
      <c r="J530" s="1"/>
      <c r="K530" s="1"/>
    </row>
    <row r="531" spans="1:11" ht="15.75" customHeight="1">
      <c r="A531" s="2"/>
      <c r="B531" s="1"/>
      <c r="C531" s="1"/>
      <c r="D531" s="1"/>
      <c r="E531" s="1"/>
      <c r="F531" s="1"/>
      <c r="G531" s="1"/>
      <c r="H531" s="1"/>
      <c r="I531" s="61"/>
      <c r="J531" s="1"/>
      <c r="K531" s="1"/>
    </row>
    <row r="532" spans="1:11" ht="15.75" customHeight="1">
      <c r="A532" s="2"/>
      <c r="B532" s="1"/>
      <c r="C532" s="1"/>
      <c r="D532" s="1"/>
      <c r="E532" s="1"/>
      <c r="F532" s="1"/>
      <c r="G532" s="1"/>
      <c r="H532" s="1"/>
      <c r="I532" s="61"/>
      <c r="J532" s="1"/>
      <c r="K532" s="1"/>
    </row>
    <row r="533" spans="1:11" ht="15.75" customHeight="1">
      <c r="A533" s="2"/>
      <c r="B533" s="1"/>
      <c r="C533" s="1"/>
      <c r="D533" s="1"/>
      <c r="E533" s="1"/>
      <c r="F533" s="1"/>
      <c r="G533" s="1"/>
      <c r="H533" s="1"/>
      <c r="I533" s="61"/>
      <c r="J533" s="1"/>
      <c r="K533" s="1"/>
    </row>
    <row r="534" spans="1:11" ht="15.75" customHeight="1">
      <c r="A534" s="2"/>
      <c r="B534" s="1"/>
      <c r="C534" s="1"/>
      <c r="D534" s="1"/>
      <c r="E534" s="1"/>
      <c r="F534" s="1"/>
      <c r="G534" s="1"/>
      <c r="H534" s="1"/>
      <c r="I534" s="61"/>
      <c r="J534" s="1"/>
      <c r="K534" s="1"/>
    </row>
    <row r="535" spans="1:11" ht="15.75" customHeight="1">
      <c r="A535" s="2"/>
      <c r="B535" s="1"/>
      <c r="C535" s="1"/>
      <c r="D535" s="1"/>
      <c r="E535" s="1"/>
      <c r="F535" s="1"/>
      <c r="G535" s="1"/>
      <c r="H535" s="1"/>
      <c r="I535" s="61"/>
      <c r="J535" s="1"/>
      <c r="K535" s="1"/>
    </row>
    <row r="536" spans="1:11" ht="15.75" customHeight="1">
      <c r="A536" s="2"/>
      <c r="B536" s="1"/>
      <c r="C536" s="1"/>
      <c r="D536" s="1"/>
      <c r="E536" s="1"/>
      <c r="F536" s="1"/>
      <c r="G536" s="1"/>
      <c r="H536" s="1"/>
      <c r="I536" s="61"/>
      <c r="J536" s="1"/>
      <c r="K536" s="1"/>
    </row>
    <row r="537" spans="1:11" ht="15.75" customHeight="1">
      <c r="A537" s="2"/>
      <c r="B537" s="1"/>
      <c r="C537" s="1"/>
      <c r="D537" s="1"/>
      <c r="E537" s="1"/>
      <c r="F537" s="1"/>
      <c r="G537" s="1"/>
      <c r="H537" s="1"/>
      <c r="I537" s="61"/>
      <c r="J537" s="1"/>
      <c r="K537" s="1"/>
    </row>
    <row r="538" spans="1:11" ht="15.75" customHeight="1">
      <c r="A538" s="2"/>
      <c r="B538" s="1"/>
      <c r="C538" s="1"/>
      <c r="D538" s="1"/>
      <c r="E538" s="1"/>
      <c r="F538" s="1"/>
      <c r="G538" s="1"/>
      <c r="H538" s="1"/>
      <c r="I538" s="61"/>
      <c r="J538" s="1"/>
      <c r="K538" s="1"/>
    </row>
    <row r="539" spans="1:11" ht="15.75" customHeight="1">
      <c r="A539" s="2"/>
      <c r="B539" s="1"/>
      <c r="C539" s="1"/>
      <c r="D539" s="1"/>
      <c r="E539" s="1"/>
      <c r="F539" s="1"/>
      <c r="G539" s="1"/>
      <c r="H539" s="1"/>
      <c r="I539" s="61"/>
      <c r="J539" s="1"/>
      <c r="K539" s="1"/>
    </row>
    <row r="540" spans="1:11" ht="15.75" customHeight="1">
      <c r="A540" s="2"/>
      <c r="B540" s="1"/>
      <c r="C540" s="1"/>
      <c r="D540" s="1"/>
      <c r="E540" s="1"/>
      <c r="F540" s="1"/>
      <c r="G540" s="1"/>
      <c r="H540" s="1"/>
      <c r="I540" s="61"/>
      <c r="J540" s="1"/>
      <c r="K540" s="1"/>
    </row>
    <row r="541" spans="1:11" ht="15.75" customHeight="1">
      <c r="A541" s="2"/>
      <c r="B541" s="1"/>
      <c r="C541" s="1"/>
      <c r="D541" s="1"/>
      <c r="E541" s="1"/>
      <c r="F541" s="1"/>
      <c r="G541" s="1"/>
      <c r="H541" s="1"/>
      <c r="I541" s="61"/>
      <c r="J541" s="1"/>
      <c r="K541" s="1"/>
    </row>
    <row r="542" spans="1:11" ht="15.75" customHeight="1">
      <c r="A542" s="2"/>
      <c r="B542" s="1"/>
      <c r="C542" s="1"/>
      <c r="D542" s="1"/>
      <c r="E542" s="1"/>
      <c r="F542" s="1"/>
      <c r="G542" s="1"/>
      <c r="H542" s="1"/>
      <c r="I542" s="61"/>
      <c r="J542" s="1"/>
      <c r="K542" s="1"/>
    </row>
    <row r="543" spans="1:11" ht="15.75" customHeight="1">
      <c r="A543" s="2"/>
      <c r="B543" s="1"/>
      <c r="C543" s="1"/>
      <c r="D543" s="1"/>
      <c r="E543" s="1"/>
      <c r="F543" s="1"/>
      <c r="G543" s="1"/>
      <c r="H543" s="1"/>
      <c r="I543" s="61"/>
      <c r="J543" s="1"/>
      <c r="K543" s="1"/>
    </row>
    <row r="544" spans="1:11" ht="15.75" customHeight="1">
      <c r="A544" s="2"/>
      <c r="B544" s="1"/>
      <c r="C544" s="1"/>
      <c r="D544" s="1"/>
      <c r="E544" s="1"/>
      <c r="F544" s="1"/>
      <c r="G544" s="1"/>
      <c r="H544" s="1"/>
      <c r="I544" s="61"/>
      <c r="J544" s="1"/>
      <c r="K544" s="1"/>
    </row>
    <row r="545" spans="1:11" ht="15.75" customHeight="1">
      <c r="A545" s="2"/>
      <c r="B545" s="1"/>
      <c r="C545" s="1"/>
      <c r="D545" s="1"/>
      <c r="E545" s="1"/>
      <c r="F545" s="1"/>
      <c r="G545" s="1"/>
      <c r="H545" s="1"/>
      <c r="I545" s="61"/>
      <c r="J545" s="1"/>
      <c r="K545" s="1"/>
    </row>
    <row r="546" spans="1:11" ht="15.75" customHeight="1">
      <c r="A546" s="2"/>
      <c r="B546" s="1"/>
      <c r="C546" s="1"/>
      <c r="D546" s="1"/>
      <c r="E546" s="1"/>
      <c r="F546" s="1"/>
      <c r="G546" s="1"/>
      <c r="H546" s="1"/>
      <c r="I546" s="61"/>
      <c r="J546" s="1"/>
      <c r="K546" s="1"/>
    </row>
    <row r="547" spans="1:11" ht="15.75" customHeight="1">
      <c r="A547" s="2"/>
      <c r="B547" s="1"/>
      <c r="C547" s="1"/>
      <c r="D547" s="1"/>
      <c r="E547" s="1"/>
      <c r="F547" s="1"/>
      <c r="G547" s="1"/>
      <c r="H547" s="1"/>
      <c r="I547" s="61"/>
      <c r="J547" s="1"/>
      <c r="K547" s="1"/>
    </row>
    <row r="548" spans="1:11" ht="15.75" customHeight="1">
      <c r="A548" s="2"/>
      <c r="B548" s="1"/>
      <c r="C548" s="1"/>
      <c r="D548" s="1"/>
      <c r="E548" s="1"/>
      <c r="F548" s="1"/>
      <c r="G548" s="1"/>
      <c r="H548" s="1"/>
      <c r="I548" s="61"/>
      <c r="J548" s="1"/>
      <c r="K548" s="1"/>
    </row>
    <row r="549" spans="1:11" ht="15.75" customHeight="1">
      <c r="A549" s="2"/>
      <c r="B549" s="1"/>
      <c r="C549" s="1"/>
      <c r="D549" s="1"/>
      <c r="E549" s="1"/>
      <c r="F549" s="1"/>
      <c r="G549" s="1"/>
      <c r="H549" s="1"/>
      <c r="I549" s="61"/>
      <c r="J549" s="1"/>
      <c r="K549" s="1"/>
    </row>
    <row r="550" spans="1:11" ht="15.75" customHeight="1">
      <c r="A550" s="2"/>
      <c r="B550" s="1"/>
      <c r="C550" s="1"/>
      <c r="D550" s="1"/>
      <c r="E550" s="1"/>
      <c r="F550" s="1"/>
      <c r="G550" s="1"/>
      <c r="H550" s="1"/>
      <c r="I550" s="61"/>
      <c r="J550" s="1"/>
      <c r="K550" s="1"/>
    </row>
    <row r="551" spans="1:11" ht="15.75" customHeight="1">
      <c r="A551" s="2"/>
      <c r="B551" s="1"/>
      <c r="C551" s="1"/>
      <c r="D551" s="1"/>
      <c r="E551" s="1"/>
      <c r="F551" s="1"/>
      <c r="G551" s="1"/>
      <c r="H551" s="1"/>
      <c r="I551" s="61"/>
      <c r="J551" s="1"/>
      <c r="K551" s="1"/>
    </row>
    <row r="552" spans="1:11" ht="15.75" customHeight="1">
      <c r="A552" s="2"/>
      <c r="B552" s="1"/>
      <c r="C552" s="1"/>
      <c r="D552" s="1"/>
      <c r="E552" s="1"/>
      <c r="F552" s="1"/>
      <c r="G552" s="1"/>
      <c r="H552" s="1"/>
      <c r="I552" s="61"/>
      <c r="J552" s="1"/>
      <c r="K552" s="1"/>
    </row>
    <row r="553" spans="1:11" ht="15.75" customHeight="1">
      <c r="A553" s="2"/>
      <c r="B553" s="1"/>
      <c r="C553" s="1"/>
      <c r="D553" s="1"/>
      <c r="E553" s="1"/>
      <c r="F553" s="1"/>
      <c r="G553" s="1"/>
      <c r="H553" s="1"/>
      <c r="I553" s="61"/>
      <c r="J553" s="1"/>
      <c r="K553" s="1"/>
    </row>
    <row r="554" spans="1:11" ht="15.75" customHeight="1">
      <c r="A554" s="2"/>
      <c r="B554" s="1"/>
      <c r="C554" s="1"/>
      <c r="D554" s="1"/>
      <c r="E554" s="1"/>
      <c r="F554" s="1"/>
      <c r="G554" s="1"/>
      <c r="H554" s="1"/>
      <c r="I554" s="61"/>
      <c r="J554" s="1"/>
      <c r="K554" s="1"/>
    </row>
    <row r="555" spans="1:11" ht="15.75" customHeight="1">
      <c r="A555" s="2"/>
      <c r="B555" s="1"/>
      <c r="C555" s="1"/>
      <c r="D555" s="1"/>
      <c r="E555" s="1"/>
      <c r="F555" s="1"/>
      <c r="G555" s="1"/>
      <c r="H555" s="1"/>
      <c r="I555" s="61"/>
      <c r="J555" s="1"/>
      <c r="K555" s="1"/>
    </row>
    <row r="556" spans="1:11" ht="15.75" customHeight="1">
      <c r="A556" s="2"/>
      <c r="B556" s="1"/>
      <c r="C556" s="1"/>
      <c r="D556" s="1"/>
      <c r="E556" s="1"/>
      <c r="F556" s="1"/>
      <c r="G556" s="1"/>
      <c r="H556" s="1"/>
      <c r="I556" s="61"/>
      <c r="J556" s="1"/>
      <c r="K556" s="1"/>
    </row>
    <row r="557" spans="1:11" ht="15.75" customHeight="1">
      <c r="A557" s="2"/>
      <c r="B557" s="1"/>
      <c r="C557" s="1"/>
      <c r="D557" s="1"/>
      <c r="E557" s="1"/>
      <c r="F557" s="1"/>
      <c r="G557" s="1"/>
      <c r="H557" s="1"/>
      <c r="I557" s="61"/>
      <c r="J557" s="1"/>
      <c r="K557" s="1"/>
    </row>
    <row r="558" spans="1:11" ht="15.75" customHeight="1">
      <c r="A558" s="2"/>
      <c r="B558" s="1"/>
      <c r="C558" s="1"/>
      <c r="D558" s="1"/>
      <c r="E558" s="1"/>
      <c r="F558" s="1"/>
      <c r="G558" s="1"/>
      <c r="H558" s="1"/>
      <c r="I558" s="61"/>
      <c r="J558" s="1"/>
      <c r="K558" s="1"/>
    </row>
    <row r="559" spans="1:11" ht="15.75" customHeight="1">
      <c r="A559" s="2"/>
      <c r="B559" s="1"/>
      <c r="C559" s="1"/>
      <c r="D559" s="1"/>
      <c r="E559" s="1"/>
      <c r="F559" s="1"/>
      <c r="G559" s="1"/>
      <c r="H559" s="1"/>
      <c r="I559" s="61"/>
      <c r="J559" s="1"/>
      <c r="K559" s="1"/>
    </row>
    <row r="560" spans="1:11" ht="15.75" customHeight="1">
      <c r="A560" s="2"/>
      <c r="B560" s="1"/>
      <c r="C560" s="1"/>
      <c r="D560" s="1"/>
      <c r="E560" s="1"/>
      <c r="F560" s="1"/>
      <c r="G560" s="1"/>
      <c r="H560" s="1"/>
      <c r="I560" s="61"/>
      <c r="J560" s="1"/>
      <c r="K560" s="1"/>
    </row>
    <row r="561" spans="1:11" ht="15.75" customHeight="1">
      <c r="A561" s="2"/>
      <c r="B561" s="1"/>
      <c r="C561" s="1"/>
      <c r="D561" s="1"/>
      <c r="E561" s="1"/>
      <c r="F561" s="1"/>
      <c r="G561" s="1"/>
      <c r="H561" s="1"/>
      <c r="I561" s="61"/>
      <c r="J561" s="1"/>
      <c r="K561" s="1"/>
    </row>
    <row r="562" spans="1:11" ht="15.75" customHeight="1">
      <c r="A562" s="2"/>
      <c r="B562" s="1"/>
      <c r="C562" s="1"/>
      <c r="D562" s="1"/>
      <c r="E562" s="1"/>
      <c r="F562" s="1"/>
      <c r="G562" s="1"/>
      <c r="H562" s="1"/>
      <c r="I562" s="61"/>
      <c r="J562" s="1"/>
      <c r="K562" s="1"/>
    </row>
    <row r="563" spans="1:11" ht="15.75" customHeight="1">
      <c r="A563" s="2"/>
      <c r="B563" s="1"/>
      <c r="C563" s="1"/>
      <c r="D563" s="1"/>
      <c r="E563" s="1"/>
      <c r="F563" s="1"/>
      <c r="G563" s="1"/>
      <c r="H563" s="1"/>
      <c r="I563" s="61"/>
      <c r="J563" s="1"/>
      <c r="K563" s="1"/>
    </row>
    <row r="564" spans="1:11" ht="15.75" customHeight="1">
      <c r="A564" s="2"/>
      <c r="B564" s="1"/>
      <c r="C564" s="1"/>
      <c r="D564" s="1"/>
      <c r="E564" s="1"/>
      <c r="F564" s="1"/>
      <c r="G564" s="1"/>
      <c r="H564" s="1"/>
      <c r="I564" s="61"/>
      <c r="J564" s="1"/>
      <c r="K564" s="1"/>
    </row>
    <row r="565" spans="1:11" ht="15.75" customHeight="1">
      <c r="A565" s="2"/>
      <c r="B565" s="1"/>
      <c r="C565" s="1"/>
      <c r="D565" s="1"/>
      <c r="E565" s="1"/>
      <c r="F565" s="1"/>
      <c r="G565" s="1"/>
      <c r="H565" s="1"/>
      <c r="I565" s="61"/>
      <c r="J565" s="1"/>
      <c r="K565" s="1"/>
    </row>
    <row r="566" spans="1:11" ht="15.75" customHeight="1">
      <c r="A566" s="2"/>
      <c r="B566" s="1"/>
      <c r="C566" s="1"/>
      <c r="D566" s="1"/>
      <c r="E566" s="1"/>
      <c r="F566" s="1"/>
      <c r="G566" s="1"/>
      <c r="H566" s="1"/>
      <c r="I566" s="61"/>
      <c r="J566" s="1"/>
      <c r="K566" s="1"/>
    </row>
    <row r="567" spans="1:11" ht="15.75" customHeight="1">
      <c r="A567" s="2"/>
      <c r="B567" s="1"/>
      <c r="C567" s="1"/>
      <c r="D567" s="1"/>
      <c r="E567" s="1"/>
      <c r="F567" s="1"/>
      <c r="G567" s="1"/>
      <c r="H567" s="1"/>
      <c r="I567" s="61"/>
      <c r="J567" s="1"/>
      <c r="K567" s="1"/>
    </row>
    <row r="568" spans="1:11" ht="15.75" customHeight="1">
      <c r="A568" s="2"/>
      <c r="B568" s="1"/>
      <c r="C568" s="1"/>
      <c r="D568" s="1"/>
      <c r="E568" s="1"/>
      <c r="F568" s="1"/>
      <c r="G568" s="1"/>
      <c r="H568" s="1"/>
      <c r="I568" s="61"/>
      <c r="J568" s="1"/>
      <c r="K568" s="1"/>
    </row>
    <row r="569" spans="1:11" ht="15.75" customHeight="1">
      <c r="A569" s="2"/>
      <c r="B569" s="1"/>
      <c r="C569" s="1"/>
      <c r="D569" s="1"/>
      <c r="E569" s="1"/>
      <c r="F569" s="1"/>
      <c r="G569" s="1"/>
      <c r="H569" s="1"/>
      <c r="I569" s="61"/>
      <c r="J569" s="1"/>
      <c r="K569" s="1"/>
    </row>
    <row r="570" spans="1:11" ht="15.75" customHeight="1">
      <c r="A570" s="2"/>
      <c r="B570" s="1"/>
      <c r="C570" s="1"/>
      <c r="D570" s="1"/>
      <c r="E570" s="1"/>
      <c r="F570" s="1"/>
      <c r="G570" s="1"/>
      <c r="H570" s="1"/>
      <c r="I570" s="61"/>
      <c r="J570" s="1"/>
      <c r="K570" s="1"/>
    </row>
    <row r="571" spans="1:11" ht="15.75" customHeight="1">
      <c r="A571" s="2"/>
      <c r="B571" s="1"/>
      <c r="C571" s="1"/>
      <c r="D571" s="1"/>
      <c r="E571" s="1"/>
      <c r="F571" s="1"/>
      <c r="G571" s="1"/>
      <c r="H571" s="1"/>
      <c r="I571" s="61"/>
      <c r="J571" s="1"/>
      <c r="K571" s="1"/>
    </row>
    <row r="572" spans="1:11" ht="15.75" customHeight="1">
      <c r="A572" s="2"/>
      <c r="B572" s="1"/>
      <c r="C572" s="1"/>
      <c r="D572" s="1"/>
      <c r="E572" s="1"/>
      <c r="F572" s="1"/>
      <c r="G572" s="1"/>
      <c r="H572" s="1"/>
      <c r="I572" s="61"/>
      <c r="J572" s="1"/>
      <c r="K572" s="1"/>
    </row>
    <row r="573" spans="1:11" ht="15.75" customHeight="1">
      <c r="A573" s="2"/>
      <c r="B573" s="1"/>
      <c r="C573" s="1"/>
      <c r="D573" s="1"/>
      <c r="E573" s="1"/>
      <c r="F573" s="1"/>
      <c r="G573" s="1"/>
      <c r="H573" s="1"/>
      <c r="I573" s="61"/>
      <c r="J573" s="1"/>
      <c r="K573" s="1"/>
    </row>
    <row r="574" spans="1:11" ht="15.75" customHeight="1">
      <c r="A574" s="2"/>
      <c r="B574" s="1"/>
      <c r="C574" s="1"/>
      <c r="D574" s="1"/>
      <c r="E574" s="1"/>
      <c r="F574" s="1"/>
      <c r="G574" s="1"/>
      <c r="H574" s="1"/>
      <c r="I574" s="61"/>
      <c r="J574" s="1"/>
      <c r="K574" s="1"/>
    </row>
    <row r="575" spans="1:11" ht="15.75" customHeight="1">
      <c r="A575" s="2"/>
      <c r="B575" s="1"/>
      <c r="C575" s="1"/>
      <c r="D575" s="1"/>
      <c r="E575" s="1"/>
      <c r="F575" s="1"/>
      <c r="G575" s="1"/>
      <c r="H575" s="1"/>
      <c r="I575" s="61"/>
      <c r="J575" s="1"/>
      <c r="K575" s="1"/>
    </row>
    <row r="576" spans="1:11" ht="15.75" customHeight="1">
      <c r="A576" s="2"/>
      <c r="B576" s="1"/>
      <c r="C576" s="1"/>
      <c r="D576" s="1"/>
      <c r="E576" s="1"/>
      <c r="F576" s="1"/>
      <c r="G576" s="1"/>
      <c r="H576" s="1"/>
      <c r="I576" s="61"/>
      <c r="J576" s="1"/>
      <c r="K576" s="1"/>
    </row>
    <row r="577" spans="1:11" ht="15.75" customHeight="1">
      <c r="A577" s="2"/>
      <c r="B577" s="1"/>
      <c r="C577" s="1"/>
      <c r="D577" s="1"/>
      <c r="E577" s="1"/>
      <c r="F577" s="1"/>
      <c r="G577" s="1"/>
      <c r="H577" s="1"/>
      <c r="I577" s="61"/>
      <c r="J577" s="1"/>
      <c r="K577" s="1"/>
    </row>
    <row r="578" spans="1:11" ht="15.75" customHeight="1">
      <c r="A578" s="2"/>
      <c r="B578" s="1"/>
      <c r="C578" s="1"/>
      <c r="D578" s="1"/>
      <c r="E578" s="1"/>
      <c r="F578" s="1"/>
      <c r="G578" s="1"/>
      <c r="H578" s="1"/>
      <c r="I578" s="61"/>
      <c r="J578" s="1"/>
      <c r="K578" s="1"/>
    </row>
    <row r="579" spans="1:11" ht="15.75" customHeight="1">
      <c r="A579" s="2"/>
      <c r="B579" s="1"/>
      <c r="C579" s="1"/>
      <c r="D579" s="1"/>
      <c r="E579" s="1"/>
      <c r="F579" s="1"/>
      <c r="G579" s="1"/>
      <c r="H579" s="1"/>
      <c r="I579" s="61"/>
      <c r="J579" s="1"/>
      <c r="K579" s="1"/>
    </row>
    <row r="580" spans="1:11" ht="15.75" customHeight="1">
      <c r="A580" s="2"/>
      <c r="B580" s="1"/>
      <c r="C580" s="1"/>
      <c r="D580" s="1"/>
      <c r="E580" s="1"/>
      <c r="F580" s="1"/>
      <c r="G580" s="1"/>
      <c r="H580" s="1"/>
      <c r="I580" s="61"/>
      <c r="J580" s="1"/>
      <c r="K580" s="1"/>
    </row>
    <row r="581" spans="1:11" ht="15.75" customHeight="1">
      <c r="A581" s="2"/>
      <c r="B581" s="1"/>
      <c r="C581" s="1"/>
      <c r="D581" s="1"/>
      <c r="E581" s="1"/>
      <c r="F581" s="1"/>
      <c r="G581" s="1"/>
      <c r="H581" s="1"/>
      <c r="I581" s="61"/>
      <c r="J581" s="1"/>
      <c r="K581" s="1"/>
    </row>
    <row r="582" spans="1:11" ht="15.75" customHeight="1">
      <c r="A582" s="2"/>
      <c r="B582" s="1"/>
      <c r="C582" s="1"/>
      <c r="D582" s="1"/>
      <c r="E582" s="1"/>
      <c r="F582" s="1"/>
      <c r="G582" s="1"/>
      <c r="H582" s="1"/>
      <c r="I582" s="61"/>
      <c r="J582" s="1"/>
      <c r="K582" s="1"/>
    </row>
    <row r="583" spans="1:11" ht="15.75" customHeight="1">
      <c r="A583" s="2"/>
      <c r="B583" s="1"/>
      <c r="C583" s="1"/>
      <c r="D583" s="1"/>
      <c r="E583" s="1"/>
      <c r="F583" s="1"/>
      <c r="G583" s="1"/>
      <c r="H583" s="1"/>
      <c r="I583" s="61"/>
      <c r="J583" s="1"/>
      <c r="K583" s="1"/>
    </row>
    <row r="584" spans="1:11" ht="15.75" customHeight="1">
      <c r="A584" s="2"/>
      <c r="B584" s="1"/>
      <c r="C584" s="1"/>
      <c r="D584" s="1"/>
      <c r="E584" s="1"/>
      <c r="F584" s="1"/>
      <c r="G584" s="1"/>
      <c r="H584" s="1"/>
      <c r="I584" s="61"/>
      <c r="J584" s="1"/>
      <c r="K584" s="1"/>
    </row>
    <row r="585" spans="1:11" ht="15.75" customHeight="1">
      <c r="A585" s="2"/>
      <c r="B585" s="1"/>
      <c r="C585" s="1"/>
      <c r="D585" s="1"/>
      <c r="E585" s="1"/>
      <c r="F585" s="1"/>
      <c r="G585" s="1"/>
      <c r="H585" s="1"/>
      <c r="I585" s="61"/>
      <c r="J585" s="1"/>
      <c r="K585" s="1"/>
    </row>
    <row r="586" spans="1:11" ht="15.75" customHeight="1">
      <c r="A586" s="2"/>
      <c r="B586" s="1"/>
      <c r="C586" s="1"/>
      <c r="D586" s="1"/>
      <c r="E586" s="1"/>
      <c r="F586" s="1"/>
      <c r="G586" s="1"/>
      <c r="H586" s="1"/>
      <c r="I586" s="61"/>
      <c r="J586" s="1"/>
      <c r="K586" s="1"/>
    </row>
    <row r="587" spans="1:11" ht="15.75" customHeight="1">
      <c r="A587" s="2"/>
      <c r="B587" s="1"/>
      <c r="C587" s="1"/>
      <c r="D587" s="1"/>
      <c r="E587" s="1"/>
      <c r="F587" s="1"/>
      <c r="G587" s="1"/>
      <c r="H587" s="1"/>
      <c r="I587" s="61"/>
      <c r="J587" s="1"/>
      <c r="K587" s="1"/>
    </row>
    <row r="588" spans="1:11" ht="15.75" customHeight="1">
      <c r="A588" s="2"/>
      <c r="B588" s="1"/>
      <c r="C588" s="1"/>
      <c r="D588" s="1"/>
      <c r="E588" s="1"/>
      <c r="F588" s="1"/>
      <c r="G588" s="1"/>
      <c r="H588" s="1"/>
      <c r="I588" s="61"/>
      <c r="J588" s="1"/>
      <c r="K588" s="1"/>
    </row>
    <row r="589" spans="1:11" ht="15.75" customHeight="1">
      <c r="A589" s="2"/>
      <c r="B589" s="1"/>
      <c r="C589" s="1"/>
      <c r="D589" s="1"/>
      <c r="E589" s="1"/>
      <c r="F589" s="1"/>
      <c r="G589" s="1"/>
      <c r="H589" s="1"/>
      <c r="I589" s="61"/>
      <c r="J589" s="1"/>
      <c r="K589" s="1"/>
    </row>
    <row r="590" spans="1:11" ht="15.75" customHeight="1">
      <c r="A590" s="2"/>
      <c r="B590" s="1"/>
      <c r="C590" s="1"/>
      <c r="D590" s="1"/>
      <c r="E590" s="1"/>
      <c r="F590" s="1"/>
      <c r="G590" s="1"/>
      <c r="H590" s="1"/>
      <c r="I590" s="61"/>
      <c r="J590" s="1"/>
      <c r="K590" s="1"/>
    </row>
    <row r="591" spans="1:11" ht="15.75" customHeight="1">
      <c r="A591" s="2"/>
      <c r="B591" s="1"/>
      <c r="C591" s="1"/>
      <c r="D591" s="1"/>
      <c r="E591" s="1"/>
      <c r="F591" s="1"/>
      <c r="G591" s="1"/>
      <c r="H591" s="1"/>
      <c r="I591" s="61"/>
      <c r="J591" s="1"/>
      <c r="K591" s="1"/>
    </row>
    <row r="592" spans="1:11" ht="15.75" customHeight="1">
      <c r="A592" s="2"/>
      <c r="B592" s="1"/>
      <c r="C592" s="1"/>
      <c r="D592" s="1"/>
      <c r="E592" s="1"/>
      <c r="F592" s="1"/>
      <c r="G592" s="1"/>
      <c r="H592" s="1"/>
      <c r="I592" s="61"/>
      <c r="J592" s="1"/>
      <c r="K592" s="1"/>
    </row>
    <row r="593" spans="1:11" ht="15.75" customHeight="1">
      <c r="A593" s="2"/>
      <c r="B593" s="1"/>
      <c r="C593" s="1"/>
      <c r="D593" s="1"/>
      <c r="E593" s="1"/>
      <c r="F593" s="1"/>
      <c r="G593" s="1"/>
      <c r="H593" s="1"/>
      <c r="I593" s="61"/>
      <c r="J593" s="1"/>
      <c r="K593" s="1"/>
    </row>
    <row r="594" spans="1:11" ht="15.75" customHeight="1">
      <c r="A594" s="2"/>
      <c r="B594" s="1"/>
      <c r="C594" s="1"/>
      <c r="D594" s="1"/>
      <c r="E594" s="1"/>
      <c r="F594" s="1"/>
      <c r="G594" s="1"/>
      <c r="H594" s="1"/>
      <c r="I594" s="61"/>
      <c r="J594" s="1"/>
      <c r="K594" s="1"/>
    </row>
    <row r="595" spans="1:11" ht="15.75" customHeight="1">
      <c r="A595" s="2"/>
      <c r="B595" s="1"/>
      <c r="C595" s="1"/>
      <c r="D595" s="1"/>
      <c r="E595" s="1"/>
      <c r="F595" s="1"/>
      <c r="G595" s="1"/>
      <c r="H595" s="1"/>
      <c r="I595" s="61"/>
      <c r="J595" s="1"/>
      <c r="K595" s="1"/>
    </row>
    <row r="596" spans="1:11" ht="15.75" customHeight="1">
      <c r="A596" s="2"/>
      <c r="B596" s="1"/>
      <c r="C596" s="1"/>
      <c r="D596" s="1"/>
      <c r="E596" s="1"/>
      <c r="F596" s="1"/>
      <c r="G596" s="1"/>
      <c r="H596" s="1"/>
      <c r="I596" s="61"/>
      <c r="J596" s="1"/>
      <c r="K596" s="1"/>
    </row>
    <row r="597" spans="1:11" ht="15.75" customHeight="1">
      <c r="A597" s="2"/>
      <c r="B597" s="1"/>
      <c r="C597" s="1"/>
      <c r="D597" s="1"/>
      <c r="E597" s="1"/>
      <c r="F597" s="1"/>
      <c r="G597" s="1"/>
      <c r="H597" s="1"/>
      <c r="I597" s="61"/>
      <c r="J597" s="1"/>
      <c r="K597" s="1"/>
    </row>
    <row r="598" spans="1:11" ht="15.75" customHeight="1">
      <c r="A598" s="2"/>
      <c r="B598" s="1"/>
      <c r="C598" s="1"/>
      <c r="D598" s="1"/>
      <c r="E598" s="1"/>
      <c r="F598" s="1"/>
      <c r="G598" s="1"/>
      <c r="H598" s="1"/>
      <c r="I598" s="61"/>
      <c r="J598" s="1"/>
      <c r="K598" s="1"/>
    </row>
    <row r="599" spans="1:11" ht="15.75" customHeight="1">
      <c r="A599" s="2"/>
      <c r="B599" s="1"/>
      <c r="C599" s="1"/>
      <c r="D599" s="1"/>
      <c r="E599" s="1"/>
      <c r="F599" s="1"/>
      <c r="G599" s="1"/>
      <c r="H599" s="1"/>
      <c r="I599" s="61"/>
      <c r="J599" s="1"/>
      <c r="K599" s="1"/>
    </row>
    <row r="600" spans="1:11" ht="15.75" customHeight="1">
      <c r="A600" s="2"/>
      <c r="B600" s="1"/>
      <c r="C600" s="1"/>
      <c r="D600" s="1"/>
      <c r="E600" s="1"/>
      <c r="F600" s="1"/>
      <c r="G600" s="1"/>
      <c r="H600" s="1"/>
      <c r="I600" s="61"/>
      <c r="J600" s="1"/>
      <c r="K600" s="1"/>
    </row>
    <row r="601" spans="1:11" ht="15.75" customHeight="1">
      <c r="A601" s="2"/>
      <c r="B601" s="1"/>
      <c r="C601" s="1"/>
      <c r="D601" s="1"/>
      <c r="E601" s="1"/>
      <c r="F601" s="1"/>
      <c r="G601" s="1"/>
      <c r="H601" s="1"/>
      <c r="I601" s="61"/>
      <c r="J601" s="1"/>
      <c r="K601" s="1"/>
    </row>
    <row r="602" spans="1:11" ht="15.75" customHeight="1">
      <c r="A602" s="2"/>
      <c r="B602" s="1"/>
      <c r="C602" s="1"/>
      <c r="D602" s="1"/>
      <c r="E602" s="1"/>
      <c r="F602" s="1"/>
      <c r="G602" s="1"/>
      <c r="H602" s="1"/>
      <c r="I602" s="61"/>
      <c r="J602" s="1"/>
      <c r="K602" s="1"/>
    </row>
    <row r="603" spans="1:11" ht="15.75" customHeight="1">
      <c r="A603" s="2"/>
      <c r="B603" s="1"/>
      <c r="C603" s="1"/>
      <c r="D603" s="1"/>
      <c r="E603" s="1"/>
      <c r="F603" s="1"/>
      <c r="G603" s="1"/>
      <c r="H603" s="1"/>
      <c r="I603" s="61"/>
      <c r="J603" s="1"/>
      <c r="K603" s="1"/>
    </row>
    <row r="604" spans="1:11" ht="15.75" customHeight="1">
      <c r="A604" s="2"/>
      <c r="B604" s="1"/>
      <c r="C604" s="1"/>
      <c r="D604" s="1"/>
      <c r="E604" s="1"/>
      <c r="F604" s="1"/>
      <c r="G604" s="1"/>
      <c r="H604" s="1"/>
      <c r="I604" s="61"/>
      <c r="J604" s="1"/>
      <c r="K604" s="1"/>
    </row>
    <row r="605" spans="1:11" ht="15.75" customHeight="1">
      <c r="A605" s="2"/>
      <c r="B605" s="1"/>
      <c r="C605" s="1"/>
      <c r="D605" s="1"/>
      <c r="E605" s="1"/>
      <c r="F605" s="1"/>
      <c r="G605" s="1"/>
      <c r="H605" s="1"/>
      <c r="I605" s="61"/>
      <c r="J605" s="1"/>
      <c r="K605" s="1"/>
    </row>
    <row r="606" spans="1:11" ht="15.75" customHeight="1">
      <c r="A606" s="2"/>
      <c r="B606" s="1"/>
      <c r="C606" s="1"/>
      <c r="D606" s="1"/>
      <c r="E606" s="1"/>
      <c r="F606" s="1"/>
      <c r="G606" s="1"/>
      <c r="H606" s="1"/>
      <c r="I606" s="61"/>
      <c r="J606" s="1"/>
      <c r="K606" s="1"/>
    </row>
    <row r="607" spans="1:11" ht="15.75" customHeight="1">
      <c r="A607" s="2"/>
      <c r="B607" s="1"/>
      <c r="C607" s="1"/>
      <c r="D607" s="1"/>
      <c r="E607" s="1"/>
      <c r="F607" s="1"/>
      <c r="G607" s="1"/>
      <c r="H607" s="1"/>
      <c r="I607" s="61"/>
      <c r="J607" s="1"/>
      <c r="K607" s="1"/>
    </row>
    <row r="608" spans="1:11" ht="15.75" customHeight="1">
      <c r="A608" s="2"/>
      <c r="B608" s="1"/>
      <c r="C608" s="1"/>
      <c r="D608" s="1"/>
      <c r="E608" s="1"/>
      <c r="F608" s="1"/>
      <c r="G608" s="1"/>
      <c r="H608" s="1"/>
      <c r="I608" s="61"/>
      <c r="J608" s="1"/>
      <c r="K608" s="1"/>
    </row>
    <row r="609" spans="1:11" ht="15.75" customHeight="1">
      <c r="A609" s="2"/>
      <c r="B609" s="1"/>
      <c r="C609" s="1"/>
      <c r="D609" s="1"/>
      <c r="E609" s="1"/>
      <c r="F609" s="1"/>
      <c r="G609" s="1"/>
      <c r="H609" s="1"/>
      <c r="I609" s="61"/>
      <c r="J609" s="1"/>
      <c r="K609" s="1"/>
    </row>
    <row r="610" spans="1:11" ht="15.75" customHeight="1">
      <c r="A610" s="2"/>
      <c r="B610" s="1"/>
      <c r="C610" s="1"/>
      <c r="D610" s="1"/>
      <c r="E610" s="1"/>
      <c r="F610" s="1"/>
      <c r="G610" s="1"/>
      <c r="H610" s="1"/>
      <c r="I610" s="61"/>
      <c r="J610" s="1"/>
      <c r="K610" s="1"/>
    </row>
    <row r="611" spans="1:11" ht="15.75" customHeight="1">
      <c r="A611" s="2"/>
      <c r="B611" s="1"/>
      <c r="C611" s="1"/>
      <c r="D611" s="1"/>
      <c r="E611" s="1"/>
      <c r="F611" s="1"/>
      <c r="G611" s="1"/>
      <c r="H611" s="1"/>
      <c r="I611" s="61"/>
      <c r="J611" s="1"/>
      <c r="K611" s="1"/>
    </row>
    <row r="612" spans="1:11" ht="15.75" customHeight="1">
      <c r="A612" s="2"/>
      <c r="B612" s="1"/>
      <c r="C612" s="1"/>
      <c r="D612" s="1"/>
      <c r="E612" s="1"/>
      <c r="F612" s="1"/>
      <c r="G612" s="1"/>
      <c r="H612" s="1"/>
      <c r="I612" s="61"/>
      <c r="J612" s="1"/>
      <c r="K612" s="1"/>
    </row>
    <row r="613" spans="1:11" ht="15.75" customHeight="1">
      <c r="A613" s="2"/>
      <c r="B613" s="1"/>
      <c r="C613" s="1"/>
      <c r="D613" s="1"/>
      <c r="E613" s="1"/>
      <c r="F613" s="1"/>
      <c r="G613" s="1"/>
      <c r="H613" s="1"/>
      <c r="I613" s="61"/>
      <c r="J613" s="1"/>
      <c r="K613" s="1"/>
    </row>
    <row r="614" spans="1:11" ht="15.75" customHeight="1">
      <c r="A614" s="2"/>
      <c r="B614" s="1"/>
      <c r="C614" s="1"/>
      <c r="D614" s="1"/>
      <c r="E614" s="1"/>
      <c r="F614" s="1"/>
      <c r="G614" s="1"/>
      <c r="H614" s="1"/>
      <c r="I614" s="61"/>
      <c r="J614" s="1"/>
      <c r="K614" s="1"/>
    </row>
    <row r="615" spans="1:11" ht="15.75" customHeight="1">
      <c r="A615" s="2"/>
      <c r="B615" s="1"/>
      <c r="C615" s="1"/>
      <c r="D615" s="1"/>
      <c r="E615" s="1"/>
      <c r="F615" s="1"/>
      <c r="G615" s="1"/>
      <c r="H615" s="1"/>
      <c r="I615" s="61"/>
      <c r="J615" s="1"/>
      <c r="K615" s="1"/>
    </row>
    <row r="616" spans="1:11" ht="15.75" customHeight="1">
      <c r="A616" s="2"/>
      <c r="B616" s="1"/>
      <c r="C616" s="1"/>
      <c r="D616" s="1"/>
      <c r="E616" s="1"/>
      <c r="F616" s="1"/>
      <c r="G616" s="1"/>
      <c r="H616" s="1"/>
      <c r="I616" s="61"/>
      <c r="J616" s="1"/>
      <c r="K616" s="1"/>
    </row>
    <row r="617" spans="1:11" ht="15.75" customHeight="1">
      <c r="A617" s="2"/>
      <c r="B617" s="1"/>
      <c r="C617" s="1"/>
      <c r="D617" s="1"/>
      <c r="E617" s="1"/>
      <c r="F617" s="1"/>
      <c r="G617" s="1"/>
      <c r="H617" s="1"/>
      <c r="I617" s="61"/>
      <c r="J617" s="1"/>
      <c r="K617" s="1"/>
    </row>
    <row r="618" spans="1:11" ht="15.75" customHeight="1">
      <c r="A618" s="2"/>
      <c r="B618" s="1"/>
      <c r="C618" s="1"/>
      <c r="D618" s="1"/>
      <c r="E618" s="1"/>
      <c r="F618" s="1"/>
      <c r="G618" s="1"/>
      <c r="H618" s="1"/>
      <c r="I618" s="61"/>
      <c r="J618" s="1"/>
      <c r="K618" s="1"/>
    </row>
    <row r="619" spans="1:11" ht="15.75" customHeight="1">
      <c r="A619" s="2"/>
      <c r="B619" s="1"/>
      <c r="C619" s="1"/>
      <c r="D619" s="1"/>
      <c r="E619" s="1"/>
      <c r="F619" s="1"/>
      <c r="G619" s="1"/>
      <c r="H619" s="1"/>
      <c r="I619" s="61"/>
      <c r="J619" s="1"/>
      <c r="K619" s="1"/>
    </row>
    <row r="620" spans="1:11" ht="15.75" customHeight="1">
      <c r="A620" s="2"/>
      <c r="B620" s="1"/>
      <c r="C620" s="1"/>
      <c r="D620" s="1"/>
      <c r="E620" s="1"/>
      <c r="F620" s="1"/>
      <c r="G620" s="1"/>
      <c r="H620" s="1"/>
      <c r="I620" s="61"/>
      <c r="J620" s="1"/>
      <c r="K620" s="1"/>
    </row>
    <row r="621" spans="1:11" ht="15.75" customHeight="1">
      <c r="A621" s="2"/>
      <c r="B621" s="1"/>
      <c r="C621" s="1"/>
      <c r="D621" s="1"/>
      <c r="E621" s="1"/>
      <c r="F621" s="1"/>
      <c r="G621" s="1"/>
      <c r="H621" s="1"/>
      <c r="I621" s="61"/>
      <c r="J621" s="1"/>
      <c r="K621" s="1"/>
    </row>
    <row r="622" spans="1:11" ht="15.75" customHeight="1">
      <c r="A622" s="2"/>
      <c r="B622" s="1"/>
      <c r="C622" s="1"/>
      <c r="D622" s="1"/>
      <c r="E622" s="1"/>
      <c r="F622" s="1"/>
      <c r="G622" s="1"/>
      <c r="H622" s="1"/>
      <c r="I622" s="61"/>
      <c r="J622" s="1"/>
      <c r="K622" s="1"/>
    </row>
    <row r="623" spans="1:11" ht="15.75" customHeight="1">
      <c r="A623" s="2"/>
      <c r="B623" s="1"/>
      <c r="C623" s="1"/>
      <c r="D623" s="1"/>
      <c r="E623" s="1"/>
      <c r="F623" s="1"/>
      <c r="G623" s="1"/>
      <c r="H623" s="1"/>
      <c r="I623" s="61"/>
      <c r="J623" s="1"/>
      <c r="K623" s="1"/>
    </row>
    <row r="624" spans="1:11" ht="15.75" customHeight="1">
      <c r="A624" s="2"/>
      <c r="B624" s="1"/>
      <c r="C624" s="1"/>
      <c r="D624" s="1"/>
      <c r="E624" s="1"/>
      <c r="F624" s="1"/>
      <c r="G624" s="1"/>
      <c r="H624" s="1"/>
      <c r="I624" s="61"/>
      <c r="J624" s="1"/>
      <c r="K624" s="1"/>
    </row>
    <row r="625" spans="1:11" ht="15.75" customHeight="1">
      <c r="A625" s="2"/>
      <c r="B625" s="1"/>
      <c r="C625" s="1"/>
      <c r="D625" s="1"/>
      <c r="E625" s="1"/>
      <c r="F625" s="1"/>
      <c r="G625" s="1"/>
      <c r="H625" s="1"/>
      <c r="I625" s="61"/>
      <c r="J625" s="1"/>
      <c r="K625" s="1"/>
    </row>
    <row r="626" spans="1:11" ht="15.75" customHeight="1">
      <c r="A626" s="2"/>
      <c r="B626" s="1"/>
      <c r="C626" s="1"/>
      <c r="D626" s="1"/>
      <c r="E626" s="1"/>
      <c r="F626" s="1"/>
      <c r="G626" s="1"/>
      <c r="H626" s="1"/>
      <c r="I626" s="61"/>
      <c r="J626" s="1"/>
      <c r="K626" s="1"/>
    </row>
    <row r="627" spans="1:11" ht="15.75" customHeight="1">
      <c r="A627" s="2"/>
      <c r="B627" s="1"/>
      <c r="C627" s="1"/>
      <c r="D627" s="1"/>
      <c r="E627" s="1"/>
      <c r="F627" s="1"/>
      <c r="G627" s="1"/>
      <c r="H627" s="1"/>
      <c r="I627" s="61"/>
      <c r="J627" s="1"/>
      <c r="K627" s="1"/>
    </row>
    <row r="628" spans="1:11" ht="15.75" customHeight="1">
      <c r="A628" s="2"/>
      <c r="B628" s="1"/>
      <c r="C628" s="1"/>
      <c r="D628" s="1"/>
      <c r="E628" s="1"/>
      <c r="F628" s="1"/>
      <c r="G628" s="1"/>
      <c r="H628" s="1"/>
      <c r="I628" s="61"/>
      <c r="J628" s="1"/>
      <c r="K628" s="1"/>
    </row>
    <row r="629" spans="1:11" ht="15.75" customHeight="1">
      <c r="A629" s="2"/>
      <c r="B629" s="1"/>
      <c r="C629" s="1"/>
      <c r="D629" s="1"/>
      <c r="E629" s="1"/>
      <c r="F629" s="1"/>
      <c r="G629" s="1"/>
      <c r="H629" s="1"/>
      <c r="I629" s="61"/>
      <c r="J629" s="1"/>
      <c r="K629" s="1"/>
    </row>
    <row r="630" spans="1:11" ht="15.75" customHeight="1">
      <c r="A630" s="2"/>
      <c r="B630" s="1"/>
      <c r="C630" s="1"/>
      <c r="D630" s="1"/>
      <c r="E630" s="1"/>
      <c r="F630" s="1"/>
      <c r="G630" s="1"/>
      <c r="H630" s="1"/>
      <c r="I630" s="61"/>
      <c r="J630" s="1"/>
      <c r="K630" s="1"/>
    </row>
    <row r="631" spans="1:11" ht="15.75" customHeight="1">
      <c r="A631" s="2"/>
      <c r="B631" s="1"/>
      <c r="C631" s="1"/>
      <c r="D631" s="1"/>
      <c r="E631" s="1"/>
      <c r="F631" s="1"/>
      <c r="G631" s="1"/>
      <c r="H631" s="1"/>
      <c r="I631" s="61"/>
      <c r="J631" s="1"/>
      <c r="K631" s="1"/>
    </row>
    <row r="632" spans="1:11" ht="15.75" customHeight="1">
      <c r="A632" s="2"/>
      <c r="B632" s="1"/>
      <c r="C632" s="1"/>
      <c r="D632" s="1"/>
      <c r="E632" s="1"/>
      <c r="F632" s="1"/>
      <c r="G632" s="1"/>
      <c r="H632" s="1"/>
      <c r="I632" s="61"/>
      <c r="J632" s="1"/>
      <c r="K632" s="1"/>
    </row>
    <row r="633" spans="1:11" ht="15.75" customHeight="1">
      <c r="A633" s="2"/>
      <c r="B633" s="1"/>
      <c r="C633" s="1"/>
      <c r="D633" s="1"/>
      <c r="E633" s="1"/>
      <c r="F633" s="1"/>
      <c r="G633" s="1"/>
      <c r="H633" s="1"/>
      <c r="I633" s="61"/>
      <c r="J633" s="1"/>
      <c r="K633" s="1"/>
    </row>
    <row r="634" spans="1:11" ht="15.75" customHeight="1">
      <c r="A634" s="2"/>
      <c r="B634" s="1"/>
      <c r="C634" s="1"/>
      <c r="D634" s="1"/>
      <c r="E634" s="1"/>
      <c r="F634" s="1"/>
      <c r="G634" s="1"/>
      <c r="H634" s="1"/>
      <c r="I634" s="61"/>
      <c r="J634" s="1"/>
      <c r="K634" s="1"/>
    </row>
    <row r="635" spans="1:11" ht="15.75" customHeight="1">
      <c r="A635" s="2"/>
      <c r="B635" s="1"/>
      <c r="C635" s="1"/>
      <c r="D635" s="1"/>
      <c r="E635" s="1"/>
      <c r="F635" s="1"/>
      <c r="G635" s="1"/>
      <c r="H635" s="1"/>
      <c r="I635" s="61"/>
      <c r="J635" s="1"/>
      <c r="K635" s="1"/>
    </row>
    <row r="636" spans="1:11" ht="15.75" customHeight="1">
      <c r="A636" s="2"/>
      <c r="B636" s="1"/>
      <c r="C636" s="1"/>
      <c r="D636" s="1"/>
      <c r="E636" s="1"/>
      <c r="F636" s="1"/>
      <c r="G636" s="1"/>
      <c r="H636" s="1"/>
      <c r="I636" s="61"/>
      <c r="J636" s="1"/>
      <c r="K636" s="1"/>
    </row>
    <row r="637" spans="1:11" ht="15.75" customHeight="1">
      <c r="A637" s="2"/>
      <c r="B637" s="1"/>
      <c r="C637" s="1"/>
      <c r="D637" s="1"/>
      <c r="E637" s="1"/>
      <c r="F637" s="1"/>
      <c r="G637" s="1"/>
      <c r="H637" s="1"/>
      <c r="I637" s="61"/>
      <c r="J637" s="1"/>
      <c r="K637" s="1"/>
    </row>
    <row r="638" spans="1:11" ht="15.75" customHeight="1">
      <c r="A638" s="2"/>
      <c r="B638" s="1"/>
      <c r="C638" s="1"/>
      <c r="D638" s="1"/>
      <c r="E638" s="1"/>
      <c r="F638" s="1"/>
      <c r="G638" s="1"/>
      <c r="H638" s="1"/>
      <c r="I638" s="61"/>
      <c r="J638" s="1"/>
      <c r="K638" s="1"/>
    </row>
    <row r="639" spans="1:11" ht="15.75" customHeight="1">
      <c r="A639" s="2"/>
      <c r="B639" s="1"/>
      <c r="C639" s="1"/>
      <c r="D639" s="1"/>
      <c r="E639" s="1"/>
      <c r="F639" s="1"/>
      <c r="G639" s="1"/>
      <c r="H639" s="1"/>
      <c r="I639" s="61"/>
      <c r="J639" s="1"/>
      <c r="K639" s="1"/>
    </row>
    <row r="640" spans="1:11" ht="15.75" customHeight="1">
      <c r="A640" s="2"/>
      <c r="B640" s="1"/>
      <c r="C640" s="1"/>
      <c r="D640" s="1"/>
      <c r="E640" s="1"/>
      <c r="F640" s="1"/>
      <c r="G640" s="1"/>
      <c r="H640" s="1"/>
      <c r="I640" s="61"/>
      <c r="J640" s="1"/>
      <c r="K640" s="1"/>
    </row>
    <row r="641" spans="1:11" ht="15.75" customHeight="1">
      <c r="A641" s="2"/>
      <c r="B641" s="1"/>
      <c r="C641" s="1"/>
      <c r="D641" s="1"/>
      <c r="E641" s="1"/>
      <c r="F641" s="1"/>
      <c r="G641" s="1"/>
      <c r="H641" s="1"/>
      <c r="I641" s="61"/>
      <c r="J641" s="1"/>
      <c r="K641" s="1"/>
    </row>
    <row r="642" spans="1:11" ht="15.75" customHeight="1">
      <c r="A642" s="2"/>
      <c r="B642" s="1"/>
      <c r="C642" s="1"/>
      <c r="D642" s="1"/>
      <c r="E642" s="1"/>
      <c r="F642" s="1"/>
      <c r="G642" s="1"/>
      <c r="H642" s="1"/>
      <c r="I642" s="61"/>
      <c r="J642" s="1"/>
      <c r="K642" s="1"/>
    </row>
    <row r="643" spans="1:11" ht="15.75" customHeight="1">
      <c r="A643" s="2"/>
      <c r="B643" s="1"/>
      <c r="C643" s="1"/>
      <c r="D643" s="1"/>
      <c r="E643" s="1"/>
      <c r="F643" s="1"/>
      <c r="G643" s="1"/>
      <c r="H643" s="1"/>
      <c r="I643" s="61"/>
      <c r="J643" s="1"/>
      <c r="K643" s="1"/>
    </row>
    <row r="644" spans="1:11" ht="15.75" customHeight="1">
      <c r="A644" s="2"/>
      <c r="B644" s="1"/>
      <c r="C644" s="1"/>
      <c r="D644" s="1"/>
      <c r="E644" s="1"/>
      <c r="F644" s="1"/>
      <c r="G644" s="1"/>
      <c r="H644" s="1"/>
      <c r="I644" s="61"/>
      <c r="J644" s="1"/>
      <c r="K644" s="1"/>
    </row>
    <row r="645" spans="1:11" ht="15.75" customHeight="1">
      <c r="A645" s="2"/>
      <c r="B645" s="1"/>
      <c r="C645" s="1"/>
      <c r="D645" s="1"/>
      <c r="E645" s="1"/>
      <c r="F645" s="1"/>
      <c r="G645" s="1"/>
      <c r="H645" s="1"/>
      <c r="I645" s="61"/>
      <c r="J645" s="1"/>
      <c r="K645" s="1"/>
    </row>
    <row r="646" spans="1:11" ht="15.75" customHeight="1">
      <c r="A646" s="2"/>
      <c r="B646" s="1"/>
      <c r="C646" s="1"/>
      <c r="D646" s="1"/>
      <c r="E646" s="1"/>
      <c r="F646" s="1"/>
      <c r="G646" s="1"/>
      <c r="H646" s="1"/>
      <c r="I646" s="61"/>
      <c r="J646" s="1"/>
      <c r="K646" s="1"/>
    </row>
    <row r="647" spans="1:11" ht="15.75" customHeight="1">
      <c r="A647" s="2"/>
      <c r="B647" s="1"/>
      <c r="C647" s="1"/>
      <c r="D647" s="1"/>
      <c r="E647" s="1"/>
      <c r="F647" s="1"/>
      <c r="G647" s="1"/>
      <c r="H647" s="1"/>
      <c r="I647" s="61"/>
      <c r="J647" s="1"/>
      <c r="K647" s="1"/>
    </row>
    <row r="648" spans="1:11" ht="15.75" customHeight="1">
      <c r="A648" s="2"/>
      <c r="B648" s="1"/>
      <c r="C648" s="1"/>
      <c r="D648" s="1"/>
      <c r="E648" s="1"/>
      <c r="F648" s="1"/>
      <c r="G648" s="1"/>
      <c r="H648" s="1"/>
      <c r="I648" s="61"/>
      <c r="J648" s="1"/>
      <c r="K648" s="1"/>
    </row>
    <row r="649" spans="1:11" ht="15.75" customHeight="1">
      <c r="A649" s="2"/>
      <c r="B649" s="1"/>
      <c r="C649" s="1"/>
      <c r="D649" s="1"/>
      <c r="E649" s="1"/>
      <c r="F649" s="1"/>
      <c r="G649" s="1"/>
      <c r="H649" s="1"/>
      <c r="I649" s="61"/>
      <c r="J649" s="1"/>
      <c r="K649" s="1"/>
    </row>
    <row r="650" spans="1:11" ht="15.75" customHeight="1">
      <c r="A650" s="2"/>
      <c r="B650" s="1"/>
      <c r="C650" s="1"/>
      <c r="D650" s="1"/>
      <c r="E650" s="1"/>
      <c r="F650" s="1"/>
      <c r="G650" s="1"/>
      <c r="H650" s="1"/>
      <c r="I650" s="61"/>
      <c r="J650" s="1"/>
      <c r="K650" s="1"/>
    </row>
    <row r="651" spans="1:11" ht="15.75" customHeight="1">
      <c r="A651" s="2"/>
      <c r="B651" s="1"/>
      <c r="C651" s="1"/>
      <c r="D651" s="1"/>
      <c r="E651" s="1"/>
      <c r="F651" s="1"/>
      <c r="G651" s="1"/>
      <c r="H651" s="1"/>
      <c r="I651" s="61"/>
      <c r="J651" s="1"/>
      <c r="K651" s="1"/>
    </row>
    <row r="652" spans="1:11" ht="15.75" customHeight="1">
      <c r="A652" s="2"/>
      <c r="B652" s="1"/>
      <c r="C652" s="1"/>
      <c r="D652" s="1"/>
      <c r="E652" s="1"/>
      <c r="F652" s="1"/>
      <c r="G652" s="1"/>
      <c r="H652" s="1"/>
      <c r="I652" s="61"/>
      <c r="J652" s="1"/>
      <c r="K652" s="1"/>
    </row>
    <row r="653" spans="1:11" ht="15.75" customHeight="1">
      <c r="A653" s="2"/>
      <c r="B653" s="1"/>
      <c r="C653" s="1"/>
      <c r="D653" s="1"/>
      <c r="E653" s="1"/>
      <c r="F653" s="1"/>
      <c r="G653" s="1"/>
      <c r="H653" s="1"/>
      <c r="I653" s="61"/>
      <c r="J653" s="1"/>
      <c r="K653" s="1"/>
    </row>
    <row r="654" spans="1:11" ht="15.75" customHeight="1">
      <c r="A654" s="2"/>
      <c r="B654" s="1"/>
      <c r="C654" s="1"/>
      <c r="D654" s="1"/>
      <c r="E654" s="1"/>
      <c r="F654" s="1"/>
      <c r="G654" s="1"/>
      <c r="H654" s="1"/>
      <c r="I654" s="61"/>
      <c r="J654" s="1"/>
      <c r="K654" s="1"/>
    </row>
    <row r="655" spans="1:11" ht="15.75" customHeight="1">
      <c r="A655" s="2"/>
      <c r="B655" s="1"/>
      <c r="C655" s="1"/>
      <c r="D655" s="1"/>
      <c r="E655" s="1"/>
      <c r="F655" s="1"/>
      <c r="G655" s="1"/>
      <c r="H655" s="1"/>
      <c r="I655" s="61"/>
      <c r="J655" s="1"/>
      <c r="K655" s="1"/>
    </row>
    <row r="656" spans="1:11" ht="15.75" customHeight="1">
      <c r="A656" s="2"/>
      <c r="B656" s="1"/>
      <c r="C656" s="1"/>
      <c r="D656" s="1"/>
      <c r="E656" s="1"/>
      <c r="F656" s="1"/>
      <c r="G656" s="1"/>
      <c r="H656" s="1"/>
      <c r="I656" s="61"/>
      <c r="J656" s="1"/>
      <c r="K656" s="1"/>
    </row>
    <row r="657" spans="1:11" ht="15.75" customHeight="1">
      <c r="A657" s="2"/>
      <c r="B657" s="1"/>
      <c r="C657" s="1"/>
      <c r="D657" s="1"/>
      <c r="E657" s="1"/>
      <c r="F657" s="1"/>
      <c r="G657" s="1"/>
      <c r="H657" s="1"/>
      <c r="I657" s="61"/>
      <c r="J657" s="1"/>
      <c r="K657" s="1"/>
    </row>
    <row r="658" spans="1:11" ht="15.75" customHeight="1">
      <c r="A658" s="2"/>
      <c r="B658" s="1"/>
      <c r="C658" s="1"/>
      <c r="D658" s="1"/>
      <c r="E658" s="1"/>
      <c r="F658" s="1"/>
      <c r="G658" s="1"/>
      <c r="H658" s="1"/>
      <c r="I658" s="61"/>
      <c r="J658" s="1"/>
      <c r="K658" s="1"/>
    </row>
    <row r="659" spans="1:11" ht="15.75" customHeight="1">
      <c r="A659" s="2"/>
      <c r="B659" s="1"/>
      <c r="C659" s="1"/>
      <c r="D659" s="1"/>
      <c r="E659" s="1"/>
      <c r="F659" s="1"/>
      <c r="G659" s="1"/>
      <c r="H659" s="1"/>
      <c r="I659" s="61"/>
      <c r="J659" s="1"/>
      <c r="K659" s="1"/>
    </row>
    <row r="660" spans="1:11" ht="15.75" customHeight="1">
      <c r="A660" s="2"/>
      <c r="B660" s="1"/>
      <c r="C660" s="1"/>
      <c r="D660" s="1"/>
      <c r="E660" s="1"/>
      <c r="F660" s="1"/>
      <c r="G660" s="1"/>
      <c r="H660" s="1"/>
      <c r="I660" s="61"/>
      <c r="J660" s="1"/>
      <c r="K660" s="1"/>
    </row>
    <row r="661" spans="1:11" ht="15.75" customHeight="1">
      <c r="A661" s="2"/>
      <c r="B661" s="1"/>
      <c r="C661" s="1"/>
      <c r="D661" s="1"/>
      <c r="E661" s="1"/>
      <c r="F661" s="1"/>
      <c r="G661" s="1"/>
      <c r="H661" s="1"/>
      <c r="I661" s="61"/>
      <c r="J661" s="1"/>
      <c r="K661" s="1"/>
    </row>
    <row r="662" spans="1:11" ht="15.75" customHeight="1">
      <c r="A662" s="2"/>
      <c r="B662" s="1"/>
      <c r="C662" s="1"/>
      <c r="D662" s="1"/>
      <c r="E662" s="1"/>
      <c r="F662" s="1"/>
      <c r="G662" s="1"/>
      <c r="H662" s="1"/>
      <c r="I662" s="61"/>
      <c r="J662" s="1"/>
      <c r="K662" s="1"/>
    </row>
    <row r="663" spans="1:11" ht="15.75" customHeight="1">
      <c r="A663" s="2"/>
      <c r="B663" s="1"/>
      <c r="C663" s="1"/>
      <c r="D663" s="1"/>
      <c r="E663" s="1"/>
      <c r="F663" s="1"/>
      <c r="G663" s="1"/>
      <c r="H663" s="1"/>
      <c r="I663" s="61"/>
      <c r="J663" s="1"/>
      <c r="K663" s="1"/>
    </row>
    <row r="664" spans="1:11" ht="15.75" customHeight="1">
      <c r="A664" s="2"/>
      <c r="B664" s="1"/>
      <c r="C664" s="1"/>
      <c r="D664" s="1"/>
      <c r="E664" s="1"/>
      <c r="F664" s="1"/>
      <c r="G664" s="1"/>
      <c r="H664" s="1"/>
      <c r="I664" s="61"/>
      <c r="J664" s="1"/>
      <c r="K664" s="1"/>
    </row>
    <row r="665" spans="1:11" ht="15.75" customHeight="1">
      <c r="A665" s="2"/>
      <c r="B665" s="1"/>
      <c r="C665" s="1"/>
      <c r="D665" s="1"/>
      <c r="E665" s="1"/>
      <c r="F665" s="1"/>
      <c r="G665" s="1"/>
      <c r="H665" s="1"/>
      <c r="I665" s="61"/>
      <c r="J665" s="1"/>
      <c r="K665" s="1"/>
    </row>
    <row r="666" spans="1:11" ht="15.75" customHeight="1">
      <c r="A666" s="2"/>
      <c r="B666" s="1"/>
      <c r="C666" s="1"/>
      <c r="D666" s="1"/>
      <c r="E666" s="1"/>
      <c r="F666" s="1"/>
      <c r="G666" s="1"/>
      <c r="H666" s="1"/>
      <c r="I666" s="61"/>
      <c r="J666" s="1"/>
      <c r="K666" s="1"/>
    </row>
    <row r="667" spans="1:11" ht="15.75" customHeight="1">
      <c r="A667" s="2"/>
      <c r="B667" s="1"/>
      <c r="C667" s="1"/>
      <c r="D667" s="1"/>
      <c r="E667" s="1"/>
      <c r="F667" s="1"/>
      <c r="G667" s="1"/>
      <c r="H667" s="1"/>
      <c r="I667" s="61"/>
      <c r="J667" s="1"/>
      <c r="K667" s="1"/>
    </row>
    <row r="668" spans="1:11" ht="15.75" customHeight="1">
      <c r="A668" s="2"/>
      <c r="B668" s="1"/>
      <c r="C668" s="1"/>
      <c r="D668" s="1"/>
      <c r="E668" s="1"/>
      <c r="F668" s="1"/>
      <c r="G668" s="1"/>
      <c r="H668" s="1"/>
      <c r="I668" s="61"/>
      <c r="J668" s="1"/>
      <c r="K668" s="1"/>
    </row>
    <row r="669" spans="1:11" ht="15.75" customHeight="1">
      <c r="A669" s="2"/>
      <c r="B669" s="1"/>
      <c r="C669" s="1"/>
      <c r="D669" s="1"/>
      <c r="E669" s="1"/>
      <c r="F669" s="1"/>
      <c r="G669" s="1"/>
      <c r="H669" s="1"/>
      <c r="I669" s="61"/>
      <c r="J669" s="1"/>
      <c r="K669" s="1"/>
    </row>
    <row r="670" spans="1:11" ht="15.75" customHeight="1">
      <c r="A670" s="2"/>
      <c r="B670" s="1"/>
      <c r="C670" s="1"/>
      <c r="D670" s="1"/>
      <c r="E670" s="1"/>
      <c r="F670" s="1"/>
      <c r="G670" s="1"/>
      <c r="H670" s="1"/>
      <c r="I670" s="61"/>
      <c r="J670" s="1"/>
      <c r="K670" s="1"/>
    </row>
    <row r="671" spans="1:11" ht="15.75" customHeight="1">
      <c r="A671" s="2"/>
      <c r="B671" s="1"/>
      <c r="C671" s="1"/>
      <c r="D671" s="1"/>
      <c r="E671" s="1"/>
      <c r="F671" s="1"/>
      <c r="G671" s="1"/>
      <c r="H671" s="1"/>
      <c r="I671" s="61"/>
      <c r="J671" s="1"/>
      <c r="K671" s="1"/>
    </row>
    <row r="672" spans="1:11" ht="15.75" customHeight="1">
      <c r="A672" s="2"/>
      <c r="B672" s="1"/>
      <c r="C672" s="1"/>
      <c r="D672" s="1"/>
      <c r="E672" s="1"/>
      <c r="F672" s="1"/>
      <c r="G672" s="1"/>
      <c r="H672" s="1"/>
      <c r="I672" s="61"/>
      <c r="J672" s="1"/>
      <c r="K672" s="1"/>
    </row>
    <row r="673" spans="1:11" ht="15.75" customHeight="1">
      <c r="A673" s="2"/>
      <c r="B673" s="1"/>
      <c r="C673" s="1"/>
      <c r="D673" s="1"/>
      <c r="E673" s="1"/>
      <c r="F673" s="1"/>
      <c r="G673" s="1"/>
      <c r="H673" s="1"/>
      <c r="I673" s="61"/>
      <c r="J673" s="1"/>
      <c r="K673" s="1"/>
    </row>
    <row r="674" spans="1:11" ht="15.75" customHeight="1">
      <c r="A674" s="2"/>
      <c r="B674" s="1"/>
      <c r="C674" s="1"/>
      <c r="D674" s="1"/>
      <c r="E674" s="1"/>
      <c r="F674" s="1"/>
      <c r="G674" s="1"/>
      <c r="H674" s="1"/>
      <c r="I674" s="61"/>
      <c r="J674" s="1"/>
      <c r="K674" s="1"/>
    </row>
    <row r="675" spans="1:11" ht="15.75" customHeight="1">
      <c r="A675" s="2"/>
      <c r="B675" s="1"/>
      <c r="C675" s="1"/>
      <c r="D675" s="1"/>
      <c r="E675" s="1"/>
      <c r="F675" s="1"/>
      <c r="G675" s="1"/>
      <c r="H675" s="1"/>
      <c r="I675" s="61"/>
      <c r="J675" s="1"/>
      <c r="K675" s="1"/>
    </row>
    <row r="676" spans="1:11" ht="15.75" customHeight="1">
      <c r="A676" s="2"/>
      <c r="B676" s="1"/>
      <c r="C676" s="1"/>
      <c r="D676" s="1"/>
      <c r="E676" s="1"/>
      <c r="F676" s="1"/>
      <c r="G676" s="1"/>
      <c r="H676" s="1"/>
      <c r="I676" s="61"/>
      <c r="J676" s="1"/>
      <c r="K676" s="1"/>
    </row>
    <row r="677" spans="1:11" ht="15.75" customHeight="1">
      <c r="A677" s="2"/>
      <c r="B677" s="1"/>
      <c r="C677" s="1"/>
      <c r="D677" s="1"/>
      <c r="E677" s="1"/>
      <c r="F677" s="1"/>
      <c r="G677" s="1"/>
      <c r="H677" s="1"/>
      <c r="I677" s="61"/>
      <c r="J677" s="1"/>
      <c r="K677" s="1"/>
    </row>
    <row r="678" spans="1:11" ht="15.75" customHeight="1">
      <c r="A678" s="2"/>
      <c r="B678" s="1"/>
      <c r="C678" s="1"/>
      <c r="D678" s="1"/>
      <c r="E678" s="1"/>
      <c r="F678" s="1"/>
      <c r="G678" s="1"/>
      <c r="H678" s="1"/>
      <c r="I678" s="61"/>
      <c r="J678" s="1"/>
      <c r="K678" s="1"/>
    </row>
    <row r="679" spans="1:11" ht="15.75" customHeight="1">
      <c r="A679" s="2"/>
      <c r="B679" s="1"/>
      <c r="C679" s="1"/>
      <c r="D679" s="1"/>
      <c r="E679" s="1"/>
      <c r="F679" s="1"/>
      <c r="G679" s="1"/>
      <c r="H679" s="1"/>
      <c r="I679" s="61"/>
      <c r="J679" s="1"/>
      <c r="K679" s="1"/>
    </row>
    <row r="680" spans="1:11" ht="15.75" customHeight="1">
      <c r="A680" s="2"/>
      <c r="B680" s="1"/>
      <c r="C680" s="1"/>
      <c r="D680" s="1"/>
      <c r="E680" s="1"/>
      <c r="F680" s="1"/>
      <c r="G680" s="1"/>
      <c r="H680" s="1"/>
      <c r="I680" s="61"/>
      <c r="J680" s="1"/>
      <c r="K680" s="1"/>
    </row>
    <row r="681" spans="1:11" ht="15.75" customHeight="1">
      <c r="A681" s="2"/>
      <c r="B681" s="1"/>
      <c r="C681" s="1"/>
      <c r="D681" s="1"/>
      <c r="E681" s="1"/>
      <c r="F681" s="1"/>
      <c r="G681" s="1"/>
      <c r="H681" s="1"/>
      <c r="I681" s="61"/>
      <c r="J681" s="1"/>
      <c r="K681" s="1"/>
    </row>
    <row r="682" spans="1:11" ht="15.75" customHeight="1">
      <c r="A682" s="2"/>
      <c r="B682" s="1"/>
      <c r="C682" s="1"/>
      <c r="D682" s="1"/>
      <c r="E682" s="1"/>
      <c r="F682" s="1"/>
      <c r="G682" s="1"/>
      <c r="H682" s="1"/>
      <c r="I682" s="61"/>
      <c r="J682" s="1"/>
      <c r="K682" s="1"/>
    </row>
    <row r="683" spans="1:11" ht="15.75" customHeight="1">
      <c r="A683" s="2"/>
      <c r="B683" s="1"/>
      <c r="C683" s="1"/>
      <c r="D683" s="1"/>
      <c r="E683" s="1"/>
      <c r="F683" s="1"/>
      <c r="G683" s="1"/>
      <c r="H683" s="1"/>
      <c r="I683" s="61"/>
      <c r="J683" s="1"/>
      <c r="K683" s="1"/>
    </row>
    <row r="684" spans="1:11" ht="15.75" customHeight="1">
      <c r="A684" s="2"/>
      <c r="B684" s="1"/>
      <c r="C684" s="1"/>
      <c r="D684" s="1"/>
      <c r="E684" s="1"/>
      <c r="F684" s="1"/>
      <c r="G684" s="1"/>
      <c r="H684" s="1"/>
      <c r="I684" s="61"/>
      <c r="J684" s="1"/>
      <c r="K684" s="1"/>
    </row>
    <row r="685" spans="1:11" ht="15.75" customHeight="1">
      <c r="A685" s="2"/>
      <c r="B685" s="1"/>
      <c r="C685" s="1"/>
      <c r="D685" s="1"/>
      <c r="E685" s="1"/>
      <c r="F685" s="1"/>
      <c r="G685" s="1"/>
      <c r="H685" s="1"/>
      <c r="I685" s="61"/>
      <c r="J685" s="1"/>
      <c r="K685" s="1"/>
    </row>
    <row r="686" spans="1:11" ht="15.75" customHeight="1">
      <c r="A686" s="2"/>
      <c r="B686" s="1"/>
      <c r="C686" s="1"/>
      <c r="D686" s="1"/>
      <c r="E686" s="1"/>
      <c r="F686" s="1"/>
      <c r="G686" s="1"/>
      <c r="H686" s="1"/>
      <c r="I686" s="61"/>
      <c r="J686" s="1"/>
      <c r="K686" s="1"/>
    </row>
    <row r="687" spans="1:11" ht="15.75" customHeight="1">
      <c r="A687" s="2"/>
      <c r="B687" s="1"/>
      <c r="C687" s="1"/>
      <c r="D687" s="1"/>
      <c r="E687" s="1"/>
      <c r="F687" s="1"/>
      <c r="G687" s="1"/>
      <c r="H687" s="1"/>
      <c r="I687" s="61"/>
      <c r="J687" s="1"/>
      <c r="K687" s="1"/>
    </row>
    <row r="688" spans="1:11" ht="15.75" customHeight="1">
      <c r="A688" s="2"/>
      <c r="B688" s="1"/>
      <c r="C688" s="1"/>
      <c r="D688" s="1"/>
      <c r="E688" s="1"/>
      <c r="F688" s="1"/>
      <c r="G688" s="1"/>
      <c r="H688" s="1"/>
      <c r="I688" s="61"/>
      <c r="J688" s="1"/>
      <c r="K688" s="1"/>
    </row>
    <row r="689" spans="1:11" ht="15.75" customHeight="1">
      <c r="A689" s="2"/>
      <c r="B689" s="1"/>
      <c r="C689" s="1"/>
      <c r="D689" s="1"/>
      <c r="E689" s="1"/>
      <c r="F689" s="1"/>
      <c r="G689" s="1"/>
      <c r="H689" s="1"/>
      <c r="I689" s="61"/>
      <c r="J689" s="1"/>
      <c r="K689" s="1"/>
    </row>
    <row r="690" spans="1:11" ht="15.75" customHeight="1">
      <c r="A690" s="2"/>
      <c r="B690" s="1"/>
      <c r="C690" s="1"/>
      <c r="D690" s="1"/>
      <c r="E690" s="1"/>
      <c r="F690" s="1"/>
      <c r="G690" s="1"/>
      <c r="H690" s="1"/>
      <c r="I690" s="61"/>
      <c r="J690" s="1"/>
      <c r="K690" s="1"/>
    </row>
    <row r="691" spans="1:11" ht="15.75" customHeight="1">
      <c r="A691" s="2"/>
      <c r="B691" s="1"/>
      <c r="C691" s="1"/>
      <c r="D691" s="1"/>
      <c r="E691" s="1"/>
      <c r="F691" s="1"/>
      <c r="G691" s="1"/>
      <c r="H691" s="1"/>
      <c r="I691" s="61"/>
      <c r="J691" s="1"/>
      <c r="K691" s="1"/>
    </row>
    <row r="692" spans="1:11" ht="15.75" customHeight="1">
      <c r="A692" s="2"/>
      <c r="B692" s="1"/>
      <c r="C692" s="1"/>
      <c r="D692" s="1"/>
      <c r="E692" s="1"/>
      <c r="F692" s="1"/>
      <c r="G692" s="1"/>
      <c r="H692" s="1"/>
      <c r="I692" s="61"/>
      <c r="J692" s="1"/>
      <c r="K692" s="1"/>
    </row>
    <row r="693" spans="1:11" ht="15.75" customHeight="1">
      <c r="A693" s="2"/>
      <c r="B693" s="1"/>
      <c r="C693" s="1"/>
      <c r="D693" s="1"/>
      <c r="E693" s="1"/>
      <c r="F693" s="1"/>
      <c r="G693" s="1"/>
      <c r="H693" s="1"/>
      <c r="I693" s="61"/>
      <c r="J693" s="1"/>
      <c r="K693" s="1"/>
    </row>
    <row r="694" spans="1:11" ht="15.75" customHeight="1">
      <c r="A694" s="2"/>
      <c r="B694" s="1"/>
      <c r="C694" s="1"/>
      <c r="D694" s="1"/>
      <c r="E694" s="1"/>
      <c r="F694" s="1"/>
      <c r="G694" s="1"/>
      <c r="H694" s="1"/>
      <c r="I694" s="61"/>
      <c r="J694" s="1"/>
      <c r="K694" s="1"/>
    </row>
    <row r="695" spans="1:11" ht="15.75" customHeight="1">
      <c r="A695" s="2"/>
      <c r="B695" s="1"/>
      <c r="C695" s="1"/>
      <c r="D695" s="1"/>
      <c r="E695" s="1"/>
      <c r="F695" s="1"/>
      <c r="G695" s="1"/>
      <c r="H695" s="1"/>
      <c r="I695" s="61"/>
      <c r="J695" s="1"/>
      <c r="K695" s="1"/>
    </row>
    <row r="696" spans="1:11" ht="15.75" customHeight="1">
      <c r="A696" s="2"/>
      <c r="B696" s="1"/>
      <c r="C696" s="1"/>
      <c r="D696" s="1"/>
      <c r="E696" s="1"/>
      <c r="F696" s="1"/>
      <c r="G696" s="1"/>
      <c r="H696" s="1"/>
      <c r="I696" s="61"/>
      <c r="J696" s="1"/>
      <c r="K696" s="1"/>
    </row>
    <row r="697" spans="1:11" ht="15.75" customHeight="1">
      <c r="A697" s="2"/>
      <c r="B697" s="1"/>
      <c r="C697" s="1"/>
      <c r="D697" s="1"/>
      <c r="E697" s="1"/>
      <c r="F697" s="1"/>
      <c r="G697" s="1"/>
      <c r="H697" s="1"/>
      <c r="I697" s="61"/>
      <c r="J697" s="1"/>
      <c r="K697" s="1"/>
    </row>
    <row r="698" spans="1:11" ht="15.75" customHeight="1">
      <c r="A698" s="2"/>
      <c r="B698" s="1"/>
      <c r="C698" s="1"/>
      <c r="D698" s="1"/>
      <c r="E698" s="1"/>
      <c r="F698" s="1"/>
      <c r="G698" s="1"/>
      <c r="H698" s="1"/>
      <c r="I698" s="61"/>
      <c r="J698" s="1"/>
      <c r="K698" s="1"/>
    </row>
    <row r="699" spans="1:11" ht="15.75" customHeight="1">
      <c r="A699" s="2"/>
      <c r="B699" s="1"/>
      <c r="C699" s="1"/>
      <c r="D699" s="1"/>
      <c r="E699" s="1"/>
      <c r="F699" s="1"/>
      <c r="G699" s="1"/>
      <c r="H699" s="1"/>
      <c r="I699" s="61"/>
      <c r="J699" s="1"/>
      <c r="K699" s="1"/>
    </row>
    <row r="700" spans="1:11" ht="15.75" customHeight="1">
      <c r="A700" s="2"/>
      <c r="B700" s="1"/>
      <c r="C700" s="1"/>
      <c r="D700" s="1"/>
      <c r="E700" s="1"/>
      <c r="F700" s="1"/>
      <c r="G700" s="1"/>
      <c r="H700" s="1"/>
      <c r="I700" s="61"/>
      <c r="J700" s="1"/>
      <c r="K700" s="1"/>
    </row>
    <row r="701" spans="1:11" ht="15.75" customHeight="1">
      <c r="A701" s="2"/>
      <c r="B701" s="1"/>
      <c r="C701" s="1"/>
      <c r="D701" s="1"/>
      <c r="E701" s="1"/>
      <c r="F701" s="1"/>
      <c r="G701" s="1"/>
      <c r="H701" s="1"/>
      <c r="I701" s="61"/>
      <c r="J701" s="1"/>
      <c r="K701" s="1"/>
    </row>
    <row r="702" spans="1:11" ht="15.75" customHeight="1">
      <c r="A702" s="2"/>
      <c r="B702" s="1"/>
      <c r="C702" s="1"/>
      <c r="D702" s="1"/>
      <c r="E702" s="1"/>
      <c r="F702" s="1"/>
      <c r="G702" s="1"/>
      <c r="H702" s="1"/>
      <c r="I702" s="61"/>
      <c r="J702" s="1"/>
      <c r="K702" s="1"/>
    </row>
    <row r="703" spans="1:11" ht="15.75" customHeight="1">
      <c r="A703" s="2"/>
      <c r="B703" s="1"/>
      <c r="C703" s="1"/>
      <c r="D703" s="1"/>
      <c r="E703" s="1"/>
      <c r="F703" s="1"/>
      <c r="G703" s="1"/>
      <c r="H703" s="1"/>
      <c r="I703" s="61"/>
      <c r="J703" s="1"/>
      <c r="K703" s="1"/>
    </row>
    <row r="704" spans="1:11" ht="15.75" customHeight="1">
      <c r="A704" s="2"/>
      <c r="B704" s="1"/>
      <c r="C704" s="1"/>
      <c r="D704" s="1"/>
      <c r="E704" s="1"/>
      <c r="F704" s="1"/>
      <c r="G704" s="1"/>
      <c r="H704" s="1"/>
      <c r="I704" s="61"/>
      <c r="J704" s="1"/>
      <c r="K704" s="1"/>
    </row>
    <row r="705" spans="1:11" ht="15.75" customHeight="1">
      <c r="A705" s="2"/>
      <c r="B705" s="1"/>
      <c r="C705" s="1"/>
      <c r="D705" s="1"/>
      <c r="E705" s="1"/>
      <c r="F705" s="1"/>
      <c r="G705" s="1"/>
      <c r="H705" s="1"/>
      <c r="I705" s="61"/>
      <c r="J705" s="1"/>
      <c r="K705" s="1"/>
    </row>
    <row r="706" spans="1:11" ht="15.75" customHeight="1">
      <c r="A706" s="2"/>
      <c r="B706" s="1"/>
      <c r="C706" s="1"/>
      <c r="D706" s="1"/>
      <c r="E706" s="1"/>
      <c r="F706" s="1"/>
      <c r="G706" s="1"/>
      <c r="H706" s="1"/>
      <c r="I706" s="61"/>
      <c r="J706" s="1"/>
      <c r="K706" s="1"/>
    </row>
    <row r="707" spans="1:11" ht="15.75" customHeight="1">
      <c r="A707" s="2"/>
      <c r="B707" s="1"/>
      <c r="C707" s="1"/>
      <c r="D707" s="1"/>
      <c r="E707" s="1"/>
      <c r="F707" s="1"/>
      <c r="G707" s="1"/>
      <c r="H707" s="1"/>
      <c r="I707" s="61"/>
      <c r="J707" s="1"/>
      <c r="K707" s="1"/>
    </row>
    <row r="708" spans="1:11" ht="15.75" customHeight="1">
      <c r="A708" s="2"/>
      <c r="B708" s="1"/>
      <c r="C708" s="1"/>
      <c r="D708" s="1"/>
      <c r="E708" s="1"/>
      <c r="F708" s="1"/>
      <c r="G708" s="1"/>
      <c r="H708" s="1"/>
      <c r="I708" s="61"/>
      <c r="J708" s="1"/>
      <c r="K708" s="1"/>
    </row>
    <row r="709" spans="1:11" ht="15.75" customHeight="1">
      <c r="A709" s="2"/>
      <c r="B709" s="1"/>
      <c r="C709" s="1"/>
      <c r="D709" s="1"/>
      <c r="E709" s="1"/>
      <c r="F709" s="1"/>
      <c r="G709" s="1"/>
      <c r="H709" s="1"/>
      <c r="I709" s="61"/>
      <c r="J709" s="1"/>
      <c r="K709" s="1"/>
    </row>
    <row r="710" spans="1:11" ht="15.75" customHeight="1">
      <c r="A710" s="2"/>
      <c r="B710" s="1"/>
      <c r="C710" s="1"/>
      <c r="D710" s="1"/>
      <c r="E710" s="1"/>
      <c r="F710" s="1"/>
      <c r="G710" s="1"/>
      <c r="H710" s="1"/>
      <c r="I710" s="61"/>
      <c r="J710" s="1"/>
      <c r="K710" s="1"/>
    </row>
    <row r="711" spans="1:11" ht="15.75" customHeight="1">
      <c r="A711" s="2"/>
      <c r="B711" s="1"/>
      <c r="C711" s="1"/>
      <c r="D711" s="1"/>
      <c r="E711" s="1"/>
      <c r="F711" s="1"/>
      <c r="G711" s="1"/>
      <c r="H711" s="1"/>
      <c r="I711" s="61"/>
      <c r="J711" s="1"/>
      <c r="K711" s="1"/>
    </row>
    <row r="712" spans="1:11" ht="15.75" customHeight="1">
      <c r="A712" s="2"/>
      <c r="B712" s="1"/>
      <c r="C712" s="1"/>
      <c r="D712" s="1"/>
      <c r="E712" s="1"/>
      <c r="F712" s="1"/>
      <c r="G712" s="1"/>
      <c r="H712" s="1"/>
      <c r="I712" s="61"/>
      <c r="J712" s="1"/>
      <c r="K712" s="1"/>
    </row>
    <row r="713" spans="1:11" ht="15.75" customHeight="1">
      <c r="A713" s="2"/>
      <c r="B713" s="1"/>
      <c r="C713" s="1"/>
      <c r="D713" s="1"/>
      <c r="E713" s="1"/>
      <c r="F713" s="1"/>
      <c r="G713" s="1"/>
      <c r="H713" s="1"/>
      <c r="I713" s="61"/>
      <c r="J713" s="1"/>
      <c r="K713" s="1"/>
    </row>
    <row r="714" spans="1:11" ht="15.75" customHeight="1">
      <c r="A714" s="2"/>
      <c r="B714" s="1"/>
      <c r="C714" s="1"/>
      <c r="D714" s="1"/>
      <c r="E714" s="1"/>
      <c r="F714" s="1"/>
      <c r="G714" s="1"/>
      <c r="H714" s="1"/>
      <c r="I714" s="61"/>
      <c r="J714" s="1"/>
      <c r="K714" s="1"/>
    </row>
    <row r="715" spans="1:11" ht="15.75" customHeight="1">
      <c r="A715" s="2"/>
      <c r="B715" s="1"/>
      <c r="C715" s="1"/>
      <c r="D715" s="1"/>
      <c r="E715" s="1"/>
      <c r="F715" s="1"/>
      <c r="G715" s="1"/>
      <c r="H715" s="1"/>
      <c r="I715" s="61"/>
      <c r="J715" s="1"/>
      <c r="K715" s="1"/>
    </row>
    <row r="716" spans="1:11" ht="15.75" customHeight="1">
      <c r="A716" s="2"/>
      <c r="B716" s="1"/>
      <c r="C716" s="1"/>
      <c r="D716" s="1"/>
      <c r="E716" s="1"/>
      <c r="F716" s="1"/>
      <c r="G716" s="1"/>
      <c r="H716" s="1"/>
      <c r="I716" s="61"/>
      <c r="J716" s="1"/>
      <c r="K716" s="1"/>
    </row>
    <row r="717" spans="1:11" ht="15.75" customHeight="1">
      <c r="A717" s="2"/>
      <c r="B717" s="1"/>
      <c r="C717" s="1"/>
      <c r="D717" s="1"/>
      <c r="E717" s="1"/>
      <c r="F717" s="1"/>
      <c r="G717" s="1"/>
      <c r="H717" s="1"/>
      <c r="I717" s="61"/>
      <c r="J717" s="1"/>
      <c r="K717" s="1"/>
    </row>
    <row r="718" spans="1:11" ht="15.75" customHeight="1">
      <c r="A718" s="2"/>
      <c r="B718" s="1"/>
      <c r="C718" s="1"/>
      <c r="D718" s="1"/>
      <c r="E718" s="1"/>
      <c r="F718" s="1"/>
      <c r="G718" s="1"/>
      <c r="H718" s="1"/>
      <c r="I718" s="61"/>
      <c r="J718" s="1"/>
      <c r="K718" s="1"/>
    </row>
    <row r="719" spans="1:11" ht="15.75" customHeight="1">
      <c r="A719" s="2"/>
      <c r="B719" s="1"/>
      <c r="C719" s="1"/>
      <c r="D719" s="1"/>
      <c r="E719" s="1"/>
      <c r="F719" s="1"/>
      <c r="G719" s="1"/>
      <c r="H719" s="1"/>
      <c r="I719" s="61"/>
      <c r="J719" s="1"/>
      <c r="K719" s="1"/>
    </row>
    <row r="720" spans="1:11" ht="15.75" customHeight="1">
      <c r="A720" s="2"/>
      <c r="B720" s="1"/>
      <c r="C720" s="1"/>
      <c r="D720" s="1"/>
      <c r="E720" s="1"/>
      <c r="F720" s="1"/>
      <c r="G720" s="1"/>
      <c r="H720" s="1"/>
      <c r="I720" s="61"/>
      <c r="J720" s="1"/>
      <c r="K720" s="1"/>
    </row>
    <row r="721" spans="1:11" ht="15.75" customHeight="1">
      <c r="A721" s="2"/>
      <c r="B721" s="1"/>
      <c r="C721" s="1"/>
      <c r="D721" s="1"/>
      <c r="E721" s="1"/>
      <c r="F721" s="1"/>
      <c r="G721" s="1"/>
      <c r="H721" s="1"/>
      <c r="I721" s="61"/>
      <c r="J721" s="1"/>
      <c r="K721" s="1"/>
    </row>
    <row r="722" spans="1:11" ht="15.75" customHeight="1">
      <c r="A722" s="2"/>
      <c r="B722" s="1"/>
      <c r="C722" s="1"/>
      <c r="D722" s="1"/>
      <c r="E722" s="1"/>
      <c r="F722" s="1"/>
      <c r="G722" s="1"/>
      <c r="H722" s="1"/>
      <c r="I722" s="61"/>
      <c r="J722" s="1"/>
      <c r="K722" s="1"/>
    </row>
    <row r="723" spans="1:11" ht="15.75" customHeight="1">
      <c r="A723" s="2"/>
      <c r="B723" s="1"/>
      <c r="C723" s="1"/>
      <c r="D723" s="1"/>
      <c r="E723" s="1"/>
      <c r="F723" s="1"/>
      <c r="G723" s="1"/>
      <c r="H723" s="1"/>
      <c r="I723" s="61"/>
      <c r="J723" s="1"/>
      <c r="K723" s="1"/>
    </row>
    <row r="724" spans="1:11" ht="15.75" customHeight="1">
      <c r="A724" s="2"/>
      <c r="B724" s="1"/>
      <c r="C724" s="1"/>
      <c r="D724" s="1"/>
      <c r="E724" s="1"/>
      <c r="F724" s="1"/>
      <c r="G724" s="1"/>
      <c r="H724" s="1"/>
      <c r="I724" s="61"/>
      <c r="J724" s="1"/>
      <c r="K724" s="1"/>
    </row>
    <row r="725" spans="1:11" ht="15.75" customHeight="1">
      <c r="A725" s="2"/>
      <c r="B725" s="1"/>
      <c r="C725" s="1"/>
      <c r="D725" s="1"/>
      <c r="E725" s="1"/>
      <c r="F725" s="1"/>
      <c r="G725" s="1"/>
      <c r="H725" s="1"/>
      <c r="I725" s="61"/>
      <c r="J725" s="1"/>
      <c r="K725" s="1"/>
    </row>
    <row r="726" spans="1:11" ht="15.75" customHeight="1">
      <c r="A726" s="2"/>
      <c r="B726" s="1"/>
      <c r="C726" s="1"/>
      <c r="D726" s="1"/>
      <c r="E726" s="1"/>
      <c r="F726" s="1"/>
      <c r="G726" s="1"/>
      <c r="H726" s="1"/>
      <c r="I726" s="61"/>
      <c r="J726" s="1"/>
      <c r="K726" s="1"/>
    </row>
    <row r="727" spans="1:11" ht="15.75" customHeight="1">
      <c r="A727" s="2"/>
      <c r="B727" s="1"/>
      <c r="C727" s="1"/>
      <c r="D727" s="1"/>
      <c r="E727" s="1"/>
      <c r="F727" s="1"/>
      <c r="G727" s="1"/>
      <c r="H727" s="1"/>
      <c r="I727" s="61"/>
      <c r="J727" s="1"/>
      <c r="K727" s="1"/>
    </row>
    <row r="728" spans="1:11" ht="15.75" customHeight="1">
      <c r="A728" s="2"/>
      <c r="B728" s="1"/>
      <c r="C728" s="1"/>
      <c r="D728" s="1"/>
      <c r="E728" s="1"/>
      <c r="F728" s="1"/>
      <c r="G728" s="1"/>
      <c r="H728" s="1"/>
      <c r="I728" s="61"/>
      <c r="J728" s="1"/>
      <c r="K728" s="1"/>
    </row>
    <row r="729" spans="1:11" ht="15.75" customHeight="1">
      <c r="A729" s="2"/>
      <c r="B729" s="1"/>
      <c r="C729" s="1"/>
      <c r="D729" s="1"/>
      <c r="E729" s="1"/>
      <c r="F729" s="1"/>
      <c r="G729" s="1"/>
      <c r="H729" s="1"/>
      <c r="I729" s="61"/>
      <c r="J729" s="1"/>
      <c r="K729" s="1"/>
    </row>
    <row r="730" spans="1:11" ht="15.75" customHeight="1">
      <c r="A730" s="2"/>
      <c r="B730" s="1"/>
      <c r="C730" s="1"/>
      <c r="D730" s="1"/>
      <c r="E730" s="1"/>
      <c r="F730" s="1"/>
      <c r="G730" s="1"/>
      <c r="H730" s="1"/>
      <c r="I730" s="61"/>
      <c r="J730" s="1"/>
      <c r="K730" s="1"/>
    </row>
    <row r="731" spans="1:11" ht="15.75" customHeight="1">
      <c r="A731" s="2"/>
      <c r="B731" s="1"/>
      <c r="C731" s="1"/>
      <c r="D731" s="1"/>
      <c r="E731" s="1"/>
      <c r="F731" s="1"/>
      <c r="G731" s="1"/>
      <c r="H731" s="1"/>
      <c r="I731" s="61"/>
      <c r="J731" s="1"/>
      <c r="K731" s="1"/>
    </row>
    <row r="732" spans="1:11" ht="15.75" customHeight="1">
      <c r="A732" s="2"/>
      <c r="B732" s="1"/>
      <c r="C732" s="1"/>
      <c r="D732" s="1"/>
      <c r="E732" s="1"/>
      <c r="F732" s="1"/>
      <c r="G732" s="1"/>
      <c r="H732" s="1"/>
      <c r="I732" s="61"/>
      <c r="J732" s="1"/>
      <c r="K732" s="1"/>
    </row>
    <row r="733" spans="1:11" ht="15.75" customHeight="1">
      <c r="A733" s="2"/>
      <c r="B733" s="1"/>
      <c r="C733" s="1"/>
      <c r="D733" s="1"/>
      <c r="E733" s="1"/>
      <c r="F733" s="1"/>
      <c r="G733" s="1"/>
      <c r="H733" s="1"/>
      <c r="I733" s="61"/>
      <c r="J733" s="1"/>
      <c r="K733" s="1"/>
    </row>
    <row r="734" spans="1:11" ht="15.75" customHeight="1">
      <c r="A734" s="2"/>
      <c r="B734" s="1"/>
      <c r="C734" s="1"/>
      <c r="D734" s="1"/>
      <c r="E734" s="1"/>
      <c r="F734" s="1"/>
      <c r="G734" s="1"/>
      <c r="H734" s="1"/>
      <c r="I734" s="61"/>
      <c r="J734" s="1"/>
      <c r="K734" s="1"/>
    </row>
    <row r="735" spans="1:11" ht="15.75" customHeight="1">
      <c r="A735" s="2"/>
      <c r="B735" s="1"/>
      <c r="C735" s="1"/>
      <c r="D735" s="1"/>
      <c r="E735" s="1"/>
      <c r="F735" s="1"/>
      <c r="G735" s="1"/>
      <c r="H735" s="1"/>
      <c r="I735" s="61"/>
      <c r="J735" s="1"/>
      <c r="K735" s="1"/>
    </row>
    <row r="736" spans="1:11" ht="15.75" customHeight="1">
      <c r="A736" s="2"/>
      <c r="B736" s="1"/>
      <c r="C736" s="1"/>
      <c r="D736" s="1"/>
      <c r="E736" s="1"/>
      <c r="F736" s="1"/>
      <c r="G736" s="1"/>
      <c r="H736" s="1"/>
      <c r="I736" s="61"/>
      <c r="J736" s="1"/>
      <c r="K736" s="1"/>
    </row>
    <row r="737" spans="1:11" ht="15.75" customHeight="1">
      <c r="A737" s="2"/>
      <c r="B737" s="1"/>
      <c r="C737" s="1"/>
      <c r="D737" s="1"/>
      <c r="E737" s="1"/>
      <c r="F737" s="1"/>
      <c r="G737" s="1"/>
      <c r="H737" s="1"/>
      <c r="I737" s="61"/>
      <c r="J737" s="1"/>
      <c r="K737" s="1"/>
    </row>
    <row r="738" spans="1:11" ht="15.75" customHeight="1">
      <c r="A738" s="2"/>
      <c r="B738" s="1"/>
      <c r="C738" s="1"/>
      <c r="D738" s="1"/>
      <c r="E738" s="1"/>
      <c r="F738" s="1"/>
      <c r="G738" s="1"/>
      <c r="H738" s="1"/>
      <c r="I738" s="61"/>
      <c r="J738" s="1"/>
      <c r="K738" s="1"/>
    </row>
    <row r="739" spans="1:11" ht="15.75" customHeight="1">
      <c r="A739" s="2"/>
      <c r="B739" s="1"/>
      <c r="C739" s="1"/>
      <c r="D739" s="1"/>
      <c r="E739" s="1"/>
      <c r="F739" s="1"/>
      <c r="G739" s="1"/>
      <c r="H739" s="1"/>
      <c r="I739" s="61"/>
      <c r="J739" s="1"/>
      <c r="K739" s="1"/>
    </row>
    <row r="740" spans="1:11" ht="15.75" customHeight="1">
      <c r="A740" s="2"/>
      <c r="B740" s="1"/>
      <c r="C740" s="1"/>
      <c r="D740" s="1"/>
      <c r="E740" s="1"/>
      <c r="F740" s="1"/>
      <c r="G740" s="1"/>
      <c r="H740" s="1"/>
      <c r="I740" s="61"/>
      <c r="J740" s="1"/>
      <c r="K740" s="1"/>
    </row>
    <row r="741" spans="1:11" ht="15.75" customHeight="1">
      <c r="A741" s="2"/>
      <c r="B741" s="1"/>
      <c r="C741" s="1"/>
      <c r="D741" s="1"/>
      <c r="E741" s="1"/>
      <c r="F741" s="1"/>
      <c r="G741" s="1"/>
      <c r="H741" s="1"/>
      <c r="I741" s="61"/>
      <c r="J741" s="1"/>
      <c r="K741" s="1"/>
    </row>
    <row r="742" spans="1:11" ht="15.75" customHeight="1">
      <c r="A742" s="2"/>
      <c r="B742" s="1"/>
      <c r="C742" s="1"/>
      <c r="D742" s="1"/>
      <c r="E742" s="1"/>
      <c r="F742" s="1"/>
      <c r="G742" s="1"/>
      <c r="H742" s="1"/>
      <c r="I742" s="61"/>
      <c r="J742" s="1"/>
      <c r="K742" s="1"/>
    </row>
    <row r="743" spans="1:11" ht="15.75" customHeight="1">
      <c r="A743" s="2"/>
      <c r="B743" s="1"/>
      <c r="C743" s="1"/>
      <c r="D743" s="1"/>
      <c r="E743" s="1"/>
      <c r="F743" s="1"/>
      <c r="G743" s="1"/>
      <c r="H743" s="1"/>
      <c r="I743" s="61"/>
      <c r="J743" s="1"/>
      <c r="K743" s="1"/>
    </row>
    <row r="744" spans="1:11" ht="15.75" customHeight="1">
      <c r="A744" s="2"/>
      <c r="B744" s="1"/>
      <c r="C744" s="1"/>
      <c r="D744" s="1"/>
      <c r="E744" s="1"/>
      <c r="F744" s="1"/>
      <c r="G744" s="1"/>
      <c r="H744" s="1"/>
      <c r="I744" s="61"/>
      <c r="J744" s="1"/>
      <c r="K744" s="1"/>
    </row>
    <row r="745" spans="1:11" ht="15.75" customHeight="1">
      <c r="A745" s="2"/>
      <c r="B745" s="1"/>
      <c r="C745" s="1"/>
      <c r="D745" s="1"/>
      <c r="E745" s="1"/>
      <c r="F745" s="1"/>
      <c r="G745" s="1"/>
      <c r="H745" s="1"/>
      <c r="I745" s="61"/>
      <c r="J745" s="1"/>
      <c r="K745" s="1"/>
    </row>
    <row r="746" spans="1:11" ht="15.75" customHeight="1">
      <c r="A746" s="2"/>
      <c r="B746" s="1"/>
      <c r="C746" s="1"/>
      <c r="D746" s="1"/>
      <c r="E746" s="1"/>
      <c r="F746" s="1"/>
      <c r="G746" s="1"/>
      <c r="H746" s="1"/>
      <c r="I746" s="61"/>
      <c r="J746" s="1"/>
      <c r="K746" s="1"/>
    </row>
    <row r="747" spans="1:11" ht="15.75" customHeight="1">
      <c r="A747" s="2"/>
      <c r="B747" s="1"/>
      <c r="C747" s="1"/>
      <c r="D747" s="1"/>
      <c r="E747" s="1"/>
      <c r="F747" s="1"/>
      <c r="G747" s="1"/>
      <c r="H747" s="1"/>
      <c r="I747" s="61"/>
      <c r="J747" s="1"/>
      <c r="K747" s="1"/>
    </row>
    <row r="748" spans="1:11" ht="15.75" customHeight="1">
      <c r="A748" s="2"/>
      <c r="B748" s="1"/>
      <c r="C748" s="1"/>
      <c r="D748" s="1"/>
      <c r="E748" s="1"/>
      <c r="F748" s="1"/>
      <c r="G748" s="1"/>
      <c r="H748" s="1"/>
      <c r="I748" s="61"/>
      <c r="J748" s="1"/>
      <c r="K748" s="1"/>
    </row>
    <row r="749" spans="1:11" ht="15.75" customHeight="1">
      <c r="A749" s="2"/>
      <c r="B749" s="1"/>
      <c r="C749" s="1"/>
      <c r="D749" s="1"/>
      <c r="E749" s="1"/>
      <c r="F749" s="1"/>
      <c r="G749" s="1"/>
      <c r="H749" s="1"/>
      <c r="I749" s="61"/>
      <c r="J749" s="1"/>
      <c r="K749" s="1"/>
    </row>
    <row r="750" spans="1:11" ht="15.75" customHeight="1">
      <c r="A750" s="2"/>
      <c r="B750" s="1"/>
      <c r="C750" s="1"/>
      <c r="D750" s="1"/>
      <c r="E750" s="1"/>
      <c r="F750" s="1"/>
      <c r="G750" s="1"/>
      <c r="H750" s="1"/>
      <c r="I750" s="61"/>
      <c r="J750" s="1"/>
      <c r="K750" s="1"/>
    </row>
    <row r="751" spans="1:11" ht="15.75" customHeight="1">
      <c r="A751" s="2"/>
      <c r="B751" s="1"/>
      <c r="C751" s="1"/>
      <c r="D751" s="1"/>
      <c r="E751" s="1"/>
      <c r="F751" s="1"/>
      <c r="G751" s="1"/>
      <c r="H751" s="1"/>
      <c r="I751" s="61"/>
      <c r="J751" s="1"/>
      <c r="K751" s="1"/>
    </row>
    <row r="752" spans="1:11" ht="15.75" customHeight="1">
      <c r="A752" s="2"/>
      <c r="B752" s="1"/>
      <c r="C752" s="1"/>
      <c r="D752" s="1"/>
      <c r="E752" s="1"/>
      <c r="F752" s="1"/>
      <c r="G752" s="1"/>
      <c r="H752" s="1"/>
      <c r="I752" s="61"/>
      <c r="J752" s="1"/>
      <c r="K752" s="1"/>
    </row>
    <row r="753" spans="1:11" ht="15.75" customHeight="1">
      <c r="A753" s="2"/>
      <c r="B753" s="1"/>
      <c r="C753" s="1"/>
      <c r="D753" s="1"/>
      <c r="E753" s="1"/>
      <c r="F753" s="1"/>
      <c r="G753" s="1"/>
      <c r="H753" s="1"/>
      <c r="I753" s="61"/>
      <c r="J753" s="1"/>
      <c r="K753" s="1"/>
    </row>
    <row r="754" spans="1:11" ht="15.75" customHeight="1">
      <c r="A754" s="2"/>
      <c r="B754" s="1"/>
      <c r="C754" s="1"/>
      <c r="D754" s="1"/>
      <c r="E754" s="1"/>
      <c r="F754" s="1"/>
      <c r="G754" s="1"/>
      <c r="H754" s="1"/>
      <c r="I754" s="61"/>
      <c r="J754" s="1"/>
      <c r="K754" s="1"/>
    </row>
    <row r="755" spans="1:11" ht="15.75" customHeight="1">
      <c r="A755" s="2"/>
      <c r="B755" s="1"/>
      <c r="C755" s="1"/>
      <c r="D755" s="1"/>
      <c r="E755" s="1"/>
      <c r="F755" s="1"/>
      <c r="G755" s="1"/>
      <c r="H755" s="1"/>
      <c r="I755" s="61"/>
      <c r="J755" s="1"/>
      <c r="K755" s="1"/>
    </row>
    <row r="756" spans="1:11" ht="15.75" customHeight="1">
      <c r="A756" s="2"/>
      <c r="B756" s="1"/>
      <c r="C756" s="1"/>
      <c r="D756" s="1"/>
      <c r="E756" s="1"/>
      <c r="F756" s="1"/>
      <c r="G756" s="1"/>
      <c r="H756" s="1"/>
      <c r="I756" s="61"/>
      <c r="J756" s="1"/>
      <c r="K756" s="1"/>
    </row>
    <row r="757" spans="1:11" ht="15.75" customHeight="1">
      <c r="A757" s="2"/>
      <c r="B757" s="1"/>
      <c r="C757" s="1"/>
      <c r="D757" s="1"/>
      <c r="E757" s="1"/>
      <c r="F757" s="1"/>
      <c r="G757" s="1"/>
      <c r="H757" s="1"/>
      <c r="I757" s="61"/>
      <c r="J757" s="1"/>
      <c r="K757" s="1"/>
    </row>
    <row r="758" spans="1:11" ht="15.75" customHeight="1">
      <c r="A758" s="2"/>
      <c r="B758" s="1"/>
      <c r="C758" s="1"/>
      <c r="D758" s="1"/>
      <c r="E758" s="1"/>
      <c r="F758" s="1"/>
      <c r="G758" s="1"/>
      <c r="H758" s="1"/>
      <c r="I758" s="61"/>
      <c r="J758" s="1"/>
      <c r="K758" s="1"/>
    </row>
    <row r="759" spans="1:11" ht="15.75" customHeight="1">
      <c r="A759" s="2"/>
      <c r="B759" s="1"/>
      <c r="C759" s="1"/>
      <c r="D759" s="1"/>
      <c r="E759" s="1"/>
      <c r="F759" s="1"/>
      <c r="G759" s="1"/>
      <c r="H759" s="1"/>
      <c r="I759" s="61"/>
      <c r="J759" s="1"/>
      <c r="K759" s="1"/>
    </row>
    <row r="760" spans="1:11" ht="15.75" customHeight="1">
      <c r="A760" s="2"/>
      <c r="B760" s="1"/>
      <c r="C760" s="1"/>
      <c r="D760" s="1"/>
      <c r="E760" s="1"/>
      <c r="F760" s="1"/>
      <c r="G760" s="1"/>
      <c r="H760" s="1"/>
      <c r="I760" s="61"/>
      <c r="J760" s="1"/>
      <c r="K760" s="1"/>
    </row>
    <row r="761" spans="1:11" ht="15.75" customHeight="1">
      <c r="A761" s="2"/>
      <c r="B761" s="1"/>
      <c r="C761" s="1"/>
      <c r="D761" s="1"/>
      <c r="E761" s="1"/>
      <c r="F761" s="1"/>
      <c r="G761" s="1"/>
      <c r="H761" s="1"/>
      <c r="I761" s="61"/>
      <c r="J761" s="1"/>
      <c r="K761" s="1"/>
    </row>
    <row r="762" spans="1:11" ht="15.75" customHeight="1">
      <c r="A762" s="2"/>
      <c r="B762" s="1"/>
      <c r="C762" s="1"/>
      <c r="D762" s="1"/>
      <c r="E762" s="1"/>
      <c r="F762" s="1"/>
      <c r="G762" s="1"/>
      <c r="H762" s="1"/>
      <c r="I762" s="61"/>
      <c r="J762" s="1"/>
      <c r="K762" s="1"/>
    </row>
    <row r="763" spans="1:11" ht="15.75" customHeight="1">
      <c r="A763" s="2"/>
      <c r="B763" s="1"/>
      <c r="C763" s="1"/>
      <c r="D763" s="1"/>
      <c r="E763" s="1"/>
      <c r="F763" s="1"/>
      <c r="G763" s="1"/>
      <c r="H763" s="1"/>
      <c r="I763" s="61"/>
      <c r="J763" s="1"/>
      <c r="K763" s="1"/>
    </row>
    <row r="764" spans="1:11" ht="15.75" customHeight="1">
      <c r="A764" s="2"/>
      <c r="B764" s="1"/>
      <c r="C764" s="1"/>
      <c r="D764" s="1"/>
      <c r="E764" s="1"/>
      <c r="F764" s="1"/>
      <c r="G764" s="1"/>
      <c r="H764" s="1"/>
      <c r="I764" s="61"/>
      <c r="J764" s="1"/>
      <c r="K764" s="1"/>
    </row>
    <row r="765" spans="1:11" ht="15.75" customHeight="1">
      <c r="A765" s="2"/>
      <c r="B765" s="1"/>
      <c r="C765" s="1"/>
      <c r="D765" s="1"/>
      <c r="E765" s="1"/>
      <c r="F765" s="1"/>
      <c r="G765" s="1"/>
      <c r="H765" s="1"/>
      <c r="I765" s="61"/>
      <c r="J765" s="1"/>
      <c r="K765" s="1"/>
    </row>
    <row r="766" spans="1:11" ht="15.75" customHeight="1">
      <c r="A766" s="2"/>
      <c r="B766" s="1"/>
      <c r="C766" s="1"/>
      <c r="D766" s="1"/>
      <c r="E766" s="1"/>
      <c r="F766" s="1"/>
      <c r="G766" s="1"/>
      <c r="H766" s="1"/>
      <c r="I766" s="61"/>
      <c r="J766" s="1"/>
      <c r="K766" s="1"/>
    </row>
    <row r="767" spans="1:11" ht="15.75" customHeight="1">
      <c r="A767" s="2"/>
      <c r="B767" s="1"/>
      <c r="C767" s="1"/>
      <c r="D767" s="1"/>
      <c r="E767" s="1"/>
      <c r="F767" s="1"/>
      <c r="G767" s="1"/>
      <c r="H767" s="1"/>
      <c r="I767" s="61"/>
      <c r="J767" s="1"/>
      <c r="K767" s="1"/>
    </row>
    <row r="768" spans="1:11" ht="15.75" customHeight="1">
      <c r="A768" s="2"/>
      <c r="B768" s="1"/>
      <c r="C768" s="1"/>
      <c r="D768" s="1"/>
      <c r="E768" s="1"/>
      <c r="F768" s="1"/>
      <c r="G768" s="1"/>
      <c r="H768" s="1"/>
      <c r="I768" s="61"/>
      <c r="J768" s="1"/>
      <c r="K768" s="1"/>
    </row>
    <row r="769" spans="1:11" ht="15.75" customHeight="1">
      <c r="A769" s="2"/>
      <c r="B769" s="1"/>
      <c r="C769" s="1"/>
      <c r="D769" s="1"/>
      <c r="E769" s="1"/>
      <c r="F769" s="1"/>
      <c r="G769" s="1"/>
      <c r="H769" s="1"/>
      <c r="I769" s="61"/>
      <c r="J769" s="1"/>
      <c r="K769" s="1"/>
    </row>
    <row r="770" spans="1:11" ht="15.75" customHeight="1">
      <c r="A770" s="2"/>
      <c r="B770" s="1"/>
      <c r="C770" s="1"/>
      <c r="D770" s="1"/>
      <c r="E770" s="1"/>
      <c r="F770" s="1"/>
      <c r="G770" s="1"/>
      <c r="H770" s="1"/>
      <c r="I770" s="61"/>
      <c r="J770" s="1"/>
      <c r="K770" s="1"/>
    </row>
    <row r="771" spans="1:11" ht="15.75" customHeight="1">
      <c r="A771" s="2"/>
      <c r="B771" s="1"/>
      <c r="C771" s="1"/>
      <c r="D771" s="1"/>
      <c r="E771" s="1"/>
      <c r="F771" s="1"/>
      <c r="G771" s="1"/>
      <c r="H771" s="1"/>
      <c r="I771" s="61"/>
      <c r="J771" s="1"/>
      <c r="K771" s="1"/>
    </row>
    <row r="772" spans="1:11" ht="15.75" customHeight="1">
      <c r="A772" s="2"/>
      <c r="B772" s="1"/>
      <c r="C772" s="1"/>
      <c r="D772" s="1"/>
      <c r="E772" s="1"/>
      <c r="F772" s="1"/>
      <c r="G772" s="1"/>
      <c r="H772" s="1"/>
      <c r="I772" s="61"/>
      <c r="J772" s="1"/>
      <c r="K772" s="1"/>
    </row>
    <row r="773" spans="1:11" ht="15.75" customHeight="1">
      <c r="A773" s="2"/>
      <c r="B773" s="1"/>
      <c r="C773" s="1"/>
      <c r="D773" s="1"/>
      <c r="E773" s="1"/>
      <c r="F773" s="1"/>
      <c r="G773" s="1"/>
      <c r="H773" s="1"/>
      <c r="I773" s="61"/>
      <c r="J773" s="1"/>
      <c r="K773" s="1"/>
    </row>
    <row r="774" spans="1:11" ht="15.75" customHeight="1">
      <c r="A774" s="2"/>
      <c r="B774" s="1"/>
      <c r="C774" s="1"/>
      <c r="D774" s="1"/>
      <c r="E774" s="1"/>
      <c r="F774" s="1"/>
      <c r="G774" s="1"/>
      <c r="H774" s="1"/>
      <c r="I774" s="61"/>
      <c r="J774" s="1"/>
      <c r="K774" s="1"/>
    </row>
    <row r="775" spans="1:11" ht="15.75" customHeight="1">
      <c r="A775" s="2"/>
      <c r="B775" s="1"/>
      <c r="C775" s="1"/>
      <c r="D775" s="1"/>
      <c r="E775" s="1"/>
      <c r="F775" s="1"/>
      <c r="G775" s="1"/>
      <c r="H775" s="1"/>
      <c r="I775" s="61"/>
      <c r="J775" s="1"/>
      <c r="K775" s="1"/>
    </row>
    <row r="776" spans="1:11" ht="15.75" customHeight="1">
      <c r="A776" s="2"/>
      <c r="B776" s="1"/>
      <c r="C776" s="1"/>
      <c r="D776" s="1"/>
      <c r="E776" s="1"/>
      <c r="F776" s="1"/>
      <c r="G776" s="1"/>
      <c r="H776" s="1"/>
      <c r="I776" s="61"/>
      <c r="J776" s="1"/>
      <c r="K776" s="1"/>
    </row>
    <row r="777" spans="1:11" ht="15.75" customHeight="1">
      <c r="A777" s="2"/>
      <c r="B777" s="1"/>
      <c r="C777" s="1"/>
      <c r="D777" s="1"/>
      <c r="E777" s="1"/>
      <c r="F777" s="1"/>
      <c r="G777" s="1"/>
      <c r="H777" s="1"/>
      <c r="I777" s="61"/>
      <c r="J777" s="1"/>
      <c r="K777" s="1"/>
    </row>
    <row r="778" spans="1:11" ht="15.75" customHeight="1">
      <c r="A778" s="2"/>
      <c r="B778" s="1"/>
      <c r="C778" s="1"/>
      <c r="D778" s="1"/>
      <c r="E778" s="1"/>
      <c r="F778" s="1"/>
      <c r="G778" s="1"/>
      <c r="H778" s="1"/>
      <c r="I778" s="61"/>
      <c r="J778" s="1"/>
      <c r="K778" s="1"/>
    </row>
    <row r="779" spans="1:11" ht="15.75" customHeight="1">
      <c r="A779" s="2"/>
      <c r="B779" s="1"/>
      <c r="C779" s="1"/>
      <c r="D779" s="1"/>
      <c r="E779" s="1"/>
      <c r="F779" s="1"/>
      <c r="G779" s="1"/>
      <c r="H779" s="1"/>
      <c r="I779" s="61"/>
      <c r="J779" s="1"/>
      <c r="K779" s="1"/>
    </row>
    <row r="780" spans="1:11" ht="15.75" customHeight="1">
      <c r="A780" s="2"/>
      <c r="B780" s="1"/>
      <c r="C780" s="1"/>
      <c r="D780" s="1"/>
      <c r="E780" s="1"/>
      <c r="F780" s="1"/>
      <c r="G780" s="1"/>
      <c r="H780" s="1"/>
      <c r="I780" s="61"/>
      <c r="J780" s="1"/>
      <c r="K780" s="1"/>
    </row>
    <row r="781" spans="1:11" ht="15.75" customHeight="1">
      <c r="A781" s="2"/>
      <c r="B781" s="1"/>
      <c r="C781" s="1"/>
      <c r="D781" s="1"/>
      <c r="E781" s="1"/>
      <c r="F781" s="1"/>
      <c r="G781" s="1"/>
      <c r="H781" s="1"/>
      <c r="I781" s="61"/>
      <c r="J781" s="1"/>
      <c r="K781" s="1"/>
    </row>
    <row r="782" spans="1:11" ht="15.75" customHeight="1">
      <c r="A782" s="2"/>
      <c r="B782" s="1"/>
      <c r="C782" s="1"/>
      <c r="D782" s="1"/>
      <c r="E782" s="1"/>
      <c r="F782" s="1"/>
      <c r="G782" s="1"/>
      <c r="H782" s="1"/>
      <c r="I782" s="61"/>
      <c r="J782" s="1"/>
      <c r="K782" s="1"/>
    </row>
    <row r="783" spans="1:11" ht="15.75" customHeight="1">
      <c r="A783" s="2"/>
      <c r="B783" s="1"/>
      <c r="C783" s="1"/>
      <c r="D783" s="1"/>
      <c r="E783" s="1"/>
      <c r="F783" s="1"/>
      <c r="G783" s="1"/>
      <c r="H783" s="1"/>
      <c r="I783" s="61"/>
      <c r="J783" s="1"/>
      <c r="K783" s="1"/>
    </row>
    <row r="784" spans="1:11" ht="15.75" customHeight="1">
      <c r="A784" s="2"/>
      <c r="B784" s="1"/>
      <c r="C784" s="1"/>
      <c r="D784" s="1"/>
      <c r="E784" s="1"/>
      <c r="F784" s="1"/>
      <c r="G784" s="1"/>
      <c r="H784" s="1"/>
      <c r="I784" s="61"/>
      <c r="J784" s="1"/>
      <c r="K784" s="1"/>
    </row>
    <row r="785" spans="1:11" ht="15.75" customHeight="1">
      <c r="A785" s="2"/>
      <c r="B785" s="1"/>
      <c r="C785" s="1"/>
      <c r="D785" s="1"/>
      <c r="E785" s="1"/>
      <c r="F785" s="1"/>
      <c r="G785" s="1"/>
      <c r="H785" s="1"/>
      <c r="I785" s="61"/>
      <c r="J785" s="1"/>
      <c r="K785" s="1"/>
    </row>
    <row r="786" spans="1:11" ht="15.75" customHeight="1">
      <c r="A786" s="2"/>
      <c r="B786" s="1"/>
      <c r="C786" s="1"/>
      <c r="D786" s="1"/>
      <c r="E786" s="1"/>
      <c r="F786" s="1"/>
      <c r="G786" s="1"/>
      <c r="H786" s="1"/>
      <c r="I786" s="61"/>
      <c r="J786" s="1"/>
      <c r="K786" s="1"/>
    </row>
    <row r="787" spans="1:11" ht="15.75" customHeight="1">
      <c r="A787" s="2"/>
      <c r="B787" s="1"/>
      <c r="C787" s="1"/>
      <c r="D787" s="1"/>
      <c r="E787" s="1"/>
      <c r="F787" s="1"/>
      <c r="G787" s="1"/>
      <c r="H787" s="1"/>
      <c r="I787" s="61"/>
      <c r="J787" s="1"/>
      <c r="K787" s="1"/>
    </row>
    <row r="788" spans="1:11" ht="15.75" customHeight="1">
      <c r="A788" s="2"/>
      <c r="B788" s="1"/>
      <c r="C788" s="1"/>
      <c r="D788" s="1"/>
      <c r="E788" s="1"/>
      <c r="F788" s="1"/>
      <c r="G788" s="1"/>
      <c r="H788" s="1"/>
      <c r="I788" s="61"/>
      <c r="J788" s="1"/>
      <c r="K788" s="1"/>
    </row>
    <row r="789" spans="1:11" ht="15.75" customHeight="1">
      <c r="A789" s="2"/>
      <c r="B789" s="1"/>
      <c r="C789" s="1"/>
      <c r="D789" s="1"/>
      <c r="E789" s="1"/>
      <c r="F789" s="1"/>
      <c r="G789" s="1"/>
      <c r="H789" s="1"/>
      <c r="I789" s="61"/>
      <c r="J789" s="1"/>
      <c r="K789" s="1"/>
    </row>
    <row r="790" spans="1:11" ht="15.75" customHeight="1">
      <c r="A790" s="2"/>
      <c r="B790" s="1"/>
      <c r="C790" s="1"/>
      <c r="D790" s="1"/>
      <c r="E790" s="1"/>
      <c r="F790" s="1"/>
      <c r="G790" s="1"/>
      <c r="H790" s="1"/>
      <c r="I790" s="61"/>
      <c r="J790" s="1"/>
      <c r="K790" s="1"/>
    </row>
    <row r="791" spans="1:11" ht="15.75" customHeight="1">
      <c r="A791" s="2"/>
      <c r="B791" s="1"/>
      <c r="C791" s="1"/>
      <c r="D791" s="1"/>
      <c r="E791" s="1"/>
      <c r="F791" s="1"/>
      <c r="G791" s="1"/>
      <c r="H791" s="1"/>
      <c r="I791" s="61"/>
      <c r="J791" s="1"/>
      <c r="K791" s="1"/>
    </row>
    <row r="792" spans="1:11" ht="15.75" customHeight="1">
      <c r="A792" s="2"/>
      <c r="B792" s="1"/>
      <c r="C792" s="1"/>
      <c r="D792" s="1"/>
      <c r="E792" s="1"/>
      <c r="F792" s="1"/>
      <c r="G792" s="1"/>
      <c r="H792" s="1"/>
      <c r="I792" s="61"/>
      <c r="J792" s="1"/>
      <c r="K792" s="1"/>
    </row>
    <row r="793" spans="1:11" ht="15.75" customHeight="1">
      <c r="A793" s="2"/>
      <c r="B793" s="1"/>
      <c r="C793" s="1"/>
      <c r="D793" s="1"/>
      <c r="E793" s="1"/>
      <c r="F793" s="1"/>
      <c r="G793" s="1"/>
      <c r="H793" s="1"/>
      <c r="I793" s="61"/>
      <c r="J793" s="1"/>
      <c r="K793" s="1"/>
    </row>
    <row r="794" spans="1:11" ht="15.75" customHeight="1">
      <c r="A794" s="2"/>
      <c r="B794" s="1"/>
      <c r="C794" s="1"/>
      <c r="D794" s="1"/>
      <c r="E794" s="1"/>
      <c r="F794" s="1"/>
      <c r="G794" s="1"/>
      <c r="H794" s="1"/>
      <c r="I794" s="61"/>
      <c r="J794" s="1"/>
      <c r="K794" s="1"/>
    </row>
    <row r="795" spans="1:11" ht="15.75" customHeight="1">
      <c r="A795" s="2"/>
      <c r="B795" s="1"/>
      <c r="C795" s="1"/>
      <c r="D795" s="1"/>
      <c r="E795" s="1"/>
      <c r="F795" s="1"/>
      <c r="G795" s="1"/>
      <c r="H795" s="1"/>
      <c r="I795" s="61"/>
      <c r="J795" s="1"/>
      <c r="K795" s="1"/>
    </row>
    <row r="796" spans="1:11" ht="15.75" customHeight="1">
      <c r="A796" s="2"/>
      <c r="B796" s="1"/>
      <c r="C796" s="1"/>
      <c r="D796" s="1"/>
      <c r="E796" s="1"/>
      <c r="F796" s="1"/>
      <c r="G796" s="1"/>
      <c r="H796" s="1"/>
      <c r="I796" s="61"/>
      <c r="J796" s="1"/>
      <c r="K796" s="1"/>
    </row>
    <row r="797" spans="1:11" ht="15.75" customHeight="1">
      <c r="A797" s="2"/>
      <c r="B797" s="1"/>
      <c r="C797" s="1"/>
      <c r="D797" s="1"/>
      <c r="E797" s="1"/>
      <c r="F797" s="1"/>
      <c r="G797" s="1"/>
      <c r="H797" s="1"/>
      <c r="I797" s="61"/>
      <c r="J797" s="1"/>
      <c r="K797" s="1"/>
    </row>
    <row r="798" spans="1:11" ht="15.75" customHeight="1">
      <c r="A798" s="2"/>
      <c r="B798" s="1"/>
      <c r="C798" s="1"/>
      <c r="D798" s="1"/>
      <c r="E798" s="1"/>
      <c r="F798" s="1"/>
      <c r="G798" s="1"/>
      <c r="H798" s="1"/>
      <c r="I798" s="61"/>
      <c r="J798" s="1"/>
      <c r="K798" s="1"/>
    </row>
    <row r="799" spans="1:11" ht="15.75" customHeight="1">
      <c r="A799" s="2"/>
      <c r="B799" s="1"/>
      <c r="C799" s="1"/>
      <c r="D799" s="1"/>
      <c r="E799" s="1"/>
      <c r="F799" s="1"/>
      <c r="G799" s="1"/>
      <c r="H799" s="1"/>
      <c r="I799" s="61"/>
      <c r="J799" s="1"/>
      <c r="K799" s="1"/>
    </row>
    <row r="800" spans="1:11" ht="15.75" customHeight="1">
      <c r="A800" s="2"/>
      <c r="B800" s="1"/>
      <c r="C800" s="1"/>
      <c r="D800" s="1"/>
      <c r="E800" s="1"/>
      <c r="F800" s="1"/>
      <c r="G800" s="1"/>
      <c r="H800" s="1"/>
      <c r="I800" s="61"/>
      <c r="J800" s="1"/>
      <c r="K800" s="1"/>
    </row>
    <row r="801" spans="1:11" ht="15.75" customHeight="1">
      <c r="A801" s="2"/>
      <c r="B801" s="1"/>
      <c r="C801" s="1"/>
      <c r="D801" s="1"/>
      <c r="E801" s="1"/>
      <c r="F801" s="1"/>
      <c r="G801" s="1"/>
      <c r="H801" s="1"/>
      <c r="I801" s="61"/>
      <c r="J801" s="1"/>
      <c r="K801" s="1"/>
    </row>
    <row r="802" spans="1:11" ht="15.75" customHeight="1">
      <c r="A802" s="2"/>
      <c r="B802" s="1"/>
      <c r="C802" s="1"/>
      <c r="D802" s="1"/>
      <c r="E802" s="1"/>
      <c r="F802" s="1"/>
      <c r="G802" s="1"/>
      <c r="H802" s="1"/>
      <c r="I802" s="61"/>
      <c r="J802" s="1"/>
      <c r="K802" s="1"/>
    </row>
    <row r="803" spans="1:11" ht="15.75" customHeight="1">
      <c r="A803" s="2"/>
      <c r="B803" s="1"/>
      <c r="C803" s="1"/>
      <c r="D803" s="1"/>
      <c r="E803" s="1"/>
      <c r="F803" s="1"/>
      <c r="G803" s="1"/>
      <c r="H803" s="1"/>
      <c r="I803" s="61"/>
      <c r="J803" s="1"/>
      <c r="K803" s="1"/>
    </row>
    <row r="804" spans="1:11" ht="15.75" customHeight="1">
      <c r="A804" s="2"/>
      <c r="B804" s="1"/>
      <c r="C804" s="1"/>
      <c r="D804" s="1"/>
      <c r="E804" s="1"/>
      <c r="F804" s="1"/>
      <c r="G804" s="1"/>
      <c r="H804" s="1"/>
      <c r="I804" s="61"/>
      <c r="J804" s="1"/>
      <c r="K804" s="1"/>
    </row>
    <row r="805" spans="1:11" ht="15.75" customHeight="1">
      <c r="A805" s="2"/>
      <c r="B805" s="1"/>
      <c r="C805" s="1"/>
      <c r="D805" s="1"/>
      <c r="E805" s="1"/>
      <c r="F805" s="1"/>
      <c r="G805" s="1"/>
      <c r="H805" s="1"/>
      <c r="I805" s="61"/>
      <c r="J805" s="1"/>
      <c r="K805" s="1"/>
    </row>
    <row r="806" spans="1:11" ht="15.75" customHeight="1">
      <c r="A806" s="2"/>
      <c r="B806" s="1"/>
      <c r="C806" s="1"/>
      <c r="D806" s="1"/>
      <c r="E806" s="1"/>
      <c r="F806" s="1"/>
      <c r="G806" s="1"/>
      <c r="H806" s="1"/>
      <c r="I806" s="61"/>
      <c r="J806" s="1"/>
      <c r="K806" s="1"/>
    </row>
    <row r="807" spans="1:11" ht="15.75" customHeight="1">
      <c r="A807" s="2"/>
      <c r="B807" s="1"/>
      <c r="C807" s="1"/>
      <c r="D807" s="1"/>
      <c r="E807" s="1"/>
      <c r="F807" s="1"/>
      <c r="G807" s="1"/>
      <c r="H807" s="1"/>
      <c r="I807" s="61"/>
      <c r="J807" s="1"/>
      <c r="K807" s="1"/>
    </row>
    <row r="808" spans="1:11" ht="15.75" customHeight="1">
      <c r="A808" s="2"/>
      <c r="B808" s="1"/>
      <c r="C808" s="1"/>
      <c r="D808" s="1"/>
      <c r="E808" s="1"/>
      <c r="F808" s="1"/>
      <c r="G808" s="1"/>
      <c r="H808" s="1"/>
      <c r="I808" s="61"/>
      <c r="J808" s="1"/>
      <c r="K808" s="1"/>
    </row>
    <row r="809" spans="1:11" ht="15.75" customHeight="1">
      <c r="A809" s="2"/>
      <c r="B809" s="1"/>
      <c r="C809" s="1"/>
      <c r="D809" s="1"/>
      <c r="E809" s="1"/>
      <c r="F809" s="1"/>
      <c r="G809" s="1"/>
      <c r="H809" s="1"/>
      <c r="I809" s="61"/>
      <c r="J809" s="1"/>
      <c r="K809" s="1"/>
    </row>
    <row r="810" spans="1:11" ht="15.75" customHeight="1">
      <c r="A810" s="2"/>
      <c r="B810" s="1"/>
      <c r="C810" s="1"/>
      <c r="D810" s="1"/>
      <c r="E810" s="1"/>
      <c r="F810" s="1"/>
      <c r="G810" s="1"/>
      <c r="H810" s="1"/>
      <c r="I810" s="61"/>
      <c r="J810" s="1"/>
      <c r="K810" s="1"/>
    </row>
    <row r="811" spans="1:11" ht="15.75" customHeight="1">
      <c r="A811" s="2"/>
      <c r="B811" s="1"/>
      <c r="C811" s="1"/>
      <c r="D811" s="1"/>
      <c r="E811" s="1"/>
      <c r="F811" s="1"/>
      <c r="G811" s="1"/>
      <c r="H811" s="1"/>
      <c r="I811" s="61"/>
      <c r="J811" s="1"/>
      <c r="K811" s="1"/>
    </row>
    <row r="812" spans="1:11" ht="15.75" customHeight="1">
      <c r="A812" s="2"/>
      <c r="B812" s="1"/>
      <c r="C812" s="1"/>
      <c r="D812" s="1"/>
      <c r="E812" s="1"/>
      <c r="F812" s="1"/>
      <c r="G812" s="1"/>
      <c r="H812" s="1"/>
      <c r="I812" s="61"/>
      <c r="J812" s="1"/>
      <c r="K812" s="1"/>
    </row>
    <row r="813" spans="1:11" ht="15.75" customHeight="1">
      <c r="A813" s="2"/>
      <c r="B813" s="1"/>
      <c r="C813" s="1"/>
      <c r="D813" s="1"/>
      <c r="E813" s="1"/>
      <c r="F813" s="1"/>
      <c r="G813" s="1"/>
      <c r="H813" s="1"/>
      <c r="I813" s="61"/>
      <c r="J813" s="1"/>
      <c r="K813" s="1"/>
    </row>
    <row r="814" spans="1:11" ht="15.75" customHeight="1">
      <c r="A814" s="2"/>
      <c r="B814" s="1"/>
      <c r="C814" s="1"/>
      <c r="D814" s="1"/>
      <c r="E814" s="1"/>
      <c r="F814" s="1"/>
      <c r="G814" s="1"/>
      <c r="H814" s="1"/>
      <c r="I814" s="61"/>
      <c r="J814" s="1"/>
      <c r="K814" s="1"/>
    </row>
    <row r="815" spans="1:11" ht="15.75" customHeight="1">
      <c r="A815" s="2"/>
      <c r="B815" s="1"/>
      <c r="C815" s="1"/>
      <c r="D815" s="1"/>
      <c r="E815" s="1"/>
      <c r="F815" s="1"/>
      <c r="G815" s="1"/>
      <c r="H815" s="1"/>
      <c r="I815" s="61"/>
      <c r="J815" s="1"/>
      <c r="K815" s="1"/>
    </row>
    <row r="816" spans="1:11" ht="15.75" customHeight="1">
      <c r="A816" s="2"/>
      <c r="B816" s="1"/>
      <c r="C816" s="1"/>
      <c r="D816" s="1"/>
      <c r="E816" s="1"/>
      <c r="F816" s="1"/>
      <c r="G816" s="1"/>
      <c r="H816" s="1"/>
      <c r="I816" s="61"/>
      <c r="J816" s="1"/>
      <c r="K816" s="1"/>
    </row>
    <row r="817" spans="1:11" ht="15.75" customHeight="1">
      <c r="A817" s="2"/>
      <c r="B817" s="1"/>
      <c r="C817" s="1"/>
      <c r="D817" s="1"/>
      <c r="E817" s="1"/>
      <c r="F817" s="1"/>
      <c r="G817" s="1"/>
      <c r="H817" s="1"/>
      <c r="I817" s="61"/>
      <c r="J817" s="1"/>
      <c r="K817" s="1"/>
    </row>
    <row r="818" spans="1:11" ht="15.75" customHeight="1">
      <c r="A818" s="2"/>
      <c r="B818" s="1"/>
      <c r="C818" s="1"/>
      <c r="D818" s="1"/>
      <c r="E818" s="1"/>
      <c r="F818" s="1"/>
      <c r="G818" s="1"/>
      <c r="H818" s="1"/>
      <c r="I818" s="61"/>
      <c r="J818" s="1"/>
      <c r="K818" s="1"/>
    </row>
    <row r="819" spans="1:11" ht="15.75" customHeight="1">
      <c r="A819" s="2"/>
      <c r="B819" s="1"/>
      <c r="C819" s="1"/>
      <c r="D819" s="1"/>
      <c r="E819" s="1"/>
      <c r="F819" s="1"/>
      <c r="G819" s="1"/>
      <c r="H819" s="1"/>
      <c r="I819" s="61"/>
      <c r="J819" s="1"/>
      <c r="K819" s="1"/>
    </row>
    <row r="820" spans="1:11" ht="15.75" customHeight="1">
      <c r="A820" s="2"/>
      <c r="B820" s="1"/>
      <c r="C820" s="1"/>
      <c r="D820" s="1"/>
      <c r="E820" s="1"/>
      <c r="F820" s="1"/>
      <c r="G820" s="1"/>
      <c r="H820" s="1"/>
      <c r="I820" s="61"/>
      <c r="J820" s="1"/>
      <c r="K820" s="1"/>
    </row>
    <row r="821" spans="1:11" ht="15.75" customHeight="1">
      <c r="A821" s="2"/>
      <c r="B821" s="1"/>
      <c r="C821" s="1"/>
      <c r="D821" s="1"/>
      <c r="E821" s="1"/>
      <c r="F821" s="1"/>
      <c r="G821" s="1"/>
      <c r="H821" s="1"/>
      <c r="I821" s="61"/>
      <c r="J821" s="1"/>
      <c r="K821" s="1"/>
    </row>
    <row r="822" spans="1:11" ht="15.75" customHeight="1">
      <c r="A822" s="2"/>
      <c r="B822" s="1"/>
      <c r="C822" s="1"/>
      <c r="D822" s="1"/>
      <c r="E822" s="1"/>
      <c r="F822" s="1"/>
      <c r="G822" s="1"/>
      <c r="H822" s="1"/>
      <c r="I822" s="61"/>
      <c r="J822" s="1"/>
      <c r="K822" s="1"/>
    </row>
    <row r="823" spans="1:11" ht="15.75" customHeight="1">
      <c r="A823" s="2"/>
      <c r="B823" s="1"/>
      <c r="C823" s="1"/>
      <c r="D823" s="1"/>
      <c r="E823" s="1"/>
      <c r="F823" s="1"/>
      <c r="G823" s="1"/>
      <c r="H823" s="1"/>
      <c r="I823" s="61"/>
      <c r="J823" s="1"/>
      <c r="K823" s="1"/>
    </row>
    <row r="824" spans="1:11" ht="15.75" customHeight="1">
      <c r="A824" s="2"/>
      <c r="B824" s="1"/>
      <c r="C824" s="1"/>
      <c r="D824" s="1"/>
      <c r="E824" s="1"/>
      <c r="F824" s="1"/>
      <c r="G824" s="1"/>
      <c r="H824" s="1"/>
      <c r="I824" s="61"/>
      <c r="J824" s="1"/>
      <c r="K824" s="1"/>
    </row>
    <row r="825" spans="1:11" ht="15.75" customHeight="1">
      <c r="A825" s="2"/>
      <c r="B825" s="1"/>
      <c r="C825" s="1"/>
      <c r="D825" s="1"/>
      <c r="E825" s="1"/>
      <c r="F825" s="1"/>
      <c r="G825" s="1"/>
      <c r="H825" s="1"/>
      <c r="I825" s="61"/>
      <c r="J825" s="1"/>
      <c r="K825" s="1"/>
    </row>
    <row r="826" spans="1:11" ht="15.75" customHeight="1">
      <c r="A826" s="2"/>
      <c r="B826" s="1"/>
      <c r="C826" s="1"/>
      <c r="D826" s="1"/>
      <c r="E826" s="1"/>
      <c r="F826" s="1"/>
      <c r="G826" s="1"/>
      <c r="H826" s="1"/>
      <c r="I826" s="61"/>
      <c r="J826" s="1"/>
      <c r="K826" s="1"/>
    </row>
    <row r="827" spans="1:11" ht="15.75" customHeight="1">
      <c r="A827" s="2"/>
      <c r="B827" s="1"/>
      <c r="C827" s="1"/>
      <c r="D827" s="1"/>
      <c r="E827" s="1"/>
      <c r="F827" s="1"/>
      <c r="G827" s="1"/>
      <c r="H827" s="1"/>
      <c r="I827" s="61"/>
      <c r="J827" s="1"/>
      <c r="K827" s="1"/>
    </row>
    <row r="828" spans="1:11" ht="15.75" customHeight="1">
      <c r="A828" s="2"/>
      <c r="B828" s="1"/>
      <c r="C828" s="1"/>
      <c r="D828" s="1"/>
      <c r="E828" s="1"/>
      <c r="F828" s="1"/>
      <c r="G828" s="1"/>
      <c r="H828" s="1"/>
      <c r="I828" s="61"/>
      <c r="J828" s="1"/>
      <c r="K828" s="1"/>
    </row>
    <row r="829" spans="1:11" ht="15.75" customHeight="1">
      <c r="A829" s="2"/>
      <c r="B829" s="1"/>
      <c r="C829" s="1"/>
      <c r="D829" s="1"/>
      <c r="E829" s="1"/>
      <c r="F829" s="1"/>
      <c r="G829" s="1"/>
      <c r="H829" s="1"/>
      <c r="I829" s="61"/>
      <c r="J829" s="1"/>
      <c r="K829" s="1"/>
    </row>
    <row r="830" spans="1:11" ht="15.75" customHeight="1">
      <c r="A830" s="2"/>
      <c r="B830" s="1"/>
      <c r="C830" s="1"/>
      <c r="D830" s="1"/>
      <c r="E830" s="1"/>
      <c r="F830" s="1"/>
      <c r="G830" s="1"/>
      <c r="H830" s="1"/>
      <c r="I830" s="61"/>
      <c r="J830" s="1"/>
      <c r="K830" s="1"/>
    </row>
    <row r="831" spans="1:11" ht="15.75" customHeight="1">
      <c r="A831" s="2"/>
      <c r="B831" s="1"/>
      <c r="C831" s="1"/>
      <c r="D831" s="1"/>
      <c r="E831" s="1"/>
      <c r="F831" s="1"/>
      <c r="G831" s="1"/>
      <c r="H831" s="1"/>
      <c r="I831" s="61"/>
      <c r="J831" s="1"/>
      <c r="K831" s="1"/>
    </row>
    <row r="832" spans="1:11" ht="15.75" customHeight="1">
      <c r="A832" s="2"/>
      <c r="B832" s="1"/>
      <c r="C832" s="1"/>
      <c r="D832" s="1"/>
      <c r="E832" s="1"/>
      <c r="F832" s="1"/>
      <c r="G832" s="1"/>
      <c r="H832" s="1"/>
      <c r="I832" s="61"/>
      <c r="J832" s="1"/>
      <c r="K832" s="1"/>
    </row>
    <row r="833" spans="1:11" ht="15.75" customHeight="1">
      <c r="A833" s="2"/>
      <c r="B833" s="1"/>
      <c r="C833" s="1"/>
      <c r="D833" s="1"/>
      <c r="E833" s="1"/>
      <c r="F833" s="1"/>
      <c r="G833" s="1"/>
      <c r="H833" s="1"/>
      <c r="I833" s="61"/>
      <c r="J833" s="1"/>
      <c r="K833" s="1"/>
    </row>
    <row r="834" spans="1:11" ht="15.75" customHeight="1">
      <c r="A834" s="2"/>
      <c r="B834" s="1"/>
      <c r="C834" s="1"/>
      <c r="D834" s="1"/>
      <c r="E834" s="1"/>
      <c r="F834" s="1"/>
      <c r="G834" s="1"/>
      <c r="H834" s="1"/>
      <c r="I834" s="61"/>
      <c r="J834" s="1"/>
      <c r="K834" s="1"/>
    </row>
    <row r="835" spans="1:11" ht="15.75" customHeight="1">
      <c r="A835" s="2"/>
      <c r="B835" s="1"/>
      <c r="C835" s="1"/>
      <c r="D835" s="1"/>
      <c r="E835" s="1"/>
      <c r="F835" s="1"/>
      <c r="G835" s="1"/>
      <c r="H835" s="1"/>
      <c r="I835" s="61"/>
      <c r="J835" s="1"/>
      <c r="K835" s="1"/>
    </row>
    <row r="836" spans="1:11" ht="15.75" customHeight="1">
      <c r="A836" s="2"/>
      <c r="B836" s="1"/>
      <c r="C836" s="1"/>
      <c r="D836" s="1"/>
      <c r="E836" s="1"/>
      <c r="F836" s="1"/>
      <c r="G836" s="1"/>
      <c r="H836" s="1"/>
      <c r="I836" s="61"/>
      <c r="J836" s="1"/>
      <c r="K836" s="1"/>
    </row>
    <row r="837" spans="1:11" ht="15.75" customHeight="1">
      <c r="A837" s="2"/>
      <c r="B837" s="1"/>
      <c r="C837" s="1"/>
      <c r="D837" s="1"/>
      <c r="E837" s="1"/>
      <c r="F837" s="1"/>
      <c r="G837" s="1"/>
      <c r="H837" s="1"/>
      <c r="I837" s="61"/>
      <c r="J837" s="1"/>
      <c r="K837" s="1"/>
    </row>
    <row r="838" spans="1:11" ht="15.75" customHeight="1">
      <c r="A838" s="2"/>
      <c r="B838" s="1"/>
      <c r="C838" s="1"/>
      <c r="D838" s="1"/>
      <c r="E838" s="1"/>
      <c r="F838" s="1"/>
      <c r="G838" s="1"/>
      <c r="H838" s="1"/>
      <c r="I838" s="61"/>
      <c r="J838" s="1"/>
      <c r="K838" s="1"/>
    </row>
    <row r="839" spans="1:11" ht="15.75" customHeight="1">
      <c r="A839" s="2"/>
      <c r="B839" s="1"/>
      <c r="C839" s="1"/>
      <c r="D839" s="1"/>
      <c r="E839" s="1"/>
      <c r="F839" s="1"/>
      <c r="G839" s="1"/>
      <c r="H839" s="1"/>
      <c r="I839" s="61"/>
      <c r="J839" s="1"/>
      <c r="K839" s="1"/>
    </row>
    <row r="840" spans="1:11" ht="15.75" customHeight="1">
      <c r="A840" s="2"/>
      <c r="B840" s="1"/>
      <c r="C840" s="1"/>
      <c r="D840" s="1"/>
      <c r="E840" s="1"/>
      <c r="F840" s="1"/>
      <c r="G840" s="1"/>
      <c r="H840" s="1"/>
      <c r="I840" s="61"/>
      <c r="J840" s="1"/>
      <c r="K840" s="1"/>
    </row>
    <row r="841" spans="1:11" ht="15.75" customHeight="1">
      <c r="A841" s="2"/>
      <c r="B841" s="1"/>
      <c r="C841" s="1"/>
      <c r="D841" s="1"/>
      <c r="E841" s="1"/>
      <c r="F841" s="1"/>
      <c r="G841" s="1"/>
      <c r="H841" s="1"/>
      <c r="I841" s="61"/>
      <c r="J841" s="1"/>
      <c r="K841" s="1"/>
    </row>
    <row r="842" spans="1:11" ht="15.75" customHeight="1">
      <c r="A842" s="2"/>
      <c r="B842" s="1"/>
      <c r="C842" s="1"/>
      <c r="D842" s="1"/>
      <c r="E842" s="1"/>
      <c r="F842" s="1"/>
      <c r="G842" s="1"/>
      <c r="H842" s="1"/>
      <c r="I842" s="61"/>
      <c r="J842" s="1"/>
      <c r="K842" s="1"/>
    </row>
    <row r="843" spans="1:11" ht="15.75" customHeight="1">
      <c r="A843" s="2"/>
      <c r="B843" s="1"/>
      <c r="C843" s="1"/>
      <c r="D843" s="1"/>
      <c r="E843" s="1"/>
      <c r="F843" s="1"/>
      <c r="G843" s="1"/>
      <c r="H843" s="1"/>
      <c r="I843" s="61"/>
      <c r="J843" s="1"/>
      <c r="K843" s="1"/>
    </row>
    <row r="844" spans="1:11" ht="15.75" customHeight="1">
      <c r="A844" s="2"/>
      <c r="B844" s="1"/>
      <c r="C844" s="1"/>
      <c r="D844" s="1"/>
      <c r="E844" s="1"/>
      <c r="F844" s="1"/>
      <c r="G844" s="1"/>
      <c r="H844" s="1"/>
      <c r="I844" s="61"/>
      <c r="J844" s="1"/>
      <c r="K844" s="1"/>
    </row>
    <row r="845" spans="1:11" ht="15.75" customHeight="1">
      <c r="A845" s="2"/>
      <c r="B845" s="1"/>
      <c r="C845" s="1"/>
      <c r="D845" s="1"/>
      <c r="E845" s="1"/>
      <c r="F845" s="1"/>
      <c r="G845" s="1"/>
      <c r="H845" s="1"/>
      <c r="I845" s="61"/>
      <c r="J845" s="1"/>
      <c r="K845" s="1"/>
    </row>
    <row r="846" spans="1:11" ht="15.75" customHeight="1">
      <c r="A846" s="2"/>
      <c r="B846" s="1"/>
      <c r="C846" s="1"/>
      <c r="D846" s="1"/>
      <c r="E846" s="1"/>
      <c r="F846" s="1"/>
      <c r="G846" s="1"/>
      <c r="H846" s="1"/>
      <c r="I846" s="61"/>
      <c r="J846" s="1"/>
      <c r="K846" s="1"/>
    </row>
    <row r="847" spans="1:11" ht="15.75" customHeight="1">
      <c r="A847" s="2"/>
      <c r="B847" s="1"/>
      <c r="C847" s="1"/>
      <c r="D847" s="1"/>
      <c r="E847" s="1"/>
      <c r="F847" s="1"/>
      <c r="G847" s="1"/>
      <c r="H847" s="1"/>
      <c r="I847" s="61"/>
      <c r="J847" s="1"/>
      <c r="K847" s="1"/>
    </row>
    <row r="848" spans="1:11" ht="15.75" customHeight="1">
      <c r="A848" s="2"/>
      <c r="B848" s="1"/>
      <c r="C848" s="1"/>
      <c r="D848" s="1"/>
      <c r="E848" s="1"/>
      <c r="F848" s="1"/>
      <c r="G848" s="1"/>
      <c r="H848" s="1"/>
      <c r="I848" s="61"/>
      <c r="J848" s="1"/>
      <c r="K848" s="1"/>
    </row>
    <row r="849" spans="1:11" ht="15.75" customHeight="1">
      <c r="A849" s="2"/>
      <c r="B849" s="1"/>
      <c r="C849" s="1"/>
      <c r="D849" s="1"/>
      <c r="E849" s="1"/>
      <c r="F849" s="1"/>
      <c r="G849" s="1"/>
      <c r="H849" s="1"/>
      <c r="I849" s="61"/>
      <c r="J849" s="1"/>
      <c r="K849" s="1"/>
    </row>
    <row r="850" spans="1:11" ht="15.75" customHeight="1">
      <c r="A850" s="2"/>
      <c r="B850" s="1"/>
      <c r="C850" s="1"/>
      <c r="D850" s="1"/>
      <c r="E850" s="1"/>
      <c r="F850" s="1"/>
      <c r="G850" s="1"/>
      <c r="H850" s="1"/>
      <c r="I850" s="61"/>
      <c r="J850" s="1"/>
      <c r="K850" s="1"/>
    </row>
    <row r="851" spans="1:11" ht="15.75" customHeight="1">
      <c r="A851" s="2"/>
      <c r="B851" s="1"/>
      <c r="C851" s="1"/>
      <c r="D851" s="1"/>
      <c r="E851" s="1"/>
      <c r="F851" s="1"/>
      <c r="G851" s="1"/>
      <c r="H851" s="1"/>
      <c r="I851" s="61"/>
      <c r="J851" s="1"/>
      <c r="K851" s="1"/>
    </row>
    <row r="852" spans="1:11" ht="15.75" customHeight="1">
      <c r="A852" s="2"/>
      <c r="B852" s="1"/>
      <c r="C852" s="1"/>
      <c r="D852" s="1"/>
      <c r="E852" s="1"/>
      <c r="F852" s="1"/>
      <c r="G852" s="1"/>
      <c r="H852" s="1"/>
      <c r="I852" s="61"/>
      <c r="J852" s="1"/>
      <c r="K852" s="1"/>
    </row>
    <row r="853" spans="1:11" ht="15.75" customHeight="1">
      <c r="A853" s="2"/>
      <c r="B853" s="1"/>
      <c r="C853" s="1"/>
      <c r="D853" s="1"/>
      <c r="E853" s="1"/>
      <c r="F853" s="1"/>
      <c r="G853" s="1"/>
      <c r="H853" s="1"/>
      <c r="I853" s="61"/>
      <c r="J853" s="1"/>
      <c r="K853" s="1"/>
    </row>
    <row r="854" spans="1:11" ht="15.75" customHeight="1">
      <c r="A854" s="2"/>
      <c r="B854" s="1"/>
      <c r="C854" s="1"/>
      <c r="D854" s="1"/>
      <c r="E854" s="1"/>
      <c r="F854" s="1"/>
      <c r="G854" s="1"/>
      <c r="H854" s="1"/>
      <c r="I854" s="61"/>
      <c r="J854" s="1"/>
      <c r="K854" s="1"/>
    </row>
    <row r="855" spans="1:11" ht="15.75" customHeight="1">
      <c r="A855" s="2"/>
      <c r="B855" s="1"/>
      <c r="C855" s="1"/>
      <c r="D855" s="1"/>
      <c r="E855" s="1"/>
      <c r="F855" s="1"/>
      <c r="G855" s="1"/>
      <c r="H855" s="1"/>
      <c r="I855" s="61"/>
      <c r="J855" s="1"/>
      <c r="K855" s="1"/>
    </row>
    <row r="856" spans="1:11" ht="15.75" customHeight="1">
      <c r="A856" s="2"/>
      <c r="B856" s="1"/>
      <c r="C856" s="1"/>
      <c r="D856" s="1"/>
      <c r="E856" s="1"/>
      <c r="F856" s="1"/>
      <c r="G856" s="1"/>
      <c r="H856" s="1"/>
      <c r="I856" s="61"/>
      <c r="J856" s="1"/>
      <c r="K856" s="1"/>
    </row>
    <row r="857" spans="1:11" ht="15.75" customHeight="1">
      <c r="A857" s="2"/>
      <c r="B857" s="1"/>
      <c r="C857" s="1"/>
      <c r="D857" s="1"/>
      <c r="E857" s="1"/>
      <c r="F857" s="1"/>
      <c r="G857" s="1"/>
      <c r="H857" s="1"/>
      <c r="I857" s="61"/>
      <c r="J857" s="1"/>
      <c r="K857" s="1"/>
    </row>
    <row r="858" spans="1:11" ht="15.75" customHeight="1">
      <c r="A858" s="2"/>
      <c r="B858" s="1"/>
      <c r="C858" s="1"/>
      <c r="D858" s="1"/>
      <c r="E858" s="1"/>
      <c r="F858" s="1"/>
      <c r="G858" s="1"/>
      <c r="H858" s="1"/>
      <c r="I858" s="61"/>
      <c r="J858" s="1"/>
      <c r="K858" s="1"/>
    </row>
    <row r="859" spans="1:11" ht="15.75" customHeight="1">
      <c r="A859" s="2"/>
      <c r="B859" s="1"/>
      <c r="C859" s="1"/>
      <c r="D859" s="1"/>
      <c r="E859" s="1"/>
      <c r="F859" s="1"/>
      <c r="G859" s="1"/>
      <c r="H859" s="1"/>
      <c r="I859" s="61"/>
      <c r="J859" s="1"/>
      <c r="K859" s="1"/>
    </row>
    <row r="860" spans="1:11" ht="15.75" customHeight="1">
      <c r="A860" s="2"/>
      <c r="B860" s="1"/>
      <c r="C860" s="1"/>
      <c r="D860" s="1"/>
      <c r="E860" s="1"/>
      <c r="F860" s="1"/>
      <c r="G860" s="1"/>
      <c r="H860" s="1"/>
      <c r="I860" s="61"/>
      <c r="J860" s="1"/>
      <c r="K860" s="1"/>
    </row>
    <row r="861" spans="1:11" ht="15.75" customHeight="1">
      <c r="A861" s="2"/>
      <c r="B861" s="1"/>
      <c r="C861" s="1"/>
      <c r="D861" s="1"/>
      <c r="E861" s="1"/>
      <c r="F861" s="1"/>
      <c r="G861" s="1"/>
      <c r="H861" s="1"/>
      <c r="I861" s="61"/>
      <c r="J861" s="1"/>
      <c r="K861" s="1"/>
    </row>
    <row r="862" spans="1:11" ht="15.75" customHeight="1">
      <c r="A862" s="2"/>
      <c r="B862" s="1"/>
      <c r="C862" s="1"/>
      <c r="D862" s="1"/>
      <c r="E862" s="1"/>
      <c r="F862" s="1"/>
      <c r="G862" s="1"/>
      <c r="H862" s="1"/>
      <c r="I862" s="61"/>
      <c r="J862" s="1"/>
      <c r="K862" s="1"/>
    </row>
    <row r="863" spans="1:11" ht="15.75" customHeight="1">
      <c r="A863" s="2"/>
      <c r="B863" s="1"/>
      <c r="C863" s="1"/>
      <c r="D863" s="1"/>
      <c r="E863" s="1"/>
      <c r="F863" s="1"/>
      <c r="G863" s="1"/>
      <c r="H863" s="1"/>
      <c r="I863" s="61"/>
      <c r="J863" s="1"/>
      <c r="K863" s="1"/>
    </row>
    <row r="864" spans="1:11" ht="15.75" customHeight="1">
      <c r="A864" s="2"/>
      <c r="B864" s="1"/>
      <c r="C864" s="1"/>
      <c r="D864" s="1"/>
      <c r="E864" s="1"/>
      <c r="F864" s="1"/>
      <c r="G864" s="1"/>
      <c r="H864" s="1"/>
      <c r="I864" s="61"/>
      <c r="J864" s="1"/>
      <c r="K864" s="1"/>
    </row>
    <row r="865" spans="1:11" ht="15.75" customHeight="1">
      <c r="A865" s="2"/>
      <c r="B865" s="1"/>
      <c r="C865" s="1"/>
      <c r="D865" s="1"/>
      <c r="E865" s="1"/>
      <c r="F865" s="1"/>
      <c r="G865" s="1"/>
      <c r="H865" s="1"/>
      <c r="I865" s="61"/>
      <c r="J865" s="1"/>
      <c r="K865" s="1"/>
    </row>
    <row r="866" spans="1:11" ht="15.75" customHeight="1">
      <c r="A866" s="2"/>
      <c r="B866" s="1"/>
      <c r="C866" s="1"/>
      <c r="D866" s="1"/>
      <c r="E866" s="1"/>
      <c r="F866" s="1"/>
      <c r="G866" s="1"/>
      <c r="H866" s="1"/>
      <c r="I866" s="61"/>
      <c r="J866" s="1"/>
      <c r="K866" s="1"/>
    </row>
    <row r="867" spans="1:11" ht="15.75" customHeight="1">
      <c r="A867" s="2"/>
      <c r="B867" s="1"/>
      <c r="C867" s="1"/>
      <c r="D867" s="1"/>
      <c r="E867" s="1"/>
      <c r="F867" s="1"/>
      <c r="G867" s="1"/>
      <c r="H867" s="1"/>
      <c r="I867" s="61"/>
      <c r="J867" s="1"/>
      <c r="K867" s="1"/>
    </row>
    <row r="868" spans="1:11" ht="15.75" customHeight="1">
      <c r="A868" s="2"/>
      <c r="B868" s="1"/>
      <c r="C868" s="1"/>
      <c r="D868" s="1"/>
      <c r="E868" s="1"/>
      <c r="F868" s="1"/>
      <c r="G868" s="1"/>
      <c r="H868" s="1"/>
      <c r="I868" s="61"/>
      <c r="J868" s="1"/>
      <c r="K868" s="1"/>
    </row>
    <row r="869" spans="1:11" ht="15.75" customHeight="1">
      <c r="A869" s="2"/>
      <c r="B869" s="1"/>
      <c r="C869" s="1"/>
      <c r="D869" s="1"/>
      <c r="E869" s="1"/>
      <c r="F869" s="1"/>
      <c r="G869" s="1"/>
      <c r="H869" s="1"/>
      <c r="I869" s="61"/>
      <c r="J869" s="1"/>
      <c r="K869" s="1"/>
    </row>
    <row r="870" spans="1:11" ht="15.75" customHeight="1">
      <c r="A870" s="2"/>
      <c r="B870" s="1"/>
      <c r="C870" s="1"/>
      <c r="D870" s="1"/>
      <c r="E870" s="1"/>
      <c r="F870" s="1"/>
      <c r="G870" s="1"/>
      <c r="H870" s="1"/>
      <c r="I870" s="61"/>
      <c r="J870" s="1"/>
      <c r="K870" s="1"/>
    </row>
    <row r="871" spans="1:11" ht="15.75" customHeight="1">
      <c r="A871" s="2"/>
      <c r="B871" s="1"/>
      <c r="C871" s="1"/>
      <c r="D871" s="1"/>
      <c r="E871" s="1"/>
      <c r="F871" s="1"/>
      <c r="G871" s="1"/>
      <c r="H871" s="1"/>
      <c r="I871" s="61"/>
      <c r="J871" s="1"/>
      <c r="K871" s="1"/>
    </row>
    <row r="872" spans="1:11" ht="15.75" customHeight="1">
      <c r="A872" s="2"/>
      <c r="B872" s="1"/>
      <c r="C872" s="1"/>
      <c r="D872" s="1"/>
      <c r="E872" s="1"/>
      <c r="F872" s="1"/>
      <c r="G872" s="1"/>
      <c r="H872" s="1"/>
      <c r="I872" s="61"/>
      <c r="J872" s="1"/>
      <c r="K872" s="1"/>
    </row>
    <row r="873" spans="1:11" ht="15.75" customHeight="1">
      <c r="A873" s="2"/>
      <c r="B873" s="1"/>
      <c r="C873" s="1"/>
      <c r="D873" s="1"/>
      <c r="E873" s="1"/>
      <c r="F873" s="1"/>
      <c r="G873" s="1"/>
      <c r="H873" s="1"/>
      <c r="I873" s="61"/>
      <c r="J873" s="1"/>
      <c r="K873" s="1"/>
    </row>
    <row r="874" spans="1:11" ht="15.75" customHeight="1">
      <c r="A874" s="2"/>
      <c r="B874" s="1"/>
      <c r="C874" s="1"/>
      <c r="D874" s="1"/>
      <c r="E874" s="1"/>
      <c r="F874" s="1"/>
      <c r="G874" s="1"/>
      <c r="H874" s="1"/>
      <c r="I874" s="61"/>
      <c r="J874" s="1"/>
      <c r="K874" s="1"/>
    </row>
    <row r="875" spans="1:11" ht="15.75" customHeight="1">
      <c r="A875" s="2"/>
      <c r="B875" s="1"/>
      <c r="C875" s="1"/>
      <c r="D875" s="1"/>
      <c r="E875" s="1"/>
      <c r="F875" s="1"/>
      <c r="G875" s="1"/>
      <c r="H875" s="1"/>
      <c r="I875" s="61"/>
      <c r="J875" s="1"/>
      <c r="K875" s="1"/>
    </row>
    <row r="876" spans="1:11" ht="15.75" customHeight="1">
      <c r="A876" s="2"/>
      <c r="B876" s="1"/>
      <c r="C876" s="1"/>
      <c r="D876" s="1"/>
      <c r="E876" s="1"/>
      <c r="F876" s="1"/>
      <c r="G876" s="1"/>
      <c r="H876" s="1"/>
      <c r="I876" s="61"/>
      <c r="J876" s="1"/>
      <c r="K876" s="1"/>
    </row>
    <row r="877" spans="1:11" ht="15.75" customHeight="1">
      <c r="A877" s="2"/>
      <c r="B877" s="1"/>
      <c r="C877" s="1"/>
      <c r="D877" s="1"/>
      <c r="E877" s="1"/>
      <c r="F877" s="1"/>
      <c r="G877" s="1"/>
      <c r="H877" s="1"/>
      <c r="I877" s="61"/>
      <c r="J877" s="1"/>
      <c r="K877" s="1"/>
    </row>
    <row r="878" spans="1:11" ht="15.75" customHeight="1">
      <c r="A878" s="2"/>
      <c r="B878" s="1"/>
      <c r="C878" s="1"/>
      <c r="D878" s="1"/>
      <c r="E878" s="1"/>
      <c r="F878" s="1"/>
      <c r="G878" s="1"/>
      <c r="H878" s="1"/>
      <c r="I878" s="61"/>
      <c r="J878" s="1"/>
      <c r="K878" s="1"/>
    </row>
    <row r="879" spans="1:11" ht="15.75" customHeight="1">
      <c r="A879" s="2"/>
      <c r="B879" s="1"/>
      <c r="C879" s="1"/>
      <c r="D879" s="1"/>
      <c r="E879" s="1"/>
      <c r="F879" s="1"/>
      <c r="G879" s="1"/>
      <c r="H879" s="1"/>
      <c r="I879" s="61"/>
      <c r="J879" s="1"/>
      <c r="K879" s="1"/>
    </row>
    <row r="880" spans="1:11" ht="15.75" customHeight="1">
      <c r="A880" s="2"/>
      <c r="B880" s="1"/>
      <c r="C880" s="1"/>
      <c r="D880" s="1"/>
      <c r="E880" s="1"/>
      <c r="F880" s="1"/>
      <c r="G880" s="1"/>
      <c r="H880" s="1"/>
      <c r="I880" s="61"/>
      <c r="J880" s="1"/>
      <c r="K880" s="1"/>
    </row>
    <row r="881" spans="1:11" ht="15.75" customHeight="1">
      <c r="A881" s="2"/>
      <c r="B881" s="1"/>
      <c r="C881" s="1"/>
      <c r="D881" s="1"/>
      <c r="E881" s="1"/>
      <c r="F881" s="1"/>
      <c r="G881" s="1"/>
      <c r="H881" s="1"/>
      <c r="I881" s="61"/>
      <c r="J881" s="1"/>
      <c r="K881" s="1"/>
    </row>
    <row r="882" spans="1:11" ht="15.75" customHeight="1">
      <c r="A882" s="2"/>
      <c r="B882" s="1"/>
      <c r="C882" s="1"/>
      <c r="D882" s="1"/>
      <c r="E882" s="1"/>
      <c r="F882" s="1"/>
      <c r="G882" s="1"/>
      <c r="H882" s="1"/>
      <c r="I882" s="61"/>
      <c r="J882" s="1"/>
      <c r="K882" s="1"/>
    </row>
    <row r="883" spans="1:11" ht="15.75" customHeight="1">
      <c r="A883" s="2"/>
      <c r="B883" s="1"/>
      <c r="C883" s="1"/>
      <c r="D883" s="1"/>
      <c r="E883" s="1"/>
      <c r="F883" s="1"/>
      <c r="G883" s="1"/>
      <c r="H883" s="1"/>
      <c r="I883" s="61"/>
      <c r="J883" s="1"/>
      <c r="K883" s="1"/>
    </row>
    <row r="884" spans="1:11" ht="15.75" customHeight="1">
      <c r="A884" s="2"/>
      <c r="B884" s="1"/>
      <c r="C884" s="1"/>
      <c r="D884" s="1"/>
      <c r="E884" s="1"/>
      <c r="F884" s="1"/>
      <c r="G884" s="1"/>
      <c r="H884" s="1"/>
      <c r="I884" s="61"/>
      <c r="J884" s="1"/>
      <c r="K884" s="1"/>
    </row>
    <row r="885" spans="1:11" ht="15.75" customHeight="1">
      <c r="A885" s="2"/>
      <c r="B885" s="1"/>
      <c r="C885" s="1"/>
      <c r="D885" s="1"/>
      <c r="E885" s="1"/>
      <c r="F885" s="1"/>
      <c r="G885" s="1"/>
      <c r="H885" s="1"/>
      <c r="I885" s="61"/>
      <c r="J885" s="1"/>
      <c r="K885" s="1"/>
    </row>
    <row r="886" spans="1:11" ht="15.75" customHeight="1">
      <c r="A886" s="2"/>
      <c r="B886" s="1"/>
      <c r="C886" s="1"/>
      <c r="D886" s="1"/>
      <c r="E886" s="1"/>
      <c r="F886" s="1"/>
      <c r="G886" s="1"/>
      <c r="H886" s="1"/>
      <c r="I886" s="61"/>
      <c r="J886" s="1"/>
      <c r="K886" s="1"/>
    </row>
    <row r="887" spans="1:11" ht="15.75" customHeight="1">
      <c r="A887" s="2"/>
      <c r="B887" s="1"/>
      <c r="C887" s="1"/>
      <c r="D887" s="1"/>
      <c r="E887" s="1"/>
      <c r="F887" s="1"/>
      <c r="G887" s="1"/>
      <c r="H887" s="1"/>
      <c r="I887" s="61"/>
      <c r="J887" s="1"/>
      <c r="K887" s="1"/>
    </row>
    <row r="888" spans="1:11" ht="15.75" customHeight="1">
      <c r="A888" s="2"/>
      <c r="B888" s="1"/>
      <c r="C888" s="1"/>
      <c r="D888" s="1"/>
      <c r="E888" s="1"/>
      <c r="F888" s="1"/>
      <c r="G888" s="1"/>
      <c r="H888" s="1"/>
      <c r="I888" s="61"/>
      <c r="J888" s="1"/>
      <c r="K888" s="1"/>
    </row>
    <row r="889" spans="1:11" ht="15.75" customHeight="1">
      <c r="A889" s="2"/>
      <c r="B889" s="1"/>
      <c r="C889" s="1"/>
      <c r="D889" s="1"/>
      <c r="E889" s="1"/>
      <c r="F889" s="1"/>
      <c r="G889" s="1"/>
      <c r="H889" s="1"/>
      <c r="I889" s="61"/>
      <c r="J889" s="1"/>
      <c r="K889" s="1"/>
    </row>
    <row r="890" spans="1:11" ht="15.75" customHeight="1">
      <c r="A890" s="2"/>
      <c r="B890" s="1"/>
      <c r="C890" s="1"/>
      <c r="D890" s="1"/>
      <c r="E890" s="1"/>
      <c r="F890" s="1"/>
      <c r="G890" s="1"/>
      <c r="H890" s="1"/>
      <c r="I890" s="61"/>
      <c r="J890" s="1"/>
      <c r="K890" s="1"/>
    </row>
    <row r="891" spans="1:11" ht="15.75" customHeight="1">
      <c r="A891" s="2"/>
      <c r="B891" s="1"/>
      <c r="C891" s="1"/>
      <c r="D891" s="1"/>
      <c r="E891" s="1"/>
      <c r="F891" s="1"/>
      <c r="G891" s="1"/>
      <c r="H891" s="1"/>
      <c r="I891" s="61"/>
      <c r="J891" s="1"/>
      <c r="K891" s="1"/>
    </row>
    <row r="892" spans="1:11" ht="15.75" customHeight="1">
      <c r="A892" s="2"/>
      <c r="B892" s="1"/>
      <c r="C892" s="1"/>
      <c r="D892" s="1"/>
      <c r="E892" s="1"/>
      <c r="F892" s="1"/>
      <c r="G892" s="1"/>
      <c r="H892" s="1"/>
      <c r="I892" s="61"/>
      <c r="J892" s="1"/>
      <c r="K892" s="1"/>
    </row>
    <row r="893" spans="1:11" ht="15.75" customHeight="1">
      <c r="A893" s="2"/>
      <c r="B893" s="1"/>
      <c r="C893" s="1"/>
      <c r="D893" s="1"/>
      <c r="E893" s="1"/>
      <c r="F893" s="1"/>
      <c r="G893" s="1"/>
      <c r="H893" s="1"/>
      <c r="I893" s="61"/>
      <c r="J893" s="1"/>
      <c r="K893" s="1"/>
    </row>
    <row r="894" spans="1:11" ht="15.75" customHeight="1">
      <c r="A894" s="2"/>
      <c r="B894" s="1"/>
      <c r="C894" s="1"/>
      <c r="D894" s="1"/>
      <c r="E894" s="1"/>
      <c r="F894" s="1"/>
      <c r="G894" s="1"/>
      <c r="H894" s="1"/>
      <c r="I894" s="61"/>
      <c r="J894" s="1"/>
      <c r="K894" s="1"/>
    </row>
    <row r="895" spans="1:11" ht="15.75" customHeight="1">
      <c r="A895" s="2"/>
      <c r="B895" s="1"/>
      <c r="C895" s="1"/>
      <c r="D895" s="1"/>
      <c r="E895" s="1"/>
      <c r="F895" s="1"/>
      <c r="G895" s="1"/>
      <c r="H895" s="1"/>
      <c r="I895" s="61"/>
      <c r="J895" s="1"/>
      <c r="K895" s="1"/>
    </row>
    <row r="896" spans="1:11" ht="15.75" customHeight="1">
      <c r="A896" s="2"/>
      <c r="B896" s="1"/>
      <c r="C896" s="1"/>
      <c r="D896" s="1"/>
      <c r="E896" s="1"/>
      <c r="F896" s="1"/>
      <c r="G896" s="1"/>
      <c r="H896" s="1"/>
      <c r="I896" s="61"/>
      <c r="J896" s="1"/>
      <c r="K896" s="1"/>
    </row>
    <row r="897" spans="1:11" ht="15.75" customHeight="1">
      <c r="A897" s="2"/>
      <c r="B897" s="1"/>
      <c r="C897" s="1"/>
      <c r="D897" s="1"/>
      <c r="E897" s="1"/>
      <c r="F897" s="1"/>
      <c r="G897" s="1"/>
      <c r="H897" s="1"/>
      <c r="I897" s="61"/>
      <c r="J897" s="1"/>
      <c r="K897" s="1"/>
    </row>
    <row r="898" spans="1:11" ht="15.75" customHeight="1">
      <c r="A898" s="2"/>
      <c r="B898" s="1"/>
      <c r="C898" s="1"/>
      <c r="D898" s="1"/>
      <c r="E898" s="1"/>
      <c r="F898" s="1"/>
      <c r="G898" s="1"/>
      <c r="H898" s="1"/>
      <c r="I898" s="61"/>
      <c r="J898" s="1"/>
      <c r="K898" s="1"/>
    </row>
    <row r="899" spans="1:11" ht="15.75" customHeight="1">
      <c r="A899" s="2"/>
      <c r="B899" s="1"/>
      <c r="C899" s="1"/>
      <c r="D899" s="1"/>
      <c r="E899" s="1"/>
      <c r="F899" s="1"/>
      <c r="G899" s="1"/>
      <c r="H899" s="1"/>
      <c r="I899" s="61"/>
      <c r="J899" s="1"/>
      <c r="K899" s="1"/>
    </row>
    <row r="900" spans="1:11" ht="15.75" customHeight="1">
      <c r="A900" s="2"/>
      <c r="B900" s="1"/>
      <c r="C900" s="1"/>
      <c r="D900" s="1"/>
      <c r="E900" s="1"/>
      <c r="F900" s="1"/>
      <c r="G900" s="1"/>
      <c r="H900" s="1"/>
      <c r="I900" s="61"/>
      <c r="J900" s="1"/>
      <c r="K900" s="1"/>
    </row>
    <row r="901" spans="1:11" ht="15.75" customHeight="1">
      <c r="A901" s="2"/>
      <c r="B901" s="1"/>
      <c r="C901" s="1"/>
      <c r="D901" s="1"/>
      <c r="E901" s="1"/>
      <c r="F901" s="1"/>
      <c r="G901" s="1"/>
      <c r="H901" s="1"/>
      <c r="I901" s="61"/>
      <c r="J901" s="1"/>
      <c r="K901" s="1"/>
    </row>
    <row r="902" spans="1:11" ht="15.75" customHeight="1">
      <c r="A902" s="2"/>
      <c r="B902" s="1"/>
      <c r="C902" s="1"/>
      <c r="D902" s="1"/>
      <c r="E902" s="1"/>
      <c r="F902" s="1"/>
      <c r="G902" s="1"/>
      <c r="H902" s="1"/>
      <c r="I902" s="61"/>
      <c r="J902" s="1"/>
      <c r="K902" s="1"/>
    </row>
    <row r="903" spans="1:11" ht="15.75" customHeight="1">
      <c r="A903" s="2"/>
      <c r="B903" s="1"/>
      <c r="C903" s="1"/>
      <c r="D903" s="1"/>
      <c r="E903" s="1"/>
      <c r="F903" s="1"/>
      <c r="G903" s="1"/>
      <c r="H903" s="1"/>
      <c r="I903" s="61"/>
      <c r="J903" s="1"/>
      <c r="K903" s="1"/>
    </row>
    <row r="904" spans="1:11" ht="15.75" customHeight="1">
      <c r="A904" s="2"/>
      <c r="B904" s="1"/>
      <c r="C904" s="1"/>
      <c r="D904" s="1"/>
      <c r="E904" s="1"/>
      <c r="F904" s="1"/>
      <c r="G904" s="1"/>
      <c r="H904" s="1"/>
      <c r="I904" s="61"/>
      <c r="J904" s="1"/>
      <c r="K904" s="1"/>
    </row>
    <row r="905" spans="1:11" ht="15.75" customHeight="1">
      <c r="A905" s="2"/>
      <c r="B905" s="1"/>
      <c r="C905" s="1"/>
      <c r="D905" s="1"/>
      <c r="E905" s="1"/>
      <c r="F905" s="1"/>
      <c r="G905" s="1"/>
      <c r="H905" s="1"/>
      <c r="I905" s="61"/>
      <c r="J905" s="1"/>
      <c r="K905" s="1"/>
    </row>
    <row r="906" spans="1:11" ht="15.75" customHeight="1">
      <c r="A906" s="2"/>
      <c r="B906" s="1"/>
      <c r="C906" s="1"/>
      <c r="D906" s="1"/>
      <c r="E906" s="1"/>
      <c r="F906" s="1"/>
      <c r="G906" s="1"/>
      <c r="H906" s="1"/>
      <c r="I906" s="61"/>
      <c r="J906" s="1"/>
      <c r="K906" s="1"/>
    </row>
    <row r="907" spans="1:11" ht="15.75" customHeight="1">
      <c r="A907" s="2"/>
      <c r="B907" s="1"/>
      <c r="C907" s="1"/>
      <c r="D907" s="1"/>
      <c r="E907" s="1"/>
      <c r="F907" s="1"/>
      <c r="G907" s="1"/>
      <c r="H907" s="1"/>
      <c r="I907" s="61"/>
      <c r="J907" s="1"/>
      <c r="K907" s="1"/>
    </row>
    <row r="908" spans="1:11" ht="15.75" customHeight="1">
      <c r="A908" s="2"/>
      <c r="B908" s="1"/>
      <c r="C908" s="1"/>
      <c r="D908" s="1"/>
      <c r="E908" s="1"/>
      <c r="F908" s="1"/>
      <c r="G908" s="1"/>
      <c r="H908" s="1"/>
      <c r="I908" s="61"/>
      <c r="J908" s="1"/>
      <c r="K908" s="1"/>
    </row>
    <row r="909" spans="1:11" ht="15.75" customHeight="1">
      <c r="A909" s="2"/>
      <c r="B909" s="1"/>
      <c r="C909" s="1"/>
      <c r="D909" s="1"/>
      <c r="E909" s="1"/>
      <c r="F909" s="1"/>
      <c r="G909" s="1"/>
      <c r="H909" s="1"/>
      <c r="I909" s="61"/>
      <c r="J909" s="1"/>
      <c r="K909" s="1"/>
    </row>
    <row r="910" spans="1:11" ht="15.75" customHeight="1">
      <c r="A910" s="2"/>
      <c r="B910" s="1"/>
      <c r="C910" s="1"/>
      <c r="D910" s="1"/>
      <c r="E910" s="1"/>
      <c r="F910" s="1"/>
      <c r="G910" s="1"/>
      <c r="H910" s="1"/>
      <c r="I910" s="61"/>
      <c r="J910" s="1"/>
      <c r="K910" s="1"/>
    </row>
    <row r="911" spans="1:11" ht="15.75" customHeight="1">
      <c r="A911" s="2"/>
      <c r="B911" s="1"/>
      <c r="C911" s="1"/>
      <c r="D911" s="1"/>
      <c r="E911" s="1"/>
      <c r="F911" s="1"/>
      <c r="G911" s="1"/>
      <c r="H911" s="1"/>
      <c r="I911" s="61"/>
      <c r="J911" s="1"/>
      <c r="K911" s="1"/>
    </row>
    <row r="912" spans="1:11" ht="15.75" customHeight="1">
      <c r="A912" s="2"/>
      <c r="B912" s="1"/>
      <c r="C912" s="1"/>
      <c r="D912" s="1"/>
      <c r="E912" s="1"/>
      <c r="F912" s="1"/>
      <c r="G912" s="1"/>
      <c r="H912" s="1"/>
      <c r="I912" s="61"/>
      <c r="J912" s="1"/>
      <c r="K912" s="1"/>
    </row>
    <row r="913" spans="1:11" ht="15.75" customHeight="1">
      <c r="A913" s="2"/>
      <c r="B913" s="1"/>
      <c r="C913" s="1"/>
      <c r="D913" s="1"/>
      <c r="E913" s="1"/>
      <c r="F913" s="1"/>
      <c r="G913" s="1"/>
      <c r="H913" s="1"/>
      <c r="I913" s="61"/>
      <c r="J913" s="1"/>
      <c r="K913" s="1"/>
    </row>
    <row r="914" spans="1:11" ht="15.75" customHeight="1">
      <c r="A914" s="2"/>
      <c r="B914" s="1"/>
      <c r="C914" s="1"/>
      <c r="D914" s="1"/>
      <c r="E914" s="1"/>
      <c r="F914" s="1"/>
      <c r="G914" s="1"/>
      <c r="H914" s="1"/>
      <c r="I914" s="61"/>
      <c r="J914" s="1"/>
      <c r="K914" s="1"/>
    </row>
    <row r="915" spans="1:11" ht="15.75" customHeight="1">
      <c r="A915" s="2"/>
      <c r="B915" s="1"/>
      <c r="C915" s="1"/>
      <c r="D915" s="1"/>
      <c r="E915" s="1"/>
      <c r="F915" s="1"/>
      <c r="G915" s="1"/>
      <c r="H915" s="1"/>
      <c r="I915" s="61"/>
      <c r="J915" s="1"/>
      <c r="K915" s="1"/>
    </row>
    <row r="916" spans="1:11" ht="15.75" customHeight="1">
      <c r="A916" s="2"/>
      <c r="B916" s="1"/>
      <c r="C916" s="1"/>
      <c r="D916" s="1"/>
      <c r="E916" s="1"/>
      <c r="F916" s="1"/>
      <c r="G916" s="1"/>
      <c r="H916" s="1"/>
      <c r="I916" s="61"/>
      <c r="J916" s="1"/>
      <c r="K916" s="1"/>
    </row>
    <row r="917" spans="1:11" ht="15.75" customHeight="1">
      <c r="A917" s="2"/>
      <c r="B917" s="1"/>
      <c r="C917" s="1"/>
      <c r="D917" s="1"/>
      <c r="E917" s="1"/>
      <c r="F917" s="1"/>
      <c r="G917" s="1"/>
      <c r="H917" s="1"/>
      <c r="I917" s="61"/>
      <c r="J917" s="1"/>
      <c r="K917" s="1"/>
    </row>
    <row r="918" spans="1:11" ht="15.75" customHeight="1">
      <c r="A918" s="2"/>
      <c r="B918" s="1"/>
      <c r="C918" s="1"/>
      <c r="D918" s="1"/>
      <c r="E918" s="1"/>
      <c r="F918" s="1"/>
      <c r="G918" s="1"/>
      <c r="H918" s="1"/>
      <c r="I918" s="61"/>
      <c r="J918" s="1"/>
      <c r="K918" s="1"/>
    </row>
    <row r="919" spans="1:11" ht="15.75" customHeight="1">
      <c r="A919" s="2"/>
      <c r="B919" s="1"/>
      <c r="C919" s="1"/>
      <c r="D919" s="1"/>
      <c r="E919" s="1"/>
      <c r="F919" s="1"/>
      <c r="G919" s="1"/>
      <c r="H919" s="1"/>
      <c r="I919" s="61"/>
      <c r="J919" s="1"/>
      <c r="K919" s="1"/>
    </row>
    <row r="920" spans="1:11" ht="15.75" customHeight="1">
      <c r="A920" s="2"/>
      <c r="B920" s="1"/>
      <c r="C920" s="1"/>
      <c r="D920" s="1"/>
      <c r="E920" s="1"/>
      <c r="F920" s="1"/>
      <c r="G920" s="1"/>
      <c r="H920" s="1"/>
      <c r="I920" s="61"/>
      <c r="J920" s="1"/>
      <c r="K920" s="1"/>
    </row>
    <row r="921" spans="1:11" ht="15.75" customHeight="1">
      <c r="A921" s="2"/>
      <c r="B921" s="1"/>
      <c r="C921" s="1"/>
      <c r="D921" s="1"/>
      <c r="E921" s="1"/>
      <c r="F921" s="1"/>
      <c r="G921" s="1"/>
      <c r="H921" s="1"/>
      <c r="I921" s="61"/>
      <c r="J921" s="1"/>
      <c r="K921" s="1"/>
    </row>
    <row r="922" spans="1:11" ht="15.75" customHeight="1">
      <c r="A922" s="2"/>
      <c r="B922" s="1"/>
      <c r="C922" s="1"/>
      <c r="D922" s="1"/>
      <c r="E922" s="1"/>
      <c r="F922" s="1"/>
      <c r="G922" s="1"/>
      <c r="H922" s="1"/>
      <c r="I922" s="61"/>
      <c r="J922" s="1"/>
      <c r="K922" s="1"/>
    </row>
    <row r="923" spans="1:11" ht="15.75" customHeight="1">
      <c r="A923" s="2"/>
      <c r="B923" s="1"/>
      <c r="C923" s="1"/>
      <c r="D923" s="1"/>
      <c r="E923" s="1"/>
      <c r="F923" s="1"/>
      <c r="G923" s="1"/>
      <c r="H923" s="1"/>
      <c r="I923" s="61"/>
      <c r="J923" s="1"/>
      <c r="K923" s="1"/>
    </row>
    <row r="924" spans="1:11" ht="15.75" customHeight="1">
      <c r="A924" s="2"/>
      <c r="B924" s="1"/>
      <c r="C924" s="1"/>
      <c r="D924" s="1"/>
      <c r="E924" s="1"/>
      <c r="F924" s="1"/>
      <c r="G924" s="1"/>
      <c r="H924" s="1"/>
      <c r="I924" s="61"/>
      <c r="J924" s="1"/>
      <c r="K924" s="1"/>
    </row>
    <row r="925" spans="1:11" ht="15.75" customHeight="1">
      <c r="A925" s="2"/>
      <c r="B925" s="1"/>
      <c r="C925" s="1"/>
      <c r="D925" s="1"/>
      <c r="E925" s="1"/>
      <c r="F925" s="1"/>
      <c r="G925" s="1"/>
      <c r="H925" s="1"/>
      <c r="I925" s="61"/>
      <c r="J925" s="1"/>
      <c r="K925" s="1"/>
    </row>
    <row r="926" spans="1:11" ht="15.75" customHeight="1">
      <c r="A926" s="2"/>
      <c r="B926" s="1"/>
      <c r="C926" s="1"/>
      <c r="D926" s="1"/>
      <c r="E926" s="1"/>
      <c r="F926" s="1"/>
      <c r="G926" s="1"/>
      <c r="H926" s="1"/>
      <c r="I926" s="61"/>
      <c r="J926" s="1"/>
      <c r="K926" s="1"/>
    </row>
    <row r="927" spans="1:11" ht="15.75" customHeight="1">
      <c r="A927" s="2"/>
      <c r="B927" s="1"/>
      <c r="C927" s="1"/>
      <c r="D927" s="1"/>
      <c r="E927" s="1"/>
      <c r="F927" s="1"/>
      <c r="G927" s="1"/>
      <c r="H927" s="1"/>
      <c r="I927" s="61"/>
      <c r="J927" s="1"/>
      <c r="K927" s="1"/>
    </row>
    <row r="928" spans="1:11" ht="15.75" customHeight="1">
      <c r="A928" s="2"/>
      <c r="B928" s="1"/>
      <c r="C928" s="1"/>
      <c r="D928" s="1"/>
      <c r="E928" s="1"/>
      <c r="F928" s="1"/>
      <c r="G928" s="1"/>
      <c r="H928" s="1"/>
      <c r="I928" s="61"/>
      <c r="J928" s="1"/>
      <c r="K928" s="1"/>
    </row>
    <row r="929" spans="1:11" ht="15.75" customHeight="1">
      <c r="A929" s="2"/>
      <c r="B929" s="1"/>
      <c r="C929" s="1"/>
      <c r="D929" s="1"/>
      <c r="E929" s="1"/>
      <c r="F929" s="1"/>
      <c r="G929" s="1"/>
      <c r="H929" s="1"/>
      <c r="I929" s="61"/>
      <c r="J929" s="1"/>
      <c r="K929" s="1"/>
    </row>
    <row r="930" spans="1:11" ht="15.75" customHeight="1">
      <c r="A930" s="2"/>
      <c r="B930" s="1"/>
      <c r="C930" s="1"/>
      <c r="D930" s="1"/>
      <c r="E930" s="1"/>
      <c r="F930" s="1"/>
      <c r="G930" s="1"/>
      <c r="H930" s="1"/>
      <c r="I930" s="61"/>
      <c r="J930" s="1"/>
      <c r="K930" s="1"/>
    </row>
    <row r="931" spans="1:11" ht="15.75" customHeight="1">
      <c r="A931" s="2"/>
      <c r="B931" s="1"/>
      <c r="C931" s="1"/>
      <c r="D931" s="1"/>
      <c r="E931" s="1"/>
      <c r="F931" s="1"/>
      <c r="G931" s="1"/>
      <c r="H931" s="1"/>
      <c r="I931" s="61"/>
      <c r="J931" s="1"/>
      <c r="K931" s="1"/>
    </row>
    <row r="932" spans="1:11" ht="15.75" customHeight="1">
      <c r="A932" s="2"/>
      <c r="B932" s="1"/>
      <c r="C932" s="1"/>
      <c r="D932" s="1"/>
      <c r="E932" s="1"/>
      <c r="F932" s="1"/>
      <c r="G932" s="1"/>
      <c r="H932" s="1"/>
      <c r="I932" s="61"/>
      <c r="J932" s="1"/>
      <c r="K932" s="1"/>
    </row>
    <row r="933" spans="1:11" ht="15.75" customHeight="1">
      <c r="A933" s="2"/>
      <c r="B933" s="1"/>
      <c r="C933" s="1"/>
      <c r="D933" s="1"/>
      <c r="E933" s="1"/>
      <c r="F933" s="1"/>
      <c r="G933" s="1"/>
      <c r="H933" s="1"/>
      <c r="I933" s="61"/>
      <c r="J933" s="1"/>
      <c r="K933" s="1"/>
    </row>
    <row r="934" spans="1:11" ht="15.75" customHeight="1">
      <c r="A934" s="2"/>
      <c r="B934" s="1"/>
      <c r="C934" s="1"/>
      <c r="D934" s="1"/>
      <c r="E934" s="1"/>
      <c r="F934" s="1"/>
      <c r="G934" s="1"/>
      <c r="H934" s="1"/>
      <c r="I934" s="61"/>
      <c r="J934" s="1"/>
      <c r="K934" s="1"/>
    </row>
    <row r="935" spans="1:11" ht="15.75" customHeight="1">
      <c r="A935" s="2"/>
      <c r="B935" s="1"/>
      <c r="C935" s="1"/>
      <c r="D935" s="1"/>
      <c r="E935" s="1"/>
      <c r="F935" s="1"/>
      <c r="G935" s="1"/>
      <c r="H935" s="1"/>
      <c r="I935" s="61"/>
      <c r="J935" s="1"/>
      <c r="K935" s="1"/>
    </row>
    <row r="936" spans="1:11" ht="15.75" customHeight="1">
      <c r="A936" s="2"/>
      <c r="B936" s="1"/>
      <c r="C936" s="1"/>
      <c r="D936" s="1"/>
      <c r="E936" s="1"/>
      <c r="F936" s="1"/>
      <c r="G936" s="1"/>
      <c r="H936" s="1"/>
      <c r="I936" s="61"/>
      <c r="J936" s="1"/>
      <c r="K936" s="1"/>
    </row>
    <row r="937" spans="1:11" ht="15.75" customHeight="1">
      <c r="A937" s="2"/>
      <c r="B937" s="1"/>
      <c r="C937" s="1"/>
      <c r="D937" s="1"/>
      <c r="E937" s="1"/>
      <c r="F937" s="1"/>
      <c r="G937" s="1"/>
      <c r="H937" s="1"/>
      <c r="I937" s="61"/>
      <c r="J937" s="1"/>
      <c r="K937" s="1"/>
    </row>
    <row r="938" spans="1:11" ht="15.75" customHeight="1">
      <c r="A938" s="2"/>
      <c r="B938" s="1"/>
      <c r="C938" s="1"/>
      <c r="D938" s="1"/>
      <c r="E938" s="1"/>
      <c r="F938" s="1"/>
      <c r="G938" s="1"/>
      <c r="H938" s="1"/>
      <c r="I938" s="61"/>
      <c r="J938" s="1"/>
      <c r="K938" s="1"/>
    </row>
    <row r="939" spans="1:11" ht="15.75" customHeight="1">
      <c r="A939" s="2"/>
      <c r="B939" s="1"/>
      <c r="C939" s="1"/>
      <c r="D939" s="1"/>
      <c r="E939" s="1"/>
      <c r="F939" s="1"/>
      <c r="G939" s="1"/>
      <c r="H939" s="1"/>
      <c r="I939" s="61"/>
      <c r="J939" s="1"/>
      <c r="K939" s="1"/>
    </row>
    <row r="940" spans="1:11" ht="15.75" customHeight="1">
      <c r="A940" s="2"/>
      <c r="B940" s="1"/>
      <c r="C940" s="1"/>
      <c r="D940" s="1"/>
      <c r="E940" s="1"/>
      <c r="F940" s="1"/>
      <c r="G940" s="1"/>
      <c r="H940" s="1"/>
      <c r="I940" s="61"/>
      <c r="J940" s="1"/>
      <c r="K940" s="1"/>
    </row>
    <row r="941" spans="1:11" ht="15.75" customHeight="1">
      <c r="A941" s="2"/>
      <c r="B941" s="1"/>
      <c r="C941" s="1"/>
      <c r="D941" s="1"/>
      <c r="E941" s="1"/>
      <c r="F941" s="1"/>
      <c r="G941" s="1"/>
      <c r="H941" s="1"/>
      <c r="I941" s="61"/>
      <c r="J941" s="1"/>
      <c r="K941" s="1"/>
    </row>
    <row r="942" spans="1:11" ht="15.75" customHeight="1">
      <c r="A942" s="2"/>
      <c r="B942" s="1"/>
      <c r="C942" s="1"/>
      <c r="D942" s="1"/>
      <c r="E942" s="1"/>
      <c r="F942" s="1"/>
      <c r="G942" s="1"/>
      <c r="H942" s="1"/>
      <c r="I942" s="61"/>
      <c r="J942" s="1"/>
      <c r="K942" s="1"/>
    </row>
    <row r="943" spans="1:11" ht="15.75" customHeight="1">
      <c r="A943" s="2"/>
      <c r="B943" s="1"/>
      <c r="C943" s="1"/>
      <c r="D943" s="1"/>
      <c r="E943" s="1"/>
      <c r="F943" s="1"/>
      <c r="G943" s="1"/>
      <c r="H943" s="1"/>
      <c r="I943" s="61"/>
      <c r="J943" s="1"/>
      <c r="K943" s="1"/>
    </row>
    <row r="944" spans="1:11" ht="15.75" customHeight="1">
      <c r="A944" s="2"/>
      <c r="B944" s="1"/>
      <c r="C944" s="1"/>
      <c r="D944" s="1"/>
      <c r="E944" s="1"/>
      <c r="F944" s="1"/>
      <c r="G944" s="1"/>
      <c r="H944" s="1"/>
      <c r="I944" s="61"/>
      <c r="J944" s="1"/>
      <c r="K944" s="1"/>
    </row>
    <row r="945" spans="1:11" ht="15.75" customHeight="1">
      <c r="A945" s="2"/>
      <c r="B945" s="1"/>
      <c r="C945" s="1"/>
      <c r="D945" s="1"/>
      <c r="E945" s="1"/>
      <c r="F945" s="1"/>
      <c r="G945" s="1"/>
      <c r="H945" s="1"/>
      <c r="I945" s="61"/>
      <c r="J945" s="1"/>
      <c r="K945" s="1"/>
    </row>
    <row r="946" spans="1:11" ht="15.75" customHeight="1">
      <c r="A946" s="2"/>
      <c r="B946" s="1"/>
      <c r="C946" s="1"/>
      <c r="D946" s="1"/>
      <c r="E946" s="1"/>
      <c r="F946" s="1"/>
      <c r="G946" s="1"/>
      <c r="H946" s="1"/>
      <c r="I946" s="61"/>
      <c r="J946" s="1"/>
      <c r="K946" s="1"/>
    </row>
    <row r="947" spans="1:11" ht="15.75" customHeight="1">
      <c r="A947" s="2"/>
      <c r="B947" s="1"/>
      <c r="C947" s="1"/>
      <c r="D947" s="1"/>
      <c r="E947" s="1"/>
      <c r="F947" s="1"/>
      <c r="G947" s="1"/>
      <c r="H947" s="1"/>
      <c r="I947" s="61"/>
      <c r="J947" s="1"/>
      <c r="K947" s="1"/>
    </row>
    <row r="948" spans="1:11" ht="15.75" customHeight="1">
      <c r="A948" s="2"/>
      <c r="B948" s="1"/>
      <c r="C948" s="1"/>
      <c r="D948" s="1"/>
      <c r="E948" s="1"/>
      <c r="F948" s="1"/>
      <c r="G948" s="1"/>
      <c r="H948" s="1"/>
      <c r="I948" s="61"/>
      <c r="J948" s="1"/>
      <c r="K948" s="1"/>
    </row>
    <row r="949" spans="1:11" ht="15.75" customHeight="1">
      <c r="A949" s="2"/>
      <c r="B949" s="1"/>
      <c r="C949" s="1"/>
      <c r="D949" s="1"/>
      <c r="E949" s="1"/>
      <c r="F949" s="1"/>
      <c r="G949" s="1"/>
      <c r="H949" s="1"/>
      <c r="I949" s="61"/>
      <c r="J949" s="1"/>
      <c r="K949" s="1"/>
    </row>
    <row r="950" spans="1:11" ht="15.75" customHeight="1">
      <c r="A950" s="2"/>
      <c r="B950" s="1"/>
      <c r="C950" s="1"/>
      <c r="D950" s="1"/>
      <c r="E950" s="1"/>
      <c r="F950" s="1"/>
      <c r="G950" s="1"/>
      <c r="H950" s="1"/>
      <c r="I950" s="61"/>
      <c r="J950" s="1"/>
      <c r="K950" s="1"/>
    </row>
    <row r="951" spans="1:11" ht="15.75" customHeight="1">
      <c r="A951" s="2"/>
      <c r="B951" s="1"/>
      <c r="C951" s="1"/>
      <c r="D951" s="1"/>
      <c r="E951" s="1"/>
      <c r="F951" s="1"/>
      <c r="G951" s="1"/>
      <c r="H951" s="1"/>
      <c r="I951" s="61"/>
      <c r="J951" s="1"/>
      <c r="K951" s="1"/>
    </row>
    <row r="952" spans="1:11" ht="15.75" customHeight="1">
      <c r="A952" s="2"/>
      <c r="B952" s="1"/>
      <c r="C952" s="1"/>
      <c r="D952" s="1"/>
      <c r="E952" s="1"/>
      <c r="F952" s="1"/>
      <c r="G952" s="1"/>
      <c r="H952" s="1"/>
      <c r="I952" s="61"/>
      <c r="J952" s="1"/>
      <c r="K952" s="1"/>
    </row>
    <row r="953" spans="1:11" ht="15.75" customHeight="1">
      <c r="A953" s="2"/>
      <c r="B953" s="1"/>
      <c r="C953" s="1"/>
      <c r="D953" s="1"/>
      <c r="E953" s="1"/>
      <c r="F953" s="1"/>
      <c r="G953" s="1"/>
      <c r="H953" s="1"/>
      <c r="I953" s="61"/>
      <c r="J953" s="1"/>
      <c r="K953" s="1"/>
    </row>
    <row r="954" spans="1:11" ht="15.75" customHeight="1">
      <c r="A954" s="2"/>
      <c r="B954" s="1"/>
      <c r="C954" s="1"/>
      <c r="D954" s="1"/>
      <c r="E954" s="1"/>
      <c r="F954" s="1"/>
      <c r="G954" s="1"/>
      <c r="H954" s="1"/>
      <c r="I954" s="61"/>
      <c r="J954" s="1"/>
      <c r="K954" s="1"/>
    </row>
    <row r="955" spans="1:11" ht="15.75" customHeight="1">
      <c r="A955" s="2"/>
      <c r="B955" s="1"/>
      <c r="C955" s="1"/>
      <c r="D955" s="1"/>
      <c r="E955" s="1"/>
      <c r="F955" s="1"/>
      <c r="G955" s="1"/>
      <c r="H955" s="1"/>
      <c r="I955" s="61"/>
      <c r="J955" s="1"/>
      <c r="K955" s="1"/>
    </row>
    <row r="956" spans="1:11" ht="15.75" customHeight="1">
      <c r="A956" s="2"/>
      <c r="B956" s="1"/>
      <c r="C956" s="1"/>
      <c r="D956" s="1"/>
      <c r="E956" s="1"/>
      <c r="F956" s="1"/>
      <c r="G956" s="1"/>
      <c r="H956" s="1"/>
      <c r="I956" s="61"/>
      <c r="J956" s="1"/>
      <c r="K956" s="1"/>
    </row>
    <row r="957" spans="1:11" ht="15.75" customHeight="1">
      <c r="A957" s="2"/>
      <c r="B957" s="1"/>
      <c r="C957" s="1"/>
      <c r="D957" s="1"/>
      <c r="E957" s="1"/>
      <c r="F957" s="1"/>
      <c r="G957" s="1"/>
      <c r="H957" s="1"/>
      <c r="I957" s="61"/>
      <c r="J957" s="1"/>
      <c r="K957" s="1"/>
    </row>
    <row r="958" spans="1:11" ht="15.75" customHeight="1">
      <c r="A958" s="2"/>
      <c r="B958" s="1"/>
      <c r="C958" s="1"/>
      <c r="D958" s="1"/>
      <c r="E958" s="1"/>
      <c r="F958" s="1"/>
      <c r="G958" s="1"/>
      <c r="H958" s="1"/>
      <c r="I958" s="61"/>
      <c r="J958" s="1"/>
      <c r="K958" s="1"/>
    </row>
    <row r="959" spans="1:11" ht="15.75" customHeight="1">
      <c r="A959" s="2"/>
      <c r="B959" s="1"/>
      <c r="C959" s="1"/>
      <c r="D959" s="1"/>
      <c r="E959" s="1"/>
      <c r="F959" s="1"/>
      <c r="G959" s="1"/>
      <c r="H959" s="1"/>
      <c r="I959" s="61"/>
      <c r="J959" s="1"/>
      <c r="K959" s="1"/>
    </row>
    <row r="960" spans="1:11" ht="15.75" customHeight="1">
      <c r="A960" s="2"/>
      <c r="B960" s="1"/>
      <c r="C960" s="1"/>
      <c r="D960" s="1"/>
      <c r="E960" s="1"/>
      <c r="F960" s="1"/>
      <c r="G960" s="1"/>
      <c r="H960" s="1"/>
      <c r="I960" s="61"/>
      <c r="J960" s="1"/>
      <c r="K960" s="1"/>
    </row>
    <row r="961" spans="1:11" ht="15.75" customHeight="1">
      <c r="A961" s="2"/>
      <c r="B961" s="1"/>
      <c r="C961" s="1"/>
      <c r="D961" s="1"/>
      <c r="E961" s="1"/>
      <c r="F961" s="1"/>
      <c r="G961" s="1"/>
      <c r="H961" s="1"/>
      <c r="I961" s="61"/>
      <c r="J961" s="1"/>
      <c r="K961" s="1"/>
    </row>
    <row r="962" spans="1:11" ht="15.75" customHeight="1">
      <c r="A962" s="2"/>
      <c r="B962" s="1"/>
      <c r="C962" s="1"/>
      <c r="D962" s="1"/>
      <c r="E962" s="1"/>
      <c r="F962" s="1"/>
      <c r="G962" s="1"/>
      <c r="H962" s="1"/>
      <c r="I962" s="61"/>
      <c r="J962" s="1"/>
      <c r="K962" s="1"/>
    </row>
    <row r="963" spans="1:11" ht="15.75" customHeight="1">
      <c r="A963" s="2"/>
      <c r="B963" s="1"/>
      <c r="C963" s="1"/>
      <c r="D963" s="1"/>
      <c r="E963" s="1"/>
      <c r="F963" s="1"/>
      <c r="G963" s="1"/>
      <c r="H963" s="1"/>
      <c r="I963" s="61"/>
      <c r="J963" s="1"/>
      <c r="K963" s="1"/>
    </row>
    <row r="964" spans="1:11" ht="15.75" customHeight="1">
      <c r="A964" s="2"/>
      <c r="B964" s="1"/>
      <c r="C964" s="1"/>
      <c r="D964" s="1"/>
      <c r="E964" s="1"/>
      <c r="F964" s="1"/>
      <c r="G964" s="1"/>
      <c r="H964" s="1"/>
      <c r="I964" s="61"/>
      <c r="J964" s="1"/>
      <c r="K964" s="1"/>
    </row>
    <row r="965" spans="1:11" ht="15.75" customHeight="1">
      <c r="A965" s="2"/>
      <c r="B965" s="1"/>
      <c r="C965" s="1"/>
      <c r="D965" s="1"/>
      <c r="E965" s="1"/>
      <c r="F965" s="1"/>
      <c r="G965" s="1"/>
      <c r="H965" s="1"/>
      <c r="I965" s="61"/>
      <c r="J965" s="1"/>
      <c r="K965" s="1"/>
    </row>
    <row r="966" spans="1:11" ht="15.75" customHeight="1">
      <c r="A966" s="2"/>
      <c r="B966" s="1"/>
      <c r="C966" s="1"/>
      <c r="D966" s="1"/>
      <c r="E966" s="1"/>
      <c r="F966" s="1"/>
      <c r="G966" s="1"/>
      <c r="H966" s="1"/>
      <c r="I966" s="61"/>
      <c r="J966" s="1"/>
      <c r="K966" s="1"/>
    </row>
    <row r="967" spans="1:11" ht="15.75" customHeight="1">
      <c r="A967" s="2"/>
      <c r="B967" s="1"/>
      <c r="C967" s="1"/>
      <c r="D967" s="1"/>
      <c r="E967" s="1"/>
      <c r="F967" s="1"/>
      <c r="G967" s="1"/>
      <c r="H967" s="1"/>
      <c r="I967" s="61"/>
      <c r="J967" s="1"/>
      <c r="K967" s="1"/>
    </row>
    <row r="968" spans="1:11" ht="15.75" customHeight="1">
      <c r="A968" s="2"/>
      <c r="B968" s="1"/>
      <c r="C968" s="1"/>
      <c r="D968" s="1"/>
      <c r="E968" s="1"/>
      <c r="F968" s="1"/>
      <c r="G968" s="1"/>
      <c r="H968" s="1"/>
      <c r="I968" s="61"/>
      <c r="J968" s="1"/>
      <c r="K968" s="1"/>
    </row>
    <row r="969" spans="1:11" ht="15.75" customHeight="1">
      <c r="A969" s="2"/>
      <c r="B969" s="1"/>
      <c r="C969" s="1"/>
      <c r="D969" s="1"/>
      <c r="E969" s="1"/>
      <c r="F969" s="1"/>
      <c r="G969" s="1"/>
      <c r="H969" s="1"/>
      <c r="I969" s="61"/>
      <c r="J969" s="1"/>
      <c r="K969" s="1"/>
    </row>
    <row r="970" spans="1:11" ht="15.75" customHeight="1">
      <c r="A970" s="2"/>
      <c r="B970" s="1"/>
      <c r="C970" s="1"/>
      <c r="D970" s="1"/>
      <c r="E970" s="1"/>
      <c r="F970" s="1"/>
      <c r="G970" s="1"/>
      <c r="H970" s="1"/>
      <c r="I970" s="61"/>
      <c r="J970" s="1"/>
      <c r="K970" s="1"/>
    </row>
    <row r="971" spans="1:11" ht="15.75" customHeight="1">
      <c r="A971" s="2"/>
      <c r="B971" s="1"/>
      <c r="C971" s="1"/>
      <c r="D971" s="1"/>
      <c r="E971" s="1"/>
      <c r="F971" s="1"/>
      <c r="G971" s="1"/>
      <c r="H971" s="1"/>
      <c r="I971" s="61"/>
      <c r="J971" s="1"/>
      <c r="K971" s="1"/>
    </row>
    <row r="972" spans="1:11" ht="15.75" customHeight="1">
      <c r="A972" s="2"/>
      <c r="B972" s="1"/>
      <c r="C972" s="1"/>
      <c r="D972" s="1"/>
      <c r="E972" s="1"/>
      <c r="F972" s="1"/>
      <c r="G972" s="1"/>
      <c r="H972" s="1"/>
      <c r="I972" s="61"/>
      <c r="J972" s="1"/>
      <c r="K972" s="1"/>
    </row>
    <row r="973" spans="1:11" ht="15.75" customHeight="1">
      <c r="A973" s="2"/>
      <c r="B973" s="1"/>
      <c r="C973" s="1"/>
      <c r="D973" s="1"/>
      <c r="E973" s="1"/>
      <c r="F973" s="1"/>
      <c r="G973" s="1"/>
      <c r="H973" s="1"/>
      <c r="I973" s="61"/>
      <c r="J973" s="1"/>
      <c r="K973" s="1"/>
    </row>
    <row r="974" spans="1:11" ht="15.75" customHeight="1">
      <c r="A974" s="2"/>
      <c r="B974" s="1"/>
      <c r="C974" s="1"/>
      <c r="D974" s="1"/>
      <c r="E974" s="1"/>
      <c r="F974" s="1"/>
      <c r="G974" s="1"/>
      <c r="H974" s="1"/>
      <c r="I974" s="61"/>
      <c r="J974" s="1"/>
      <c r="K974" s="1"/>
    </row>
    <row r="975" spans="1:11" ht="15.75" customHeight="1">
      <c r="A975" s="2"/>
      <c r="B975" s="1"/>
      <c r="C975" s="1"/>
      <c r="D975" s="1"/>
      <c r="E975" s="1"/>
      <c r="F975" s="1"/>
      <c r="G975" s="1"/>
      <c r="H975" s="1"/>
      <c r="I975" s="61"/>
      <c r="J975" s="1"/>
      <c r="K975" s="1"/>
    </row>
    <row r="976" spans="1:11" ht="15.75" customHeight="1">
      <c r="A976" s="2"/>
      <c r="B976" s="1"/>
      <c r="C976" s="1"/>
      <c r="D976" s="1"/>
      <c r="E976" s="1"/>
      <c r="F976" s="1"/>
      <c r="G976" s="1"/>
      <c r="H976" s="1"/>
      <c r="I976" s="61"/>
      <c r="J976" s="1"/>
      <c r="K976" s="1"/>
    </row>
    <row r="977" spans="1:11" ht="15.75" customHeight="1">
      <c r="A977" s="2"/>
      <c r="B977" s="1"/>
      <c r="C977" s="1"/>
      <c r="D977" s="1"/>
      <c r="E977" s="1"/>
      <c r="F977" s="1"/>
      <c r="G977" s="1"/>
      <c r="H977" s="1"/>
      <c r="I977" s="61"/>
      <c r="J977" s="1"/>
      <c r="K977" s="1"/>
    </row>
    <row r="978" spans="1:11" ht="15.75" customHeight="1">
      <c r="A978" s="2"/>
      <c r="B978" s="1"/>
      <c r="C978" s="1"/>
      <c r="D978" s="1"/>
      <c r="E978" s="1"/>
      <c r="F978" s="1"/>
      <c r="G978" s="1"/>
      <c r="H978" s="1"/>
      <c r="I978" s="61"/>
      <c r="J978" s="1"/>
      <c r="K978" s="1"/>
    </row>
    <row r="979" spans="1:11" ht="15.75" customHeight="1">
      <c r="A979" s="2"/>
      <c r="B979" s="1"/>
      <c r="C979" s="1"/>
      <c r="D979" s="1"/>
      <c r="E979" s="1"/>
      <c r="F979" s="1"/>
      <c r="G979" s="1"/>
      <c r="H979" s="1"/>
      <c r="I979" s="61"/>
      <c r="J979" s="1"/>
      <c r="K979" s="1"/>
    </row>
    <row r="980" spans="1:11" ht="15.75" customHeight="1">
      <c r="A980" s="2"/>
      <c r="B980" s="1"/>
      <c r="C980" s="1"/>
      <c r="D980" s="1"/>
      <c r="E980" s="1"/>
      <c r="F980" s="1"/>
      <c r="G980" s="1"/>
      <c r="H980" s="1"/>
      <c r="I980" s="61"/>
      <c r="J980" s="1"/>
      <c r="K980" s="1"/>
    </row>
    <row r="981" spans="1:11" ht="15.75" customHeight="1">
      <c r="A981" s="2"/>
      <c r="B981" s="1"/>
      <c r="C981" s="1"/>
      <c r="D981" s="1"/>
      <c r="E981" s="1"/>
      <c r="F981" s="1"/>
      <c r="G981" s="1"/>
      <c r="H981" s="1"/>
      <c r="I981" s="61"/>
      <c r="J981" s="1"/>
      <c r="K981" s="1"/>
    </row>
    <row r="982" spans="1:11" ht="15.75" customHeight="1">
      <c r="A982" s="2"/>
      <c r="B982" s="1"/>
      <c r="C982" s="1"/>
      <c r="D982" s="1"/>
      <c r="E982" s="1"/>
      <c r="F982" s="1"/>
      <c r="G982" s="1"/>
      <c r="H982" s="1"/>
      <c r="I982" s="61"/>
      <c r="J982" s="1"/>
      <c r="K982" s="1"/>
    </row>
    <row r="983" spans="1:11" ht="15.75" customHeight="1">
      <c r="A983" s="2"/>
      <c r="B983" s="1"/>
      <c r="C983" s="1"/>
      <c r="D983" s="1"/>
      <c r="E983" s="1"/>
      <c r="F983" s="1"/>
      <c r="G983" s="1"/>
      <c r="H983" s="1"/>
      <c r="I983" s="61"/>
      <c r="J983" s="1"/>
      <c r="K983" s="1"/>
    </row>
    <row r="984" spans="1:11" ht="15.75" customHeight="1">
      <c r="A984" s="2"/>
      <c r="B984" s="1"/>
      <c r="C984" s="1"/>
      <c r="D984" s="1"/>
      <c r="E984" s="1"/>
      <c r="F984" s="1"/>
      <c r="G984" s="1"/>
      <c r="H984" s="1"/>
      <c r="I984" s="61"/>
      <c r="J984" s="1"/>
      <c r="K984" s="1"/>
    </row>
    <row r="985" spans="1:11" ht="15.75" customHeight="1">
      <c r="A985" s="2"/>
      <c r="B985" s="1"/>
      <c r="C985" s="1"/>
      <c r="D985" s="1"/>
      <c r="E985" s="1"/>
      <c r="F985" s="1"/>
      <c r="G985" s="1"/>
      <c r="H985" s="1"/>
      <c r="I985" s="61"/>
      <c r="J985" s="1"/>
      <c r="K985" s="1"/>
    </row>
    <row r="986" spans="1:11" ht="15.75" customHeight="1">
      <c r="A986" s="2"/>
      <c r="B986" s="1"/>
      <c r="C986" s="1"/>
      <c r="D986" s="1"/>
      <c r="E986" s="1"/>
      <c r="F986" s="1"/>
      <c r="G986" s="1"/>
      <c r="H986" s="1"/>
      <c r="I986" s="61"/>
      <c r="J986" s="1"/>
      <c r="K986" s="1"/>
    </row>
    <row r="987" spans="1:11" ht="15.75" customHeight="1">
      <c r="A987" s="2"/>
      <c r="B987" s="1"/>
      <c r="C987" s="1"/>
      <c r="D987" s="1"/>
      <c r="E987" s="1"/>
      <c r="F987" s="1"/>
      <c r="G987" s="1"/>
      <c r="H987" s="1"/>
      <c r="I987" s="61"/>
      <c r="J987" s="1"/>
      <c r="K987" s="1"/>
    </row>
    <row r="988" spans="1:11" ht="15.75" customHeight="1">
      <c r="A988" s="2"/>
      <c r="B988" s="1"/>
      <c r="C988" s="1"/>
      <c r="D988" s="1"/>
      <c r="E988" s="1"/>
      <c r="F988" s="1"/>
      <c r="G988" s="1"/>
      <c r="H988" s="1"/>
      <c r="I988" s="61"/>
      <c r="J988" s="1"/>
      <c r="K988" s="1"/>
    </row>
    <row r="989" spans="1:11" ht="15.75" customHeight="1">
      <c r="A989" s="2"/>
      <c r="B989" s="1"/>
      <c r="C989" s="1"/>
      <c r="D989" s="1"/>
      <c r="E989" s="1"/>
      <c r="F989" s="1"/>
      <c r="G989" s="1"/>
      <c r="H989" s="1"/>
      <c r="I989" s="61"/>
      <c r="J989" s="1"/>
      <c r="K989" s="1"/>
    </row>
    <row r="990" spans="1:11" ht="15.75" customHeight="1">
      <c r="A990" s="2"/>
      <c r="B990" s="1"/>
      <c r="C990" s="1"/>
      <c r="D990" s="1"/>
      <c r="E990" s="1"/>
      <c r="F990" s="1"/>
      <c r="G990" s="1"/>
      <c r="H990" s="1"/>
      <c r="I990" s="61"/>
      <c r="J990" s="1"/>
      <c r="K990" s="1"/>
    </row>
    <row r="991" spans="1:11" ht="15.75" customHeight="1">
      <c r="A991" s="2"/>
      <c r="B991" s="1"/>
      <c r="C991" s="1"/>
      <c r="D991" s="1"/>
      <c r="E991" s="1"/>
      <c r="F991" s="1"/>
      <c r="G991" s="1"/>
      <c r="H991" s="1"/>
      <c r="I991" s="61"/>
      <c r="J991" s="1"/>
      <c r="K991" s="1"/>
    </row>
    <row r="992" spans="1:11" ht="15.75" customHeight="1">
      <c r="A992" s="2"/>
      <c r="B992" s="1"/>
      <c r="C992" s="1"/>
      <c r="D992" s="1"/>
      <c r="E992" s="1"/>
      <c r="F992" s="1"/>
      <c r="G992" s="1"/>
      <c r="H992" s="1"/>
      <c r="I992" s="61"/>
      <c r="J992" s="1"/>
      <c r="K992" s="1"/>
    </row>
    <row r="993" spans="1:11" ht="15.75" customHeight="1">
      <c r="A993" s="2"/>
      <c r="B993" s="1"/>
      <c r="C993" s="1"/>
      <c r="D993" s="1"/>
      <c r="E993" s="1"/>
      <c r="F993" s="1"/>
      <c r="G993" s="1"/>
      <c r="H993" s="1"/>
      <c r="I993" s="61"/>
      <c r="J993" s="1"/>
      <c r="K993" s="1"/>
    </row>
    <row r="994" spans="1:11" ht="15.75" customHeight="1">
      <c r="A994" s="2"/>
      <c r="B994" s="1"/>
      <c r="C994" s="1"/>
      <c r="D994" s="1"/>
      <c r="E994" s="1"/>
      <c r="F994" s="1"/>
      <c r="G994" s="1"/>
      <c r="H994" s="1"/>
      <c r="I994" s="61"/>
      <c r="J994" s="1"/>
      <c r="K994" s="1"/>
    </row>
    <row r="995" spans="1:11" ht="15.75" customHeight="1">
      <c r="A995" s="2"/>
      <c r="B995" s="1"/>
      <c r="C995" s="1"/>
      <c r="D995" s="1"/>
      <c r="E995" s="1"/>
      <c r="F995" s="1"/>
      <c r="G995" s="1"/>
      <c r="H995" s="1"/>
      <c r="I995" s="61"/>
      <c r="J995" s="1"/>
      <c r="K995" s="1"/>
    </row>
    <row r="996" spans="1:11" ht="15.75" customHeight="1">
      <c r="A996" s="2"/>
      <c r="B996" s="1"/>
      <c r="C996" s="1"/>
      <c r="D996" s="1"/>
      <c r="E996" s="1"/>
      <c r="F996" s="1"/>
      <c r="G996" s="1"/>
      <c r="H996" s="1"/>
      <c r="I996" s="61"/>
      <c r="J996" s="1"/>
      <c r="K996" s="1"/>
    </row>
    <row r="997" spans="1:11" ht="15.75" customHeight="1">
      <c r="A997" s="2"/>
      <c r="B997" s="1"/>
      <c r="C997" s="1"/>
      <c r="D997" s="1"/>
      <c r="E997" s="1"/>
      <c r="F997" s="1"/>
      <c r="G997" s="1"/>
      <c r="H997" s="1"/>
      <c r="I997" s="61"/>
      <c r="J997" s="1"/>
      <c r="K997" s="1"/>
    </row>
    <row r="998" spans="1:11" ht="15.75" customHeight="1">
      <c r="A998" s="2"/>
      <c r="B998" s="1"/>
      <c r="C998" s="1"/>
      <c r="D998" s="1"/>
      <c r="E998" s="1"/>
      <c r="F998" s="1"/>
      <c r="G998" s="1"/>
      <c r="H998" s="1"/>
      <c r="I998" s="61"/>
      <c r="J998" s="1"/>
      <c r="K998" s="1"/>
    </row>
    <row r="999" spans="1:11" ht="15.75" customHeight="1">
      <c r="A999" s="2"/>
      <c r="B999" s="1"/>
      <c r="C999" s="1"/>
      <c r="D999" s="1"/>
      <c r="E999" s="1"/>
      <c r="F999" s="1"/>
      <c r="G999" s="1"/>
      <c r="H999" s="1"/>
      <c r="I999" s="61"/>
      <c r="J999" s="1"/>
      <c r="K999" s="1"/>
    </row>
    <row r="1000" spans="1:11" ht="15.75" customHeight="1">
      <c r="A1000" s="2"/>
      <c r="B1000" s="1"/>
      <c r="C1000" s="1"/>
      <c r="D1000" s="1"/>
      <c r="E1000" s="1"/>
      <c r="F1000" s="1"/>
      <c r="G1000" s="1"/>
      <c r="H1000" s="1"/>
      <c r="I1000" s="61"/>
      <c r="J1000" s="1"/>
      <c r="K1000" s="1"/>
    </row>
  </sheetData>
  <mergeCells count="10">
    <mergeCell ref="F7:H7"/>
    <mergeCell ref="E263:H263"/>
    <mergeCell ref="E264:H264"/>
    <mergeCell ref="A1:K1"/>
    <mergeCell ref="A2:K2"/>
    <mergeCell ref="J3:K3"/>
    <mergeCell ref="A6:B6"/>
    <mergeCell ref="J6:K6"/>
    <mergeCell ref="J7:K7"/>
    <mergeCell ref="A8:B8"/>
  </mergeCells>
  <printOptions horizontalCentered="1"/>
  <pageMargins left="0.5" right="0.5" top="0.75" bottom="0.75" header="0" footer="0"/>
  <pageSetup paperSize="5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A1:O1000"/>
  <sheetViews>
    <sheetView topLeftCell="A7" workbookViewId="0">
      <selection activeCell="I19" sqref="I19"/>
    </sheetView>
  </sheetViews>
  <sheetFormatPr defaultColWidth="14.42578125" defaultRowHeight="15" customHeight="1"/>
  <cols>
    <col min="1" max="1" width="4.7109375" customWidth="1"/>
    <col min="2" max="2" width="22" customWidth="1"/>
    <col min="3" max="3" width="9.28515625" customWidth="1"/>
    <col min="4" max="4" width="15.7109375" customWidth="1"/>
    <col min="5" max="5" width="14.85546875" customWidth="1"/>
    <col min="6" max="6" width="16.140625" customWidth="1"/>
    <col min="7" max="7" width="21.85546875" customWidth="1"/>
    <col min="8" max="8" width="12.42578125" customWidth="1"/>
    <col min="9" max="9" width="16.5703125" customWidth="1"/>
    <col min="10" max="10" width="13.7109375" customWidth="1"/>
    <col min="11" max="11" width="8.28515625" customWidth="1"/>
    <col min="12" max="12" width="18.140625" customWidth="1"/>
    <col min="13" max="26" width="8.7109375" customWidth="1"/>
  </cols>
  <sheetData>
    <row r="1" spans="1:15" ht="23.25">
      <c r="A1" s="555" t="s">
        <v>0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</row>
    <row r="2" spans="1:15" ht="18">
      <c r="A2" s="556" t="s">
        <v>1546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</row>
    <row r="3" spans="1:15">
      <c r="A3" s="2"/>
      <c r="B3" s="3"/>
      <c r="C3" s="71"/>
      <c r="D3" s="3"/>
      <c r="E3" s="3"/>
      <c r="G3" s="3"/>
      <c r="H3" s="71"/>
      <c r="I3" s="45"/>
      <c r="J3" s="72"/>
      <c r="K3" s="557" t="s">
        <v>1976</v>
      </c>
      <c r="L3" s="558"/>
    </row>
    <row r="4" spans="1:15">
      <c r="A4" s="2"/>
      <c r="B4" s="3"/>
      <c r="C4" s="71"/>
      <c r="D4" s="3"/>
      <c r="E4" s="3"/>
      <c r="G4" s="3"/>
      <c r="H4" s="71"/>
      <c r="I4" s="45"/>
      <c r="J4" s="72"/>
      <c r="K4" s="73" t="s">
        <v>1977</v>
      </c>
      <c r="L4" s="294"/>
    </row>
    <row r="5" spans="1:15">
      <c r="A5" s="2"/>
      <c r="B5" s="3"/>
      <c r="C5" s="71"/>
      <c r="D5" s="3"/>
      <c r="E5" s="3"/>
      <c r="G5" s="3"/>
      <c r="H5" s="71"/>
      <c r="I5" s="45"/>
      <c r="J5" s="72"/>
      <c r="K5" s="73" t="s">
        <v>1978</v>
      </c>
      <c r="L5" s="294"/>
    </row>
    <row r="6" spans="1:15" ht="18">
      <c r="A6" s="567" t="s">
        <v>360</v>
      </c>
      <c r="B6" s="560"/>
      <c r="C6" s="75"/>
      <c r="D6" s="3"/>
      <c r="E6" s="10"/>
      <c r="F6" s="76"/>
      <c r="G6" s="3"/>
      <c r="H6" s="71"/>
      <c r="I6" s="45"/>
      <c r="J6" s="72"/>
      <c r="K6" s="77" t="s">
        <v>1979</v>
      </c>
      <c r="L6" s="53"/>
    </row>
    <row r="7" spans="1:15">
      <c r="A7" s="11"/>
      <c r="B7" s="12"/>
      <c r="C7" s="78" t="s">
        <v>362</v>
      </c>
      <c r="D7" s="14"/>
      <c r="E7" s="14"/>
      <c r="F7" s="79" t="s">
        <v>363</v>
      </c>
      <c r="G7" s="78" t="s">
        <v>364</v>
      </c>
      <c r="H7" s="563" t="s">
        <v>365</v>
      </c>
      <c r="I7" s="558"/>
      <c r="J7" s="80"/>
      <c r="K7" s="550" t="s">
        <v>8</v>
      </c>
      <c r="L7" s="551"/>
    </row>
    <row r="8" spans="1:15">
      <c r="A8" s="565" t="s">
        <v>366</v>
      </c>
      <c r="B8" s="566"/>
      <c r="C8" s="79" t="s">
        <v>367</v>
      </c>
      <c r="D8" s="17" t="s">
        <v>11</v>
      </c>
      <c r="E8" s="18" t="s">
        <v>12</v>
      </c>
      <c r="F8" s="79" t="s">
        <v>368</v>
      </c>
      <c r="G8" s="81" t="s">
        <v>369</v>
      </c>
      <c r="H8" s="82"/>
      <c r="I8" s="83" t="s">
        <v>14</v>
      </c>
      <c r="J8" s="84" t="s">
        <v>15</v>
      </c>
      <c r="K8" s="24"/>
      <c r="L8" s="85"/>
    </row>
    <row r="9" spans="1:15">
      <c r="A9" s="25"/>
      <c r="B9" s="26"/>
      <c r="C9" s="79" t="s">
        <v>370</v>
      </c>
      <c r="D9" s="27"/>
      <c r="E9" s="26"/>
      <c r="F9" s="79" t="s">
        <v>371</v>
      </c>
      <c r="G9" s="81" t="s">
        <v>372</v>
      </c>
      <c r="H9" s="86" t="s">
        <v>17</v>
      </c>
      <c r="I9" s="83" t="s">
        <v>18</v>
      </c>
      <c r="J9" s="87"/>
      <c r="K9" s="17" t="s">
        <v>19</v>
      </c>
      <c r="L9" s="17" t="s">
        <v>20</v>
      </c>
    </row>
    <row r="10" spans="1:15">
      <c r="A10" s="30"/>
      <c r="B10" s="31"/>
      <c r="C10" s="88"/>
      <c r="D10" s="33"/>
      <c r="E10" s="33"/>
      <c r="F10" s="89" t="s">
        <v>373</v>
      </c>
      <c r="G10" s="38"/>
      <c r="H10" s="90"/>
      <c r="I10" s="91" t="s">
        <v>374</v>
      </c>
      <c r="J10" s="92"/>
      <c r="K10" s="34"/>
      <c r="L10" s="38" t="s">
        <v>22</v>
      </c>
    </row>
    <row r="11" spans="1:15">
      <c r="A11" s="39" t="s">
        <v>23</v>
      </c>
      <c r="B11" s="57"/>
      <c r="C11" s="93"/>
      <c r="D11" s="57"/>
      <c r="E11" s="57"/>
      <c r="F11" s="40"/>
      <c r="G11" s="57"/>
      <c r="H11" s="93"/>
      <c r="I11" s="44"/>
      <c r="J11" s="94"/>
      <c r="K11" s="40"/>
      <c r="L11" s="40"/>
    </row>
    <row r="12" spans="1:15">
      <c r="A12" s="95">
        <v>1</v>
      </c>
      <c r="B12" s="333" t="s">
        <v>1980</v>
      </c>
      <c r="C12" s="334"/>
      <c r="D12" s="97" t="s">
        <v>1981</v>
      </c>
      <c r="E12" s="97" t="s">
        <v>42</v>
      </c>
      <c r="F12" s="97"/>
      <c r="G12" s="96" t="s">
        <v>184</v>
      </c>
      <c r="H12" s="295" t="s">
        <v>29</v>
      </c>
      <c r="I12" s="101">
        <v>500</v>
      </c>
      <c r="J12" s="335" t="s">
        <v>101</v>
      </c>
      <c r="K12" s="98"/>
      <c r="L12" s="96" t="s">
        <v>31</v>
      </c>
    </row>
    <row r="13" spans="1:15">
      <c r="A13" s="95">
        <v>6</v>
      </c>
      <c r="B13" s="97" t="s">
        <v>378</v>
      </c>
      <c r="C13" s="336"/>
      <c r="D13" s="97"/>
      <c r="E13" s="103"/>
      <c r="F13" s="97"/>
      <c r="G13" s="96" t="s">
        <v>1402</v>
      </c>
      <c r="H13" s="295" t="s">
        <v>29</v>
      </c>
      <c r="I13" s="101">
        <v>5000</v>
      </c>
      <c r="J13" s="337" t="s">
        <v>101</v>
      </c>
      <c r="K13" s="98"/>
      <c r="L13" s="96" t="s">
        <v>31</v>
      </c>
      <c r="O13" s="65"/>
    </row>
    <row r="14" spans="1:15">
      <c r="A14" s="297">
        <v>15</v>
      </c>
      <c r="B14" s="354" t="s">
        <v>375</v>
      </c>
      <c r="C14" s="355"/>
      <c r="D14" s="297"/>
      <c r="E14" s="356" t="s">
        <v>318</v>
      </c>
      <c r="F14" s="357" t="s">
        <v>376</v>
      </c>
      <c r="G14" s="356" t="s">
        <v>1982</v>
      </c>
      <c r="H14" s="358" t="s">
        <v>29</v>
      </c>
      <c r="I14" s="359">
        <v>4000</v>
      </c>
      <c r="J14" s="360">
        <v>800</v>
      </c>
      <c r="K14" s="297"/>
      <c r="L14" s="356" t="s">
        <v>31</v>
      </c>
    </row>
    <row r="15" spans="1:15">
      <c r="A15" s="297">
        <v>15</v>
      </c>
      <c r="B15" s="354" t="s">
        <v>375</v>
      </c>
      <c r="C15" s="361"/>
      <c r="D15" s="362"/>
      <c r="E15" s="356" t="s">
        <v>318</v>
      </c>
      <c r="F15" s="357" t="s">
        <v>376</v>
      </c>
      <c r="G15" s="356" t="s">
        <v>1982</v>
      </c>
      <c r="H15" s="363" t="s">
        <v>29</v>
      </c>
      <c r="I15" s="364">
        <v>16000</v>
      </c>
      <c r="J15" s="365">
        <v>3200</v>
      </c>
      <c r="K15" s="361"/>
      <c r="L15" s="366" t="s">
        <v>31</v>
      </c>
      <c r="O15" s="65"/>
    </row>
    <row r="16" spans="1:15">
      <c r="A16" s="297">
        <v>16</v>
      </c>
      <c r="B16" s="362" t="s">
        <v>1983</v>
      </c>
      <c r="C16" s="362"/>
      <c r="D16" s="362"/>
      <c r="E16" s="362" t="s">
        <v>78</v>
      </c>
      <c r="F16" s="362"/>
      <c r="G16" s="366" t="s">
        <v>1984</v>
      </c>
      <c r="H16" s="367" t="s">
        <v>29</v>
      </c>
      <c r="I16" s="368">
        <v>30000</v>
      </c>
      <c r="J16" s="369" t="s">
        <v>101</v>
      </c>
      <c r="K16" s="361"/>
      <c r="L16" s="366" t="s">
        <v>31</v>
      </c>
    </row>
    <row r="17" spans="1:15">
      <c r="A17" s="297">
        <v>20</v>
      </c>
      <c r="B17" s="362" t="s">
        <v>378</v>
      </c>
      <c r="C17" s="362"/>
      <c r="D17" s="362"/>
      <c r="E17" s="362" t="s">
        <v>870</v>
      </c>
      <c r="F17" s="357" t="s">
        <v>1985</v>
      </c>
      <c r="G17" s="366" t="s">
        <v>1986</v>
      </c>
      <c r="H17" s="367" t="s">
        <v>29</v>
      </c>
      <c r="I17" s="368">
        <v>3000</v>
      </c>
      <c r="J17" s="369" t="s">
        <v>101</v>
      </c>
      <c r="K17" s="361"/>
      <c r="L17" s="366" t="s">
        <v>31</v>
      </c>
      <c r="O17" s="65"/>
    </row>
    <row r="18" spans="1:15">
      <c r="A18" s="297">
        <v>20</v>
      </c>
      <c r="B18" s="362" t="s">
        <v>378</v>
      </c>
      <c r="C18" s="362"/>
      <c r="D18" s="362"/>
      <c r="E18" s="362" t="s">
        <v>870</v>
      </c>
      <c r="F18" s="362" t="s">
        <v>1987</v>
      </c>
      <c r="G18" s="366" t="s">
        <v>1986</v>
      </c>
      <c r="H18" s="363" t="s">
        <v>542</v>
      </c>
      <c r="I18" s="364">
        <v>23</v>
      </c>
      <c r="J18" s="370" t="s">
        <v>101</v>
      </c>
      <c r="K18" s="361"/>
      <c r="L18" s="366"/>
    </row>
    <row r="19" spans="1:15">
      <c r="A19" s="95"/>
      <c r="B19" s="97"/>
      <c r="C19" s="97"/>
      <c r="D19" s="97"/>
      <c r="E19" s="97"/>
      <c r="F19" s="97"/>
      <c r="G19" s="96"/>
      <c r="H19" s="100"/>
      <c r="I19" s="101"/>
      <c r="J19" s="335"/>
      <c r="K19" s="98"/>
      <c r="L19" s="96"/>
    </row>
    <row r="20" spans="1:15">
      <c r="A20" s="95"/>
      <c r="B20" s="97"/>
      <c r="C20" s="97"/>
      <c r="D20" s="97"/>
      <c r="E20" s="313"/>
      <c r="F20" s="97"/>
      <c r="G20" s="96"/>
      <c r="H20" s="100"/>
      <c r="I20" s="101"/>
      <c r="J20" s="343"/>
      <c r="K20" s="98"/>
      <c r="L20" s="96"/>
    </row>
    <row r="21" spans="1:15" ht="15.75" customHeight="1">
      <c r="A21" s="95"/>
      <c r="B21" s="97"/>
      <c r="C21" s="97"/>
      <c r="D21" s="97"/>
      <c r="E21" s="97"/>
      <c r="F21" s="97"/>
      <c r="G21" s="97"/>
      <c r="H21" s="110"/>
      <c r="I21" s="101"/>
      <c r="J21" s="97"/>
      <c r="K21" s="97"/>
      <c r="L21" s="97"/>
    </row>
    <row r="22" spans="1:15" ht="15.75" customHeight="1">
      <c r="A22" s="98"/>
      <c r="B22" s="97"/>
      <c r="C22" s="97"/>
      <c r="D22" s="97"/>
      <c r="E22" s="97"/>
      <c r="F22" s="97"/>
      <c r="G22" s="97"/>
      <c r="H22" s="110"/>
      <c r="I22" s="101"/>
      <c r="J22" s="97"/>
      <c r="K22" s="97"/>
      <c r="L22" s="97"/>
    </row>
    <row r="23" spans="1:15" ht="15.75" customHeight="1">
      <c r="A23" s="98"/>
      <c r="B23" s="97"/>
      <c r="C23" s="97"/>
      <c r="D23" s="97"/>
      <c r="E23" s="97"/>
      <c r="F23" s="97"/>
      <c r="G23" s="97"/>
      <c r="H23" s="110"/>
      <c r="I23" s="97"/>
      <c r="J23" s="97"/>
      <c r="K23" s="97"/>
      <c r="L23" s="97"/>
    </row>
    <row r="24" spans="1:15" ht="15.75" customHeight="1">
      <c r="I24" s="111" t="s">
        <v>335</v>
      </c>
      <c r="J24" s="63"/>
    </row>
    <row r="25" spans="1:15" ht="15.75" customHeight="1">
      <c r="I25" s="63" t="s">
        <v>338</v>
      </c>
      <c r="J25" s="291">
        <v>20000</v>
      </c>
      <c r="N25" s="65"/>
    </row>
    <row r="26" spans="1:15" ht="15.75" customHeight="1">
      <c r="I26" s="63" t="s">
        <v>340</v>
      </c>
      <c r="J26" s="291">
        <v>38500</v>
      </c>
      <c r="N26" s="65"/>
    </row>
    <row r="27" spans="1:15" ht="15.75" customHeight="1">
      <c r="B27" s="157" t="s">
        <v>336</v>
      </c>
      <c r="E27" s="157" t="s">
        <v>337</v>
      </c>
      <c r="I27" s="63" t="s">
        <v>342</v>
      </c>
      <c r="J27" s="292">
        <v>0</v>
      </c>
    </row>
    <row r="28" spans="1:15" ht="15.75" customHeight="1">
      <c r="I28" s="63" t="s">
        <v>1988</v>
      </c>
      <c r="J28" s="292">
        <v>23</v>
      </c>
    </row>
    <row r="29" spans="1:15" ht="15.75" customHeight="1">
      <c r="I29" s="63" t="s">
        <v>349</v>
      </c>
      <c r="J29" s="292">
        <v>0</v>
      </c>
    </row>
    <row r="30" spans="1:15" ht="15.75" customHeight="1">
      <c r="B30" s="70" t="s">
        <v>343</v>
      </c>
      <c r="E30" s="568" t="s">
        <v>344</v>
      </c>
      <c r="F30" s="553"/>
      <c r="G30" s="553"/>
      <c r="H30" s="553"/>
      <c r="I30" s="63" t="s">
        <v>406</v>
      </c>
      <c r="J30" s="292">
        <v>0</v>
      </c>
    </row>
    <row r="31" spans="1:15" ht="15.75" customHeight="1">
      <c r="B31" s="157" t="s">
        <v>347</v>
      </c>
      <c r="E31" s="552" t="s">
        <v>348</v>
      </c>
      <c r="F31" s="553"/>
      <c r="G31" s="553"/>
      <c r="H31" s="553"/>
      <c r="I31" s="63" t="s">
        <v>353</v>
      </c>
      <c r="J31" s="293"/>
    </row>
    <row r="32" spans="1:15" ht="15.75" customHeight="1">
      <c r="I32" s="4" t="s">
        <v>407</v>
      </c>
      <c r="J32" s="291"/>
    </row>
    <row r="33" spans="9:10" ht="15.75" customHeight="1">
      <c r="I33" s="4" t="s">
        <v>1989</v>
      </c>
      <c r="J33" s="291"/>
    </row>
    <row r="34" spans="9:10" ht="15.75" customHeight="1"/>
    <row r="35" spans="9:10" ht="15.75" customHeight="1"/>
    <row r="36" spans="9:10" ht="15.75" customHeight="1"/>
    <row r="37" spans="9:10" ht="15.75" customHeight="1"/>
    <row r="38" spans="9:10" ht="15.75" customHeight="1"/>
    <row r="39" spans="9:10" ht="15.75" customHeight="1"/>
    <row r="40" spans="9:10" ht="15.75" customHeight="1"/>
    <row r="41" spans="9:10" ht="15.75" customHeight="1"/>
    <row r="42" spans="9:10" ht="15.75" customHeight="1"/>
    <row r="43" spans="9:10" ht="15.75" customHeight="1"/>
    <row r="44" spans="9:10" ht="15.75" customHeight="1"/>
    <row r="45" spans="9:10" ht="15.75" customHeight="1"/>
    <row r="46" spans="9:10" ht="15.75" customHeight="1"/>
    <row r="47" spans="9:10" ht="15.75" customHeight="1"/>
    <row r="48" spans="9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E30:H30"/>
    <mergeCell ref="E31:H31"/>
    <mergeCell ref="A1:L1"/>
    <mergeCell ref="A2:L2"/>
    <mergeCell ref="K3:L3"/>
    <mergeCell ref="A6:B6"/>
    <mergeCell ref="H7:I7"/>
    <mergeCell ref="K7:L7"/>
    <mergeCell ref="A8:B8"/>
  </mergeCells>
  <pageMargins left="0.7" right="0.7" top="0.75" bottom="0.75" header="0" footer="0"/>
  <pageSetup orientation="portrait"/>
  <rowBreaks count="1" manualBreakCount="1">
    <brk id="16" man="1"/>
  </rowBreaks>
  <colBreaks count="1" manualBreakCount="1">
    <brk id="8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A1:Z1000"/>
  <sheetViews>
    <sheetView workbookViewId="0">
      <selection sqref="A1:K1"/>
    </sheetView>
  </sheetViews>
  <sheetFormatPr defaultColWidth="14.42578125" defaultRowHeight="15" customHeight="1"/>
  <cols>
    <col min="1" max="1" width="4.7109375" customWidth="1"/>
    <col min="2" max="2" width="26" customWidth="1"/>
    <col min="3" max="3" width="7.28515625" customWidth="1"/>
    <col min="4" max="4" width="16.140625" customWidth="1"/>
    <col min="5" max="5" width="14.5703125" customWidth="1"/>
    <col min="6" max="6" width="14.85546875" customWidth="1"/>
    <col min="7" max="7" width="14" customWidth="1"/>
    <col min="8" max="8" width="16.42578125" customWidth="1"/>
    <col min="9" max="9" width="16.85546875" customWidth="1"/>
    <col min="10" max="10" width="9.5703125" customWidth="1"/>
    <col min="11" max="11" width="17.85546875" customWidth="1"/>
    <col min="12" max="26" width="8.7109375" customWidth="1"/>
  </cols>
  <sheetData>
    <row r="1" spans="1:13" ht="23.25">
      <c r="A1" s="555" t="s">
        <v>0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</row>
    <row r="2" spans="1:13" ht="18">
      <c r="A2" s="556" t="s">
        <v>1990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</row>
    <row r="3" spans="1:13">
      <c r="A3" s="2"/>
      <c r="B3" s="3"/>
      <c r="C3" s="4"/>
      <c r="D3" s="3"/>
      <c r="E3" s="3"/>
      <c r="F3" s="1"/>
      <c r="G3" s="4"/>
      <c r="H3" s="5"/>
      <c r="I3" s="6"/>
      <c r="J3" s="371" t="s">
        <v>1991</v>
      </c>
      <c r="K3" s="372"/>
    </row>
    <row r="4" spans="1:13">
      <c r="A4" s="2"/>
      <c r="B4" s="3"/>
      <c r="C4" s="4"/>
      <c r="D4" s="3"/>
      <c r="E4" s="3"/>
      <c r="F4" s="1"/>
      <c r="G4" s="4"/>
      <c r="H4" s="5"/>
      <c r="I4" s="7"/>
      <c r="J4" s="373" t="s">
        <v>3</v>
      </c>
      <c r="K4" s="374">
        <v>163</v>
      </c>
    </row>
    <row r="5" spans="1:13">
      <c r="A5" s="2"/>
      <c r="B5" s="3"/>
      <c r="C5" s="4"/>
      <c r="D5" s="3"/>
      <c r="E5" s="3"/>
      <c r="F5" s="1"/>
      <c r="G5" s="4"/>
      <c r="H5" s="5"/>
      <c r="I5" s="7"/>
      <c r="J5" s="373" t="s">
        <v>4</v>
      </c>
      <c r="K5" s="374">
        <v>32</v>
      </c>
    </row>
    <row r="6" spans="1:13">
      <c r="A6" s="559" t="s">
        <v>5</v>
      </c>
      <c r="B6" s="560"/>
      <c r="C6" s="4"/>
      <c r="D6" s="3"/>
      <c r="E6" s="10"/>
      <c r="F6" s="1"/>
      <c r="G6" s="4"/>
      <c r="H6" s="5"/>
      <c r="I6" s="6"/>
      <c r="J6" s="375" t="s">
        <v>1992</v>
      </c>
      <c r="K6" s="376"/>
    </row>
    <row r="7" spans="1:13">
      <c r="A7" s="11"/>
      <c r="B7" s="12"/>
      <c r="C7" s="13"/>
      <c r="D7" s="14"/>
      <c r="E7" s="14"/>
      <c r="F7" s="563" t="s">
        <v>7</v>
      </c>
      <c r="G7" s="564"/>
      <c r="H7" s="558"/>
      <c r="I7" s="15"/>
      <c r="J7" s="550" t="s">
        <v>8</v>
      </c>
      <c r="K7" s="551"/>
    </row>
    <row r="8" spans="1:13">
      <c r="A8" s="565" t="s">
        <v>9</v>
      </c>
      <c r="B8" s="566"/>
      <c r="C8" s="16" t="s">
        <v>10</v>
      </c>
      <c r="D8" s="17" t="s">
        <v>11</v>
      </c>
      <c r="E8" s="18" t="s">
        <v>12</v>
      </c>
      <c r="F8" s="19" t="s">
        <v>13</v>
      </c>
      <c r="G8" s="20"/>
      <c r="H8" s="21" t="s">
        <v>14</v>
      </c>
      <c r="I8" s="22" t="s">
        <v>15</v>
      </c>
      <c r="J8" s="23"/>
      <c r="K8" s="24"/>
    </row>
    <row r="9" spans="1:13">
      <c r="A9" s="25"/>
      <c r="B9" s="26"/>
      <c r="C9" s="20"/>
      <c r="D9" s="27"/>
      <c r="E9" s="26"/>
      <c r="F9" s="28" t="s">
        <v>16</v>
      </c>
      <c r="G9" s="16" t="s">
        <v>17</v>
      </c>
      <c r="H9" s="21" t="s">
        <v>18</v>
      </c>
      <c r="I9" s="29"/>
      <c r="J9" s="17" t="s">
        <v>19</v>
      </c>
      <c r="K9" s="17" t="s">
        <v>20</v>
      </c>
    </row>
    <row r="10" spans="1:13">
      <c r="A10" s="30"/>
      <c r="B10" s="31"/>
      <c r="C10" s="32"/>
      <c r="D10" s="33"/>
      <c r="E10" s="33"/>
      <c r="F10" s="34"/>
      <c r="G10" s="35"/>
      <c r="H10" s="36" t="s">
        <v>21</v>
      </c>
      <c r="I10" s="37"/>
      <c r="J10" s="34"/>
      <c r="K10" s="38" t="s">
        <v>22</v>
      </c>
    </row>
    <row r="11" spans="1:13">
      <c r="A11" s="39" t="s">
        <v>23</v>
      </c>
      <c r="B11" s="40"/>
      <c r="C11" s="40"/>
      <c r="D11" s="40"/>
      <c r="E11" s="40"/>
      <c r="F11" s="40"/>
      <c r="G11" s="40"/>
      <c r="H11" s="40"/>
      <c r="I11" s="41"/>
      <c r="J11" s="40"/>
      <c r="K11" s="40"/>
    </row>
    <row r="12" spans="1:13">
      <c r="A12" s="42">
        <v>2</v>
      </c>
      <c r="B12" s="40" t="s">
        <v>1993</v>
      </c>
      <c r="C12" s="40" t="s">
        <v>25</v>
      </c>
      <c r="D12" s="40" t="s">
        <v>192</v>
      </c>
      <c r="E12" s="40" t="s">
        <v>318</v>
      </c>
      <c r="F12" s="40"/>
      <c r="G12" s="40" t="s">
        <v>29</v>
      </c>
      <c r="H12" s="44">
        <v>500</v>
      </c>
      <c r="I12" s="41">
        <v>100</v>
      </c>
      <c r="J12" s="40" t="s">
        <v>30</v>
      </c>
      <c r="K12" s="40" t="s">
        <v>31</v>
      </c>
      <c r="M12" s="157">
        <v>200</v>
      </c>
    </row>
    <row r="13" spans="1:13">
      <c r="A13" s="42">
        <v>2</v>
      </c>
      <c r="B13" s="40" t="s">
        <v>1994</v>
      </c>
      <c r="C13" s="40" t="s">
        <v>25</v>
      </c>
      <c r="D13" s="40" t="s">
        <v>63</v>
      </c>
      <c r="E13" s="40" t="s">
        <v>38</v>
      </c>
      <c r="F13" s="40"/>
      <c r="G13" s="40" t="s">
        <v>29</v>
      </c>
      <c r="H13" s="44">
        <v>500</v>
      </c>
      <c r="I13" s="41">
        <v>100</v>
      </c>
      <c r="J13" s="40" t="s">
        <v>30</v>
      </c>
      <c r="K13" s="40" t="s">
        <v>31</v>
      </c>
    </row>
    <row r="14" spans="1:13">
      <c r="A14" s="42">
        <v>2</v>
      </c>
      <c r="B14" s="40" t="s">
        <v>1995</v>
      </c>
      <c r="C14" s="40" t="s">
        <v>25</v>
      </c>
      <c r="D14" s="40" t="s">
        <v>63</v>
      </c>
      <c r="E14" s="40" t="s">
        <v>50</v>
      </c>
      <c r="F14" s="43" t="s">
        <v>1996</v>
      </c>
      <c r="G14" s="40" t="s">
        <v>29</v>
      </c>
      <c r="H14" s="44">
        <v>500</v>
      </c>
      <c r="I14" s="41">
        <v>100</v>
      </c>
      <c r="J14" s="40" t="s">
        <v>30</v>
      </c>
      <c r="K14" s="40" t="s">
        <v>31</v>
      </c>
      <c r="M14" s="157">
        <v>150</v>
      </c>
    </row>
    <row r="15" spans="1:13">
      <c r="A15" s="42">
        <v>2</v>
      </c>
      <c r="B15" s="40" t="s">
        <v>1997</v>
      </c>
      <c r="C15" s="40" t="s">
        <v>25</v>
      </c>
      <c r="D15" s="40" t="s">
        <v>735</v>
      </c>
      <c r="E15" s="40" t="s">
        <v>318</v>
      </c>
      <c r="F15" s="43" t="s">
        <v>1998</v>
      </c>
      <c r="G15" s="40" t="s">
        <v>29</v>
      </c>
      <c r="H15" s="44">
        <v>500</v>
      </c>
      <c r="I15" s="41">
        <v>100</v>
      </c>
      <c r="J15" s="40" t="s">
        <v>30</v>
      </c>
      <c r="K15" s="40" t="s">
        <v>31</v>
      </c>
    </row>
    <row r="16" spans="1:13">
      <c r="A16" s="42">
        <v>2</v>
      </c>
      <c r="B16" s="40" t="s">
        <v>1999</v>
      </c>
      <c r="C16" s="40" t="s">
        <v>25</v>
      </c>
      <c r="D16" s="40" t="s">
        <v>2000</v>
      </c>
      <c r="E16" s="40" t="s">
        <v>318</v>
      </c>
      <c r="F16" s="43" t="s">
        <v>2001</v>
      </c>
      <c r="G16" s="40" t="s">
        <v>29</v>
      </c>
      <c r="H16" s="44">
        <v>500</v>
      </c>
      <c r="I16" s="41">
        <v>100</v>
      </c>
      <c r="J16" s="40" t="s">
        <v>30</v>
      </c>
      <c r="K16" s="40" t="s">
        <v>31</v>
      </c>
    </row>
    <row r="17" spans="1:13">
      <c r="A17" s="42">
        <v>2</v>
      </c>
      <c r="B17" s="40" t="s">
        <v>2002</v>
      </c>
      <c r="C17" s="40" t="s">
        <v>59</v>
      </c>
      <c r="D17" s="40" t="s">
        <v>612</v>
      </c>
      <c r="E17" s="40" t="s">
        <v>78</v>
      </c>
      <c r="F17" s="43" t="s">
        <v>2003</v>
      </c>
      <c r="G17" s="40" t="s">
        <v>29</v>
      </c>
      <c r="H17" s="44">
        <v>500</v>
      </c>
      <c r="I17" s="41">
        <v>100</v>
      </c>
      <c r="J17" s="40" t="s">
        <v>30</v>
      </c>
      <c r="K17" s="40" t="s">
        <v>31</v>
      </c>
      <c r="M17" s="157">
        <v>150</v>
      </c>
    </row>
    <row r="18" spans="1:13">
      <c r="A18" s="42">
        <v>2</v>
      </c>
      <c r="B18" s="40" t="s">
        <v>2004</v>
      </c>
      <c r="C18" s="40" t="s">
        <v>59</v>
      </c>
      <c r="D18" s="40" t="s">
        <v>910</v>
      </c>
      <c r="E18" s="40" t="s">
        <v>60</v>
      </c>
      <c r="F18" s="43" t="s">
        <v>2005</v>
      </c>
      <c r="G18" s="40" t="s">
        <v>29</v>
      </c>
      <c r="H18" s="44">
        <v>500</v>
      </c>
      <c r="I18" s="41">
        <v>100</v>
      </c>
      <c r="J18" s="40" t="s">
        <v>30</v>
      </c>
      <c r="K18" s="40" t="s">
        <v>31</v>
      </c>
      <c r="M18" s="157">
        <v>600</v>
      </c>
    </row>
    <row r="19" spans="1:13">
      <c r="A19" s="42">
        <v>2</v>
      </c>
      <c r="B19" s="40" t="s">
        <v>2006</v>
      </c>
      <c r="C19" s="40" t="s">
        <v>59</v>
      </c>
      <c r="D19" s="40" t="s">
        <v>60</v>
      </c>
      <c r="E19" s="40" t="s">
        <v>801</v>
      </c>
      <c r="F19" s="43" t="s">
        <v>2007</v>
      </c>
      <c r="G19" s="40" t="s">
        <v>29</v>
      </c>
      <c r="H19" s="44">
        <v>500</v>
      </c>
      <c r="I19" s="41">
        <v>100</v>
      </c>
      <c r="J19" s="40" t="s">
        <v>30</v>
      </c>
      <c r="K19" s="40" t="s">
        <v>31</v>
      </c>
      <c r="M19" s="157">
        <v>170</v>
      </c>
    </row>
    <row r="20" spans="1:13">
      <c r="A20" s="42">
        <v>2</v>
      </c>
      <c r="B20" s="40" t="s">
        <v>2008</v>
      </c>
      <c r="C20" s="40" t="s">
        <v>25</v>
      </c>
      <c r="D20" s="40" t="s">
        <v>60</v>
      </c>
      <c r="E20" s="40" t="s">
        <v>801</v>
      </c>
      <c r="F20" s="43" t="s">
        <v>2009</v>
      </c>
      <c r="G20" s="40" t="s">
        <v>29</v>
      </c>
      <c r="H20" s="44">
        <v>500</v>
      </c>
      <c r="I20" s="41">
        <v>100</v>
      </c>
      <c r="J20" s="40" t="s">
        <v>30</v>
      </c>
      <c r="K20" s="40" t="s">
        <v>31</v>
      </c>
    </row>
    <row r="21" spans="1:13" ht="15.75" customHeight="1">
      <c r="A21" s="42">
        <v>2</v>
      </c>
      <c r="B21" s="40" t="s">
        <v>2010</v>
      </c>
      <c r="C21" s="40" t="s">
        <v>59</v>
      </c>
      <c r="D21" s="40" t="s">
        <v>60</v>
      </c>
      <c r="E21" s="40" t="s">
        <v>801</v>
      </c>
      <c r="F21" s="43" t="s">
        <v>2011</v>
      </c>
      <c r="G21" s="40" t="s">
        <v>29</v>
      </c>
      <c r="H21" s="44">
        <v>500</v>
      </c>
      <c r="I21" s="41">
        <v>100</v>
      </c>
      <c r="J21" s="40" t="s">
        <v>30</v>
      </c>
      <c r="K21" s="40" t="s">
        <v>31</v>
      </c>
      <c r="M21" s="157">
        <v>750</v>
      </c>
    </row>
    <row r="22" spans="1:13" ht="15.75" customHeight="1">
      <c r="A22" s="42">
        <v>2</v>
      </c>
      <c r="B22" s="40" t="s">
        <v>2012</v>
      </c>
      <c r="C22" s="40" t="s">
        <v>59</v>
      </c>
      <c r="D22" s="40" t="s">
        <v>77</v>
      </c>
      <c r="E22" s="40" t="s">
        <v>96</v>
      </c>
      <c r="F22" s="43" t="s">
        <v>2013</v>
      </c>
      <c r="G22" s="40" t="s">
        <v>29</v>
      </c>
      <c r="H22" s="44">
        <v>500</v>
      </c>
      <c r="I22" s="41">
        <v>100</v>
      </c>
      <c r="J22" s="40" t="s">
        <v>30</v>
      </c>
      <c r="K22" s="40" t="s">
        <v>31</v>
      </c>
      <c r="M22" s="157">
        <v>200</v>
      </c>
    </row>
    <row r="23" spans="1:13" ht="15.75" customHeight="1">
      <c r="A23" s="42">
        <v>2</v>
      </c>
      <c r="B23" s="40" t="s">
        <v>2014</v>
      </c>
      <c r="C23" s="40" t="s">
        <v>25</v>
      </c>
      <c r="D23" s="40" t="s">
        <v>95</v>
      </c>
      <c r="E23" s="40" t="s">
        <v>96</v>
      </c>
      <c r="F23" s="43" t="s">
        <v>2015</v>
      </c>
      <c r="G23" s="40" t="s">
        <v>29</v>
      </c>
      <c r="H23" s="44">
        <v>500</v>
      </c>
      <c r="I23" s="41">
        <v>100</v>
      </c>
      <c r="J23" s="40" t="s">
        <v>30</v>
      </c>
      <c r="K23" s="40" t="s">
        <v>31</v>
      </c>
      <c r="M23" s="157">
        <v>300</v>
      </c>
    </row>
    <row r="24" spans="1:13" ht="15.75" customHeight="1">
      <c r="A24" s="42">
        <v>2</v>
      </c>
      <c r="B24" s="40" t="s">
        <v>2016</v>
      </c>
      <c r="C24" s="40" t="s">
        <v>25</v>
      </c>
      <c r="D24" s="40" t="s">
        <v>710</v>
      </c>
      <c r="E24" s="40" t="s">
        <v>216</v>
      </c>
      <c r="F24" s="43" t="s">
        <v>2017</v>
      </c>
      <c r="G24" s="40" t="s">
        <v>29</v>
      </c>
      <c r="H24" s="44">
        <v>500</v>
      </c>
      <c r="I24" s="41">
        <v>100</v>
      </c>
      <c r="J24" s="40" t="s">
        <v>30</v>
      </c>
      <c r="K24" s="40" t="s">
        <v>31</v>
      </c>
    </row>
    <row r="25" spans="1:13" ht="15.75" customHeight="1">
      <c r="A25" s="42">
        <v>2</v>
      </c>
      <c r="B25" s="40" t="s">
        <v>2018</v>
      </c>
      <c r="C25" s="40" t="s">
        <v>25</v>
      </c>
      <c r="D25" s="40" t="s">
        <v>103</v>
      </c>
      <c r="E25" s="40" t="s">
        <v>249</v>
      </c>
      <c r="F25" s="43" t="s">
        <v>2019</v>
      </c>
      <c r="G25" s="40" t="s">
        <v>29</v>
      </c>
      <c r="H25" s="44">
        <v>500</v>
      </c>
      <c r="I25" s="41">
        <v>100</v>
      </c>
      <c r="J25" s="40" t="s">
        <v>30</v>
      </c>
      <c r="K25" s="40" t="s">
        <v>31</v>
      </c>
    </row>
    <row r="26" spans="1:13" ht="15.75" customHeight="1">
      <c r="A26" s="42">
        <v>2</v>
      </c>
      <c r="B26" s="40" t="s">
        <v>2020</v>
      </c>
      <c r="C26" s="40" t="s">
        <v>59</v>
      </c>
      <c r="D26" s="40" t="s">
        <v>2021</v>
      </c>
      <c r="E26" s="40" t="s">
        <v>389</v>
      </c>
      <c r="F26" s="43" t="s">
        <v>2022</v>
      </c>
      <c r="G26" s="40" t="s">
        <v>29</v>
      </c>
      <c r="H26" s="44">
        <v>1000</v>
      </c>
      <c r="I26" s="41">
        <v>200</v>
      </c>
      <c r="J26" s="40" t="s">
        <v>30</v>
      </c>
      <c r="K26" s="40" t="s">
        <v>31</v>
      </c>
      <c r="M26" s="157">
        <v>300</v>
      </c>
    </row>
    <row r="27" spans="1:13" ht="15.75" customHeight="1">
      <c r="A27" s="42">
        <v>2</v>
      </c>
      <c r="B27" s="40" t="s">
        <v>2023</v>
      </c>
      <c r="C27" s="40" t="s">
        <v>25</v>
      </c>
      <c r="D27" s="40" t="s">
        <v>63</v>
      </c>
      <c r="E27" s="40" t="s">
        <v>50</v>
      </c>
      <c r="F27" s="43" t="s">
        <v>2024</v>
      </c>
      <c r="G27" s="40" t="s">
        <v>29</v>
      </c>
      <c r="H27" s="44">
        <v>200</v>
      </c>
      <c r="I27" s="41">
        <v>40</v>
      </c>
      <c r="J27" s="40" t="s">
        <v>30</v>
      </c>
      <c r="K27" s="40" t="s">
        <v>31</v>
      </c>
      <c r="M27" s="157">
        <v>50</v>
      </c>
    </row>
    <row r="28" spans="1:13" ht="15.75" customHeight="1">
      <c r="A28" s="42">
        <v>2</v>
      </c>
      <c r="B28" s="40" t="s">
        <v>2025</v>
      </c>
      <c r="C28" s="40" t="s">
        <v>25</v>
      </c>
      <c r="D28" s="40" t="s">
        <v>1165</v>
      </c>
      <c r="E28" s="40" t="s">
        <v>96</v>
      </c>
      <c r="F28" s="43" t="s">
        <v>2026</v>
      </c>
      <c r="G28" s="40" t="s">
        <v>29</v>
      </c>
      <c r="H28" s="44">
        <v>200</v>
      </c>
      <c r="I28" s="41">
        <v>40</v>
      </c>
      <c r="J28" s="40" t="s">
        <v>30</v>
      </c>
      <c r="K28" s="40" t="s">
        <v>31</v>
      </c>
    </row>
    <row r="29" spans="1:13" ht="15.75" customHeight="1">
      <c r="A29" s="42">
        <v>2</v>
      </c>
      <c r="B29" s="40" t="s">
        <v>2027</v>
      </c>
      <c r="C29" s="40" t="s">
        <v>59</v>
      </c>
      <c r="D29" s="40" t="s">
        <v>2028</v>
      </c>
      <c r="E29" s="40" t="s">
        <v>258</v>
      </c>
      <c r="F29" s="43" t="s">
        <v>2029</v>
      </c>
      <c r="G29" s="40" t="s">
        <v>29</v>
      </c>
      <c r="H29" s="44">
        <v>200</v>
      </c>
      <c r="I29" s="41">
        <v>40</v>
      </c>
      <c r="J29" s="40" t="s">
        <v>30</v>
      </c>
      <c r="K29" s="40" t="s">
        <v>31</v>
      </c>
      <c r="M29" s="157">
        <v>50</v>
      </c>
    </row>
    <row r="30" spans="1:13" ht="15.75" customHeight="1">
      <c r="A30" s="47">
        <v>2</v>
      </c>
      <c r="B30" s="48" t="s">
        <v>2030</v>
      </c>
      <c r="C30" s="48" t="s">
        <v>25</v>
      </c>
      <c r="D30" s="48" t="s">
        <v>155</v>
      </c>
      <c r="E30" s="48" t="s">
        <v>42</v>
      </c>
      <c r="F30" s="49" t="s">
        <v>2031</v>
      </c>
      <c r="G30" s="48" t="s">
        <v>29</v>
      </c>
      <c r="H30" s="50">
        <v>150</v>
      </c>
      <c r="I30" s="51">
        <v>30</v>
      </c>
      <c r="J30" s="48" t="s">
        <v>30</v>
      </c>
      <c r="K30" s="48" t="s">
        <v>31</v>
      </c>
    </row>
    <row r="31" spans="1:13" ht="15.75" customHeight="1">
      <c r="A31" s="52">
        <v>3</v>
      </c>
      <c r="B31" s="53" t="s">
        <v>941</v>
      </c>
      <c r="C31" s="53" t="s">
        <v>25</v>
      </c>
      <c r="D31" s="53" t="s">
        <v>942</v>
      </c>
      <c r="E31" s="53" t="s">
        <v>130</v>
      </c>
      <c r="F31" s="60" t="s">
        <v>943</v>
      </c>
      <c r="G31" s="53" t="s">
        <v>29</v>
      </c>
      <c r="H31" s="54">
        <v>25000</v>
      </c>
      <c r="I31" s="55">
        <v>5000</v>
      </c>
      <c r="J31" s="53" t="s">
        <v>30</v>
      </c>
      <c r="K31" s="53" t="s">
        <v>31</v>
      </c>
      <c r="M31" s="157" t="s">
        <v>2032</v>
      </c>
    </row>
    <row r="32" spans="1:13" ht="15.75" customHeight="1">
      <c r="A32" s="42">
        <v>3</v>
      </c>
      <c r="B32" s="40" t="s">
        <v>2033</v>
      </c>
      <c r="C32" s="40" t="s">
        <v>59</v>
      </c>
      <c r="D32" s="40" t="s">
        <v>2034</v>
      </c>
      <c r="E32" s="40" t="s">
        <v>60</v>
      </c>
      <c r="F32" s="43" t="s">
        <v>2035</v>
      </c>
      <c r="G32" s="40" t="s">
        <v>29</v>
      </c>
      <c r="H32" s="44">
        <v>500</v>
      </c>
      <c r="I32" s="41">
        <v>100</v>
      </c>
      <c r="J32" s="40" t="s">
        <v>30</v>
      </c>
      <c r="K32" s="40" t="s">
        <v>31</v>
      </c>
      <c r="M32" s="157">
        <v>600</v>
      </c>
    </row>
    <row r="33" spans="1:13" ht="15.75" customHeight="1">
      <c r="A33" s="42">
        <v>3</v>
      </c>
      <c r="B33" s="40" t="s">
        <v>2036</v>
      </c>
      <c r="C33" s="40" t="s">
        <v>25</v>
      </c>
      <c r="D33" s="40" t="s">
        <v>2037</v>
      </c>
      <c r="E33" s="40" t="s">
        <v>333</v>
      </c>
      <c r="F33" s="43" t="s">
        <v>2038</v>
      </c>
      <c r="G33" s="40" t="s">
        <v>29</v>
      </c>
      <c r="H33" s="44">
        <v>100</v>
      </c>
      <c r="I33" s="41">
        <v>20</v>
      </c>
      <c r="J33" s="40" t="s">
        <v>30</v>
      </c>
      <c r="K33" s="40" t="s">
        <v>31</v>
      </c>
      <c r="M33" s="157">
        <v>48</v>
      </c>
    </row>
    <row r="34" spans="1:13" ht="15.75" customHeight="1">
      <c r="A34" s="42">
        <v>3</v>
      </c>
      <c r="B34" s="40" t="s">
        <v>2039</v>
      </c>
      <c r="C34" s="40" t="s">
        <v>25</v>
      </c>
      <c r="D34" s="40" t="s">
        <v>710</v>
      </c>
      <c r="E34" s="40" t="s">
        <v>216</v>
      </c>
      <c r="F34" s="43" t="s">
        <v>2040</v>
      </c>
      <c r="G34" s="40" t="s">
        <v>29</v>
      </c>
      <c r="H34" s="44">
        <v>180</v>
      </c>
      <c r="I34" s="41">
        <v>36</v>
      </c>
      <c r="J34" s="40" t="s">
        <v>30</v>
      </c>
      <c r="K34" s="40" t="s">
        <v>31</v>
      </c>
    </row>
    <row r="35" spans="1:13" ht="15.75" customHeight="1">
      <c r="A35" s="42">
        <v>3</v>
      </c>
      <c r="B35" s="40" t="s">
        <v>862</v>
      </c>
      <c r="C35" s="40" t="s">
        <v>25</v>
      </c>
      <c r="D35" s="40" t="s">
        <v>811</v>
      </c>
      <c r="E35" s="40" t="s">
        <v>130</v>
      </c>
      <c r="F35" s="43" t="s">
        <v>864</v>
      </c>
      <c r="G35" s="40" t="s">
        <v>29</v>
      </c>
      <c r="H35" s="44">
        <v>10000</v>
      </c>
      <c r="I35" s="41">
        <v>2000</v>
      </c>
      <c r="J35" s="40" t="s">
        <v>30</v>
      </c>
      <c r="K35" s="40" t="s">
        <v>31</v>
      </c>
      <c r="M35" s="157">
        <v>1500</v>
      </c>
    </row>
    <row r="36" spans="1:13" ht="15.75" customHeight="1">
      <c r="A36" s="42">
        <v>3</v>
      </c>
      <c r="B36" s="40" t="s">
        <v>2041</v>
      </c>
      <c r="C36" s="40" t="s">
        <v>25</v>
      </c>
      <c r="D36" s="40" t="s">
        <v>63</v>
      </c>
      <c r="E36" s="40" t="s">
        <v>60</v>
      </c>
      <c r="F36" s="43" t="s">
        <v>2042</v>
      </c>
      <c r="G36" s="40" t="s">
        <v>29</v>
      </c>
      <c r="H36" s="44">
        <v>15000</v>
      </c>
      <c r="I36" s="41">
        <v>3000</v>
      </c>
      <c r="J36" s="40" t="s">
        <v>30</v>
      </c>
      <c r="K36" s="40" t="s">
        <v>31</v>
      </c>
      <c r="M36" s="157">
        <v>5000</v>
      </c>
    </row>
    <row r="37" spans="1:13" ht="15.75" customHeight="1">
      <c r="A37" s="42">
        <v>3</v>
      </c>
      <c r="B37" s="40" t="s">
        <v>2043</v>
      </c>
      <c r="C37" s="40" t="s">
        <v>25</v>
      </c>
      <c r="D37" s="40" t="s">
        <v>2044</v>
      </c>
      <c r="E37" s="40" t="s">
        <v>34</v>
      </c>
      <c r="F37" s="43" t="s">
        <v>2045</v>
      </c>
      <c r="G37" s="40" t="s">
        <v>29</v>
      </c>
      <c r="H37" s="44">
        <v>5000</v>
      </c>
      <c r="I37" s="41">
        <v>1000</v>
      </c>
      <c r="J37" s="40" t="s">
        <v>30</v>
      </c>
      <c r="K37" s="40" t="s">
        <v>31</v>
      </c>
      <c r="M37" s="157">
        <v>20000</v>
      </c>
    </row>
    <row r="38" spans="1:13" ht="15.75" customHeight="1">
      <c r="A38" s="42">
        <v>3</v>
      </c>
      <c r="B38" s="40" t="s">
        <v>2046</v>
      </c>
      <c r="C38" s="40" t="s">
        <v>25</v>
      </c>
      <c r="D38" s="40" t="s">
        <v>706</v>
      </c>
      <c r="E38" s="40" t="s">
        <v>38</v>
      </c>
      <c r="F38" s="43" t="s">
        <v>2047</v>
      </c>
      <c r="G38" s="40" t="s">
        <v>29</v>
      </c>
      <c r="H38" s="44">
        <v>1000</v>
      </c>
      <c r="I38" s="41">
        <v>200</v>
      </c>
      <c r="J38" s="40" t="s">
        <v>30</v>
      </c>
      <c r="K38" s="40" t="s">
        <v>31</v>
      </c>
      <c r="M38" s="157">
        <v>300</v>
      </c>
    </row>
    <row r="39" spans="1:13" ht="15.75" customHeight="1">
      <c r="A39" s="42">
        <v>3</v>
      </c>
      <c r="B39" s="40" t="s">
        <v>2048</v>
      </c>
      <c r="C39" s="40" t="s">
        <v>25</v>
      </c>
      <c r="D39" s="40" t="s">
        <v>907</v>
      </c>
      <c r="E39" s="40" t="s">
        <v>130</v>
      </c>
      <c r="F39" s="40"/>
      <c r="G39" s="40" t="s">
        <v>29</v>
      </c>
      <c r="H39" s="44">
        <v>500</v>
      </c>
      <c r="I39" s="41">
        <v>100</v>
      </c>
      <c r="J39" s="40" t="s">
        <v>30</v>
      </c>
      <c r="K39" s="40" t="s">
        <v>31</v>
      </c>
    </row>
    <row r="40" spans="1:13" ht="15.75" customHeight="1">
      <c r="A40" s="47">
        <v>3</v>
      </c>
      <c r="B40" s="48" t="s">
        <v>1281</v>
      </c>
      <c r="C40" s="48" t="s">
        <v>25</v>
      </c>
      <c r="D40" s="48" t="s">
        <v>1282</v>
      </c>
      <c r="E40" s="48" t="s">
        <v>38</v>
      </c>
      <c r="F40" s="49" t="s">
        <v>2049</v>
      </c>
      <c r="G40" s="377" t="s">
        <v>2050</v>
      </c>
      <c r="H40" s="50">
        <v>120</v>
      </c>
      <c r="I40" s="51" t="s">
        <v>101</v>
      </c>
      <c r="J40" s="48" t="s">
        <v>30</v>
      </c>
      <c r="K40" s="48" t="s">
        <v>31</v>
      </c>
    </row>
    <row r="41" spans="1:13" ht="15.75" customHeight="1">
      <c r="A41" s="52">
        <v>4</v>
      </c>
      <c r="B41" s="53" t="s">
        <v>2051</v>
      </c>
      <c r="C41" s="53" t="s">
        <v>25</v>
      </c>
      <c r="D41" s="53" t="s">
        <v>2052</v>
      </c>
      <c r="E41" s="53" t="s">
        <v>2053</v>
      </c>
      <c r="F41" s="60" t="s">
        <v>2054</v>
      </c>
      <c r="G41" s="378" t="s">
        <v>29</v>
      </c>
      <c r="H41" s="379">
        <v>2000</v>
      </c>
      <c r="I41" s="55">
        <v>400</v>
      </c>
      <c r="J41" s="53" t="s">
        <v>30</v>
      </c>
      <c r="K41" s="53" t="s">
        <v>31</v>
      </c>
      <c r="M41" s="157">
        <v>12</v>
      </c>
    </row>
    <row r="42" spans="1:13" ht="15.75" customHeight="1">
      <c r="A42" s="42">
        <v>4</v>
      </c>
      <c r="B42" s="40" t="s">
        <v>2055</v>
      </c>
      <c r="C42" s="40" t="s">
        <v>25</v>
      </c>
      <c r="D42" s="40" t="s">
        <v>33</v>
      </c>
      <c r="E42" s="40" t="s">
        <v>38</v>
      </c>
      <c r="F42" s="43" t="s">
        <v>2056</v>
      </c>
      <c r="G42" s="166" t="s">
        <v>29</v>
      </c>
      <c r="H42" s="380">
        <v>1000</v>
      </c>
      <c r="I42" s="41">
        <v>200</v>
      </c>
      <c r="J42" s="40" t="s">
        <v>30</v>
      </c>
      <c r="K42" s="40" t="s">
        <v>31</v>
      </c>
      <c r="M42" s="157">
        <v>400</v>
      </c>
    </row>
    <row r="43" spans="1:13" ht="15.75" customHeight="1">
      <c r="A43" s="42">
        <v>4</v>
      </c>
      <c r="B43" s="40" t="s">
        <v>2057</v>
      </c>
      <c r="C43" s="40" t="s">
        <v>25</v>
      </c>
      <c r="D43" s="40" t="s">
        <v>1839</v>
      </c>
      <c r="E43" s="40" t="s">
        <v>38</v>
      </c>
      <c r="F43" s="43" t="s">
        <v>2058</v>
      </c>
      <c r="G43" s="166" t="s">
        <v>29</v>
      </c>
      <c r="H43" s="380">
        <v>500</v>
      </c>
      <c r="I43" s="41">
        <v>100</v>
      </c>
      <c r="J43" s="40" t="s">
        <v>30</v>
      </c>
      <c r="K43" s="40" t="s">
        <v>31</v>
      </c>
      <c r="M43" s="157">
        <v>72</v>
      </c>
    </row>
    <row r="44" spans="1:13" ht="15.75" customHeight="1">
      <c r="A44" s="42">
        <v>4</v>
      </c>
      <c r="B44" s="40" t="s">
        <v>891</v>
      </c>
      <c r="C44" s="40" t="s">
        <v>59</v>
      </c>
      <c r="D44" s="40" t="s">
        <v>1229</v>
      </c>
      <c r="E44" s="40" t="s">
        <v>38</v>
      </c>
      <c r="F44" s="43" t="s">
        <v>892</v>
      </c>
      <c r="G44" s="166" t="s">
        <v>29</v>
      </c>
      <c r="H44" s="380">
        <v>500</v>
      </c>
      <c r="I44" s="41">
        <v>100</v>
      </c>
      <c r="J44" s="40" t="s">
        <v>30</v>
      </c>
      <c r="K44" s="40" t="s">
        <v>31</v>
      </c>
      <c r="M44" s="157">
        <v>625</v>
      </c>
    </row>
    <row r="45" spans="1:13" ht="15.75" customHeight="1">
      <c r="A45" s="42">
        <v>4</v>
      </c>
      <c r="B45" s="40" t="s">
        <v>2059</v>
      </c>
      <c r="C45" s="40" t="s">
        <v>25</v>
      </c>
      <c r="D45" s="40" t="s">
        <v>74</v>
      </c>
      <c r="E45" s="40" t="s">
        <v>38</v>
      </c>
      <c r="F45" s="43" t="s">
        <v>2060</v>
      </c>
      <c r="G45" s="166" t="s">
        <v>29</v>
      </c>
      <c r="H45" s="380">
        <v>500</v>
      </c>
      <c r="I45" s="41">
        <v>100</v>
      </c>
      <c r="J45" s="40" t="s">
        <v>30</v>
      </c>
      <c r="K45" s="40" t="s">
        <v>31</v>
      </c>
      <c r="M45" s="157">
        <v>150</v>
      </c>
    </row>
    <row r="46" spans="1:13" ht="15.75" customHeight="1">
      <c r="A46" s="42">
        <v>4</v>
      </c>
      <c r="B46" s="40" t="s">
        <v>2061</v>
      </c>
      <c r="C46" s="40" t="s">
        <v>25</v>
      </c>
      <c r="D46" s="40" t="s">
        <v>1926</v>
      </c>
      <c r="E46" s="40" t="s">
        <v>1927</v>
      </c>
      <c r="F46" s="43" t="s">
        <v>2062</v>
      </c>
      <c r="G46" s="166" t="s">
        <v>29</v>
      </c>
      <c r="H46" s="380">
        <v>500</v>
      </c>
      <c r="I46" s="41">
        <v>100</v>
      </c>
      <c r="J46" s="40" t="s">
        <v>30</v>
      </c>
      <c r="K46" s="40" t="s">
        <v>31</v>
      </c>
      <c r="M46" s="157">
        <v>300</v>
      </c>
    </row>
    <row r="47" spans="1:13" ht="15.75" customHeight="1">
      <c r="A47" s="42">
        <v>4</v>
      </c>
      <c r="B47" s="40" t="s">
        <v>2063</v>
      </c>
      <c r="C47" s="40" t="s">
        <v>59</v>
      </c>
      <c r="D47" s="40" t="s">
        <v>539</v>
      </c>
      <c r="E47" s="40" t="s">
        <v>725</v>
      </c>
      <c r="F47" s="43" t="s">
        <v>2064</v>
      </c>
      <c r="G47" s="166" t="s">
        <v>29</v>
      </c>
      <c r="H47" s="380">
        <v>500</v>
      </c>
      <c r="I47" s="41">
        <v>100</v>
      </c>
      <c r="J47" s="40" t="s">
        <v>30</v>
      </c>
      <c r="K47" s="40" t="s">
        <v>31</v>
      </c>
      <c r="M47" s="157">
        <v>5000</v>
      </c>
    </row>
    <row r="48" spans="1:13" ht="15.75" customHeight="1">
      <c r="A48" s="42">
        <v>4</v>
      </c>
      <c r="B48" s="40" t="s">
        <v>2065</v>
      </c>
      <c r="C48" s="40" t="s">
        <v>25</v>
      </c>
      <c r="D48" s="40" t="s">
        <v>63</v>
      </c>
      <c r="E48" s="40" t="s">
        <v>27</v>
      </c>
      <c r="F48" s="43" t="s">
        <v>2066</v>
      </c>
      <c r="G48" s="166" t="s">
        <v>29</v>
      </c>
      <c r="H48" s="380">
        <v>500</v>
      </c>
      <c r="I48" s="41">
        <v>100</v>
      </c>
      <c r="J48" s="40" t="s">
        <v>30</v>
      </c>
      <c r="K48" s="40" t="s">
        <v>31</v>
      </c>
      <c r="M48" s="157">
        <v>400</v>
      </c>
    </row>
    <row r="49" spans="1:16" ht="15.75" customHeight="1">
      <c r="A49" s="42">
        <v>4</v>
      </c>
      <c r="B49" s="40" t="s">
        <v>2067</v>
      </c>
      <c r="C49" s="40" t="s">
        <v>25</v>
      </c>
      <c r="D49" s="40" t="s">
        <v>63</v>
      </c>
      <c r="E49" s="40" t="s">
        <v>27</v>
      </c>
      <c r="F49" s="43" t="s">
        <v>2068</v>
      </c>
      <c r="G49" s="166" t="s">
        <v>29</v>
      </c>
      <c r="H49" s="380">
        <v>500</v>
      </c>
      <c r="I49" s="41">
        <v>100</v>
      </c>
      <c r="J49" s="40" t="s">
        <v>30</v>
      </c>
      <c r="K49" s="40" t="s">
        <v>31</v>
      </c>
      <c r="M49" s="157">
        <v>150</v>
      </c>
    </row>
    <row r="50" spans="1:16" ht="15.75" customHeight="1">
      <c r="A50" s="42">
        <v>4</v>
      </c>
      <c r="B50" s="40" t="s">
        <v>2069</v>
      </c>
      <c r="C50" s="40" t="s">
        <v>25</v>
      </c>
      <c r="D50" s="40" t="s">
        <v>2070</v>
      </c>
      <c r="E50" s="40" t="s">
        <v>533</v>
      </c>
      <c r="F50" s="43" t="s">
        <v>2071</v>
      </c>
      <c r="G50" s="166" t="s">
        <v>29</v>
      </c>
      <c r="H50" s="380">
        <v>500</v>
      </c>
      <c r="I50" s="41">
        <v>100</v>
      </c>
      <c r="J50" s="40" t="s">
        <v>30</v>
      </c>
      <c r="K50" s="40" t="s">
        <v>31</v>
      </c>
      <c r="M50" s="157">
        <v>300</v>
      </c>
    </row>
    <row r="51" spans="1:16" ht="15.75" customHeight="1">
      <c r="A51" s="42">
        <v>5</v>
      </c>
      <c r="B51" s="40" t="s">
        <v>1559</v>
      </c>
      <c r="C51" s="40" t="s">
        <v>59</v>
      </c>
      <c r="D51" s="40" t="s">
        <v>1511</v>
      </c>
      <c r="E51" s="40" t="s">
        <v>111</v>
      </c>
      <c r="F51" s="43" t="s">
        <v>2072</v>
      </c>
      <c r="G51" s="166" t="s">
        <v>29</v>
      </c>
      <c r="H51" s="380">
        <v>14000</v>
      </c>
      <c r="I51" s="41">
        <v>2800</v>
      </c>
      <c r="J51" s="40" t="s">
        <v>30</v>
      </c>
      <c r="K51" s="40" t="s">
        <v>31</v>
      </c>
      <c r="M51" s="157">
        <v>600</v>
      </c>
    </row>
    <row r="52" spans="1:16" ht="15.75" customHeight="1">
      <c r="A52" s="42">
        <v>5</v>
      </c>
      <c r="B52" s="40" t="s">
        <v>1559</v>
      </c>
      <c r="C52" s="40" t="s">
        <v>59</v>
      </c>
      <c r="D52" s="40" t="s">
        <v>1511</v>
      </c>
      <c r="E52" s="40" t="s">
        <v>111</v>
      </c>
      <c r="F52" s="43" t="s">
        <v>2072</v>
      </c>
      <c r="G52" s="381" t="s">
        <v>2050</v>
      </c>
      <c r="H52" s="252">
        <v>120</v>
      </c>
      <c r="I52" s="41" t="s">
        <v>101</v>
      </c>
      <c r="J52" s="40" t="s">
        <v>30</v>
      </c>
      <c r="K52" s="40" t="s">
        <v>31</v>
      </c>
      <c r="M52" s="157">
        <v>300</v>
      </c>
      <c r="P52" s="45">
        <f>SUM(H41:H51,H53,H55:H59,H61,H64,H66:H72,H75:H84)</f>
        <v>54570</v>
      </c>
    </row>
    <row r="53" spans="1:16" ht="15.75" customHeight="1">
      <c r="A53" s="42">
        <v>5</v>
      </c>
      <c r="B53" s="40" t="s">
        <v>2073</v>
      </c>
      <c r="C53" s="40" t="s">
        <v>25</v>
      </c>
      <c r="D53" s="40" t="s">
        <v>1082</v>
      </c>
      <c r="E53" s="40" t="s">
        <v>96</v>
      </c>
      <c r="F53" s="43" t="s">
        <v>1083</v>
      </c>
      <c r="G53" s="166" t="s">
        <v>29</v>
      </c>
      <c r="H53" s="380">
        <v>7500</v>
      </c>
      <c r="I53" s="41">
        <v>1500</v>
      </c>
      <c r="J53" s="40" t="s">
        <v>30</v>
      </c>
      <c r="K53" s="40" t="s">
        <v>31</v>
      </c>
      <c r="M53" s="157">
        <v>216</v>
      </c>
      <c r="P53" s="45">
        <f>SUM(H54,H62:H63,H65,H73:H74)</f>
        <v>3600</v>
      </c>
    </row>
    <row r="54" spans="1:16" ht="15.75" customHeight="1">
      <c r="A54" s="42">
        <v>5</v>
      </c>
      <c r="B54" s="40" t="s">
        <v>2073</v>
      </c>
      <c r="C54" s="40" t="s">
        <v>25</v>
      </c>
      <c r="D54" s="40" t="s">
        <v>1082</v>
      </c>
      <c r="E54" s="40" t="s">
        <v>96</v>
      </c>
      <c r="F54" s="43" t="s">
        <v>1083</v>
      </c>
      <c r="G54" s="382" t="s">
        <v>29</v>
      </c>
      <c r="H54" s="383">
        <v>500</v>
      </c>
      <c r="I54" s="384" t="s">
        <v>101</v>
      </c>
      <c r="J54" s="40" t="s">
        <v>30</v>
      </c>
      <c r="K54" s="40" t="s">
        <v>31</v>
      </c>
      <c r="M54" s="157">
        <v>24</v>
      </c>
    </row>
    <row r="55" spans="1:16" ht="15.75" customHeight="1">
      <c r="A55" s="42">
        <v>5</v>
      </c>
      <c r="B55" s="40" t="s">
        <v>2074</v>
      </c>
      <c r="C55" s="40" t="s">
        <v>25</v>
      </c>
      <c r="D55" s="40" t="s">
        <v>2075</v>
      </c>
      <c r="E55" s="40" t="s">
        <v>50</v>
      </c>
      <c r="F55" s="43" t="s">
        <v>638</v>
      </c>
      <c r="G55" s="166" t="s">
        <v>29</v>
      </c>
      <c r="H55" s="380">
        <v>3000</v>
      </c>
      <c r="I55" s="41">
        <v>600</v>
      </c>
      <c r="J55" s="40" t="s">
        <v>30</v>
      </c>
      <c r="K55" s="40" t="s">
        <v>31</v>
      </c>
      <c r="M55" s="157">
        <v>100</v>
      </c>
    </row>
    <row r="56" spans="1:16" ht="15.75" customHeight="1">
      <c r="A56" s="42">
        <v>5</v>
      </c>
      <c r="B56" s="40" t="s">
        <v>2076</v>
      </c>
      <c r="C56" s="40" t="s">
        <v>59</v>
      </c>
      <c r="D56" s="40" t="s">
        <v>2077</v>
      </c>
      <c r="E56" s="40" t="s">
        <v>533</v>
      </c>
      <c r="F56" s="43" t="s">
        <v>2078</v>
      </c>
      <c r="G56" s="166" t="s">
        <v>29</v>
      </c>
      <c r="H56" s="380">
        <v>2000</v>
      </c>
      <c r="I56" s="41">
        <v>400</v>
      </c>
      <c r="J56" s="40" t="s">
        <v>30</v>
      </c>
      <c r="K56" s="40" t="s">
        <v>31</v>
      </c>
      <c r="M56" s="157">
        <v>300</v>
      </c>
    </row>
    <row r="57" spans="1:16" ht="15.75" customHeight="1">
      <c r="A57" s="42">
        <v>5</v>
      </c>
      <c r="B57" s="40" t="s">
        <v>2079</v>
      </c>
      <c r="C57" s="40" t="s">
        <v>25</v>
      </c>
      <c r="D57" s="40" t="s">
        <v>685</v>
      </c>
      <c r="E57" s="40" t="s">
        <v>60</v>
      </c>
      <c r="F57" s="43" t="s">
        <v>2080</v>
      </c>
      <c r="G57" s="166" t="s">
        <v>29</v>
      </c>
      <c r="H57" s="380">
        <v>3000</v>
      </c>
      <c r="I57" s="41">
        <v>600</v>
      </c>
      <c r="J57" s="40" t="s">
        <v>30</v>
      </c>
      <c r="K57" s="40" t="s">
        <v>31</v>
      </c>
      <c r="M57" s="157">
        <v>300</v>
      </c>
    </row>
    <row r="58" spans="1:16" ht="15.75" customHeight="1">
      <c r="A58" s="42">
        <v>5</v>
      </c>
      <c r="B58" s="40" t="s">
        <v>2081</v>
      </c>
      <c r="C58" s="40" t="s">
        <v>25</v>
      </c>
      <c r="D58" s="40" t="s">
        <v>570</v>
      </c>
      <c r="E58" s="40" t="s">
        <v>60</v>
      </c>
      <c r="F58" s="43" t="s">
        <v>2082</v>
      </c>
      <c r="G58" s="166" t="s">
        <v>29</v>
      </c>
      <c r="H58" s="380">
        <v>500</v>
      </c>
      <c r="I58" s="41">
        <v>100</v>
      </c>
      <c r="J58" s="40" t="s">
        <v>30</v>
      </c>
      <c r="K58" s="40" t="s">
        <v>31</v>
      </c>
      <c r="M58" s="157">
        <v>225</v>
      </c>
    </row>
    <row r="59" spans="1:16" ht="15.75" customHeight="1">
      <c r="A59" s="42">
        <v>5</v>
      </c>
      <c r="B59" s="40" t="s">
        <v>2083</v>
      </c>
      <c r="C59" s="40" t="s">
        <v>25</v>
      </c>
      <c r="D59" s="40" t="s">
        <v>735</v>
      </c>
      <c r="E59" s="40" t="s">
        <v>50</v>
      </c>
      <c r="F59" s="43" t="s">
        <v>638</v>
      </c>
      <c r="G59" s="166" t="s">
        <v>29</v>
      </c>
      <c r="H59" s="380">
        <v>500</v>
      </c>
      <c r="I59" s="41">
        <v>100</v>
      </c>
      <c r="J59" s="40" t="s">
        <v>30</v>
      </c>
      <c r="K59" s="40" t="s">
        <v>31</v>
      </c>
      <c r="M59" s="157">
        <v>36</v>
      </c>
    </row>
    <row r="60" spans="1:16" ht="15.75" customHeight="1">
      <c r="A60" s="42">
        <v>5</v>
      </c>
      <c r="B60" s="132" t="s">
        <v>1922</v>
      </c>
      <c r="C60" s="132" t="s">
        <v>25</v>
      </c>
      <c r="D60" s="132" t="s">
        <v>33</v>
      </c>
      <c r="E60" s="132" t="s">
        <v>34</v>
      </c>
      <c r="F60" s="262" t="s">
        <v>2084</v>
      </c>
      <c r="G60" s="385" t="s">
        <v>1034</v>
      </c>
      <c r="H60" s="386">
        <v>5500</v>
      </c>
      <c r="I60" s="255">
        <v>5500</v>
      </c>
      <c r="J60" s="40" t="s">
        <v>30</v>
      </c>
      <c r="K60" s="40" t="s">
        <v>31</v>
      </c>
      <c r="M60" s="157">
        <v>200</v>
      </c>
    </row>
    <row r="61" spans="1:16" ht="15.75" customHeight="1">
      <c r="A61" s="42">
        <v>5</v>
      </c>
      <c r="B61" s="40" t="s">
        <v>2085</v>
      </c>
      <c r="C61" s="40" t="s">
        <v>25</v>
      </c>
      <c r="D61" s="40" t="s">
        <v>1082</v>
      </c>
      <c r="E61" s="40" t="s">
        <v>96</v>
      </c>
      <c r="F61" s="43" t="s">
        <v>2086</v>
      </c>
      <c r="G61" s="166" t="s">
        <v>29</v>
      </c>
      <c r="H61" s="380">
        <v>500</v>
      </c>
      <c r="I61" s="41">
        <v>100</v>
      </c>
      <c r="J61" s="40" t="s">
        <v>30</v>
      </c>
      <c r="K61" s="40" t="s">
        <v>31</v>
      </c>
      <c r="M61" s="157">
        <v>2500</v>
      </c>
    </row>
    <row r="62" spans="1:16" ht="15.75" customHeight="1">
      <c r="A62" s="42">
        <v>5</v>
      </c>
      <c r="B62" s="40" t="s">
        <v>2085</v>
      </c>
      <c r="C62" s="40" t="s">
        <v>25</v>
      </c>
      <c r="D62" s="40" t="s">
        <v>1082</v>
      </c>
      <c r="E62" s="40" t="s">
        <v>96</v>
      </c>
      <c r="F62" s="43" t="s">
        <v>2086</v>
      </c>
      <c r="G62" s="382" t="s">
        <v>29</v>
      </c>
      <c r="H62" s="383">
        <v>500</v>
      </c>
      <c r="I62" s="384" t="s">
        <v>101</v>
      </c>
      <c r="J62" s="40" t="s">
        <v>30</v>
      </c>
      <c r="K62" s="40" t="s">
        <v>31</v>
      </c>
      <c r="M62" s="157">
        <v>3000</v>
      </c>
    </row>
    <row r="63" spans="1:16" ht="15.75" customHeight="1">
      <c r="A63" s="42">
        <v>5</v>
      </c>
      <c r="B63" s="40" t="s">
        <v>2087</v>
      </c>
      <c r="C63" s="40" t="s">
        <v>25</v>
      </c>
      <c r="D63" s="40" t="s">
        <v>63</v>
      </c>
      <c r="E63" s="40" t="s">
        <v>38</v>
      </c>
      <c r="F63" s="43" t="s">
        <v>2088</v>
      </c>
      <c r="G63" s="382" t="s">
        <v>29</v>
      </c>
      <c r="H63" s="383">
        <v>500</v>
      </c>
      <c r="I63" s="384" t="s">
        <v>101</v>
      </c>
      <c r="J63" s="40" t="s">
        <v>30</v>
      </c>
      <c r="K63" s="40" t="s">
        <v>31</v>
      </c>
      <c r="M63" s="157">
        <v>100</v>
      </c>
    </row>
    <row r="64" spans="1:16" ht="15.75" customHeight="1">
      <c r="A64" s="42">
        <v>5</v>
      </c>
      <c r="B64" s="40" t="s">
        <v>2089</v>
      </c>
      <c r="C64" s="40" t="s">
        <v>25</v>
      </c>
      <c r="D64" s="40" t="s">
        <v>2090</v>
      </c>
      <c r="E64" s="40" t="s">
        <v>96</v>
      </c>
      <c r="F64" s="43" t="s">
        <v>2091</v>
      </c>
      <c r="G64" s="166" t="s">
        <v>29</v>
      </c>
      <c r="H64" s="380">
        <v>500</v>
      </c>
      <c r="I64" s="41">
        <v>100</v>
      </c>
      <c r="J64" s="40" t="s">
        <v>30</v>
      </c>
      <c r="K64" s="40" t="s">
        <v>31</v>
      </c>
      <c r="M64" s="157">
        <v>100</v>
      </c>
    </row>
    <row r="65" spans="1:11" ht="15.75" customHeight="1">
      <c r="A65" s="42">
        <v>5</v>
      </c>
      <c r="B65" s="40" t="s">
        <v>2092</v>
      </c>
      <c r="C65" s="40" t="s">
        <v>25</v>
      </c>
      <c r="D65" s="40" t="s">
        <v>258</v>
      </c>
      <c r="E65" s="40" t="s">
        <v>96</v>
      </c>
      <c r="F65" s="43" t="s">
        <v>2093</v>
      </c>
      <c r="G65" s="382" t="s">
        <v>29</v>
      </c>
      <c r="H65" s="383">
        <v>500</v>
      </c>
      <c r="I65" s="384" t="s">
        <v>101</v>
      </c>
      <c r="J65" s="40" t="s">
        <v>30</v>
      </c>
      <c r="K65" s="40" t="s">
        <v>31</v>
      </c>
    </row>
    <row r="66" spans="1:11" ht="15.75" customHeight="1">
      <c r="A66" s="42">
        <v>5</v>
      </c>
      <c r="B66" s="40" t="s">
        <v>2092</v>
      </c>
      <c r="C66" s="40" t="s">
        <v>25</v>
      </c>
      <c r="D66" s="40" t="s">
        <v>258</v>
      </c>
      <c r="E66" s="40" t="s">
        <v>96</v>
      </c>
      <c r="F66" s="43" t="s">
        <v>2093</v>
      </c>
      <c r="G66" s="166" t="s">
        <v>29</v>
      </c>
      <c r="H66" s="380">
        <v>500</v>
      </c>
      <c r="I66" s="41">
        <v>100</v>
      </c>
      <c r="J66" s="40" t="s">
        <v>30</v>
      </c>
      <c r="K66" s="40" t="s">
        <v>31</v>
      </c>
    </row>
    <row r="67" spans="1:11" ht="15.75" customHeight="1">
      <c r="A67" s="42">
        <v>5</v>
      </c>
      <c r="B67" s="40" t="s">
        <v>1139</v>
      </c>
      <c r="C67" s="40" t="s">
        <v>25</v>
      </c>
      <c r="D67" s="40" t="s">
        <v>1140</v>
      </c>
      <c r="E67" s="40" t="s">
        <v>725</v>
      </c>
      <c r="F67" s="43" t="s">
        <v>1141</v>
      </c>
      <c r="G67" s="166" t="s">
        <v>29</v>
      </c>
      <c r="H67" s="380">
        <v>500</v>
      </c>
      <c r="I67" s="41">
        <v>100</v>
      </c>
      <c r="J67" s="40" t="s">
        <v>30</v>
      </c>
      <c r="K67" s="40" t="s">
        <v>31</v>
      </c>
    </row>
    <row r="68" spans="1:11" ht="15.75" customHeight="1">
      <c r="A68" s="42">
        <v>5</v>
      </c>
      <c r="B68" s="40" t="s">
        <v>1792</v>
      </c>
      <c r="C68" s="40" t="s">
        <v>25</v>
      </c>
      <c r="D68" s="40" t="s">
        <v>1165</v>
      </c>
      <c r="E68" s="40" t="s">
        <v>96</v>
      </c>
      <c r="F68" s="43" t="s">
        <v>1793</v>
      </c>
      <c r="G68" s="166" t="s">
        <v>29</v>
      </c>
      <c r="H68" s="380">
        <v>500</v>
      </c>
      <c r="I68" s="41">
        <v>100</v>
      </c>
      <c r="J68" s="40" t="s">
        <v>30</v>
      </c>
      <c r="K68" s="40" t="s">
        <v>31</v>
      </c>
    </row>
    <row r="69" spans="1:11" ht="15.75" customHeight="1">
      <c r="A69" s="42">
        <v>5</v>
      </c>
      <c r="B69" s="40" t="s">
        <v>2094</v>
      </c>
      <c r="C69" s="40" t="s">
        <v>25</v>
      </c>
      <c r="D69" s="40" t="s">
        <v>74</v>
      </c>
      <c r="E69" s="40" t="s">
        <v>38</v>
      </c>
      <c r="F69" s="43" t="s">
        <v>2095</v>
      </c>
      <c r="G69" s="166" t="s">
        <v>29</v>
      </c>
      <c r="H69" s="380">
        <v>500</v>
      </c>
      <c r="I69" s="41">
        <v>100</v>
      </c>
      <c r="J69" s="40" t="s">
        <v>30</v>
      </c>
      <c r="K69" s="40" t="s">
        <v>31</v>
      </c>
    </row>
    <row r="70" spans="1:11" ht="15.75" customHeight="1">
      <c r="A70" s="42">
        <v>5</v>
      </c>
      <c r="B70" s="40" t="s">
        <v>2096</v>
      </c>
      <c r="C70" s="40" t="s">
        <v>25</v>
      </c>
      <c r="D70" s="40" t="s">
        <v>89</v>
      </c>
      <c r="E70" s="40" t="s">
        <v>38</v>
      </c>
      <c r="F70" s="43" t="s">
        <v>638</v>
      </c>
      <c r="G70" s="166" t="s">
        <v>29</v>
      </c>
      <c r="H70" s="380">
        <v>500</v>
      </c>
      <c r="I70" s="41">
        <v>100</v>
      </c>
      <c r="J70" s="40" t="s">
        <v>30</v>
      </c>
      <c r="K70" s="40" t="s">
        <v>31</v>
      </c>
    </row>
    <row r="71" spans="1:11" ht="15.75" customHeight="1">
      <c r="A71" s="42">
        <v>5</v>
      </c>
      <c r="B71" s="40" t="s">
        <v>2097</v>
      </c>
      <c r="C71" s="40" t="s">
        <v>59</v>
      </c>
      <c r="D71" s="40" t="s">
        <v>2098</v>
      </c>
      <c r="E71" s="40" t="s">
        <v>78</v>
      </c>
      <c r="F71" s="43" t="s">
        <v>2099</v>
      </c>
      <c r="G71" s="166" t="s">
        <v>29</v>
      </c>
      <c r="H71" s="380">
        <v>500</v>
      </c>
      <c r="I71" s="41">
        <v>100</v>
      </c>
      <c r="J71" s="40" t="s">
        <v>30</v>
      </c>
      <c r="K71" s="40" t="s">
        <v>31</v>
      </c>
    </row>
    <row r="72" spans="1:11" ht="15.75" customHeight="1">
      <c r="A72" s="42">
        <v>5</v>
      </c>
      <c r="B72" s="40" t="s">
        <v>1275</v>
      </c>
      <c r="C72" s="40" t="s">
        <v>25</v>
      </c>
      <c r="D72" s="40" t="s">
        <v>2100</v>
      </c>
      <c r="E72" s="40" t="s">
        <v>46</v>
      </c>
      <c r="F72" s="43" t="s">
        <v>1276</v>
      </c>
      <c r="G72" s="166" t="s">
        <v>29</v>
      </c>
      <c r="H72" s="380">
        <v>500</v>
      </c>
      <c r="I72" s="41">
        <v>100</v>
      </c>
      <c r="J72" s="40" t="s">
        <v>30</v>
      </c>
      <c r="K72" s="40" t="s">
        <v>31</v>
      </c>
    </row>
    <row r="73" spans="1:11" ht="15.75" customHeight="1">
      <c r="A73" s="42">
        <v>5</v>
      </c>
      <c r="B73" s="40" t="s">
        <v>2101</v>
      </c>
      <c r="C73" s="40" t="s">
        <v>25</v>
      </c>
      <c r="D73" s="40" t="s">
        <v>1165</v>
      </c>
      <c r="E73" s="40" t="s">
        <v>96</v>
      </c>
      <c r="F73" s="43" t="s">
        <v>2102</v>
      </c>
      <c r="G73" s="382" t="s">
        <v>29</v>
      </c>
      <c r="H73" s="383">
        <v>500</v>
      </c>
      <c r="I73" s="384" t="s">
        <v>101</v>
      </c>
      <c r="J73" s="40" t="s">
        <v>30</v>
      </c>
      <c r="K73" s="40" t="s">
        <v>31</v>
      </c>
    </row>
    <row r="74" spans="1:11" ht="15.75" customHeight="1">
      <c r="A74" s="42">
        <v>5</v>
      </c>
      <c r="B74" s="40" t="s">
        <v>2103</v>
      </c>
      <c r="C74" s="40" t="s">
        <v>25</v>
      </c>
      <c r="D74" s="40" t="s">
        <v>706</v>
      </c>
      <c r="E74" s="40" t="s">
        <v>38</v>
      </c>
      <c r="F74" s="43" t="s">
        <v>638</v>
      </c>
      <c r="G74" s="382" t="s">
        <v>29</v>
      </c>
      <c r="H74" s="383">
        <v>1100</v>
      </c>
      <c r="I74" s="384" t="s">
        <v>101</v>
      </c>
      <c r="J74" s="40" t="s">
        <v>30</v>
      </c>
      <c r="K74" s="40" t="s">
        <v>31</v>
      </c>
    </row>
    <row r="75" spans="1:11" ht="15.75" customHeight="1">
      <c r="A75" s="42">
        <v>6</v>
      </c>
      <c r="B75" s="40" t="s">
        <v>2104</v>
      </c>
      <c r="C75" s="40" t="s">
        <v>25</v>
      </c>
      <c r="D75" s="40" t="s">
        <v>86</v>
      </c>
      <c r="E75" s="40" t="s">
        <v>42</v>
      </c>
      <c r="F75" s="43" t="s">
        <v>638</v>
      </c>
      <c r="G75" s="166" t="s">
        <v>29</v>
      </c>
      <c r="H75" s="380">
        <v>1500</v>
      </c>
      <c r="I75" s="41">
        <v>300</v>
      </c>
      <c r="J75" s="40" t="s">
        <v>30</v>
      </c>
      <c r="K75" s="40" t="s">
        <v>31</v>
      </c>
    </row>
    <row r="76" spans="1:11" ht="15.75" customHeight="1">
      <c r="A76" s="42">
        <v>6</v>
      </c>
      <c r="B76" s="40" t="s">
        <v>2105</v>
      </c>
      <c r="C76" s="40" t="s">
        <v>25</v>
      </c>
      <c r="D76" s="40" t="s">
        <v>141</v>
      </c>
      <c r="E76" s="40" t="s">
        <v>27</v>
      </c>
      <c r="F76" s="43" t="s">
        <v>2106</v>
      </c>
      <c r="G76" s="166" t="s">
        <v>29</v>
      </c>
      <c r="H76" s="380">
        <v>8000</v>
      </c>
      <c r="I76" s="41">
        <v>1600</v>
      </c>
      <c r="J76" s="40" t="s">
        <v>30</v>
      </c>
      <c r="K76" s="40" t="s">
        <v>31</v>
      </c>
    </row>
    <row r="77" spans="1:11" ht="15.75" customHeight="1">
      <c r="A77" s="42">
        <v>6</v>
      </c>
      <c r="B77" s="40" t="s">
        <v>2107</v>
      </c>
      <c r="C77" s="40" t="s">
        <v>25</v>
      </c>
      <c r="D77" s="40" t="s">
        <v>63</v>
      </c>
      <c r="E77" s="40" t="s">
        <v>38</v>
      </c>
      <c r="F77" s="43" t="s">
        <v>2108</v>
      </c>
      <c r="G77" s="166" t="s">
        <v>29</v>
      </c>
      <c r="H77" s="380">
        <v>70</v>
      </c>
      <c r="I77" s="41">
        <v>14</v>
      </c>
      <c r="J77" s="40" t="s">
        <v>30</v>
      </c>
      <c r="K77" s="40" t="s">
        <v>31</v>
      </c>
    </row>
    <row r="78" spans="1:11" ht="15.75" customHeight="1">
      <c r="A78" s="42">
        <v>6</v>
      </c>
      <c r="B78" s="40" t="s">
        <v>2109</v>
      </c>
      <c r="C78" s="40" t="s">
        <v>25</v>
      </c>
      <c r="D78" s="40" t="s">
        <v>258</v>
      </c>
      <c r="E78" s="40" t="s">
        <v>130</v>
      </c>
      <c r="F78" s="43" t="s">
        <v>2110</v>
      </c>
      <c r="G78" s="166" t="s">
        <v>29</v>
      </c>
      <c r="H78" s="380">
        <v>500</v>
      </c>
      <c r="I78" s="41">
        <v>100</v>
      </c>
      <c r="J78" s="40" t="s">
        <v>30</v>
      </c>
      <c r="K78" s="40" t="s">
        <v>31</v>
      </c>
    </row>
    <row r="79" spans="1:11" ht="15.75" customHeight="1">
      <c r="A79" s="42">
        <v>6</v>
      </c>
      <c r="B79" s="40" t="s">
        <v>2111</v>
      </c>
      <c r="C79" s="40" t="s">
        <v>25</v>
      </c>
      <c r="D79" s="40" t="s">
        <v>258</v>
      </c>
      <c r="E79" s="40" t="s">
        <v>130</v>
      </c>
      <c r="F79" s="43" t="s">
        <v>2110</v>
      </c>
      <c r="G79" s="166" t="s">
        <v>29</v>
      </c>
      <c r="H79" s="380">
        <v>500</v>
      </c>
      <c r="I79" s="41">
        <v>100</v>
      </c>
      <c r="J79" s="40" t="s">
        <v>30</v>
      </c>
      <c r="K79" s="40" t="s">
        <v>31</v>
      </c>
    </row>
    <row r="80" spans="1:11" ht="15.75" customHeight="1">
      <c r="A80" s="42">
        <v>6</v>
      </c>
      <c r="B80" s="40" t="s">
        <v>2112</v>
      </c>
      <c r="C80" s="40" t="s">
        <v>25</v>
      </c>
      <c r="D80" s="40" t="s">
        <v>1704</v>
      </c>
      <c r="E80" s="40" t="s">
        <v>38</v>
      </c>
      <c r="F80" s="43" t="s">
        <v>2113</v>
      </c>
      <c r="G80" s="166" t="s">
        <v>29</v>
      </c>
      <c r="H80" s="380">
        <v>500</v>
      </c>
      <c r="I80" s="41">
        <v>100</v>
      </c>
      <c r="J80" s="40" t="s">
        <v>30</v>
      </c>
      <c r="K80" s="40" t="s">
        <v>31</v>
      </c>
    </row>
    <row r="81" spans="1:13" ht="15.75" customHeight="1">
      <c r="A81" s="42">
        <v>6</v>
      </c>
      <c r="B81" s="40" t="s">
        <v>2114</v>
      </c>
      <c r="C81" s="40" t="s">
        <v>25</v>
      </c>
      <c r="D81" s="40" t="s">
        <v>593</v>
      </c>
      <c r="E81" s="40" t="s">
        <v>50</v>
      </c>
      <c r="F81" s="43" t="s">
        <v>2115</v>
      </c>
      <c r="G81" s="166" t="s">
        <v>29</v>
      </c>
      <c r="H81" s="380">
        <v>500</v>
      </c>
      <c r="I81" s="41">
        <v>100</v>
      </c>
      <c r="J81" s="40" t="s">
        <v>30</v>
      </c>
      <c r="K81" s="40" t="s">
        <v>31</v>
      </c>
    </row>
    <row r="82" spans="1:13" ht="15.75" customHeight="1">
      <c r="A82" s="42">
        <v>6</v>
      </c>
      <c r="B82" s="40" t="s">
        <v>2116</v>
      </c>
      <c r="C82" s="40" t="s">
        <v>25</v>
      </c>
      <c r="D82" s="40" t="s">
        <v>655</v>
      </c>
      <c r="E82" s="40" t="s">
        <v>42</v>
      </c>
      <c r="F82" s="43" t="s">
        <v>2117</v>
      </c>
      <c r="G82" s="166" t="s">
        <v>29</v>
      </c>
      <c r="H82" s="380">
        <v>500</v>
      </c>
      <c r="I82" s="41">
        <v>100</v>
      </c>
      <c r="J82" s="40" t="s">
        <v>30</v>
      </c>
      <c r="K82" s="40" t="s">
        <v>31</v>
      </c>
    </row>
    <row r="83" spans="1:13" ht="15.75" customHeight="1">
      <c r="A83" s="42">
        <v>6</v>
      </c>
      <c r="B83" s="40" t="s">
        <v>2118</v>
      </c>
      <c r="C83" s="40" t="s">
        <v>25</v>
      </c>
      <c r="D83" s="40" t="s">
        <v>1282</v>
      </c>
      <c r="E83" s="40" t="s">
        <v>38</v>
      </c>
      <c r="F83" s="43" t="s">
        <v>638</v>
      </c>
      <c r="G83" s="166" t="s">
        <v>29</v>
      </c>
      <c r="H83" s="380">
        <v>200</v>
      </c>
      <c r="I83" s="41">
        <v>40</v>
      </c>
      <c r="J83" s="40" t="s">
        <v>30</v>
      </c>
      <c r="K83" s="40" t="s">
        <v>31</v>
      </c>
    </row>
    <row r="84" spans="1:13" ht="15.75" customHeight="1">
      <c r="A84" s="47">
        <v>6</v>
      </c>
      <c r="B84" s="48" t="s">
        <v>2119</v>
      </c>
      <c r="C84" s="48" t="s">
        <v>25</v>
      </c>
      <c r="D84" s="48" t="s">
        <v>63</v>
      </c>
      <c r="E84" s="48" t="s">
        <v>38</v>
      </c>
      <c r="F84" s="49" t="s">
        <v>2120</v>
      </c>
      <c r="G84" s="387" t="s">
        <v>29</v>
      </c>
      <c r="H84" s="388">
        <v>300</v>
      </c>
      <c r="I84" s="51">
        <v>60</v>
      </c>
      <c r="J84" s="48" t="s">
        <v>30</v>
      </c>
      <c r="K84" s="48" t="s">
        <v>31</v>
      </c>
    </row>
    <row r="85" spans="1:13" ht="15.75" customHeight="1">
      <c r="A85" s="52">
        <v>9</v>
      </c>
      <c r="B85" s="53" t="s">
        <v>2121</v>
      </c>
      <c r="C85" s="53" t="s">
        <v>25</v>
      </c>
      <c r="D85" s="53" t="s">
        <v>655</v>
      </c>
      <c r="E85" s="53" t="s">
        <v>42</v>
      </c>
      <c r="F85" s="53"/>
      <c r="G85" s="53" t="s">
        <v>29</v>
      </c>
      <c r="H85" s="54">
        <v>700</v>
      </c>
      <c r="I85" s="55">
        <v>140</v>
      </c>
      <c r="J85" s="53" t="s">
        <v>30</v>
      </c>
      <c r="K85" s="53" t="s">
        <v>31</v>
      </c>
    </row>
    <row r="86" spans="1:13" ht="15.75" customHeight="1">
      <c r="A86" s="42">
        <v>9</v>
      </c>
      <c r="B86" s="40" t="s">
        <v>2122</v>
      </c>
      <c r="C86" s="40" t="s">
        <v>25</v>
      </c>
      <c r="D86" s="40" t="s">
        <v>532</v>
      </c>
      <c r="E86" s="40" t="s">
        <v>38</v>
      </c>
      <c r="F86" s="40"/>
      <c r="G86" s="40" t="s">
        <v>29</v>
      </c>
      <c r="H86" s="44">
        <v>500</v>
      </c>
      <c r="I86" s="41">
        <v>100</v>
      </c>
      <c r="J86" s="40" t="s">
        <v>30</v>
      </c>
      <c r="K86" s="40" t="s">
        <v>31</v>
      </c>
    </row>
    <row r="87" spans="1:13" ht="15.75" customHeight="1">
      <c r="A87" s="42">
        <v>9</v>
      </c>
      <c r="B87" s="40" t="s">
        <v>2123</v>
      </c>
      <c r="C87" s="40" t="s">
        <v>25</v>
      </c>
      <c r="D87" s="40" t="s">
        <v>33</v>
      </c>
      <c r="E87" s="40" t="s">
        <v>38</v>
      </c>
      <c r="F87" s="40"/>
      <c r="G87" s="40" t="s">
        <v>29</v>
      </c>
      <c r="H87" s="44">
        <v>500</v>
      </c>
      <c r="I87" s="41">
        <v>100</v>
      </c>
      <c r="J87" s="40" t="s">
        <v>30</v>
      </c>
      <c r="K87" s="40" t="s">
        <v>31</v>
      </c>
    </row>
    <row r="88" spans="1:13" ht="15.75" customHeight="1">
      <c r="A88" s="42">
        <v>9</v>
      </c>
      <c r="B88" s="40" t="s">
        <v>2124</v>
      </c>
      <c r="C88" s="40" t="s">
        <v>25</v>
      </c>
      <c r="D88" s="40" t="s">
        <v>1839</v>
      </c>
      <c r="E88" s="40" t="s">
        <v>38</v>
      </c>
      <c r="F88" s="43" t="s">
        <v>2125</v>
      </c>
      <c r="G88" s="40" t="s">
        <v>29</v>
      </c>
      <c r="H88" s="44">
        <v>500</v>
      </c>
      <c r="I88" s="41">
        <v>100</v>
      </c>
      <c r="J88" s="40" t="s">
        <v>30</v>
      </c>
      <c r="K88" s="40" t="s">
        <v>31</v>
      </c>
      <c r="M88" s="157">
        <v>150</v>
      </c>
    </row>
    <row r="89" spans="1:13" ht="15.75" customHeight="1">
      <c r="A89" s="42">
        <v>9</v>
      </c>
      <c r="B89" s="40" t="s">
        <v>803</v>
      </c>
      <c r="C89" s="40" t="s">
        <v>25</v>
      </c>
      <c r="D89" s="40" t="s">
        <v>103</v>
      </c>
      <c r="E89" s="40" t="s">
        <v>38</v>
      </c>
      <c r="F89" s="43" t="s">
        <v>804</v>
      </c>
      <c r="G89" s="40" t="s">
        <v>29</v>
      </c>
      <c r="H89" s="44">
        <v>500</v>
      </c>
      <c r="I89" s="41">
        <v>100</v>
      </c>
      <c r="J89" s="40" t="s">
        <v>30</v>
      </c>
      <c r="K89" s="40" t="s">
        <v>31</v>
      </c>
      <c r="M89" s="157">
        <v>300</v>
      </c>
    </row>
    <row r="90" spans="1:13" ht="15.75" customHeight="1">
      <c r="A90" s="42">
        <v>9</v>
      </c>
      <c r="B90" s="40" t="s">
        <v>2126</v>
      </c>
      <c r="C90" s="40" t="s">
        <v>25</v>
      </c>
      <c r="D90" s="40" t="s">
        <v>37</v>
      </c>
      <c r="E90" s="40" t="s">
        <v>38</v>
      </c>
      <c r="F90" s="43" t="s">
        <v>2127</v>
      </c>
      <c r="G90" s="40" t="s">
        <v>29</v>
      </c>
      <c r="H90" s="44">
        <v>500</v>
      </c>
      <c r="I90" s="41">
        <v>100</v>
      </c>
      <c r="J90" s="40" t="s">
        <v>30</v>
      </c>
      <c r="K90" s="40" t="s">
        <v>31</v>
      </c>
    </row>
    <row r="91" spans="1:13" ht="15.75" customHeight="1">
      <c r="A91" s="42">
        <v>9</v>
      </c>
      <c r="B91" s="40" t="s">
        <v>2128</v>
      </c>
      <c r="C91" s="40" t="s">
        <v>25</v>
      </c>
      <c r="D91" s="40" t="s">
        <v>2129</v>
      </c>
      <c r="E91" s="40" t="s">
        <v>103</v>
      </c>
      <c r="F91" s="43" t="s">
        <v>2130</v>
      </c>
      <c r="G91" s="40" t="s">
        <v>29</v>
      </c>
      <c r="H91" s="44">
        <v>500</v>
      </c>
      <c r="I91" s="41">
        <v>100</v>
      </c>
      <c r="J91" s="40" t="s">
        <v>30</v>
      </c>
      <c r="K91" s="40" t="s">
        <v>31</v>
      </c>
    </row>
    <row r="92" spans="1:13" ht="15.75" customHeight="1">
      <c r="A92" s="42">
        <v>9</v>
      </c>
      <c r="B92" s="40" t="s">
        <v>2131</v>
      </c>
      <c r="C92" s="40" t="s">
        <v>25</v>
      </c>
      <c r="D92" s="40" t="s">
        <v>548</v>
      </c>
      <c r="E92" s="40" t="s">
        <v>42</v>
      </c>
      <c r="F92" s="40"/>
      <c r="G92" s="40" t="s">
        <v>29</v>
      </c>
      <c r="H92" s="44">
        <v>1000</v>
      </c>
      <c r="I92" s="41">
        <v>200</v>
      </c>
      <c r="J92" s="40" t="s">
        <v>30</v>
      </c>
      <c r="K92" s="40" t="s">
        <v>31</v>
      </c>
      <c r="M92" s="157">
        <v>400</v>
      </c>
    </row>
    <row r="93" spans="1:13" ht="15.75" customHeight="1">
      <c r="A93" s="42">
        <v>9</v>
      </c>
      <c r="B93" s="40" t="s">
        <v>2132</v>
      </c>
      <c r="C93" s="40" t="s">
        <v>25</v>
      </c>
      <c r="D93" s="40" t="s">
        <v>548</v>
      </c>
      <c r="E93" s="40" t="s">
        <v>42</v>
      </c>
      <c r="F93" s="40"/>
      <c r="G93" s="40" t="s">
        <v>29</v>
      </c>
      <c r="H93" s="44">
        <v>1000</v>
      </c>
      <c r="I93" s="41">
        <v>200</v>
      </c>
      <c r="J93" s="40" t="s">
        <v>30</v>
      </c>
      <c r="K93" s="40" t="s">
        <v>31</v>
      </c>
    </row>
    <row r="94" spans="1:13" ht="15.75" customHeight="1">
      <c r="A94" s="42">
        <v>9</v>
      </c>
      <c r="B94" s="40" t="s">
        <v>2133</v>
      </c>
      <c r="C94" s="40" t="s">
        <v>25</v>
      </c>
      <c r="D94" s="40" t="s">
        <v>63</v>
      </c>
      <c r="E94" s="40" t="s">
        <v>38</v>
      </c>
      <c r="F94" s="43" t="s">
        <v>2134</v>
      </c>
      <c r="G94" s="40" t="s">
        <v>29</v>
      </c>
      <c r="H94" s="44">
        <v>500</v>
      </c>
      <c r="I94" s="41">
        <v>100</v>
      </c>
      <c r="J94" s="40" t="s">
        <v>30</v>
      </c>
      <c r="K94" s="40" t="s">
        <v>31</v>
      </c>
      <c r="M94" s="157">
        <v>200</v>
      </c>
    </row>
    <row r="95" spans="1:13" ht="15.75" customHeight="1">
      <c r="A95" s="47">
        <v>9</v>
      </c>
      <c r="B95" s="48" t="s">
        <v>2135</v>
      </c>
      <c r="C95" s="48" t="s">
        <v>25</v>
      </c>
      <c r="D95" s="48" t="s">
        <v>1675</v>
      </c>
      <c r="E95" s="48" t="s">
        <v>42</v>
      </c>
      <c r="F95" s="48"/>
      <c r="G95" s="48" t="s">
        <v>29</v>
      </c>
      <c r="H95" s="50">
        <v>400</v>
      </c>
      <c r="I95" s="51">
        <v>80</v>
      </c>
      <c r="J95" s="48" t="s">
        <v>30</v>
      </c>
      <c r="K95" s="48" t="s">
        <v>31</v>
      </c>
    </row>
    <row r="96" spans="1:13" ht="15.75" customHeight="1">
      <c r="A96" s="52">
        <v>10</v>
      </c>
      <c r="B96" s="53" t="s">
        <v>2136</v>
      </c>
      <c r="C96" s="53" t="s">
        <v>25</v>
      </c>
      <c r="D96" s="53" t="s">
        <v>49</v>
      </c>
      <c r="E96" s="53" t="s">
        <v>50</v>
      </c>
      <c r="F96" s="60" t="s">
        <v>2137</v>
      </c>
      <c r="G96" s="53" t="s">
        <v>29</v>
      </c>
      <c r="H96" s="54">
        <v>500</v>
      </c>
      <c r="I96" s="55">
        <v>100</v>
      </c>
      <c r="J96" s="53" t="s">
        <v>30</v>
      </c>
      <c r="K96" s="53" t="s">
        <v>31</v>
      </c>
    </row>
    <row r="97" spans="1:16" ht="15.75" customHeight="1">
      <c r="A97" s="42">
        <v>10</v>
      </c>
      <c r="B97" s="40" t="s">
        <v>2138</v>
      </c>
      <c r="C97" s="40" t="s">
        <v>25</v>
      </c>
      <c r="D97" s="40" t="s">
        <v>792</v>
      </c>
      <c r="E97" s="40" t="s">
        <v>34</v>
      </c>
      <c r="F97" s="43" t="s">
        <v>2139</v>
      </c>
      <c r="G97" s="40" t="s">
        <v>29</v>
      </c>
      <c r="H97" s="44">
        <v>1000</v>
      </c>
      <c r="I97" s="41">
        <v>200</v>
      </c>
      <c r="J97" s="40" t="s">
        <v>30</v>
      </c>
      <c r="K97" s="40" t="s">
        <v>31</v>
      </c>
    </row>
    <row r="98" spans="1:16" ht="15.75" customHeight="1">
      <c r="A98" s="42">
        <v>10</v>
      </c>
      <c r="B98" s="40" t="s">
        <v>2140</v>
      </c>
      <c r="C98" s="40" t="s">
        <v>25</v>
      </c>
      <c r="D98" s="40" t="s">
        <v>2141</v>
      </c>
      <c r="E98" s="40" t="s">
        <v>533</v>
      </c>
      <c r="F98" s="43" t="s">
        <v>2142</v>
      </c>
      <c r="G98" s="40" t="s">
        <v>29</v>
      </c>
      <c r="H98" s="44">
        <v>500</v>
      </c>
      <c r="I98" s="41">
        <v>100</v>
      </c>
      <c r="J98" s="40" t="s">
        <v>30</v>
      </c>
      <c r="K98" s="40" t="s">
        <v>31</v>
      </c>
    </row>
    <row r="99" spans="1:16" ht="15.75" customHeight="1">
      <c r="A99" s="42">
        <v>10</v>
      </c>
      <c r="B99" s="40" t="s">
        <v>2143</v>
      </c>
      <c r="C99" s="40" t="s">
        <v>25</v>
      </c>
      <c r="D99" s="40" t="s">
        <v>1234</v>
      </c>
      <c r="E99" s="40" t="s">
        <v>42</v>
      </c>
      <c r="F99" s="40"/>
      <c r="G99" s="40" t="s">
        <v>29</v>
      </c>
      <c r="H99" s="287">
        <v>500</v>
      </c>
      <c r="I99" s="288" t="s">
        <v>101</v>
      </c>
      <c r="J99" s="40" t="s">
        <v>30</v>
      </c>
      <c r="K99" s="40" t="s">
        <v>31</v>
      </c>
      <c r="M99" s="157">
        <v>600</v>
      </c>
    </row>
    <row r="100" spans="1:16" ht="15.75" customHeight="1">
      <c r="A100" s="42">
        <v>11</v>
      </c>
      <c r="B100" s="40" t="s">
        <v>2144</v>
      </c>
      <c r="C100" s="40" t="s">
        <v>59</v>
      </c>
      <c r="D100" s="40" t="s">
        <v>68</v>
      </c>
      <c r="E100" s="40" t="s">
        <v>78</v>
      </c>
      <c r="F100" s="43" t="s">
        <v>2145</v>
      </c>
      <c r="G100" s="40" t="s">
        <v>29</v>
      </c>
      <c r="H100" s="44">
        <v>250</v>
      </c>
      <c r="I100" s="41">
        <v>50</v>
      </c>
      <c r="J100" s="40" t="s">
        <v>30</v>
      </c>
      <c r="K100" s="40" t="s">
        <v>31</v>
      </c>
    </row>
    <row r="101" spans="1:16" ht="15.75" customHeight="1">
      <c r="A101" s="42">
        <v>11</v>
      </c>
      <c r="B101" s="40" t="s">
        <v>2146</v>
      </c>
      <c r="C101" s="40" t="s">
        <v>25</v>
      </c>
      <c r="D101" s="40" t="s">
        <v>1170</v>
      </c>
      <c r="E101" s="40" t="s">
        <v>46</v>
      </c>
      <c r="F101" s="43" t="s">
        <v>2147</v>
      </c>
      <c r="G101" s="40" t="s">
        <v>29</v>
      </c>
      <c r="H101" s="44">
        <v>500</v>
      </c>
      <c r="I101" s="41">
        <v>100</v>
      </c>
      <c r="J101" s="40" t="s">
        <v>30</v>
      </c>
      <c r="K101" s="40" t="s">
        <v>31</v>
      </c>
    </row>
    <row r="102" spans="1:16" ht="15.75" customHeight="1">
      <c r="A102" s="42">
        <v>11</v>
      </c>
      <c r="B102" s="40" t="s">
        <v>2148</v>
      </c>
      <c r="C102" s="40" t="s">
        <v>25</v>
      </c>
      <c r="D102" s="40" t="s">
        <v>63</v>
      </c>
      <c r="E102" s="40" t="s">
        <v>311</v>
      </c>
      <c r="F102" s="43" t="s">
        <v>2149</v>
      </c>
      <c r="G102" s="40" t="s">
        <v>29</v>
      </c>
      <c r="H102" s="44">
        <v>500</v>
      </c>
      <c r="I102" s="41">
        <v>100</v>
      </c>
      <c r="J102" s="40" t="s">
        <v>30</v>
      </c>
      <c r="K102" s="40" t="s">
        <v>31</v>
      </c>
    </row>
    <row r="103" spans="1:16" ht="15.75" customHeight="1">
      <c r="A103" s="42">
        <v>11</v>
      </c>
      <c r="B103" s="40" t="s">
        <v>2150</v>
      </c>
      <c r="C103" s="40" t="s">
        <v>59</v>
      </c>
      <c r="D103" s="40" t="s">
        <v>200</v>
      </c>
      <c r="E103" s="40" t="s">
        <v>60</v>
      </c>
      <c r="F103" s="43" t="s">
        <v>2151</v>
      </c>
      <c r="G103" s="40" t="s">
        <v>29</v>
      </c>
      <c r="H103" s="44">
        <v>500</v>
      </c>
      <c r="I103" s="41">
        <v>100</v>
      </c>
      <c r="J103" s="40" t="s">
        <v>30</v>
      </c>
      <c r="K103" s="40" t="s">
        <v>31</v>
      </c>
    </row>
    <row r="104" spans="1:16" ht="15.75" customHeight="1">
      <c r="A104" s="42">
        <v>12</v>
      </c>
      <c r="B104" s="40" t="s">
        <v>2152</v>
      </c>
      <c r="C104" s="40" t="s">
        <v>25</v>
      </c>
      <c r="D104" s="40" t="s">
        <v>63</v>
      </c>
      <c r="E104" s="40" t="s">
        <v>50</v>
      </c>
      <c r="F104" s="40"/>
      <c r="G104" s="40" t="s">
        <v>29</v>
      </c>
      <c r="H104" s="44">
        <v>300</v>
      </c>
      <c r="I104" s="41">
        <v>60</v>
      </c>
      <c r="J104" s="40" t="s">
        <v>30</v>
      </c>
      <c r="K104" s="40" t="s">
        <v>31</v>
      </c>
    </row>
    <row r="105" spans="1:16" ht="15.75" customHeight="1">
      <c r="A105" s="42">
        <v>12</v>
      </c>
      <c r="B105" s="40" t="s">
        <v>2153</v>
      </c>
      <c r="C105" s="40" t="s">
        <v>25</v>
      </c>
      <c r="D105" s="40" t="s">
        <v>171</v>
      </c>
      <c r="E105" s="40" t="s">
        <v>60</v>
      </c>
      <c r="F105" s="43" t="s">
        <v>2154</v>
      </c>
      <c r="G105" s="40" t="s">
        <v>29</v>
      </c>
      <c r="H105" s="44">
        <v>200</v>
      </c>
      <c r="I105" s="41">
        <v>40</v>
      </c>
      <c r="J105" s="40" t="s">
        <v>30</v>
      </c>
      <c r="K105" s="40" t="s">
        <v>31</v>
      </c>
      <c r="M105" s="157">
        <v>200</v>
      </c>
    </row>
    <row r="106" spans="1:16" ht="15.75" customHeight="1">
      <c r="A106" s="42">
        <v>12</v>
      </c>
      <c r="B106" s="40" t="s">
        <v>2155</v>
      </c>
      <c r="C106" s="40" t="s">
        <v>25</v>
      </c>
      <c r="D106" s="40" t="s">
        <v>200</v>
      </c>
      <c r="E106" s="40" t="s">
        <v>60</v>
      </c>
      <c r="F106" s="43" t="s">
        <v>2156</v>
      </c>
      <c r="G106" s="40" t="s">
        <v>29</v>
      </c>
      <c r="H106" s="44">
        <v>500</v>
      </c>
      <c r="I106" s="41">
        <v>100</v>
      </c>
      <c r="J106" s="40" t="s">
        <v>30</v>
      </c>
      <c r="K106" s="40" t="s">
        <v>31</v>
      </c>
      <c r="P106" s="45">
        <f>SUM(H96:H98,H100:H107,H110)</f>
        <v>7450</v>
      </c>
    </row>
    <row r="107" spans="1:16" ht="15.75" customHeight="1">
      <c r="A107" s="42">
        <v>13</v>
      </c>
      <c r="B107" s="40" t="s">
        <v>2157</v>
      </c>
      <c r="C107" s="40" t="s">
        <v>25</v>
      </c>
      <c r="D107" s="40" t="s">
        <v>176</v>
      </c>
      <c r="E107" s="40" t="s">
        <v>141</v>
      </c>
      <c r="F107" s="43" t="s">
        <v>2158</v>
      </c>
      <c r="G107" s="40" t="s">
        <v>29</v>
      </c>
      <c r="H107" s="44">
        <v>200</v>
      </c>
      <c r="I107" s="41">
        <v>400</v>
      </c>
      <c r="J107" s="40" t="s">
        <v>30</v>
      </c>
      <c r="K107" s="40" t="s">
        <v>31</v>
      </c>
      <c r="M107" s="157">
        <v>100</v>
      </c>
    </row>
    <row r="108" spans="1:16" ht="15.75" customHeight="1">
      <c r="A108" s="42">
        <v>13</v>
      </c>
      <c r="B108" s="40" t="s">
        <v>2159</v>
      </c>
      <c r="C108" s="40" t="s">
        <v>25</v>
      </c>
      <c r="D108" s="40" t="s">
        <v>86</v>
      </c>
      <c r="E108" s="40" t="s">
        <v>42</v>
      </c>
      <c r="F108" s="40"/>
      <c r="G108" s="171" t="s">
        <v>2160</v>
      </c>
      <c r="H108" s="260">
        <v>20</v>
      </c>
      <c r="I108" s="41">
        <v>100</v>
      </c>
      <c r="J108" s="40" t="s">
        <v>30</v>
      </c>
      <c r="K108" s="40" t="s">
        <v>31</v>
      </c>
    </row>
    <row r="109" spans="1:16" ht="15.75" customHeight="1">
      <c r="A109" s="42">
        <v>13</v>
      </c>
      <c r="B109" s="40" t="s">
        <v>2161</v>
      </c>
      <c r="C109" s="40" t="s">
        <v>25</v>
      </c>
      <c r="D109" s="40" t="s">
        <v>287</v>
      </c>
      <c r="E109" s="40" t="s">
        <v>78</v>
      </c>
      <c r="F109" s="43" t="s">
        <v>2162</v>
      </c>
      <c r="G109" s="40" t="s">
        <v>29</v>
      </c>
      <c r="H109" s="287">
        <v>70</v>
      </c>
      <c r="I109" s="288" t="s">
        <v>101</v>
      </c>
      <c r="J109" s="40" t="s">
        <v>30</v>
      </c>
      <c r="K109" s="40" t="s">
        <v>31</v>
      </c>
    </row>
    <row r="110" spans="1:16" ht="15.75" customHeight="1">
      <c r="A110" s="47">
        <v>13</v>
      </c>
      <c r="B110" s="48" t="s">
        <v>2163</v>
      </c>
      <c r="C110" s="48" t="s">
        <v>59</v>
      </c>
      <c r="D110" s="48" t="s">
        <v>176</v>
      </c>
      <c r="E110" s="48" t="s">
        <v>249</v>
      </c>
      <c r="F110" s="49" t="s">
        <v>2164</v>
      </c>
      <c r="G110" s="48" t="s">
        <v>29</v>
      </c>
      <c r="H110" s="50">
        <v>2500</v>
      </c>
      <c r="I110" s="51">
        <v>500</v>
      </c>
      <c r="J110" s="48" t="s">
        <v>30</v>
      </c>
      <c r="K110" s="48" t="s">
        <v>31</v>
      </c>
    </row>
    <row r="111" spans="1:16" ht="15.75" customHeight="1">
      <c r="A111" s="52">
        <v>19</v>
      </c>
      <c r="B111" s="53" t="s">
        <v>2165</v>
      </c>
      <c r="C111" s="53" t="s">
        <v>25</v>
      </c>
      <c r="D111" s="53" t="s">
        <v>63</v>
      </c>
      <c r="E111" s="53" t="s">
        <v>38</v>
      </c>
      <c r="F111" s="60" t="s">
        <v>2166</v>
      </c>
      <c r="G111" s="53" t="s">
        <v>29</v>
      </c>
      <c r="H111" s="54">
        <v>300</v>
      </c>
      <c r="I111" s="55">
        <v>60</v>
      </c>
      <c r="J111" s="53" t="s">
        <v>30</v>
      </c>
      <c r="K111" s="53" t="s">
        <v>31</v>
      </c>
      <c r="M111" s="157">
        <v>80</v>
      </c>
    </row>
    <row r="112" spans="1:16" ht="15.75" customHeight="1">
      <c r="A112" s="42">
        <v>19</v>
      </c>
      <c r="B112" s="40" t="s">
        <v>2167</v>
      </c>
      <c r="C112" s="40" t="s">
        <v>25</v>
      </c>
      <c r="D112" s="40" t="s">
        <v>63</v>
      </c>
      <c r="E112" s="40" t="s">
        <v>50</v>
      </c>
      <c r="F112" s="43" t="s">
        <v>2168</v>
      </c>
      <c r="G112" s="40" t="s">
        <v>29</v>
      </c>
      <c r="H112" s="44">
        <v>500</v>
      </c>
      <c r="I112" s="41">
        <v>100</v>
      </c>
      <c r="J112" s="40" t="s">
        <v>30</v>
      </c>
      <c r="K112" s="40" t="s">
        <v>31</v>
      </c>
      <c r="M112" s="157">
        <v>150</v>
      </c>
    </row>
    <row r="113" spans="1:13" ht="15.75" customHeight="1">
      <c r="A113" s="42">
        <v>19</v>
      </c>
      <c r="B113" s="40" t="s">
        <v>1115</v>
      </c>
      <c r="C113" s="40" t="s">
        <v>59</v>
      </c>
      <c r="D113" s="40" t="s">
        <v>86</v>
      </c>
      <c r="E113" s="40" t="s">
        <v>42</v>
      </c>
      <c r="F113" s="43" t="s">
        <v>1116</v>
      </c>
      <c r="G113" s="40" t="s">
        <v>29</v>
      </c>
      <c r="H113" s="44">
        <v>6000</v>
      </c>
      <c r="I113" s="41">
        <v>1200</v>
      </c>
      <c r="J113" s="40" t="s">
        <v>30</v>
      </c>
      <c r="K113" s="40" t="s">
        <v>31</v>
      </c>
    </row>
    <row r="114" spans="1:13" ht="15.75" customHeight="1">
      <c r="A114" s="42">
        <v>19</v>
      </c>
      <c r="B114" s="40" t="s">
        <v>2081</v>
      </c>
      <c r="C114" s="40" t="s">
        <v>25</v>
      </c>
      <c r="D114" s="40" t="s">
        <v>570</v>
      </c>
      <c r="E114" s="40" t="s">
        <v>60</v>
      </c>
      <c r="F114" s="40"/>
      <c r="G114" s="40" t="s">
        <v>29</v>
      </c>
      <c r="H114" s="44">
        <v>1500</v>
      </c>
      <c r="I114" s="41">
        <v>300</v>
      </c>
      <c r="J114" s="40" t="s">
        <v>30</v>
      </c>
      <c r="K114" s="40" t="s">
        <v>31</v>
      </c>
      <c r="M114" s="157">
        <v>600</v>
      </c>
    </row>
    <row r="115" spans="1:13" ht="15.75" customHeight="1">
      <c r="A115" s="42">
        <v>19</v>
      </c>
      <c r="B115" s="40" t="s">
        <v>2169</v>
      </c>
      <c r="C115" s="40" t="s">
        <v>25</v>
      </c>
      <c r="D115" s="40" t="s">
        <v>303</v>
      </c>
      <c r="E115" s="40" t="s">
        <v>96</v>
      </c>
      <c r="F115" s="43" t="s">
        <v>2170</v>
      </c>
      <c r="G115" s="40" t="s">
        <v>29</v>
      </c>
      <c r="H115" s="44">
        <v>500</v>
      </c>
      <c r="I115" s="41">
        <v>100</v>
      </c>
      <c r="J115" s="40" t="s">
        <v>30</v>
      </c>
      <c r="K115" s="40" t="s">
        <v>31</v>
      </c>
      <c r="M115" s="157">
        <v>100</v>
      </c>
    </row>
    <row r="116" spans="1:13" ht="15.75" customHeight="1">
      <c r="A116" s="42">
        <v>19</v>
      </c>
      <c r="B116" s="40" t="s">
        <v>2171</v>
      </c>
      <c r="C116" s="40" t="s">
        <v>25</v>
      </c>
      <c r="D116" s="40" t="s">
        <v>792</v>
      </c>
      <c r="E116" s="40" t="s">
        <v>249</v>
      </c>
      <c r="F116" s="43" t="s">
        <v>2172</v>
      </c>
      <c r="G116" s="40" t="s">
        <v>29</v>
      </c>
      <c r="H116" s="44">
        <v>500</v>
      </c>
      <c r="I116" s="41">
        <v>100</v>
      </c>
      <c r="J116" s="40" t="s">
        <v>30</v>
      </c>
      <c r="K116" s="40" t="s">
        <v>31</v>
      </c>
    </row>
    <row r="117" spans="1:13" ht="15.75" customHeight="1">
      <c r="A117" s="42">
        <v>19</v>
      </c>
      <c r="B117" s="40" t="s">
        <v>2173</v>
      </c>
      <c r="C117" s="40" t="s">
        <v>25</v>
      </c>
      <c r="D117" s="40" t="s">
        <v>303</v>
      </c>
      <c r="E117" s="40" t="s">
        <v>96</v>
      </c>
      <c r="F117" s="43" t="s">
        <v>2174</v>
      </c>
      <c r="G117" s="40" t="s">
        <v>29</v>
      </c>
      <c r="H117" s="44">
        <v>500</v>
      </c>
      <c r="I117" s="41">
        <v>100</v>
      </c>
      <c r="J117" s="40" t="s">
        <v>30</v>
      </c>
      <c r="K117" s="40" t="s">
        <v>31</v>
      </c>
      <c r="M117" s="157">
        <v>200</v>
      </c>
    </row>
    <row r="118" spans="1:13" ht="15.75" customHeight="1">
      <c r="A118" s="42">
        <v>19</v>
      </c>
      <c r="B118" s="40" t="s">
        <v>2175</v>
      </c>
      <c r="C118" s="40" t="s">
        <v>25</v>
      </c>
      <c r="D118" s="40" t="s">
        <v>792</v>
      </c>
      <c r="E118" s="40" t="s">
        <v>249</v>
      </c>
      <c r="F118" s="43" t="s">
        <v>2176</v>
      </c>
      <c r="G118" s="40" t="s">
        <v>29</v>
      </c>
      <c r="H118" s="44">
        <v>500</v>
      </c>
      <c r="I118" s="41">
        <v>100</v>
      </c>
      <c r="J118" s="40" t="s">
        <v>30</v>
      </c>
      <c r="K118" s="40" t="s">
        <v>31</v>
      </c>
      <c r="M118" s="157">
        <v>100</v>
      </c>
    </row>
    <row r="119" spans="1:13" ht="15.75" customHeight="1">
      <c r="A119" s="42">
        <v>19</v>
      </c>
      <c r="B119" s="40" t="s">
        <v>2177</v>
      </c>
      <c r="C119" s="40" t="s">
        <v>25</v>
      </c>
      <c r="D119" s="40" t="s">
        <v>92</v>
      </c>
      <c r="E119" s="40" t="s">
        <v>46</v>
      </c>
      <c r="F119" s="43" t="s">
        <v>1624</v>
      </c>
      <c r="G119" s="40" t="s">
        <v>29</v>
      </c>
      <c r="H119" s="44">
        <v>400</v>
      </c>
      <c r="I119" s="41">
        <v>80</v>
      </c>
      <c r="J119" s="40" t="s">
        <v>30</v>
      </c>
      <c r="K119" s="40" t="s">
        <v>31</v>
      </c>
      <c r="M119" s="157">
        <v>100</v>
      </c>
    </row>
    <row r="120" spans="1:13" ht="15.75" customHeight="1">
      <c r="A120" s="42">
        <v>19</v>
      </c>
      <c r="B120" s="40" t="s">
        <v>2178</v>
      </c>
      <c r="C120" s="40" t="s">
        <v>25</v>
      </c>
      <c r="D120" s="40" t="s">
        <v>811</v>
      </c>
      <c r="E120" s="40" t="s">
        <v>46</v>
      </c>
      <c r="F120" s="40"/>
      <c r="G120" s="40" t="s">
        <v>29</v>
      </c>
      <c r="H120" s="44">
        <v>700</v>
      </c>
      <c r="I120" s="41">
        <v>140</v>
      </c>
      <c r="J120" s="40" t="s">
        <v>30</v>
      </c>
      <c r="K120" s="40" t="s">
        <v>31</v>
      </c>
      <c r="M120" s="157">
        <v>200</v>
      </c>
    </row>
    <row r="121" spans="1:13" ht="15.75" customHeight="1">
      <c r="A121" s="42">
        <v>20</v>
      </c>
      <c r="B121" s="40" t="s">
        <v>2179</v>
      </c>
      <c r="C121" s="40" t="s">
        <v>59</v>
      </c>
      <c r="D121" s="40" t="s">
        <v>63</v>
      </c>
      <c r="E121" s="40" t="s">
        <v>249</v>
      </c>
      <c r="F121" s="43" t="s">
        <v>2180</v>
      </c>
      <c r="G121" s="40" t="s">
        <v>29</v>
      </c>
      <c r="H121" s="44">
        <v>2000</v>
      </c>
      <c r="I121" s="41">
        <v>400</v>
      </c>
      <c r="J121" s="40" t="s">
        <v>30</v>
      </c>
      <c r="K121" s="40" t="s">
        <v>31</v>
      </c>
      <c r="M121" s="157">
        <v>406</v>
      </c>
    </row>
    <row r="122" spans="1:13" ht="15.75" customHeight="1">
      <c r="A122" s="42">
        <v>20</v>
      </c>
      <c r="B122" s="40" t="s">
        <v>2181</v>
      </c>
      <c r="C122" s="40" t="s">
        <v>25</v>
      </c>
      <c r="D122" s="40" t="s">
        <v>1839</v>
      </c>
      <c r="E122" s="40" t="s">
        <v>38</v>
      </c>
      <c r="F122" s="43" t="s">
        <v>2182</v>
      </c>
      <c r="G122" s="40" t="s">
        <v>29</v>
      </c>
      <c r="H122" s="44">
        <v>500</v>
      </c>
      <c r="I122" s="41">
        <v>100</v>
      </c>
      <c r="J122" s="40" t="s">
        <v>30</v>
      </c>
      <c r="K122" s="40" t="s">
        <v>31</v>
      </c>
    </row>
    <row r="123" spans="1:13" ht="15.75" customHeight="1">
      <c r="A123" s="42">
        <v>20</v>
      </c>
      <c r="B123" s="40" t="s">
        <v>2183</v>
      </c>
      <c r="C123" s="40" t="s">
        <v>25</v>
      </c>
      <c r="D123" s="40" t="s">
        <v>1190</v>
      </c>
      <c r="E123" s="40" t="s">
        <v>42</v>
      </c>
      <c r="F123" s="43" t="s">
        <v>2184</v>
      </c>
      <c r="G123" s="40" t="s">
        <v>29</v>
      </c>
      <c r="H123" s="44">
        <v>5000</v>
      </c>
      <c r="I123" s="41">
        <v>1000</v>
      </c>
      <c r="J123" s="40" t="s">
        <v>30</v>
      </c>
      <c r="K123" s="40" t="s">
        <v>31</v>
      </c>
      <c r="M123" s="157">
        <v>5000</v>
      </c>
    </row>
    <row r="124" spans="1:13" ht="15.75" customHeight="1">
      <c r="A124" s="42">
        <v>20</v>
      </c>
      <c r="B124" s="40" t="s">
        <v>2185</v>
      </c>
      <c r="C124" s="40" t="s">
        <v>25</v>
      </c>
      <c r="D124" s="40" t="s">
        <v>1282</v>
      </c>
      <c r="E124" s="40" t="s">
        <v>38</v>
      </c>
      <c r="F124" s="43" t="s">
        <v>2186</v>
      </c>
      <c r="G124" s="40" t="s">
        <v>29</v>
      </c>
      <c r="H124" s="44">
        <v>200</v>
      </c>
      <c r="I124" s="41">
        <v>40</v>
      </c>
      <c r="J124" s="40" t="s">
        <v>30</v>
      </c>
      <c r="K124" s="40" t="s">
        <v>31</v>
      </c>
    </row>
    <row r="125" spans="1:13" ht="15.75" customHeight="1">
      <c r="A125" s="42">
        <v>20</v>
      </c>
      <c r="B125" s="40" t="s">
        <v>2187</v>
      </c>
      <c r="C125" s="40" t="s">
        <v>25</v>
      </c>
      <c r="D125" s="40" t="s">
        <v>779</v>
      </c>
      <c r="E125" s="40" t="s">
        <v>42</v>
      </c>
      <c r="F125" s="40"/>
      <c r="G125" s="40" t="s">
        <v>29</v>
      </c>
      <c r="H125" s="44">
        <v>1500</v>
      </c>
      <c r="I125" s="41">
        <v>300</v>
      </c>
      <c r="J125" s="40" t="s">
        <v>30</v>
      </c>
      <c r="K125" s="40" t="s">
        <v>31</v>
      </c>
    </row>
    <row r="126" spans="1:13" ht="15.75" customHeight="1">
      <c r="A126" s="42">
        <v>20</v>
      </c>
      <c r="B126" s="40" t="s">
        <v>2188</v>
      </c>
      <c r="C126" s="40" t="s">
        <v>25</v>
      </c>
      <c r="D126" s="40" t="s">
        <v>63</v>
      </c>
      <c r="E126" s="40" t="s">
        <v>1461</v>
      </c>
      <c r="F126" s="43" t="s">
        <v>2189</v>
      </c>
      <c r="G126" s="40" t="s">
        <v>29</v>
      </c>
      <c r="H126" s="44">
        <v>500</v>
      </c>
      <c r="I126" s="41">
        <v>100</v>
      </c>
      <c r="J126" s="40" t="s">
        <v>30</v>
      </c>
      <c r="K126" s="40" t="s">
        <v>31</v>
      </c>
    </row>
    <row r="127" spans="1:13" ht="15.75" customHeight="1">
      <c r="A127" s="42">
        <v>20</v>
      </c>
      <c r="B127" s="40" t="s">
        <v>2190</v>
      </c>
      <c r="C127" s="40" t="s">
        <v>59</v>
      </c>
      <c r="D127" s="40" t="s">
        <v>593</v>
      </c>
      <c r="E127" s="40" t="s">
        <v>96</v>
      </c>
      <c r="F127" s="43" t="s">
        <v>2191</v>
      </c>
      <c r="G127" s="40" t="s">
        <v>29</v>
      </c>
      <c r="H127" s="44">
        <v>500</v>
      </c>
      <c r="I127" s="41">
        <v>100</v>
      </c>
      <c r="J127" s="40" t="s">
        <v>30</v>
      </c>
      <c r="K127" s="40" t="s">
        <v>31</v>
      </c>
      <c r="M127" s="157">
        <v>100</v>
      </c>
    </row>
    <row r="128" spans="1:13" ht="15.75" customHeight="1">
      <c r="A128" s="42">
        <v>20</v>
      </c>
      <c r="B128" s="40" t="s">
        <v>2192</v>
      </c>
      <c r="C128" s="40" t="s">
        <v>25</v>
      </c>
      <c r="D128" s="40" t="s">
        <v>779</v>
      </c>
      <c r="E128" s="40" t="s">
        <v>42</v>
      </c>
      <c r="F128" s="43" t="s">
        <v>2193</v>
      </c>
      <c r="G128" s="40" t="s">
        <v>29</v>
      </c>
      <c r="H128" s="44">
        <v>3000</v>
      </c>
      <c r="I128" s="41">
        <v>600</v>
      </c>
      <c r="J128" s="40" t="s">
        <v>30</v>
      </c>
      <c r="K128" s="40" t="s">
        <v>31</v>
      </c>
    </row>
    <row r="129" spans="1:16" ht="15.75" customHeight="1">
      <c r="A129" s="42">
        <v>20</v>
      </c>
      <c r="B129" s="40" t="s">
        <v>2194</v>
      </c>
      <c r="C129" s="40" t="s">
        <v>25</v>
      </c>
      <c r="D129" s="40" t="s">
        <v>1137</v>
      </c>
      <c r="E129" s="40" t="s">
        <v>38</v>
      </c>
      <c r="F129" s="43" t="s">
        <v>2195</v>
      </c>
      <c r="G129" s="40" t="s">
        <v>29</v>
      </c>
      <c r="H129" s="44">
        <v>200</v>
      </c>
      <c r="I129" s="41">
        <v>40</v>
      </c>
      <c r="J129" s="40" t="s">
        <v>30</v>
      </c>
      <c r="K129" s="40" t="s">
        <v>31</v>
      </c>
      <c r="M129" s="157">
        <v>32</v>
      </c>
    </row>
    <row r="130" spans="1:16" ht="15.75" customHeight="1">
      <c r="A130" s="42">
        <v>20</v>
      </c>
      <c r="B130" s="40" t="s">
        <v>2196</v>
      </c>
      <c r="C130" s="40" t="s">
        <v>25</v>
      </c>
      <c r="D130" s="40" t="s">
        <v>612</v>
      </c>
      <c r="E130" s="40" t="s">
        <v>78</v>
      </c>
      <c r="F130" s="43" t="s">
        <v>2197</v>
      </c>
      <c r="G130" s="40" t="s">
        <v>29</v>
      </c>
      <c r="H130" s="44">
        <v>200</v>
      </c>
      <c r="I130" s="41">
        <v>40</v>
      </c>
      <c r="J130" s="40" t="s">
        <v>30</v>
      </c>
      <c r="K130" s="40" t="s">
        <v>31</v>
      </c>
      <c r="M130" s="157">
        <v>50</v>
      </c>
    </row>
    <row r="131" spans="1:16" ht="15.75" customHeight="1">
      <c r="A131" s="42">
        <v>20</v>
      </c>
      <c r="B131" s="40" t="s">
        <v>44</v>
      </c>
      <c r="C131" s="40" t="s">
        <v>25</v>
      </c>
      <c r="D131" s="40" t="s">
        <v>45</v>
      </c>
      <c r="E131" s="40" t="s">
        <v>46</v>
      </c>
      <c r="F131" s="43" t="s">
        <v>47</v>
      </c>
      <c r="G131" s="40" t="s">
        <v>29</v>
      </c>
      <c r="H131" s="44">
        <v>300</v>
      </c>
      <c r="I131" s="41">
        <v>60</v>
      </c>
      <c r="J131" s="40" t="s">
        <v>30</v>
      </c>
      <c r="K131" s="40" t="s">
        <v>31</v>
      </c>
      <c r="M131" s="157">
        <v>80</v>
      </c>
      <c r="P131" s="45"/>
    </row>
    <row r="132" spans="1:16" ht="15.75" customHeight="1">
      <c r="A132" s="42">
        <v>20</v>
      </c>
      <c r="B132" s="40" t="s">
        <v>2198</v>
      </c>
      <c r="C132" s="40" t="s">
        <v>25</v>
      </c>
      <c r="D132" s="40" t="s">
        <v>63</v>
      </c>
      <c r="E132" s="40" t="s">
        <v>533</v>
      </c>
      <c r="F132" s="43" t="s">
        <v>2199</v>
      </c>
      <c r="G132" s="40" t="s">
        <v>29</v>
      </c>
      <c r="H132" s="44">
        <v>1200</v>
      </c>
      <c r="I132" s="41" t="s">
        <v>101</v>
      </c>
      <c r="J132" s="40" t="s">
        <v>30</v>
      </c>
      <c r="K132" s="40" t="s">
        <v>31</v>
      </c>
      <c r="M132" s="157">
        <v>72</v>
      </c>
    </row>
    <row r="133" spans="1:16" ht="15.75" customHeight="1">
      <c r="A133" s="47">
        <v>20</v>
      </c>
      <c r="B133" s="48" t="s">
        <v>1714</v>
      </c>
      <c r="C133" s="48" t="s">
        <v>25</v>
      </c>
      <c r="D133" s="48" t="s">
        <v>655</v>
      </c>
      <c r="E133" s="48" t="s">
        <v>42</v>
      </c>
      <c r="F133" s="49" t="s">
        <v>1715</v>
      </c>
      <c r="G133" s="48" t="s">
        <v>29</v>
      </c>
      <c r="H133" s="50">
        <v>800</v>
      </c>
      <c r="I133" s="51">
        <v>160</v>
      </c>
      <c r="J133" s="48" t="s">
        <v>30</v>
      </c>
      <c r="K133" s="48" t="s">
        <v>31</v>
      </c>
      <c r="P133" s="45"/>
    </row>
    <row r="134" spans="1:16" ht="15.75" customHeight="1">
      <c r="A134" s="52">
        <v>23</v>
      </c>
      <c r="B134" s="53" t="s">
        <v>2200</v>
      </c>
      <c r="C134" s="53" t="s">
        <v>59</v>
      </c>
      <c r="D134" s="53" t="s">
        <v>2034</v>
      </c>
      <c r="E134" s="53" t="s">
        <v>60</v>
      </c>
      <c r="F134" s="60" t="s">
        <v>2201</v>
      </c>
      <c r="G134" s="53" t="s">
        <v>29</v>
      </c>
      <c r="H134" s="54">
        <v>500</v>
      </c>
      <c r="I134" s="55">
        <v>100</v>
      </c>
      <c r="J134" s="53" t="s">
        <v>30</v>
      </c>
      <c r="K134" s="53" t="s">
        <v>31</v>
      </c>
      <c r="M134" s="157">
        <v>400</v>
      </c>
    </row>
    <row r="135" spans="1:16" ht="15.75" customHeight="1">
      <c r="A135" s="52">
        <v>23</v>
      </c>
      <c r="B135" s="53" t="s">
        <v>2202</v>
      </c>
      <c r="C135" s="53" t="s">
        <v>59</v>
      </c>
      <c r="D135" s="53" t="s">
        <v>2034</v>
      </c>
      <c r="E135" s="53" t="s">
        <v>60</v>
      </c>
      <c r="F135" s="53"/>
      <c r="G135" s="53" t="s">
        <v>29</v>
      </c>
      <c r="H135" s="54">
        <v>500</v>
      </c>
      <c r="I135" s="55">
        <v>100</v>
      </c>
      <c r="J135" s="53" t="s">
        <v>30</v>
      </c>
      <c r="K135" s="53" t="s">
        <v>31</v>
      </c>
      <c r="M135" s="157">
        <v>500</v>
      </c>
    </row>
    <row r="136" spans="1:16" ht="15.75" customHeight="1">
      <c r="A136" s="52">
        <v>23</v>
      </c>
      <c r="B136" s="53" t="s">
        <v>2203</v>
      </c>
      <c r="C136" s="53" t="s">
        <v>25</v>
      </c>
      <c r="D136" s="53" t="s">
        <v>1704</v>
      </c>
      <c r="E136" s="53" t="s">
        <v>38</v>
      </c>
      <c r="F136" s="60" t="s">
        <v>2204</v>
      </c>
      <c r="G136" s="53" t="s">
        <v>29</v>
      </c>
      <c r="H136" s="54">
        <v>500</v>
      </c>
      <c r="I136" s="55">
        <v>100</v>
      </c>
      <c r="J136" s="53" t="s">
        <v>30</v>
      </c>
      <c r="K136" s="53" t="s">
        <v>31</v>
      </c>
      <c r="M136" s="157">
        <v>200</v>
      </c>
    </row>
    <row r="137" spans="1:16" ht="15.75" customHeight="1">
      <c r="A137" s="52">
        <v>23</v>
      </c>
      <c r="B137" s="53" t="s">
        <v>2205</v>
      </c>
      <c r="C137" s="53" t="s">
        <v>25</v>
      </c>
      <c r="D137" s="53" t="s">
        <v>1085</v>
      </c>
      <c r="E137" s="53" t="s">
        <v>34</v>
      </c>
      <c r="F137" s="60" t="s">
        <v>1205</v>
      </c>
      <c r="G137" s="53" t="s">
        <v>29</v>
      </c>
      <c r="H137" s="54">
        <v>500</v>
      </c>
      <c r="I137" s="55">
        <v>100</v>
      </c>
      <c r="J137" s="53" t="s">
        <v>30</v>
      </c>
      <c r="K137" s="53" t="s">
        <v>31</v>
      </c>
      <c r="M137" s="157">
        <v>200</v>
      </c>
    </row>
    <row r="138" spans="1:16" ht="15.75" customHeight="1">
      <c r="A138" s="52">
        <v>23</v>
      </c>
      <c r="B138" s="53" t="s">
        <v>2206</v>
      </c>
      <c r="C138" s="53" t="s">
        <v>25</v>
      </c>
      <c r="D138" s="53" t="s">
        <v>192</v>
      </c>
      <c r="E138" s="53" t="s">
        <v>78</v>
      </c>
      <c r="F138" s="60" t="s">
        <v>2207</v>
      </c>
      <c r="G138" s="53" t="s">
        <v>29</v>
      </c>
      <c r="H138" s="54">
        <v>500</v>
      </c>
      <c r="I138" s="55">
        <v>100</v>
      </c>
      <c r="J138" s="53" t="s">
        <v>30</v>
      </c>
      <c r="K138" s="53" t="s">
        <v>31</v>
      </c>
      <c r="M138" s="157">
        <v>100</v>
      </c>
    </row>
    <row r="139" spans="1:16" ht="15.75" customHeight="1">
      <c r="A139" s="52">
        <v>23</v>
      </c>
      <c r="B139" s="53" t="s">
        <v>2208</v>
      </c>
      <c r="C139" s="53" t="s">
        <v>25</v>
      </c>
      <c r="D139" s="53" t="s">
        <v>2090</v>
      </c>
      <c r="E139" s="53" t="s">
        <v>96</v>
      </c>
      <c r="F139" s="53"/>
      <c r="G139" s="53" t="s">
        <v>29</v>
      </c>
      <c r="H139" s="54">
        <v>500</v>
      </c>
      <c r="I139" s="55">
        <v>100</v>
      </c>
      <c r="J139" s="53" t="s">
        <v>30</v>
      </c>
      <c r="K139" s="53" t="s">
        <v>31</v>
      </c>
    </row>
    <row r="140" spans="1:16" ht="15.75" customHeight="1">
      <c r="A140" s="52">
        <v>23</v>
      </c>
      <c r="B140" s="53" t="s">
        <v>2209</v>
      </c>
      <c r="C140" s="53" t="s">
        <v>25</v>
      </c>
      <c r="D140" s="53" t="s">
        <v>2210</v>
      </c>
      <c r="E140" s="53" t="s">
        <v>389</v>
      </c>
      <c r="F140" s="60" t="s">
        <v>2211</v>
      </c>
      <c r="G140" s="53" t="s">
        <v>29</v>
      </c>
      <c r="H140" s="54">
        <v>500</v>
      </c>
      <c r="I140" s="55">
        <v>100</v>
      </c>
      <c r="J140" s="53" t="s">
        <v>30</v>
      </c>
      <c r="K140" s="53" t="s">
        <v>31</v>
      </c>
      <c r="M140" s="157">
        <v>150</v>
      </c>
    </row>
    <row r="141" spans="1:16" ht="15.75" customHeight="1">
      <c r="A141" s="52">
        <v>23</v>
      </c>
      <c r="B141" s="53" t="s">
        <v>2212</v>
      </c>
      <c r="C141" s="53" t="s">
        <v>25</v>
      </c>
      <c r="D141" s="53" t="s">
        <v>2213</v>
      </c>
      <c r="E141" s="53" t="s">
        <v>42</v>
      </c>
      <c r="F141" s="60" t="s">
        <v>2214</v>
      </c>
      <c r="G141" s="53" t="s">
        <v>29</v>
      </c>
      <c r="H141" s="54">
        <v>500</v>
      </c>
      <c r="I141" s="55">
        <v>100</v>
      </c>
      <c r="J141" s="53" t="s">
        <v>30</v>
      </c>
      <c r="K141" s="53" t="s">
        <v>31</v>
      </c>
    </row>
    <row r="142" spans="1:16" ht="15.75" customHeight="1">
      <c r="A142" s="52">
        <v>23</v>
      </c>
      <c r="B142" s="53" t="s">
        <v>2215</v>
      </c>
      <c r="C142" s="53" t="s">
        <v>25</v>
      </c>
      <c r="D142" s="53" t="s">
        <v>68</v>
      </c>
      <c r="E142" s="53" t="s">
        <v>78</v>
      </c>
      <c r="F142" s="53"/>
      <c r="G142" s="53" t="s">
        <v>29</v>
      </c>
      <c r="H142" s="54">
        <v>500</v>
      </c>
      <c r="I142" s="55">
        <v>100</v>
      </c>
      <c r="J142" s="53" t="s">
        <v>30</v>
      </c>
      <c r="K142" s="53" t="s">
        <v>31</v>
      </c>
      <c r="M142" s="157">
        <v>1600</v>
      </c>
    </row>
    <row r="143" spans="1:16" ht="15.75" customHeight="1">
      <c r="A143" s="52">
        <v>23</v>
      </c>
      <c r="B143" s="53" t="s">
        <v>2216</v>
      </c>
      <c r="C143" s="53" t="s">
        <v>25</v>
      </c>
      <c r="D143" s="53" t="s">
        <v>89</v>
      </c>
      <c r="E143" s="53" t="s">
        <v>46</v>
      </c>
      <c r="F143" s="60" t="s">
        <v>2217</v>
      </c>
      <c r="G143" s="53" t="s">
        <v>29</v>
      </c>
      <c r="H143" s="54">
        <v>500</v>
      </c>
      <c r="I143" s="55">
        <v>100</v>
      </c>
      <c r="J143" s="53" t="s">
        <v>30</v>
      </c>
      <c r="K143" s="53" t="s">
        <v>31</v>
      </c>
    </row>
    <row r="144" spans="1:16" ht="15.75" customHeight="1">
      <c r="A144" s="52">
        <v>23</v>
      </c>
      <c r="B144" s="53" t="s">
        <v>2218</v>
      </c>
      <c r="C144" s="53" t="s">
        <v>59</v>
      </c>
      <c r="D144" s="53" t="s">
        <v>92</v>
      </c>
      <c r="E144" s="53" t="s">
        <v>46</v>
      </c>
      <c r="F144" s="60" t="s">
        <v>2219</v>
      </c>
      <c r="G144" s="53" t="s">
        <v>29</v>
      </c>
      <c r="H144" s="54">
        <v>150</v>
      </c>
      <c r="I144" s="55">
        <v>30</v>
      </c>
      <c r="J144" s="53" t="s">
        <v>30</v>
      </c>
      <c r="K144" s="53" t="s">
        <v>31</v>
      </c>
    </row>
    <row r="145" spans="1:13" ht="15.75" customHeight="1">
      <c r="A145" s="52">
        <v>23</v>
      </c>
      <c r="B145" s="53" t="s">
        <v>2220</v>
      </c>
      <c r="C145" s="53" t="s">
        <v>25</v>
      </c>
      <c r="D145" s="53" t="s">
        <v>742</v>
      </c>
      <c r="E145" s="53" t="s">
        <v>311</v>
      </c>
      <c r="F145" s="60" t="s">
        <v>2221</v>
      </c>
      <c r="G145" s="53" t="s">
        <v>29</v>
      </c>
      <c r="H145" s="54">
        <v>500</v>
      </c>
      <c r="I145" s="55">
        <v>100</v>
      </c>
      <c r="J145" s="53" t="s">
        <v>30</v>
      </c>
      <c r="K145" s="53" t="s">
        <v>31</v>
      </c>
    </row>
    <row r="146" spans="1:13" ht="15.75" customHeight="1">
      <c r="A146" s="52">
        <v>23</v>
      </c>
      <c r="B146" s="53" t="s">
        <v>2222</v>
      </c>
      <c r="C146" s="53" t="s">
        <v>25</v>
      </c>
      <c r="D146" s="53" t="s">
        <v>2223</v>
      </c>
      <c r="E146" s="53" t="s">
        <v>42</v>
      </c>
      <c r="F146" s="60" t="s">
        <v>2224</v>
      </c>
      <c r="G146" s="53" t="s">
        <v>29</v>
      </c>
      <c r="H146" s="54">
        <v>500</v>
      </c>
      <c r="I146" s="55">
        <v>100</v>
      </c>
      <c r="J146" s="53" t="s">
        <v>30</v>
      </c>
      <c r="K146" s="53" t="s">
        <v>31</v>
      </c>
    </row>
    <row r="147" spans="1:13" ht="15.75" customHeight="1">
      <c r="A147" s="42">
        <v>23</v>
      </c>
      <c r="B147" s="40" t="s">
        <v>2225</v>
      </c>
      <c r="C147" s="40" t="s">
        <v>59</v>
      </c>
      <c r="D147" s="40" t="s">
        <v>570</v>
      </c>
      <c r="E147" s="40" t="s">
        <v>60</v>
      </c>
      <c r="F147" s="43" t="s">
        <v>2226</v>
      </c>
      <c r="G147" s="40" t="s">
        <v>29</v>
      </c>
      <c r="H147" s="44">
        <v>500</v>
      </c>
      <c r="I147" s="41" t="s">
        <v>101</v>
      </c>
      <c r="J147" s="40" t="s">
        <v>30</v>
      </c>
      <c r="K147" s="40" t="s">
        <v>31</v>
      </c>
      <c r="M147" s="157">
        <v>400</v>
      </c>
    </row>
    <row r="148" spans="1:13" ht="15.75" customHeight="1">
      <c r="A148" s="42">
        <v>23</v>
      </c>
      <c r="B148" s="40" t="s">
        <v>2227</v>
      </c>
      <c r="C148" s="40" t="s">
        <v>25</v>
      </c>
      <c r="D148" s="40" t="s">
        <v>2228</v>
      </c>
      <c r="E148" s="40" t="s">
        <v>141</v>
      </c>
      <c r="F148" s="43" t="s">
        <v>2229</v>
      </c>
      <c r="G148" s="40" t="s">
        <v>29</v>
      </c>
      <c r="H148" s="44">
        <v>1000</v>
      </c>
      <c r="I148" s="41">
        <v>200</v>
      </c>
      <c r="J148" s="40" t="s">
        <v>30</v>
      </c>
      <c r="K148" s="40" t="s">
        <v>31</v>
      </c>
    </row>
    <row r="149" spans="1:13" ht="15.75" customHeight="1">
      <c r="A149" s="42">
        <v>23</v>
      </c>
      <c r="B149" s="40" t="s">
        <v>2230</v>
      </c>
      <c r="C149" s="40" t="s">
        <v>59</v>
      </c>
      <c r="D149" s="40" t="s">
        <v>89</v>
      </c>
      <c r="E149" s="40" t="s">
        <v>46</v>
      </c>
      <c r="F149" s="43" t="s">
        <v>2231</v>
      </c>
      <c r="G149" s="40" t="s">
        <v>29</v>
      </c>
      <c r="H149" s="44">
        <v>1000</v>
      </c>
      <c r="I149" s="41">
        <v>200</v>
      </c>
      <c r="J149" s="40" t="s">
        <v>30</v>
      </c>
      <c r="K149" s="40" t="s">
        <v>31</v>
      </c>
    </row>
    <row r="150" spans="1:13" ht="15.75" customHeight="1">
      <c r="A150" s="42">
        <v>23</v>
      </c>
      <c r="B150" s="40" t="s">
        <v>1553</v>
      </c>
      <c r="C150" s="40" t="s">
        <v>25</v>
      </c>
      <c r="D150" s="40" t="s">
        <v>86</v>
      </c>
      <c r="E150" s="40" t="s">
        <v>42</v>
      </c>
      <c r="F150" s="40"/>
      <c r="G150" s="40" t="s">
        <v>29</v>
      </c>
      <c r="H150" s="44">
        <v>2000</v>
      </c>
      <c r="I150" s="41">
        <v>400</v>
      </c>
      <c r="J150" s="40" t="s">
        <v>30</v>
      </c>
      <c r="K150" s="40" t="s">
        <v>31</v>
      </c>
      <c r="M150" s="157">
        <v>500</v>
      </c>
    </row>
    <row r="151" spans="1:13" ht="15.75" customHeight="1">
      <c r="A151" s="42">
        <v>23</v>
      </c>
      <c r="B151" s="40" t="s">
        <v>2232</v>
      </c>
      <c r="C151" s="40" t="s">
        <v>59</v>
      </c>
      <c r="D151" s="40" t="s">
        <v>2233</v>
      </c>
      <c r="E151" s="40" t="s">
        <v>96</v>
      </c>
      <c r="F151" s="43" t="s">
        <v>2234</v>
      </c>
      <c r="G151" s="40" t="s">
        <v>29</v>
      </c>
      <c r="H151" s="44">
        <v>500</v>
      </c>
      <c r="I151" s="41">
        <v>100</v>
      </c>
      <c r="J151" s="40" t="s">
        <v>30</v>
      </c>
      <c r="K151" s="40" t="s">
        <v>31</v>
      </c>
      <c r="M151" s="157">
        <v>800</v>
      </c>
    </row>
    <row r="152" spans="1:13" ht="15.75" customHeight="1">
      <c r="A152" s="42">
        <v>23</v>
      </c>
      <c r="B152" s="40" t="s">
        <v>2235</v>
      </c>
      <c r="C152" s="40" t="s">
        <v>25</v>
      </c>
      <c r="D152" s="40" t="s">
        <v>63</v>
      </c>
      <c r="E152" s="40" t="s">
        <v>96</v>
      </c>
      <c r="F152" s="43" t="s">
        <v>2236</v>
      </c>
      <c r="G152" s="40" t="s">
        <v>29</v>
      </c>
      <c r="H152" s="44">
        <v>500</v>
      </c>
      <c r="I152" s="41">
        <v>100</v>
      </c>
      <c r="J152" s="40" t="s">
        <v>30</v>
      </c>
      <c r="K152" s="40" t="s">
        <v>31</v>
      </c>
      <c r="M152" s="157">
        <v>100</v>
      </c>
    </row>
    <row r="153" spans="1:13" ht="15.75" customHeight="1">
      <c r="A153" s="42">
        <v>23</v>
      </c>
      <c r="B153" s="40" t="s">
        <v>2237</v>
      </c>
      <c r="C153" s="40" t="s">
        <v>25</v>
      </c>
      <c r="D153" s="40" t="s">
        <v>792</v>
      </c>
      <c r="E153" s="40" t="s">
        <v>60</v>
      </c>
      <c r="F153" s="43" t="s">
        <v>2238</v>
      </c>
      <c r="G153" s="40" t="s">
        <v>29</v>
      </c>
      <c r="H153" s="44">
        <v>500</v>
      </c>
      <c r="I153" s="41">
        <v>100</v>
      </c>
      <c r="J153" s="40" t="s">
        <v>30</v>
      </c>
      <c r="K153" s="40" t="s">
        <v>31</v>
      </c>
      <c r="M153" s="157">
        <v>100</v>
      </c>
    </row>
    <row r="154" spans="1:13" ht="15.75" customHeight="1">
      <c r="A154" s="52">
        <v>24</v>
      </c>
      <c r="B154" s="53" t="s">
        <v>2239</v>
      </c>
      <c r="C154" s="53" t="s">
        <v>25</v>
      </c>
      <c r="D154" s="53" t="s">
        <v>2240</v>
      </c>
      <c r="E154" s="53" t="s">
        <v>333</v>
      </c>
      <c r="F154" s="60" t="s">
        <v>2241</v>
      </c>
      <c r="G154" s="53" t="s">
        <v>29</v>
      </c>
      <c r="H154" s="54">
        <v>500</v>
      </c>
      <c r="I154" s="55">
        <v>100</v>
      </c>
      <c r="J154" s="53" t="s">
        <v>30</v>
      </c>
      <c r="K154" s="53" t="s">
        <v>31</v>
      </c>
      <c r="M154" s="157">
        <v>300</v>
      </c>
    </row>
    <row r="155" spans="1:13" ht="15.75" customHeight="1">
      <c r="A155" s="52">
        <v>24</v>
      </c>
      <c r="B155" s="53" t="s">
        <v>2242</v>
      </c>
      <c r="C155" s="53" t="s">
        <v>25</v>
      </c>
      <c r="D155" s="53" t="s">
        <v>63</v>
      </c>
      <c r="E155" s="53" t="s">
        <v>50</v>
      </c>
      <c r="F155" s="60" t="s">
        <v>2243</v>
      </c>
      <c r="G155" s="53" t="s">
        <v>29</v>
      </c>
      <c r="H155" s="54">
        <v>2000</v>
      </c>
      <c r="I155" s="55">
        <v>400</v>
      </c>
      <c r="J155" s="53" t="s">
        <v>30</v>
      </c>
      <c r="K155" s="53" t="s">
        <v>31</v>
      </c>
      <c r="M155" s="157">
        <v>400</v>
      </c>
    </row>
    <row r="156" spans="1:13" ht="15.75" customHeight="1">
      <c r="A156" s="52">
        <v>24</v>
      </c>
      <c r="B156" s="53" t="s">
        <v>2244</v>
      </c>
      <c r="C156" s="53" t="s">
        <v>25</v>
      </c>
      <c r="D156" s="53" t="s">
        <v>1282</v>
      </c>
      <c r="E156" s="53" t="s">
        <v>38</v>
      </c>
      <c r="F156" s="60" t="s">
        <v>2245</v>
      </c>
      <c r="G156" s="53" t="s">
        <v>29</v>
      </c>
      <c r="H156" s="54">
        <v>500</v>
      </c>
      <c r="I156" s="55">
        <v>100</v>
      </c>
      <c r="J156" s="53" t="s">
        <v>30</v>
      </c>
      <c r="K156" s="53" t="s">
        <v>31</v>
      </c>
      <c r="M156" s="157">
        <v>100</v>
      </c>
    </row>
    <row r="157" spans="1:13" ht="15.75" customHeight="1">
      <c r="A157" s="52">
        <v>24</v>
      </c>
      <c r="B157" s="53" t="s">
        <v>1446</v>
      </c>
      <c r="C157" s="53" t="s">
        <v>25</v>
      </c>
      <c r="D157" s="53" t="s">
        <v>2246</v>
      </c>
      <c r="E157" s="53" t="s">
        <v>318</v>
      </c>
      <c r="F157" s="60" t="s">
        <v>1448</v>
      </c>
      <c r="G157" s="53" t="s">
        <v>29</v>
      </c>
      <c r="H157" s="54">
        <v>500</v>
      </c>
      <c r="I157" s="55">
        <v>100</v>
      </c>
      <c r="J157" s="53" t="s">
        <v>30</v>
      </c>
      <c r="K157" s="53" t="s">
        <v>31</v>
      </c>
      <c r="M157" s="157">
        <v>100</v>
      </c>
    </row>
    <row r="158" spans="1:13" ht="15.75" customHeight="1">
      <c r="A158" s="52">
        <v>25</v>
      </c>
      <c r="B158" s="53" t="s">
        <v>2247</v>
      </c>
      <c r="C158" s="53" t="s">
        <v>25</v>
      </c>
      <c r="D158" s="53" t="s">
        <v>2248</v>
      </c>
      <c r="E158" s="53" t="s">
        <v>318</v>
      </c>
      <c r="F158" s="60" t="s">
        <v>2249</v>
      </c>
      <c r="G158" s="53" t="s">
        <v>29</v>
      </c>
      <c r="H158" s="54">
        <v>5000</v>
      </c>
      <c r="I158" s="55">
        <v>1000</v>
      </c>
      <c r="J158" s="53" t="s">
        <v>30</v>
      </c>
      <c r="K158" s="53" t="s">
        <v>31</v>
      </c>
      <c r="M158" s="157">
        <v>1000</v>
      </c>
    </row>
    <row r="159" spans="1:13" ht="15.75" customHeight="1">
      <c r="A159" s="47">
        <v>25</v>
      </c>
      <c r="B159" s="48" t="s">
        <v>2250</v>
      </c>
      <c r="C159" s="48" t="s">
        <v>25</v>
      </c>
      <c r="D159" s="48" t="s">
        <v>2251</v>
      </c>
      <c r="E159" s="48" t="s">
        <v>1743</v>
      </c>
      <c r="F159" s="49" t="s">
        <v>2252</v>
      </c>
      <c r="G159" s="48" t="s">
        <v>29</v>
      </c>
      <c r="H159" s="50">
        <v>3000</v>
      </c>
      <c r="I159" s="51">
        <v>600</v>
      </c>
      <c r="J159" s="48" t="s">
        <v>30</v>
      </c>
      <c r="K159" s="48" t="s">
        <v>31</v>
      </c>
      <c r="M159" s="157">
        <v>800</v>
      </c>
    </row>
    <row r="160" spans="1:13" ht="15.75" customHeight="1">
      <c r="A160" s="52">
        <v>26</v>
      </c>
      <c r="B160" s="53" t="s">
        <v>764</v>
      </c>
      <c r="C160" s="53" t="s">
        <v>59</v>
      </c>
      <c r="D160" s="53" t="s">
        <v>86</v>
      </c>
      <c r="E160" s="53" t="s">
        <v>42</v>
      </c>
      <c r="F160" s="60" t="s">
        <v>765</v>
      </c>
      <c r="G160" s="53" t="s">
        <v>29</v>
      </c>
      <c r="H160" s="54">
        <v>6500</v>
      </c>
      <c r="I160" s="55">
        <v>1950</v>
      </c>
      <c r="J160" s="53" t="s">
        <v>30</v>
      </c>
      <c r="K160" s="53" t="s">
        <v>31</v>
      </c>
      <c r="M160" s="157">
        <v>2000</v>
      </c>
    </row>
    <row r="161" spans="1:26" ht="15.75" customHeight="1">
      <c r="A161" s="52">
        <v>26</v>
      </c>
      <c r="B161" s="53" t="s">
        <v>2253</v>
      </c>
      <c r="C161" s="53" t="s">
        <v>59</v>
      </c>
      <c r="D161" s="53" t="s">
        <v>2254</v>
      </c>
      <c r="E161" s="53" t="s">
        <v>870</v>
      </c>
      <c r="F161" s="60" t="s">
        <v>2255</v>
      </c>
      <c r="G161" s="53" t="s">
        <v>29</v>
      </c>
      <c r="H161" s="54">
        <v>500</v>
      </c>
      <c r="I161" s="55">
        <v>150</v>
      </c>
      <c r="J161" s="53" t="s">
        <v>30</v>
      </c>
      <c r="K161" s="53" t="s">
        <v>31</v>
      </c>
      <c r="M161" s="157">
        <v>100</v>
      </c>
    </row>
    <row r="162" spans="1:26" ht="15.75" customHeight="1">
      <c r="A162" s="52">
        <v>26</v>
      </c>
      <c r="B162" s="53" t="s">
        <v>2256</v>
      </c>
      <c r="C162" s="53" t="s">
        <v>59</v>
      </c>
      <c r="D162" s="53" t="s">
        <v>1082</v>
      </c>
      <c r="E162" s="53" t="s">
        <v>96</v>
      </c>
      <c r="F162" s="60" t="s">
        <v>2257</v>
      </c>
      <c r="G162" s="53" t="s">
        <v>29</v>
      </c>
      <c r="H162" s="54">
        <v>1500</v>
      </c>
      <c r="I162" s="55">
        <v>300</v>
      </c>
      <c r="J162" s="53" t="s">
        <v>30</v>
      </c>
      <c r="K162" s="53" t="s">
        <v>31</v>
      </c>
      <c r="M162" s="157">
        <v>300</v>
      </c>
    </row>
    <row r="163" spans="1:26" ht="15.75" customHeight="1">
      <c r="A163" s="52">
        <v>26</v>
      </c>
      <c r="B163" s="53" t="s">
        <v>2258</v>
      </c>
      <c r="C163" s="53" t="s">
        <v>25</v>
      </c>
      <c r="D163" s="53" t="s">
        <v>2259</v>
      </c>
      <c r="E163" s="53" t="s">
        <v>46</v>
      </c>
      <c r="F163" s="60" t="s">
        <v>2260</v>
      </c>
      <c r="G163" s="53" t="s">
        <v>29</v>
      </c>
      <c r="H163" s="54">
        <v>4000</v>
      </c>
      <c r="I163" s="55" t="s">
        <v>101</v>
      </c>
      <c r="J163" s="53" t="s">
        <v>30</v>
      </c>
      <c r="K163" s="53" t="s">
        <v>31</v>
      </c>
    </row>
    <row r="164" spans="1:26" ht="15.75" customHeight="1">
      <c r="A164" s="52">
        <v>26</v>
      </c>
      <c r="B164" s="53" t="s">
        <v>2261</v>
      </c>
      <c r="C164" s="53" t="s">
        <v>59</v>
      </c>
      <c r="D164" s="53" t="s">
        <v>215</v>
      </c>
      <c r="E164" s="53" t="s">
        <v>216</v>
      </c>
      <c r="F164" s="60" t="s">
        <v>2262</v>
      </c>
      <c r="G164" s="53" t="s">
        <v>29</v>
      </c>
      <c r="H164" s="54">
        <v>2000</v>
      </c>
      <c r="I164" s="55">
        <v>400</v>
      </c>
      <c r="J164" s="53" t="s">
        <v>30</v>
      </c>
      <c r="K164" s="53" t="s">
        <v>31</v>
      </c>
      <c r="M164" s="157">
        <v>150</v>
      </c>
    </row>
    <row r="165" spans="1:26" ht="15.75" customHeight="1">
      <c r="A165" s="52">
        <v>26</v>
      </c>
      <c r="B165" s="53" t="s">
        <v>2263</v>
      </c>
      <c r="C165" s="53" t="s">
        <v>59</v>
      </c>
      <c r="D165" s="53" t="s">
        <v>86</v>
      </c>
      <c r="E165" s="53" t="s">
        <v>42</v>
      </c>
      <c r="F165" s="60" t="s">
        <v>2264</v>
      </c>
      <c r="G165" s="53" t="s">
        <v>29</v>
      </c>
      <c r="H165" s="54">
        <v>2000</v>
      </c>
      <c r="I165" s="55">
        <v>400</v>
      </c>
      <c r="J165" s="53" t="s">
        <v>30</v>
      </c>
      <c r="K165" s="53" t="s">
        <v>31</v>
      </c>
      <c r="M165" s="157">
        <v>300</v>
      </c>
    </row>
    <row r="166" spans="1:26" ht="15.75" customHeight="1">
      <c r="A166" s="52"/>
      <c r="B166" s="53"/>
      <c r="C166" s="53"/>
      <c r="D166" s="53"/>
      <c r="E166" s="53"/>
      <c r="F166" s="53"/>
      <c r="G166" s="53"/>
      <c r="H166" s="54"/>
      <c r="I166" s="55"/>
      <c r="J166" s="53"/>
      <c r="K166" s="53"/>
    </row>
    <row r="167" spans="1:26" ht="15.75" customHeight="1">
      <c r="A167" s="2"/>
      <c r="B167" s="1"/>
      <c r="C167" s="1"/>
      <c r="D167" s="1"/>
      <c r="E167" s="1"/>
      <c r="F167" s="1"/>
      <c r="G167" s="1"/>
      <c r="H167" s="1"/>
      <c r="I167" s="61"/>
      <c r="J167" s="1"/>
      <c r="K167" s="1"/>
    </row>
    <row r="168" spans="1:26" ht="15.75" customHeight="1">
      <c r="A168" s="2"/>
      <c r="B168" s="1"/>
      <c r="C168" s="1"/>
      <c r="D168" s="1"/>
      <c r="E168" s="1"/>
      <c r="F168" s="1"/>
      <c r="G168" s="1"/>
      <c r="H168" s="1"/>
      <c r="I168" s="62" t="s">
        <v>335</v>
      </c>
      <c r="J168" s="63"/>
      <c r="K168" s="1"/>
    </row>
    <row r="169" spans="1:26" ht="16.5" customHeight="1">
      <c r="A169" s="2"/>
      <c r="B169" s="1" t="s">
        <v>336</v>
      </c>
      <c r="C169" s="1"/>
      <c r="D169" s="1"/>
      <c r="E169" s="1" t="s">
        <v>337</v>
      </c>
      <c r="F169" s="1"/>
      <c r="G169" s="1"/>
      <c r="H169" s="1"/>
      <c r="I169" s="6" t="s">
        <v>338</v>
      </c>
      <c r="J169" s="292" t="s">
        <v>2265</v>
      </c>
      <c r="K169" s="1"/>
    </row>
    <row r="170" spans="1:26" ht="15.75" customHeight="1">
      <c r="A170" s="2"/>
      <c r="B170" s="1"/>
      <c r="C170" s="1"/>
      <c r="D170" s="1"/>
      <c r="E170" s="1"/>
      <c r="F170" s="1"/>
      <c r="G170" s="1"/>
      <c r="H170" s="1"/>
      <c r="I170" s="6" t="s">
        <v>340</v>
      </c>
      <c r="J170" s="292" t="s">
        <v>2266</v>
      </c>
      <c r="K170" s="65"/>
    </row>
    <row r="171" spans="1:26" ht="15.75" customHeight="1">
      <c r="A171" s="2"/>
      <c r="B171" s="1"/>
      <c r="C171" s="1"/>
      <c r="D171" s="1"/>
      <c r="E171" s="1"/>
      <c r="F171" s="1"/>
      <c r="G171" s="1"/>
      <c r="H171" s="1"/>
      <c r="I171" s="6"/>
      <c r="J171" s="292" t="s">
        <v>2267</v>
      </c>
      <c r="K171" s="353" t="s">
        <v>1972</v>
      </c>
    </row>
    <row r="172" spans="1:26" ht="15.75" customHeight="1">
      <c r="A172" s="2"/>
      <c r="B172" s="1"/>
      <c r="C172" s="1"/>
      <c r="D172" s="1"/>
      <c r="E172" s="1"/>
      <c r="F172" s="1"/>
      <c r="G172" s="1"/>
      <c r="H172" s="1"/>
      <c r="I172" s="6" t="s">
        <v>342</v>
      </c>
      <c r="J172" s="292" t="s">
        <v>2268</v>
      </c>
      <c r="K172" s="1"/>
    </row>
    <row r="173" spans="1:26" ht="15.75" customHeight="1">
      <c r="A173" s="2"/>
      <c r="B173" s="67" t="s">
        <v>343</v>
      </c>
      <c r="C173" s="1"/>
      <c r="D173" s="1"/>
      <c r="E173" s="554" t="s">
        <v>344</v>
      </c>
      <c r="F173" s="553"/>
      <c r="G173" s="553"/>
      <c r="H173" s="553"/>
      <c r="I173" s="6" t="s">
        <v>345</v>
      </c>
      <c r="J173" s="292" t="s">
        <v>2269</v>
      </c>
      <c r="K173" s="1"/>
    </row>
    <row r="174" spans="1:26" ht="15.75" customHeight="1">
      <c r="A174" s="2"/>
      <c r="B174" s="1" t="s">
        <v>347</v>
      </c>
      <c r="C174" s="1"/>
      <c r="D174" s="1"/>
      <c r="E174" s="552" t="s">
        <v>348</v>
      </c>
      <c r="F174" s="553"/>
      <c r="G174" s="553"/>
      <c r="H174" s="553"/>
      <c r="I174" s="6" t="s">
        <v>349</v>
      </c>
      <c r="J174" s="292">
        <v>0</v>
      </c>
      <c r="K174" s="1"/>
    </row>
    <row r="175" spans="1:26" ht="15.75" customHeight="1">
      <c r="A175" s="2"/>
      <c r="B175" s="1"/>
      <c r="C175" s="1"/>
      <c r="D175" s="1"/>
      <c r="E175" s="1"/>
      <c r="F175" s="1"/>
      <c r="G175" s="1"/>
      <c r="H175" s="1"/>
      <c r="I175" s="6" t="s">
        <v>351</v>
      </c>
      <c r="J175" s="292">
        <v>0</v>
      </c>
      <c r="K175" s="1"/>
    </row>
    <row r="176" spans="1:26" ht="15.75" customHeight="1">
      <c r="A176" s="2"/>
      <c r="B176" s="1"/>
      <c r="C176" s="1"/>
      <c r="D176" s="1"/>
      <c r="E176" s="1"/>
      <c r="F176" s="1"/>
      <c r="G176" s="1"/>
      <c r="H176" s="1"/>
      <c r="I176" s="6" t="s">
        <v>353</v>
      </c>
      <c r="J176" s="293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2"/>
      <c r="B177" s="1"/>
      <c r="C177" s="1"/>
      <c r="D177" s="1"/>
      <c r="E177" s="1"/>
      <c r="F177" s="1"/>
      <c r="G177" s="1"/>
      <c r="H177" s="1"/>
      <c r="I177" s="68" t="s">
        <v>354</v>
      </c>
      <c r="J177" s="291" t="s">
        <v>2270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2"/>
      <c r="B178" s="1"/>
      <c r="C178" s="1"/>
      <c r="D178" s="1"/>
      <c r="E178" s="1"/>
      <c r="F178" s="1"/>
      <c r="G178" s="1"/>
      <c r="H178" s="1"/>
      <c r="I178" s="68" t="s">
        <v>356</v>
      </c>
      <c r="J178" s="69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2"/>
      <c r="B179" s="70"/>
      <c r="C179" s="1"/>
      <c r="D179" s="1"/>
      <c r="E179" s="70"/>
      <c r="F179" s="70"/>
      <c r="G179" s="70"/>
      <c r="H179" s="1"/>
      <c r="I179" s="6"/>
      <c r="J179" s="63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2"/>
      <c r="B180" s="1"/>
      <c r="C180" s="1"/>
      <c r="D180" s="1"/>
      <c r="E180" s="1"/>
      <c r="F180" s="1"/>
      <c r="G180" s="1"/>
      <c r="H180" s="1"/>
      <c r="I180" s="61"/>
      <c r="J180" s="1"/>
      <c r="K180" s="1"/>
    </row>
    <row r="181" spans="1:26" ht="15.75" customHeight="1">
      <c r="A181" s="2"/>
      <c r="B181" s="1"/>
      <c r="C181" s="1"/>
      <c r="D181" s="1"/>
      <c r="E181" s="1"/>
      <c r="F181" s="1"/>
      <c r="G181" s="1"/>
      <c r="H181" s="1"/>
      <c r="I181" s="61"/>
      <c r="J181" s="1"/>
      <c r="K181" s="1"/>
    </row>
    <row r="182" spans="1:26" ht="15.75" customHeight="1">
      <c r="A182" s="2"/>
      <c r="B182" s="1"/>
      <c r="C182" s="1"/>
      <c r="D182" s="1"/>
      <c r="E182" s="1"/>
      <c r="F182" s="1"/>
      <c r="G182" s="1"/>
      <c r="H182" s="1"/>
      <c r="I182" s="61"/>
      <c r="J182" s="1"/>
      <c r="K182" s="1"/>
    </row>
    <row r="183" spans="1:26" ht="15.75" customHeight="1">
      <c r="A183" s="2"/>
      <c r="B183" s="1"/>
      <c r="C183" s="1"/>
      <c r="D183" s="1"/>
      <c r="E183" s="1"/>
      <c r="F183" s="1"/>
      <c r="G183" s="1"/>
      <c r="H183" s="1"/>
      <c r="I183" s="61"/>
      <c r="J183" s="1"/>
      <c r="K183" s="1"/>
    </row>
    <row r="184" spans="1:26" ht="15.75" customHeight="1">
      <c r="A184" s="2"/>
      <c r="B184" s="1"/>
      <c r="C184" s="1"/>
      <c r="D184" s="1"/>
      <c r="E184" s="1"/>
      <c r="F184" s="1"/>
      <c r="G184" s="1"/>
      <c r="H184" s="1"/>
      <c r="I184" s="61"/>
      <c r="J184" s="1"/>
      <c r="K184" s="1"/>
    </row>
    <row r="185" spans="1:26" ht="15.75" customHeight="1">
      <c r="A185" s="2"/>
      <c r="B185" s="1"/>
      <c r="C185" s="1"/>
      <c r="D185" s="1"/>
      <c r="E185" s="1"/>
      <c r="F185" s="1"/>
      <c r="G185" s="1"/>
      <c r="H185" s="1"/>
      <c r="I185" s="61"/>
      <c r="J185" s="1"/>
      <c r="K185" s="1"/>
    </row>
    <row r="186" spans="1:26" ht="15.75" customHeight="1">
      <c r="A186" s="2"/>
      <c r="B186" s="1"/>
      <c r="C186" s="1"/>
      <c r="D186" s="1"/>
      <c r="E186" s="1"/>
      <c r="F186" s="1"/>
      <c r="G186" s="1"/>
      <c r="H186" s="1"/>
      <c r="I186" s="61"/>
      <c r="J186" s="1"/>
      <c r="K186" s="1"/>
    </row>
    <row r="187" spans="1:26" ht="15.75" customHeight="1">
      <c r="A187" s="2"/>
      <c r="B187" s="1"/>
      <c r="C187" s="1"/>
      <c r="D187" s="1"/>
      <c r="E187" s="1"/>
      <c r="F187" s="1"/>
      <c r="G187" s="1"/>
      <c r="H187" s="1"/>
      <c r="I187" s="61"/>
      <c r="J187" s="1"/>
      <c r="K187" s="1"/>
    </row>
    <row r="188" spans="1:26" ht="15.75" customHeight="1">
      <c r="A188" s="2"/>
      <c r="B188" s="1"/>
      <c r="C188" s="1"/>
      <c r="D188" s="1"/>
      <c r="E188" s="1"/>
      <c r="F188" s="1"/>
      <c r="G188" s="1"/>
      <c r="H188" s="1"/>
      <c r="I188" s="61"/>
      <c r="J188" s="1"/>
      <c r="K188" s="1"/>
    </row>
    <row r="189" spans="1:26" ht="15.75" customHeight="1">
      <c r="A189" s="2"/>
      <c r="B189" s="1"/>
      <c r="C189" s="1"/>
      <c r="D189" s="1"/>
      <c r="E189" s="1"/>
      <c r="F189" s="1"/>
      <c r="G189" s="1"/>
      <c r="H189" s="1"/>
      <c r="I189" s="61"/>
      <c r="J189" s="1"/>
      <c r="K189" s="1"/>
    </row>
    <row r="190" spans="1:26" ht="15.75" customHeight="1">
      <c r="A190" s="2"/>
      <c r="B190" s="1"/>
      <c r="C190" s="1"/>
      <c r="D190" s="1"/>
      <c r="E190" s="1"/>
      <c r="F190" s="1"/>
      <c r="G190" s="1"/>
      <c r="H190" s="1"/>
      <c r="I190" s="61"/>
      <c r="J190" s="1"/>
      <c r="K190" s="1"/>
    </row>
    <row r="191" spans="1:26" ht="15.75" customHeight="1">
      <c r="A191" s="2"/>
      <c r="B191" s="1"/>
      <c r="C191" s="1"/>
      <c r="D191" s="1"/>
      <c r="E191" s="1"/>
      <c r="F191" s="1"/>
      <c r="G191" s="1"/>
      <c r="H191" s="1"/>
      <c r="I191" s="61"/>
      <c r="J191" s="1"/>
      <c r="K191" s="1"/>
    </row>
    <row r="192" spans="1:26" ht="15.75" customHeight="1">
      <c r="A192" s="2"/>
      <c r="B192" s="1"/>
      <c r="C192" s="1"/>
      <c r="D192" s="1"/>
      <c r="E192" s="1"/>
      <c r="F192" s="1"/>
      <c r="G192" s="1"/>
      <c r="H192" s="1"/>
      <c r="I192" s="61"/>
      <c r="J192" s="1"/>
      <c r="K192" s="1"/>
    </row>
    <row r="193" spans="1:11" ht="15.75" customHeight="1">
      <c r="A193" s="2"/>
      <c r="B193" s="1"/>
      <c r="C193" s="1"/>
      <c r="D193" s="1"/>
      <c r="E193" s="1"/>
      <c r="F193" s="1"/>
      <c r="G193" s="1"/>
      <c r="H193" s="1"/>
      <c r="I193" s="61"/>
      <c r="J193" s="1"/>
      <c r="K193" s="1"/>
    </row>
    <row r="194" spans="1:11" ht="15.75" customHeight="1">
      <c r="A194" s="2"/>
      <c r="B194" s="1"/>
      <c r="C194" s="1"/>
      <c r="D194" s="1"/>
      <c r="E194" s="1"/>
      <c r="F194" s="1"/>
      <c r="G194" s="1"/>
      <c r="H194" s="1"/>
      <c r="I194" s="61"/>
      <c r="J194" s="1"/>
      <c r="K194" s="1"/>
    </row>
    <row r="195" spans="1:11" ht="15.75" customHeight="1">
      <c r="A195" s="2"/>
      <c r="B195" s="1"/>
      <c r="C195" s="1"/>
      <c r="D195" s="1"/>
      <c r="E195" s="1"/>
      <c r="F195" s="1"/>
      <c r="G195" s="1"/>
      <c r="H195" s="1"/>
      <c r="I195" s="61"/>
      <c r="J195" s="1"/>
      <c r="K195" s="1"/>
    </row>
    <row r="196" spans="1:11" ht="15.75" customHeight="1">
      <c r="A196" s="2"/>
      <c r="B196" s="1"/>
      <c r="C196" s="1"/>
      <c r="D196" s="1"/>
      <c r="E196" s="1"/>
      <c r="F196" s="1"/>
      <c r="G196" s="1"/>
      <c r="H196" s="1"/>
      <c r="I196" s="61"/>
      <c r="J196" s="1"/>
      <c r="K196" s="1"/>
    </row>
    <row r="197" spans="1:11" ht="15.75" customHeight="1">
      <c r="A197" s="2"/>
      <c r="B197" s="1"/>
      <c r="C197" s="1"/>
      <c r="D197" s="1"/>
      <c r="E197" s="1"/>
      <c r="F197" s="1"/>
      <c r="G197" s="1"/>
      <c r="H197" s="1"/>
      <c r="I197" s="61"/>
      <c r="J197" s="1"/>
      <c r="K197" s="1"/>
    </row>
    <row r="198" spans="1:11" ht="15.75" customHeight="1">
      <c r="A198" s="2"/>
      <c r="B198" s="1"/>
      <c r="C198" s="1"/>
      <c r="D198" s="1"/>
      <c r="E198" s="1"/>
      <c r="F198" s="1"/>
      <c r="G198" s="1"/>
      <c r="H198" s="1"/>
      <c r="I198" s="61"/>
      <c r="J198" s="1"/>
      <c r="K198" s="1"/>
    </row>
    <row r="199" spans="1:11" ht="15.75" customHeight="1">
      <c r="A199" s="2"/>
      <c r="B199" s="1"/>
      <c r="C199" s="1"/>
      <c r="D199" s="1"/>
      <c r="E199" s="1"/>
      <c r="F199" s="1"/>
      <c r="G199" s="1"/>
      <c r="H199" s="1"/>
      <c r="I199" s="61"/>
      <c r="J199" s="1"/>
      <c r="K199" s="1"/>
    </row>
    <row r="200" spans="1:11" ht="15.75" customHeight="1">
      <c r="A200" s="2"/>
      <c r="B200" s="1"/>
      <c r="C200" s="1"/>
      <c r="D200" s="1"/>
      <c r="E200" s="1"/>
      <c r="F200" s="1"/>
      <c r="G200" s="1"/>
      <c r="H200" s="1"/>
      <c r="I200" s="61"/>
      <c r="J200" s="1"/>
      <c r="K200" s="1"/>
    </row>
    <row r="201" spans="1:11" ht="15.75" customHeight="1">
      <c r="A201" s="2"/>
      <c r="B201" s="1"/>
      <c r="C201" s="1"/>
      <c r="D201" s="1"/>
      <c r="E201" s="1"/>
      <c r="F201" s="1"/>
      <c r="G201" s="1"/>
      <c r="H201" s="1"/>
      <c r="I201" s="61"/>
      <c r="J201" s="1"/>
      <c r="K201" s="1"/>
    </row>
    <row r="202" spans="1:11" ht="15.75" customHeight="1">
      <c r="A202" s="2"/>
      <c r="B202" s="1"/>
      <c r="C202" s="1"/>
      <c r="D202" s="1"/>
      <c r="E202" s="1"/>
      <c r="F202" s="1"/>
      <c r="G202" s="1"/>
      <c r="H202" s="1"/>
      <c r="I202" s="61"/>
      <c r="J202" s="1"/>
      <c r="K202" s="1"/>
    </row>
    <row r="203" spans="1:11" ht="15.75" customHeight="1">
      <c r="A203" s="2"/>
      <c r="B203" s="1"/>
      <c r="C203" s="1"/>
      <c r="D203" s="1"/>
      <c r="E203" s="1"/>
      <c r="F203" s="1"/>
      <c r="G203" s="1"/>
      <c r="H203" s="1"/>
      <c r="I203" s="61"/>
      <c r="J203" s="1"/>
      <c r="K203" s="1"/>
    </row>
    <row r="204" spans="1:11" ht="15.75" customHeight="1">
      <c r="A204" s="2"/>
      <c r="B204" s="1"/>
      <c r="C204" s="1"/>
      <c r="D204" s="1"/>
      <c r="E204" s="1"/>
      <c r="F204" s="1"/>
      <c r="G204" s="1"/>
      <c r="H204" s="1"/>
      <c r="I204" s="61"/>
      <c r="J204" s="1"/>
      <c r="K204" s="1"/>
    </row>
    <row r="205" spans="1:11" ht="15.75" customHeight="1">
      <c r="A205" s="2"/>
      <c r="B205" s="1"/>
      <c r="C205" s="1"/>
      <c r="D205" s="1"/>
      <c r="E205" s="1"/>
      <c r="F205" s="1"/>
      <c r="G205" s="1"/>
      <c r="H205" s="1"/>
      <c r="I205" s="61"/>
      <c r="J205" s="1"/>
      <c r="K205" s="1"/>
    </row>
    <row r="206" spans="1:11" ht="15.75" customHeight="1">
      <c r="A206" s="2"/>
      <c r="B206" s="1"/>
      <c r="C206" s="1"/>
      <c r="D206" s="1"/>
      <c r="E206" s="1"/>
      <c r="F206" s="1"/>
      <c r="G206" s="1"/>
      <c r="H206" s="1"/>
      <c r="I206" s="61"/>
      <c r="J206" s="1"/>
      <c r="K206" s="1"/>
    </row>
    <row r="207" spans="1:11" ht="15.75" customHeight="1">
      <c r="A207" s="2"/>
      <c r="B207" s="1"/>
      <c r="C207" s="1"/>
      <c r="D207" s="1"/>
      <c r="E207" s="1"/>
      <c r="F207" s="1"/>
      <c r="G207" s="1"/>
      <c r="H207" s="1"/>
      <c r="I207" s="61"/>
      <c r="J207" s="1"/>
      <c r="K207" s="1"/>
    </row>
    <row r="208" spans="1:11" ht="15.75" customHeight="1">
      <c r="A208" s="2"/>
      <c r="B208" s="1"/>
      <c r="C208" s="1"/>
      <c r="D208" s="1"/>
      <c r="E208" s="1"/>
      <c r="F208" s="1"/>
      <c r="G208" s="1"/>
      <c r="H208" s="1"/>
      <c r="I208" s="61"/>
      <c r="J208" s="1"/>
      <c r="K208" s="1"/>
    </row>
    <row r="209" spans="1:11" ht="15.75" customHeight="1">
      <c r="A209" s="2"/>
      <c r="B209" s="1"/>
      <c r="C209" s="1"/>
      <c r="D209" s="1"/>
      <c r="E209" s="1"/>
      <c r="F209" s="1"/>
      <c r="G209" s="1"/>
      <c r="H209" s="1"/>
      <c r="I209" s="61"/>
      <c r="J209" s="1"/>
      <c r="K209" s="1"/>
    </row>
    <row r="210" spans="1:11" ht="15.75" customHeight="1">
      <c r="A210" s="2"/>
      <c r="B210" s="1"/>
      <c r="C210" s="1"/>
      <c r="D210" s="1"/>
      <c r="E210" s="1"/>
      <c r="F210" s="1"/>
      <c r="G210" s="1"/>
      <c r="H210" s="1"/>
      <c r="I210" s="61"/>
      <c r="J210" s="1"/>
      <c r="K210" s="1"/>
    </row>
    <row r="211" spans="1:11" ht="15.75" customHeight="1">
      <c r="A211" s="2"/>
      <c r="B211" s="1"/>
      <c r="C211" s="1"/>
      <c r="D211" s="1"/>
      <c r="E211" s="1"/>
      <c r="F211" s="1"/>
      <c r="G211" s="1"/>
      <c r="H211" s="1"/>
      <c r="I211" s="61"/>
      <c r="J211" s="1"/>
      <c r="K211" s="1"/>
    </row>
    <row r="212" spans="1:11" ht="15.75" customHeight="1">
      <c r="A212" s="2"/>
      <c r="B212" s="1"/>
      <c r="C212" s="1"/>
      <c r="D212" s="1"/>
      <c r="E212" s="1"/>
      <c r="F212" s="1"/>
      <c r="G212" s="1"/>
      <c r="H212" s="1"/>
      <c r="I212" s="61"/>
      <c r="J212" s="1"/>
      <c r="K212" s="1"/>
    </row>
    <row r="213" spans="1:11" ht="15.75" customHeight="1">
      <c r="A213" s="2"/>
      <c r="B213" s="1"/>
      <c r="C213" s="1"/>
      <c r="D213" s="1"/>
      <c r="E213" s="1"/>
      <c r="F213" s="1"/>
      <c r="G213" s="1"/>
      <c r="H213" s="1"/>
      <c r="I213" s="61"/>
      <c r="J213" s="1"/>
      <c r="K213" s="1"/>
    </row>
    <row r="214" spans="1:11" ht="15.75" customHeight="1">
      <c r="A214" s="2"/>
      <c r="B214" s="1"/>
      <c r="C214" s="1"/>
      <c r="D214" s="1"/>
      <c r="E214" s="1"/>
      <c r="F214" s="1"/>
      <c r="G214" s="1"/>
      <c r="H214" s="1"/>
      <c r="I214" s="61"/>
      <c r="J214" s="1"/>
      <c r="K214" s="1"/>
    </row>
    <row r="215" spans="1:11" ht="15.75" customHeight="1">
      <c r="A215" s="2"/>
      <c r="B215" s="1"/>
      <c r="C215" s="1"/>
      <c r="D215" s="1"/>
      <c r="E215" s="1"/>
      <c r="F215" s="1"/>
      <c r="G215" s="1"/>
      <c r="H215" s="1"/>
      <c r="I215" s="61"/>
      <c r="J215" s="1"/>
      <c r="K215" s="1"/>
    </row>
    <row r="216" spans="1:11" ht="15.75" customHeight="1">
      <c r="A216" s="2"/>
      <c r="B216" s="1"/>
      <c r="C216" s="1"/>
      <c r="D216" s="1"/>
      <c r="E216" s="1"/>
      <c r="F216" s="1"/>
      <c r="G216" s="1"/>
      <c r="H216" s="1"/>
      <c r="I216" s="61"/>
      <c r="J216" s="1"/>
      <c r="K216" s="1"/>
    </row>
    <row r="217" spans="1:11" ht="15.75" customHeight="1">
      <c r="A217" s="2"/>
      <c r="B217" s="1"/>
      <c r="C217" s="1"/>
      <c r="D217" s="1"/>
      <c r="E217" s="1"/>
      <c r="F217" s="1"/>
      <c r="G217" s="1"/>
      <c r="H217" s="1"/>
      <c r="I217" s="61"/>
      <c r="J217" s="1"/>
      <c r="K217" s="1"/>
    </row>
    <row r="218" spans="1:11" ht="15.75" customHeight="1">
      <c r="A218" s="2"/>
      <c r="B218" s="1"/>
      <c r="C218" s="1"/>
      <c r="D218" s="1"/>
      <c r="E218" s="1"/>
      <c r="F218" s="1"/>
      <c r="G218" s="1"/>
      <c r="H218" s="1"/>
      <c r="I218" s="61"/>
      <c r="J218" s="1"/>
      <c r="K218" s="1"/>
    </row>
    <row r="219" spans="1:11" ht="15.75" customHeight="1">
      <c r="A219" s="2"/>
      <c r="B219" s="1"/>
      <c r="C219" s="1"/>
      <c r="D219" s="1"/>
      <c r="E219" s="1"/>
      <c r="F219" s="1"/>
      <c r="G219" s="1"/>
      <c r="H219" s="1"/>
      <c r="I219" s="61"/>
      <c r="J219" s="1"/>
      <c r="K219" s="1"/>
    </row>
    <row r="220" spans="1:11" ht="15.75" customHeight="1">
      <c r="A220" s="2"/>
      <c r="B220" s="1"/>
      <c r="C220" s="1"/>
      <c r="D220" s="1"/>
      <c r="E220" s="1"/>
      <c r="F220" s="1"/>
      <c r="G220" s="1"/>
      <c r="H220" s="1"/>
      <c r="I220" s="61"/>
      <c r="J220" s="1"/>
      <c r="K220" s="1"/>
    </row>
    <row r="221" spans="1:11" ht="15.75" customHeight="1">
      <c r="A221" s="2"/>
      <c r="B221" s="1"/>
      <c r="C221" s="1"/>
      <c r="D221" s="1"/>
      <c r="E221" s="1"/>
      <c r="F221" s="1"/>
      <c r="G221" s="1"/>
      <c r="H221" s="1"/>
      <c r="I221" s="61"/>
      <c r="J221" s="1"/>
      <c r="K221" s="1"/>
    </row>
    <row r="222" spans="1:11" ht="15.75" customHeight="1">
      <c r="A222" s="2"/>
      <c r="B222" s="1"/>
      <c r="C222" s="1"/>
      <c r="D222" s="1"/>
      <c r="E222" s="1"/>
      <c r="F222" s="1"/>
      <c r="G222" s="1"/>
      <c r="H222" s="1"/>
      <c r="I222" s="61"/>
      <c r="J222" s="1"/>
      <c r="K222" s="1"/>
    </row>
    <row r="223" spans="1:11" ht="15.75" customHeight="1">
      <c r="A223" s="2"/>
      <c r="B223" s="1"/>
      <c r="C223" s="1"/>
      <c r="D223" s="1"/>
      <c r="E223" s="1"/>
      <c r="F223" s="1"/>
      <c r="G223" s="1"/>
      <c r="H223" s="1"/>
      <c r="I223" s="61"/>
      <c r="J223" s="1"/>
      <c r="K223" s="1"/>
    </row>
    <row r="224" spans="1:11" ht="15.75" customHeight="1">
      <c r="A224" s="2"/>
      <c r="B224" s="1"/>
      <c r="C224" s="1"/>
      <c r="D224" s="1"/>
      <c r="E224" s="1"/>
      <c r="F224" s="1"/>
      <c r="G224" s="1"/>
      <c r="H224" s="1"/>
      <c r="I224" s="61"/>
      <c r="J224" s="1"/>
      <c r="K224" s="1"/>
    </row>
    <row r="225" spans="1:11" ht="15.75" customHeight="1">
      <c r="A225" s="2"/>
      <c r="B225" s="1"/>
      <c r="C225" s="1"/>
      <c r="D225" s="1"/>
      <c r="E225" s="1"/>
      <c r="F225" s="1"/>
      <c r="G225" s="1"/>
      <c r="H225" s="1"/>
      <c r="I225" s="61"/>
      <c r="J225" s="1"/>
      <c r="K225" s="1"/>
    </row>
    <row r="226" spans="1:11" ht="15.75" customHeight="1">
      <c r="A226" s="2"/>
      <c r="B226" s="1"/>
      <c r="C226" s="1"/>
      <c r="D226" s="1"/>
      <c r="E226" s="1"/>
      <c r="F226" s="1"/>
      <c r="G226" s="1"/>
      <c r="H226" s="1"/>
      <c r="I226" s="61"/>
      <c r="J226" s="1"/>
      <c r="K226" s="1"/>
    </row>
    <row r="227" spans="1:11" ht="15.75" customHeight="1">
      <c r="A227" s="2"/>
      <c r="B227" s="1"/>
      <c r="C227" s="1"/>
      <c r="D227" s="1"/>
      <c r="E227" s="1"/>
      <c r="F227" s="1"/>
      <c r="G227" s="1"/>
      <c r="H227" s="1"/>
      <c r="I227" s="61"/>
      <c r="J227" s="1"/>
      <c r="K227" s="1"/>
    </row>
    <row r="228" spans="1:11" ht="15.75" customHeight="1">
      <c r="A228" s="2"/>
      <c r="B228" s="1"/>
      <c r="C228" s="1"/>
      <c r="D228" s="1"/>
      <c r="E228" s="1"/>
      <c r="F228" s="1"/>
      <c r="G228" s="1"/>
      <c r="H228" s="1"/>
      <c r="I228" s="61"/>
      <c r="J228" s="1"/>
      <c r="K228" s="1"/>
    </row>
    <row r="229" spans="1:11" ht="15.75" customHeight="1">
      <c r="A229" s="2"/>
      <c r="B229" s="1"/>
      <c r="C229" s="1"/>
      <c r="D229" s="1"/>
      <c r="E229" s="1"/>
      <c r="F229" s="1"/>
      <c r="G229" s="1"/>
      <c r="H229" s="1"/>
      <c r="I229" s="61"/>
      <c r="J229" s="1"/>
      <c r="K229" s="1"/>
    </row>
    <row r="230" spans="1:11" ht="15.75" customHeight="1">
      <c r="A230" s="2"/>
      <c r="B230" s="1"/>
      <c r="C230" s="1"/>
      <c r="D230" s="1"/>
      <c r="E230" s="1"/>
      <c r="F230" s="1"/>
      <c r="G230" s="1"/>
      <c r="H230" s="1"/>
      <c r="I230" s="61"/>
      <c r="J230" s="1"/>
      <c r="K230" s="1"/>
    </row>
    <row r="231" spans="1:11" ht="15.75" customHeight="1">
      <c r="A231" s="2"/>
      <c r="B231" s="1"/>
      <c r="C231" s="1"/>
      <c r="D231" s="1"/>
      <c r="E231" s="1"/>
      <c r="F231" s="1"/>
      <c r="G231" s="1"/>
      <c r="H231" s="1"/>
      <c r="I231" s="61"/>
      <c r="J231" s="1"/>
      <c r="K231" s="1"/>
    </row>
    <row r="232" spans="1:11" ht="15.75" customHeight="1">
      <c r="A232" s="2"/>
      <c r="B232" s="1"/>
      <c r="C232" s="1"/>
      <c r="D232" s="1"/>
      <c r="E232" s="1"/>
      <c r="F232" s="1"/>
      <c r="G232" s="1"/>
      <c r="H232" s="1"/>
      <c r="I232" s="61"/>
      <c r="J232" s="1"/>
      <c r="K232" s="1"/>
    </row>
    <row r="233" spans="1:11" ht="15.75" customHeight="1">
      <c r="A233" s="2"/>
      <c r="B233" s="1"/>
      <c r="C233" s="1"/>
      <c r="D233" s="1"/>
      <c r="E233" s="1"/>
      <c r="F233" s="1"/>
      <c r="G233" s="1"/>
      <c r="H233" s="1"/>
      <c r="I233" s="61"/>
      <c r="J233" s="1"/>
      <c r="K233" s="1"/>
    </row>
    <row r="234" spans="1:11" ht="15.75" customHeight="1">
      <c r="A234" s="2"/>
      <c r="B234" s="1"/>
      <c r="C234" s="1"/>
      <c r="D234" s="1"/>
      <c r="E234" s="1"/>
      <c r="F234" s="1"/>
      <c r="G234" s="1"/>
      <c r="H234" s="1"/>
      <c r="I234" s="61"/>
      <c r="J234" s="1"/>
      <c r="K234" s="1"/>
    </row>
    <row r="235" spans="1:11" ht="15.75" customHeight="1">
      <c r="A235" s="2"/>
      <c r="B235" s="1"/>
      <c r="C235" s="1"/>
      <c r="D235" s="1"/>
      <c r="E235" s="1"/>
      <c r="F235" s="1"/>
      <c r="G235" s="1"/>
      <c r="H235" s="1"/>
      <c r="I235" s="61"/>
      <c r="J235" s="1"/>
      <c r="K235" s="1"/>
    </row>
    <row r="236" spans="1:11" ht="15.75" customHeight="1">
      <c r="A236" s="2"/>
      <c r="B236" s="1"/>
      <c r="C236" s="1"/>
      <c r="D236" s="1"/>
      <c r="E236" s="1"/>
      <c r="F236" s="1"/>
      <c r="G236" s="1"/>
      <c r="H236" s="1"/>
      <c r="I236" s="61"/>
      <c r="J236" s="1"/>
      <c r="K236" s="1"/>
    </row>
    <row r="237" spans="1:11" ht="15.75" customHeight="1">
      <c r="A237" s="2"/>
      <c r="B237" s="1"/>
      <c r="C237" s="1"/>
      <c r="D237" s="1"/>
      <c r="E237" s="1"/>
      <c r="F237" s="1"/>
      <c r="G237" s="1"/>
      <c r="H237" s="1"/>
      <c r="I237" s="61"/>
      <c r="J237" s="1"/>
      <c r="K237" s="1"/>
    </row>
    <row r="238" spans="1:11" ht="15.75" customHeight="1">
      <c r="A238" s="2"/>
      <c r="B238" s="1"/>
      <c r="C238" s="1"/>
      <c r="D238" s="1"/>
      <c r="E238" s="1"/>
      <c r="F238" s="1"/>
      <c r="G238" s="1"/>
      <c r="H238" s="1"/>
      <c r="I238" s="61"/>
      <c r="J238" s="1"/>
      <c r="K238" s="1"/>
    </row>
    <row r="239" spans="1:11" ht="15.75" customHeight="1">
      <c r="A239" s="2"/>
      <c r="B239" s="1"/>
      <c r="C239" s="1"/>
      <c r="D239" s="1"/>
      <c r="E239" s="1"/>
      <c r="F239" s="1"/>
      <c r="G239" s="1"/>
      <c r="H239" s="1"/>
      <c r="I239" s="61"/>
      <c r="J239" s="1"/>
      <c r="K239" s="1"/>
    </row>
    <row r="240" spans="1:11" ht="15.75" customHeight="1">
      <c r="A240" s="2"/>
      <c r="B240" s="1"/>
      <c r="C240" s="1"/>
      <c r="D240" s="1"/>
      <c r="E240" s="1"/>
      <c r="F240" s="1"/>
      <c r="G240" s="1"/>
      <c r="H240" s="1"/>
      <c r="I240" s="61"/>
      <c r="J240" s="1"/>
      <c r="K240" s="1"/>
    </row>
    <row r="241" spans="1:11" ht="15.75" customHeight="1">
      <c r="A241" s="2"/>
      <c r="B241" s="1"/>
      <c r="C241" s="1"/>
      <c r="D241" s="1"/>
      <c r="E241" s="1"/>
      <c r="F241" s="1"/>
      <c r="G241" s="1"/>
      <c r="H241" s="1"/>
      <c r="I241" s="61"/>
      <c r="J241" s="1"/>
      <c r="K241" s="1"/>
    </row>
    <row r="242" spans="1:11" ht="15.75" customHeight="1">
      <c r="A242" s="2"/>
      <c r="B242" s="1"/>
      <c r="C242" s="1"/>
      <c r="D242" s="1"/>
      <c r="E242" s="1"/>
      <c r="F242" s="1"/>
      <c r="G242" s="1"/>
      <c r="H242" s="1"/>
      <c r="I242" s="61"/>
      <c r="J242" s="1"/>
      <c r="K242" s="1"/>
    </row>
    <row r="243" spans="1:11" ht="15.75" customHeight="1">
      <c r="A243" s="2"/>
      <c r="B243" s="1"/>
      <c r="C243" s="1"/>
      <c r="D243" s="1"/>
      <c r="E243" s="1"/>
      <c r="F243" s="1"/>
      <c r="G243" s="1"/>
      <c r="H243" s="1"/>
      <c r="I243" s="61"/>
      <c r="J243" s="1"/>
      <c r="K243" s="1"/>
    </row>
    <row r="244" spans="1:11" ht="15.75" customHeight="1">
      <c r="A244" s="2"/>
      <c r="B244" s="1"/>
      <c r="C244" s="1"/>
      <c r="D244" s="1"/>
      <c r="E244" s="1"/>
      <c r="F244" s="1"/>
      <c r="G244" s="1"/>
      <c r="H244" s="1"/>
      <c r="I244" s="61"/>
      <c r="J244" s="1"/>
      <c r="K244" s="1"/>
    </row>
    <row r="245" spans="1:11" ht="15.75" customHeight="1">
      <c r="A245" s="2"/>
      <c r="B245" s="1"/>
      <c r="C245" s="1"/>
      <c r="D245" s="1"/>
      <c r="E245" s="1"/>
      <c r="F245" s="1"/>
      <c r="G245" s="1"/>
      <c r="H245" s="1"/>
      <c r="I245" s="61"/>
      <c r="J245" s="1"/>
      <c r="K245" s="1"/>
    </row>
    <row r="246" spans="1:11" ht="15.75" customHeight="1">
      <c r="A246" s="2"/>
      <c r="B246" s="1"/>
      <c r="C246" s="1"/>
      <c r="D246" s="1"/>
      <c r="E246" s="1"/>
      <c r="F246" s="1"/>
      <c r="G246" s="1"/>
      <c r="H246" s="1"/>
      <c r="I246" s="61"/>
      <c r="J246" s="1"/>
      <c r="K246" s="1"/>
    </row>
    <row r="247" spans="1:11" ht="15.75" customHeight="1">
      <c r="A247" s="2"/>
      <c r="B247" s="1"/>
      <c r="C247" s="1"/>
      <c r="D247" s="1"/>
      <c r="E247" s="1"/>
      <c r="F247" s="1"/>
      <c r="G247" s="1"/>
      <c r="H247" s="1"/>
      <c r="I247" s="61"/>
      <c r="J247" s="1"/>
      <c r="K247" s="1"/>
    </row>
    <row r="248" spans="1:11" ht="15.75" customHeight="1">
      <c r="A248" s="2"/>
      <c r="B248" s="1"/>
      <c r="C248" s="1"/>
      <c r="D248" s="1"/>
      <c r="E248" s="1"/>
      <c r="F248" s="1"/>
      <c r="G248" s="1"/>
      <c r="H248" s="1"/>
      <c r="I248" s="61"/>
      <c r="J248" s="1"/>
      <c r="K248" s="1"/>
    </row>
    <row r="249" spans="1:11" ht="15.75" customHeight="1">
      <c r="A249" s="2"/>
      <c r="B249" s="1"/>
      <c r="C249" s="1"/>
      <c r="D249" s="1"/>
      <c r="E249" s="1"/>
      <c r="F249" s="1"/>
      <c r="G249" s="1"/>
      <c r="H249" s="1"/>
      <c r="I249" s="61"/>
      <c r="J249" s="1"/>
      <c r="K249" s="1"/>
    </row>
    <row r="250" spans="1:11" ht="15.75" customHeight="1">
      <c r="A250" s="2"/>
      <c r="B250" s="1"/>
      <c r="C250" s="1"/>
      <c r="D250" s="1"/>
      <c r="E250" s="1"/>
      <c r="F250" s="1"/>
      <c r="G250" s="1"/>
      <c r="H250" s="1"/>
      <c r="I250" s="61"/>
      <c r="J250" s="1"/>
      <c r="K250" s="1"/>
    </row>
    <row r="251" spans="1:11" ht="15.75" customHeight="1">
      <c r="A251" s="2"/>
      <c r="B251" s="1"/>
      <c r="C251" s="1"/>
      <c r="D251" s="1"/>
      <c r="E251" s="1"/>
      <c r="F251" s="1"/>
      <c r="G251" s="1"/>
      <c r="H251" s="1"/>
      <c r="I251" s="61"/>
      <c r="J251" s="1"/>
      <c r="K251" s="1"/>
    </row>
    <row r="252" spans="1:11" ht="15.75" customHeight="1">
      <c r="A252" s="2"/>
      <c r="B252" s="1"/>
      <c r="C252" s="1"/>
      <c r="D252" s="1"/>
      <c r="E252" s="1"/>
      <c r="F252" s="1"/>
      <c r="G252" s="1"/>
      <c r="H252" s="1"/>
      <c r="I252" s="61"/>
      <c r="J252" s="1"/>
      <c r="K252" s="1"/>
    </row>
    <row r="253" spans="1:11" ht="15.75" customHeight="1">
      <c r="A253" s="2"/>
      <c r="B253" s="1"/>
      <c r="C253" s="1"/>
      <c r="D253" s="1"/>
      <c r="E253" s="1"/>
      <c r="F253" s="1"/>
      <c r="G253" s="1"/>
      <c r="H253" s="1"/>
      <c r="I253" s="61"/>
      <c r="J253" s="1"/>
      <c r="K253" s="1"/>
    </row>
    <row r="254" spans="1:11" ht="15.75" customHeight="1">
      <c r="A254" s="2"/>
      <c r="B254" s="1"/>
      <c r="C254" s="1"/>
      <c r="D254" s="1"/>
      <c r="E254" s="1"/>
      <c r="F254" s="1"/>
      <c r="G254" s="1"/>
      <c r="H254" s="1"/>
      <c r="I254" s="61"/>
      <c r="J254" s="1"/>
      <c r="K254" s="1"/>
    </row>
    <row r="255" spans="1:11" ht="15.75" customHeight="1">
      <c r="A255" s="2"/>
      <c r="B255" s="1"/>
      <c r="C255" s="1"/>
      <c r="D255" s="1"/>
      <c r="E255" s="1"/>
      <c r="F255" s="1"/>
      <c r="G255" s="1"/>
      <c r="H255" s="1"/>
      <c r="I255" s="61"/>
      <c r="J255" s="1"/>
      <c r="K255" s="1"/>
    </row>
    <row r="256" spans="1:11" ht="15.75" customHeight="1">
      <c r="A256" s="2"/>
      <c r="B256" s="1"/>
      <c r="C256" s="1"/>
      <c r="D256" s="1"/>
      <c r="E256" s="1"/>
      <c r="F256" s="1"/>
      <c r="G256" s="1"/>
      <c r="H256" s="1"/>
      <c r="I256" s="61"/>
      <c r="J256" s="1"/>
      <c r="K256" s="1"/>
    </row>
    <row r="257" spans="1:11" ht="15.75" customHeight="1">
      <c r="A257" s="2"/>
      <c r="B257" s="1"/>
      <c r="C257" s="1"/>
      <c r="D257" s="1"/>
      <c r="E257" s="1"/>
      <c r="F257" s="1"/>
      <c r="G257" s="1"/>
      <c r="H257" s="1"/>
      <c r="I257" s="61"/>
      <c r="J257" s="1"/>
      <c r="K257" s="1"/>
    </row>
    <row r="258" spans="1:11" ht="15.75" customHeight="1">
      <c r="A258" s="2"/>
      <c r="B258" s="1"/>
      <c r="C258" s="1"/>
      <c r="D258" s="1"/>
      <c r="E258" s="1"/>
      <c r="F258" s="1"/>
      <c r="G258" s="1"/>
      <c r="H258" s="1"/>
      <c r="I258" s="61"/>
      <c r="J258" s="1"/>
      <c r="K258" s="1"/>
    </row>
    <row r="259" spans="1:11" ht="15.75" customHeight="1">
      <c r="A259" s="2"/>
      <c r="B259" s="1"/>
      <c r="C259" s="1"/>
      <c r="D259" s="1"/>
      <c r="E259" s="1"/>
      <c r="F259" s="1"/>
      <c r="G259" s="1"/>
      <c r="H259" s="1"/>
      <c r="I259" s="61"/>
      <c r="J259" s="1"/>
      <c r="K259" s="1"/>
    </row>
    <row r="260" spans="1:11" ht="15.75" customHeight="1">
      <c r="A260" s="2"/>
      <c r="B260" s="1"/>
      <c r="C260" s="1"/>
      <c r="D260" s="1"/>
      <c r="E260" s="1"/>
      <c r="F260" s="1"/>
      <c r="G260" s="1"/>
      <c r="H260" s="1"/>
      <c r="I260" s="61"/>
      <c r="J260" s="1"/>
      <c r="K260" s="1"/>
    </row>
    <row r="261" spans="1:11" ht="15.75" customHeight="1">
      <c r="A261" s="2"/>
      <c r="B261" s="1"/>
      <c r="C261" s="1"/>
      <c r="D261" s="1"/>
      <c r="E261" s="1"/>
      <c r="F261" s="1"/>
      <c r="G261" s="1"/>
      <c r="H261" s="1"/>
      <c r="I261" s="61"/>
      <c r="J261" s="1"/>
      <c r="K261" s="1"/>
    </row>
    <row r="262" spans="1:11" ht="15.75" customHeight="1">
      <c r="A262" s="2"/>
      <c r="B262" s="1"/>
      <c r="C262" s="1"/>
      <c r="D262" s="1"/>
      <c r="E262" s="1"/>
      <c r="F262" s="1"/>
      <c r="G262" s="1"/>
      <c r="H262" s="1"/>
      <c r="I262" s="61"/>
      <c r="J262" s="1"/>
      <c r="K262" s="1"/>
    </row>
    <row r="263" spans="1:11" ht="15.75" customHeight="1">
      <c r="A263" s="2"/>
      <c r="B263" s="1"/>
      <c r="C263" s="1"/>
      <c r="D263" s="1"/>
      <c r="E263" s="1"/>
      <c r="F263" s="1"/>
      <c r="G263" s="1"/>
      <c r="H263" s="1"/>
      <c r="I263" s="61"/>
      <c r="J263" s="1"/>
      <c r="K263" s="1"/>
    </row>
    <row r="264" spans="1:11" ht="15.75" customHeight="1">
      <c r="A264" s="2"/>
      <c r="B264" s="1"/>
      <c r="C264" s="1"/>
      <c r="D264" s="1"/>
      <c r="E264" s="1"/>
      <c r="F264" s="1"/>
      <c r="G264" s="1"/>
      <c r="H264" s="1"/>
      <c r="I264" s="61"/>
      <c r="J264" s="1"/>
      <c r="K264" s="1"/>
    </row>
    <row r="265" spans="1:11" ht="15.75" customHeight="1">
      <c r="A265" s="2"/>
      <c r="B265" s="1"/>
      <c r="C265" s="1"/>
      <c r="D265" s="1"/>
      <c r="E265" s="1"/>
      <c r="F265" s="1"/>
      <c r="G265" s="1"/>
      <c r="H265" s="1"/>
      <c r="I265" s="61"/>
      <c r="J265" s="1"/>
      <c r="K265" s="1"/>
    </row>
    <row r="266" spans="1:11" ht="15.75" customHeight="1">
      <c r="A266" s="2"/>
      <c r="B266" s="1"/>
      <c r="C266" s="1"/>
      <c r="D266" s="1"/>
      <c r="E266" s="1"/>
      <c r="F266" s="1"/>
      <c r="G266" s="1"/>
      <c r="H266" s="1"/>
      <c r="I266" s="61"/>
      <c r="J266" s="1"/>
      <c r="K266" s="1"/>
    </row>
    <row r="267" spans="1:11" ht="15.75" customHeight="1">
      <c r="A267" s="2"/>
      <c r="B267" s="1"/>
      <c r="C267" s="1"/>
      <c r="D267" s="1"/>
      <c r="E267" s="1"/>
      <c r="F267" s="1"/>
      <c r="G267" s="1"/>
      <c r="H267" s="1"/>
      <c r="I267" s="61"/>
      <c r="J267" s="1"/>
      <c r="K267" s="1"/>
    </row>
    <row r="268" spans="1:11" ht="15.75" customHeight="1">
      <c r="A268" s="2"/>
      <c r="B268" s="1"/>
      <c r="C268" s="1"/>
      <c r="D268" s="1"/>
      <c r="E268" s="1"/>
      <c r="F268" s="1"/>
      <c r="G268" s="1"/>
      <c r="H268" s="1"/>
      <c r="I268" s="61"/>
      <c r="J268" s="1"/>
      <c r="K268" s="1"/>
    </row>
    <row r="269" spans="1:11" ht="15.75" customHeight="1">
      <c r="A269" s="2"/>
      <c r="B269" s="1"/>
      <c r="C269" s="1"/>
      <c r="D269" s="1"/>
      <c r="E269" s="1"/>
      <c r="F269" s="1"/>
      <c r="G269" s="1"/>
      <c r="H269" s="1"/>
      <c r="I269" s="61"/>
      <c r="J269" s="1"/>
      <c r="K269" s="1"/>
    </row>
    <row r="270" spans="1:11" ht="15.75" customHeight="1">
      <c r="A270" s="2"/>
      <c r="B270" s="1"/>
      <c r="C270" s="1"/>
      <c r="D270" s="1"/>
      <c r="E270" s="1"/>
      <c r="F270" s="1"/>
      <c r="G270" s="1"/>
      <c r="H270" s="1"/>
      <c r="I270" s="61"/>
      <c r="J270" s="1"/>
      <c r="K270" s="1"/>
    </row>
    <row r="271" spans="1:11" ht="15.75" customHeight="1">
      <c r="A271" s="2"/>
      <c r="B271" s="1"/>
      <c r="C271" s="1"/>
      <c r="D271" s="1"/>
      <c r="E271" s="1"/>
      <c r="F271" s="1"/>
      <c r="G271" s="1"/>
      <c r="H271" s="1"/>
      <c r="I271" s="61"/>
      <c r="J271" s="1"/>
      <c r="K271" s="1"/>
    </row>
    <row r="272" spans="1:11" ht="15.75" customHeight="1">
      <c r="A272" s="2"/>
      <c r="B272" s="1"/>
      <c r="C272" s="1"/>
      <c r="D272" s="1"/>
      <c r="E272" s="1"/>
      <c r="F272" s="1"/>
      <c r="G272" s="1"/>
      <c r="H272" s="1"/>
      <c r="I272" s="61"/>
      <c r="J272" s="1"/>
      <c r="K272" s="1"/>
    </row>
    <row r="273" spans="1:11" ht="15.75" customHeight="1">
      <c r="A273" s="2"/>
      <c r="B273" s="1"/>
      <c r="C273" s="1"/>
      <c r="D273" s="1"/>
      <c r="E273" s="1"/>
      <c r="F273" s="1"/>
      <c r="G273" s="1"/>
      <c r="H273" s="1"/>
      <c r="I273" s="61"/>
      <c r="J273" s="1"/>
      <c r="K273" s="1"/>
    </row>
    <row r="274" spans="1:11" ht="15.75" customHeight="1">
      <c r="A274" s="2"/>
      <c r="B274" s="1"/>
      <c r="C274" s="1"/>
      <c r="D274" s="1"/>
      <c r="E274" s="1"/>
      <c r="F274" s="1"/>
      <c r="G274" s="1"/>
      <c r="H274" s="1"/>
      <c r="I274" s="61"/>
      <c r="J274" s="1"/>
      <c r="K274" s="1"/>
    </row>
    <row r="275" spans="1:11" ht="15.75" customHeight="1">
      <c r="A275" s="2"/>
      <c r="B275" s="1"/>
      <c r="C275" s="1"/>
      <c r="D275" s="1"/>
      <c r="E275" s="1"/>
      <c r="F275" s="1"/>
      <c r="G275" s="1"/>
      <c r="H275" s="1"/>
      <c r="I275" s="61"/>
      <c r="J275" s="1"/>
      <c r="K275" s="1"/>
    </row>
    <row r="276" spans="1:11" ht="15.75" customHeight="1">
      <c r="A276" s="2"/>
      <c r="B276" s="1"/>
      <c r="C276" s="1"/>
      <c r="D276" s="1"/>
      <c r="E276" s="1"/>
      <c r="F276" s="1"/>
      <c r="G276" s="1"/>
      <c r="H276" s="1"/>
      <c r="I276" s="61"/>
      <c r="J276" s="1"/>
      <c r="K276" s="1"/>
    </row>
    <row r="277" spans="1:11" ht="15.75" customHeight="1">
      <c r="A277" s="2"/>
      <c r="B277" s="1"/>
      <c r="C277" s="1"/>
      <c r="D277" s="1"/>
      <c r="E277" s="1"/>
      <c r="F277" s="1"/>
      <c r="G277" s="1"/>
      <c r="H277" s="1"/>
      <c r="I277" s="61"/>
      <c r="J277" s="1"/>
      <c r="K277" s="1"/>
    </row>
    <row r="278" spans="1:11" ht="15.75" customHeight="1">
      <c r="A278" s="2"/>
      <c r="B278" s="1"/>
      <c r="C278" s="1"/>
      <c r="D278" s="1"/>
      <c r="E278" s="1"/>
      <c r="F278" s="1"/>
      <c r="G278" s="1"/>
      <c r="H278" s="1"/>
      <c r="I278" s="61"/>
      <c r="J278" s="1"/>
      <c r="K278" s="1"/>
    </row>
    <row r="279" spans="1:11" ht="15.75" customHeight="1">
      <c r="A279" s="2"/>
      <c r="B279" s="1"/>
      <c r="C279" s="1"/>
      <c r="D279" s="1"/>
      <c r="E279" s="1"/>
      <c r="F279" s="1"/>
      <c r="G279" s="1"/>
      <c r="H279" s="1"/>
      <c r="I279" s="61"/>
      <c r="J279" s="1"/>
      <c r="K279" s="1"/>
    </row>
    <row r="280" spans="1:11" ht="15.75" customHeight="1">
      <c r="A280" s="2"/>
      <c r="B280" s="1"/>
      <c r="C280" s="1"/>
      <c r="D280" s="1"/>
      <c r="E280" s="1"/>
      <c r="F280" s="1"/>
      <c r="G280" s="1"/>
      <c r="H280" s="1"/>
      <c r="I280" s="61"/>
      <c r="J280" s="1"/>
      <c r="K280" s="1"/>
    </row>
    <row r="281" spans="1:11" ht="15.75" customHeight="1">
      <c r="A281" s="2"/>
      <c r="B281" s="1"/>
      <c r="C281" s="1"/>
      <c r="D281" s="1"/>
      <c r="E281" s="1"/>
      <c r="F281" s="1"/>
      <c r="G281" s="1"/>
      <c r="H281" s="1"/>
      <c r="I281" s="61"/>
      <c r="J281" s="1"/>
      <c r="K281" s="1"/>
    </row>
    <row r="282" spans="1:11" ht="15.75" customHeight="1">
      <c r="A282" s="2"/>
      <c r="B282" s="1"/>
      <c r="C282" s="1"/>
      <c r="D282" s="1"/>
      <c r="E282" s="1"/>
      <c r="F282" s="1"/>
      <c r="G282" s="1"/>
      <c r="H282" s="1"/>
      <c r="I282" s="61"/>
      <c r="J282" s="1"/>
      <c r="K282" s="1"/>
    </row>
    <row r="283" spans="1:11" ht="15.75" customHeight="1">
      <c r="A283" s="2"/>
      <c r="B283" s="1"/>
      <c r="C283" s="1"/>
      <c r="D283" s="1"/>
      <c r="E283" s="1"/>
      <c r="F283" s="1"/>
      <c r="G283" s="1"/>
      <c r="H283" s="1"/>
      <c r="I283" s="61"/>
      <c r="J283" s="1"/>
      <c r="K283" s="1"/>
    </row>
    <row r="284" spans="1:11" ht="15.75" customHeight="1">
      <c r="A284" s="2"/>
      <c r="B284" s="1"/>
      <c r="C284" s="1"/>
      <c r="D284" s="1"/>
      <c r="E284" s="1"/>
      <c r="F284" s="1"/>
      <c r="G284" s="1"/>
      <c r="H284" s="1"/>
      <c r="I284" s="61"/>
      <c r="J284" s="1"/>
      <c r="K284" s="1"/>
    </row>
    <row r="285" spans="1:11" ht="15.75" customHeight="1">
      <c r="A285" s="2"/>
      <c r="B285" s="1"/>
      <c r="C285" s="1"/>
      <c r="D285" s="1"/>
      <c r="E285" s="1"/>
      <c r="F285" s="1"/>
      <c r="G285" s="1"/>
      <c r="H285" s="1"/>
      <c r="I285" s="61"/>
      <c r="J285" s="1"/>
      <c r="K285" s="1"/>
    </row>
    <row r="286" spans="1:11" ht="15.75" customHeight="1">
      <c r="A286" s="2"/>
      <c r="B286" s="1"/>
      <c r="C286" s="1"/>
      <c r="D286" s="1"/>
      <c r="E286" s="1"/>
      <c r="F286" s="1"/>
      <c r="G286" s="1"/>
      <c r="H286" s="1"/>
      <c r="I286" s="61"/>
      <c r="J286" s="1"/>
      <c r="K286" s="1"/>
    </row>
    <row r="287" spans="1:11" ht="15.75" customHeight="1">
      <c r="A287" s="2"/>
      <c r="B287" s="1"/>
      <c r="C287" s="1"/>
      <c r="D287" s="1"/>
      <c r="E287" s="1"/>
      <c r="F287" s="1"/>
      <c r="G287" s="1"/>
      <c r="H287" s="1"/>
      <c r="I287" s="61"/>
      <c r="J287" s="1"/>
      <c r="K287" s="1"/>
    </row>
    <row r="288" spans="1:11" ht="15.75" customHeight="1">
      <c r="A288" s="2"/>
      <c r="B288" s="1"/>
      <c r="C288" s="1"/>
      <c r="D288" s="1"/>
      <c r="E288" s="1"/>
      <c r="F288" s="1"/>
      <c r="G288" s="1"/>
      <c r="H288" s="1"/>
      <c r="I288" s="61"/>
      <c r="J288" s="1"/>
      <c r="K288" s="1"/>
    </row>
    <row r="289" spans="1:11" ht="15.75" customHeight="1">
      <c r="A289" s="2"/>
      <c r="B289" s="1"/>
      <c r="C289" s="1"/>
      <c r="D289" s="1"/>
      <c r="E289" s="1"/>
      <c r="F289" s="1"/>
      <c r="G289" s="1"/>
      <c r="H289" s="1"/>
      <c r="I289" s="61"/>
      <c r="J289" s="1"/>
      <c r="K289" s="1"/>
    </row>
    <row r="290" spans="1:11" ht="15.75" customHeight="1">
      <c r="A290" s="2"/>
      <c r="B290" s="1"/>
      <c r="C290" s="1"/>
      <c r="D290" s="1"/>
      <c r="E290" s="1"/>
      <c r="F290" s="1"/>
      <c r="G290" s="1"/>
      <c r="H290" s="1"/>
      <c r="I290" s="61"/>
      <c r="J290" s="1"/>
      <c r="K290" s="1"/>
    </row>
    <row r="291" spans="1:11" ht="15.75" customHeight="1">
      <c r="A291" s="2"/>
      <c r="B291" s="1"/>
      <c r="C291" s="1"/>
      <c r="D291" s="1"/>
      <c r="E291" s="1"/>
      <c r="F291" s="1"/>
      <c r="G291" s="1"/>
      <c r="H291" s="1"/>
      <c r="I291" s="61"/>
      <c r="J291" s="1"/>
      <c r="K291" s="1"/>
    </row>
    <row r="292" spans="1:11" ht="15.75" customHeight="1">
      <c r="A292" s="2"/>
      <c r="B292" s="1"/>
      <c r="C292" s="1"/>
      <c r="D292" s="1"/>
      <c r="E292" s="1"/>
      <c r="F292" s="1"/>
      <c r="G292" s="1"/>
      <c r="H292" s="1"/>
      <c r="I292" s="61"/>
      <c r="J292" s="1"/>
      <c r="K292" s="1"/>
    </row>
    <row r="293" spans="1:11" ht="15.75" customHeight="1">
      <c r="A293" s="2"/>
      <c r="B293" s="1"/>
      <c r="C293" s="1"/>
      <c r="D293" s="1"/>
      <c r="E293" s="1"/>
      <c r="F293" s="1"/>
      <c r="G293" s="1"/>
      <c r="H293" s="1"/>
      <c r="I293" s="61"/>
      <c r="J293" s="1"/>
      <c r="K293" s="1"/>
    </row>
    <row r="294" spans="1:11" ht="15.75" customHeight="1">
      <c r="A294" s="2"/>
      <c r="B294" s="1"/>
      <c r="C294" s="1"/>
      <c r="D294" s="1"/>
      <c r="E294" s="1"/>
      <c r="F294" s="1"/>
      <c r="G294" s="1"/>
      <c r="H294" s="1"/>
      <c r="I294" s="61"/>
      <c r="J294" s="1"/>
      <c r="K294" s="1"/>
    </row>
    <row r="295" spans="1:11" ht="15.75" customHeight="1">
      <c r="A295" s="2"/>
      <c r="B295" s="1"/>
      <c r="C295" s="1"/>
      <c r="D295" s="1"/>
      <c r="E295" s="1"/>
      <c r="F295" s="1"/>
      <c r="G295" s="1"/>
      <c r="H295" s="1"/>
      <c r="I295" s="61"/>
      <c r="J295" s="1"/>
      <c r="K295" s="1"/>
    </row>
    <row r="296" spans="1:11" ht="15.75" customHeight="1">
      <c r="A296" s="2"/>
      <c r="B296" s="1"/>
      <c r="C296" s="1"/>
      <c r="D296" s="1"/>
      <c r="E296" s="1"/>
      <c r="F296" s="1"/>
      <c r="G296" s="1"/>
      <c r="H296" s="1"/>
      <c r="I296" s="61"/>
      <c r="J296" s="1"/>
      <c r="K296" s="1"/>
    </row>
    <row r="297" spans="1:11" ht="15.75" customHeight="1">
      <c r="A297" s="2"/>
      <c r="B297" s="1"/>
      <c r="C297" s="1"/>
      <c r="D297" s="1"/>
      <c r="E297" s="1"/>
      <c r="F297" s="1"/>
      <c r="G297" s="1"/>
      <c r="H297" s="1"/>
      <c r="I297" s="61"/>
      <c r="J297" s="1"/>
      <c r="K297" s="1"/>
    </row>
    <row r="298" spans="1:11" ht="15.75" customHeight="1">
      <c r="A298" s="2"/>
      <c r="B298" s="1"/>
      <c r="C298" s="1"/>
      <c r="D298" s="1"/>
      <c r="E298" s="1"/>
      <c r="F298" s="1"/>
      <c r="G298" s="1"/>
      <c r="H298" s="1"/>
      <c r="I298" s="61"/>
      <c r="J298" s="1"/>
      <c r="K298" s="1"/>
    </row>
    <row r="299" spans="1:11" ht="15.75" customHeight="1">
      <c r="A299" s="2"/>
      <c r="B299" s="1"/>
      <c r="C299" s="1"/>
      <c r="D299" s="1"/>
      <c r="E299" s="1"/>
      <c r="F299" s="1"/>
      <c r="G299" s="1"/>
      <c r="H299" s="1"/>
      <c r="I299" s="61"/>
      <c r="J299" s="1"/>
      <c r="K299" s="1"/>
    </row>
    <row r="300" spans="1:11" ht="15.75" customHeight="1">
      <c r="A300" s="2"/>
      <c r="B300" s="1"/>
      <c r="C300" s="1"/>
      <c r="D300" s="1"/>
      <c r="E300" s="1"/>
      <c r="F300" s="1"/>
      <c r="G300" s="1"/>
      <c r="H300" s="1"/>
      <c r="I300" s="61"/>
      <c r="J300" s="1"/>
      <c r="K300" s="1"/>
    </row>
    <row r="301" spans="1:11" ht="15.75" customHeight="1">
      <c r="A301" s="2"/>
      <c r="B301" s="1"/>
      <c r="C301" s="1"/>
      <c r="D301" s="1"/>
      <c r="E301" s="1"/>
      <c r="F301" s="1"/>
      <c r="G301" s="1"/>
      <c r="H301" s="1"/>
      <c r="I301" s="61"/>
      <c r="J301" s="1"/>
      <c r="K301" s="1"/>
    </row>
    <row r="302" spans="1:11" ht="15.75" customHeight="1">
      <c r="A302" s="2"/>
      <c r="B302" s="1"/>
      <c r="C302" s="1"/>
      <c r="D302" s="1"/>
      <c r="E302" s="1"/>
      <c r="F302" s="1"/>
      <c r="G302" s="1"/>
      <c r="H302" s="1"/>
      <c r="I302" s="61"/>
      <c r="J302" s="1"/>
      <c r="K302" s="1"/>
    </row>
    <row r="303" spans="1:11" ht="15.75" customHeight="1">
      <c r="A303" s="2"/>
      <c r="B303" s="1"/>
      <c r="C303" s="1"/>
      <c r="D303" s="1"/>
      <c r="E303" s="1"/>
      <c r="F303" s="1"/>
      <c r="G303" s="1"/>
      <c r="H303" s="1"/>
      <c r="I303" s="61"/>
      <c r="J303" s="1"/>
      <c r="K303" s="1"/>
    </row>
    <row r="304" spans="1:11" ht="15.75" customHeight="1">
      <c r="A304" s="2"/>
      <c r="B304" s="1"/>
      <c r="C304" s="1"/>
      <c r="D304" s="1"/>
      <c r="E304" s="1"/>
      <c r="F304" s="1"/>
      <c r="G304" s="1"/>
      <c r="H304" s="1"/>
      <c r="I304" s="61"/>
      <c r="J304" s="1"/>
      <c r="K304" s="1"/>
    </row>
    <row r="305" spans="1:11" ht="15.75" customHeight="1">
      <c r="A305" s="2"/>
      <c r="B305" s="1"/>
      <c r="C305" s="1"/>
      <c r="D305" s="1"/>
      <c r="E305" s="1"/>
      <c r="F305" s="1"/>
      <c r="G305" s="1"/>
      <c r="H305" s="1"/>
      <c r="I305" s="61"/>
      <c r="J305" s="1"/>
      <c r="K305" s="1"/>
    </row>
    <row r="306" spans="1:11" ht="15.75" customHeight="1">
      <c r="A306" s="2"/>
      <c r="B306" s="1"/>
      <c r="C306" s="1"/>
      <c r="D306" s="1"/>
      <c r="E306" s="1"/>
      <c r="F306" s="1"/>
      <c r="G306" s="1"/>
      <c r="H306" s="1"/>
      <c r="I306" s="61"/>
      <c r="J306" s="1"/>
      <c r="K306" s="1"/>
    </row>
    <row r="307" spans="1:11" ht="15.75" customHeight="1">
      <c r="A307" s="2"/>
      <c r="B307" s="1"/>
      <c r="C307" s="1"/>
      <c r="D307" s="1"/>
      <c r="E307" s="1"/>
      <c r="F307" s="1"/>
      <c r="G307" s="1"/>
      <c r="H307" s="1"/>
      <c r="I307" s="61"/>
      <c r="J307" s="1"/>
      <c r="K307" s="1"/>
    </row>
    <row r="308" spans="1:11" ht="15.75" customHeight="1">
      <c r="A308" s="2"/>
      <c r="B308" s="1"/>
      <c r="C308" s="1"/>
      <c r="D308" s="1"/>
      <c r="E308" s="1"/>
      <c r="F308" s="1"/>
      <c r="G308" s="1"/>
      <c r="H308" s="1"/>
      <c r="I308" s="61"/>
      <c r="J308" s="1"/>
      <c r="K308" s="1"/>
    </row>
    <row r="309" spans="1:11" ht="15.75" customHeight="1">
      <c r="A309" s="2"/>
      <c r="B309" s="1"/>
      <c r="C309" s="1"/>
      <c r="D309" s="1"/>
      <c r="E309" s="1"/>
      <c r="F309" s="1"/>
      <c r="G309" s="1"/>
      <c r="H309" s="1"/>
      <c r="I309" s="61"/>
      <c r="J309" s="1"/>
      <c r="K309" s="1"/>
    </row>
    <row r="310" spans="1:11" ht="15.75" customHeight="1">
      <c r="A310" s="2"/>
      <c r="B310" s="1"/>
      <c r="C310" s="1"/>
      <c r="D310" s="1"/>
      <c r="E310" s="1"/>
      <c r="F310" s="1"/>
      <c r="G310" s="1"/>
      <c r="H310" s="1"/>
      <c r="I310" s="61"/>
      <c r="J310" s="1"/>
      <c r="K310" s="1"/>
    </row>
    <row r="311" spans="1:11" ht="15.75" customHeight="1">
      <c r="A311" s="2"/>
      <c r="B311" s="1"/>
      <c r="C311" s="1"/>
      <c r="D311" s="1"/>
      <c r="E311" s="1"/>
      <c r="F311" s="1"/>
      <c r="G311" s="1"/>
      <c r="H311" s="1"/>
      <c r="I311" s="61"/>
      <c r="J311" s="1"/>
      <c r="K311" s="1"/>
    </row>
    <row r="312" spans="1:11" ht="15.75" customHeight="1">
      <c r="A312" s="2"/>
      <c r="B312" s="1"/>
      <c r="C312" s="1"/>
      <c r="D312" s="1"/>
      <c r="E312" s="1"/>
      <c r="F312" s="1"/>
      <c r="G312" s="1"/>
      <c r="H312" s="1"/>
      <c r="I312" s="61"/>
      <c r="J312" s="1"/>
      <c r="K312" s="1"/>
    </row>
    <row r="313" spans="1:11" ht="15.75" customHeight="1">
      <c r="A313" s="2"/>
      <c r="B313" s="1"/>
      <c r="C313" s="1"/>
      <c r="D313" s="1"/>
      <c r="E313" s="1"/>
      <c r="F313" s="1"/>
      <c r="G313" s="1"/>
      <c r="H313" s="1"/>
      <c r="I313" s="61"/>
      <c r="J313" s="1"/>
      <c r="K313" s="1"/>
    </row>
    <row r="314" spans="1:11" ht="15.75" customHeight="1">
      <c r="A314" s="2"/>
      <c r="B314" s="1"/>
      <c r="C314" s="1"/>
      <c r="D314" s="1"/>
      <c r="E314" s="1"/>
      <c r="F314" s="1"/>
      <c r="G314" s="1"/>
      <c r="H314" s="1"/>
      <c r="I314" s="61"/>
      <c r="J314" s="1"/>
      <c r="K314" s="1"/>
    </row>
    <row r="315" spans="1:11" ht="15.75" customHeight="1">
      <c r="A315" s="2"/>
      <c r="B315" s="1"/>
      <c r="C315" s="1"/>
      <c r="D315" s="1"/>
      <c r="E315" s="1"/>
      <c r="F315" s="1"/>
      <c r="G315" s="1"/>
      <c r="H315" s="1"/>
      <c r="I315" s="61"/>
      <c r="J315" s="1"/>
      <c r="K315" s="1"/>
    </row>
    <row r="316" spans="1:11" ht="15.75" customHeight="1">
      <c r="A316" s="2"/>
      <c r="B316" s="1"/>
      <c r="C316" s="1"/>
      <c r="D316" s="1"/>
      <c r="E316" s="1"/>
      <c r="F316" s="1"/>
      <c r="G316" s="1"/>
      <c r="H316" s="1"/>
      <c r="I316" s="61"/>
      <c r="J316" s="1"/>
      <c r="K316" s="1"/>
    </row>
    <row r="317" spans="1:11" ht="15.75" customHeight="1">
      <c r="A317" s="2"/>
      <c r="B317" s="1"/>
      <c r="C317" s="1"/>
      <c r="D317" s="1"/>
      <c r="E317" s="1"/>
      <c r="F317" s="1"/>
      <c r="G317" s="1"/>
      <c r="H317" s="1"/>
      <c r="I317" s="61"/>
      <c r="J317" s="1"/>
      <c r="K317" s="1"/>
    </row>
    <row r="318" spans="1:11" ht="15.75" customHeight="1">
      <c r="A318" s="2"/>
      <c r="B318" s="1"/>
      <c r="C318" s="1"/>
      <c r="D318" s="1"/>
      <c r="E318" s="1"/>
      <c r="F318" s="1"/>
      <c r="G318" s="1"/>
      <c r="H318" s="1"/>
      <c r="I318" s="61"/>
      <c r="J318" s="1"/>
      <c r="K318" s="1"/>
    </row>
    <row r="319" spans="1:11" ht="15.75" customHeight="1">
      <c r="A319" s="2"/>
      <c r="B319" s="1"/>
      <c r="C319" s="1"/>
      <c r="D319" s="1"/>
      <c r="E319" s="1"/>
      <c r="F319" s="1"/>
      <c r="G319" s="1"/>
      <c r="H319" s="1"/>
      <c r="I319" s="61"/>
      <c r="J319" s="1"/>
      <c r="K319" s="1"/>
    </row>
    <row r="320" spans="1:11" ht="15.75" customHeight="1">
      <c r="A320" s="2"/>
      <c r="B320" s="1"/>
      <c r="C320" s="1"/>
      <c r="D320" s="1"/>
      <c r="E320" s="1"/>
      <c r="F320" s="1"/>
      <c r="G320" s="1"/>
      <c r="H320" s="1"/>
      <c r="I320" s="61"/>
      <c r="J320" s="1"/>
      <c r="K320" s="1"/>
    </row>
    <row r="321" spans="1:11" ht="15.75" customHeight="1">
      <c r="A321" s="2"/>
      <c r="B321" s="1"/>
      <c r="C321" s="1"/>
      <c r="D321" s="1"/>
      <c r="E321" s="1"/>
      <c r="F321" s="1"/>
      <c r="G321" s="1"/>
      <c r="H321" s="1"/>
      <c r="I321" s="61"/>
      <c r="J321" s="1"/>
      <c r="K321" s="1"/>
    </row>
    <row r="322" spans="1:11" ht="15.75" customHeight="1">
      <c r="A322" s="2"/>
      <c r="B322" s="1"/>
      <c r="C322" s="1"/>
      <c r="D322" s="1"/>
      <c r="E322" s="1"/>
      <c r="F322" s="1"/>
      <c r="G322" s="1"/>
      <c r="H322" s="1"/>
      <c r="I322" s="61"/>
      <c r="J322" s="1"/>
      <c r="K322" s="1"/>
    </row>
    <row r="323" spans="1:11" ht="15.75" customHeight="1">
      <c r="A323" s="2"/>
      <c r="B323" s="1"/>
      <c r="C323" s="1"/>
      <c r="D323" s="1"/>
      <c r="E323" s="1"/>
      <c r="F323" s="1"/>
      <c r="G323" s="1"/>
      <c r="H323" s="1"/>
      <c r="I323" s="61"/>
      <c r="J323" s="1"/>
      <c r="K323" s="1"/>
    </row>
    <row r="324" spans="1:11" ht="15.75" customHeight="1">
      <c r="A324" s="2"/>
      <c r="B324" s="1"/>
      <c r="C324" s="1"/>
      <c r="D324" s="1"/>
      <c r="E324" s="1"/>
      <c r="F324" s="1"/>
      <c r="G324" s="1"/>
      <c r="H324" s="1"/>
      <c r="I324" s="61"/>
      <c r="J324" s="1"/>
      <c r="K324" s="1"/>
    </row>
    <row r="325" spans="1:11" ht="15.75" customHeight="1">
      <c r="A325" s="2"/>
      <c r="B325" s="1"/>
      <c r="C325" s="1"/>
      <c r="D325" s="1"/>
      <c r="E325" s="1"/>
      <c r="F325" s="1"/>
      <c r="G325" s="1"/>
      <c r="H325" s="1"/>
      <c r="I325" s="61"/>
      <c r="J325" s="1"/>
      <c r="K325" s="1"/>
    </row>
    <row r="326" spans="1:11" ht="15.75" customHeight="1">
      <c r="A326" s="2"/>
      <c r="B326" s="1"/>
      <c r="C326" s="1"/>
      <c r="D326" s="1"/>
      <c r="E326" s="1"/>
      <c r="F326" s="1"/>
      <c r="G326" s="1"/>
      <c r="H326" s="1"/>
      <c r="I326" s="61"/>
      <c r="J326" s="1"/>
      <c r="K326" s="1"/>
    </row>
    <row r="327" spans="1:11" ht="15.75" customHeight="1">
      <c r="A327" s="2"/>
      <c r="B327" s="1"/>
      <c r="C327" s="1"/>
      <c r="D327" s="1"/>
      <c r="E327" s="1"/>
      <c r="F327" s="1"/>
      <c r="G327" s="1"/>
      <c r="H327" s="1"/>
      <c r="I327" s="61"/>
      <c r="J327" s="1"/>
      <c r="K327" s="1"/>
    </row>
    <row r="328" spans="1:11" ht="15.75" customHeight="1">
      <c r="A328" s="2"/>
      <c r="B328" s="1"/>
      <c r="C328" s="1"/>
      <c r="D328" s="1"/>
      <c r="E328" s="1"/>
      <c r="F328" s="1"/>
      <c r="G328" s="1"/>
      <c r="H328" s="1"/>
      <c r="I328" s="61"/>
      <c r="J328" s="1"/>
      <c r="K328" s="1"/>
    </row>
    <row r="329" spans="1:11" ht="15.75" customHeight="1">
      <c r="A329" s="2"/>
      <c r="B329" s="1"/>
      <c r="C329" s="1"/>
      <c r="D329" s="1"/>
      <c r="E329" s="1"/>
      <c r="F329" s="1"/>
      <c r="G329" s="1"/>
      <c r="H329" s="1"/>
      <c r="I329" s="61"/>
      <c r="J329" s="1"/>
      <c r="K329" s="1"/>
    </row>
    <row r="330" spans="1:11" ht="15.75" customHeight="1">
      <c r="A330" s="2"/>
      <c r="B330" s="1"/>
      <c r="C330" s="1"/>
      <c r="D330" s="1"/>
      <c r="E330" s="1"/>
      <c r="F330" s="1"/>
      <c r="G330" s="1"/>
      <c r="H330" s="1"/>
      <c r="I330" s="61"/>
      <c r="J330" s="1"/>
      <c r="K330" s="1"/>
    </row>
    <row r="331" spans="1:11" ht="15.75" customHeight="1">
      <c r="A331" s="2"/>
      <c r="B331" s="1"/>
      <c r="C331" s="1"/>
      <c r="D331" s="1"/>
      <c r="E331" s="1"/>
      <c r="F331" s="1"/>
      <c r="G331" s="1"/>
      <c r="H331" s="1"/>
      <c r="I331" s="61"/>
      <c r="J331" s="1"/>
      <c r="K331" s="1"/>
    </row>
    <row r="332" spans="1:11" ht="15.75" customHeight="1">
      <c r="A332" s="2"/>
      <c r="B332" s="1"/>
      <c r="C332" s="1"/>
      <c r="D332" s="1"/>
      <c r="E332" s="1"/>
      <c r="F332" s="1"/>
      <c r="G332" s="1"/>
      <c r="H332" s="1"/>
      <c r="I332" s="61"/>
      <c r="J332" s="1"/>
      <c r="K332" s="1"/>
    </row>
    <row r="333" spans="1:11" ht="15.75" customHeight="1">
      <c r="A333" s="2"/>
      <c r="B333" s="1"/>
      <c r="C333" s="1"/>
      <c r="D333" s="1"/>
      <c r="E333" s="1"/>
      <c r="F333" s="1"/>
      <c r="G333" s="1"/>
      <c r="H333" s="1"/>
      <c r="I333" s="61"/>
      <c r="J333" s="1"/>
      <c r="K333" s="1"/>
    </row>
    <row r="334" spans="1:11" ht="15.75" customHeight="1">
      <c r="A334" s="2"/>
      <c r="B334" s="1"/>
      <c r="C334" s="1"/>
      <c r="D334" s="1"/>
      <c r="E334" s="1"/>
      <c r="F334" s="1"/>
      <c r="G334" s="1"/>
      <c r="H334" s="1"/>
      <c r="I334" s="61"/>
      <c r="J334" s="1"/>
      <c r="K334" s="1"/>
    </row>
    <row r="335" spans="1:11" ht="15.75" customHeight="1">
      <c r="A335" s="2"/>
      <c r="B335" s="1"/>
      <c r="C335" s="1"/>
      <c r="D335" s="1"/>
      <c r="E335" s="1"/>
      <c r="F335" s="1"/>
      <c r="G335" s="1"/>
      <c r="H335" s="1"/>
      <c r="I335" s="61"/>
      <c r="J335" s="1"/>
      <c r="K335" s="1"/>
    </row>
    <row r="336" spans="1:11" ht="15.75" customHeight="1">
      <c r="A336" s="2"/>
      <c r="B336" s="1"/>
      <c r="C336" s="1"/>
      <c r="D336" s="1"/>
      <c r="E336" s="1"/>
      <c r="F336" s="1"/>
      <c r="G336" s="1"/>
      <c r="H336" s="1"/>
      <c r="I336" s="61"/>
      <c r="J336" s="1"/>
      <c r="K336" s="1"/>
    </row>
    <row r="337" spans="1:11" ht="15.75" customHeight="1">
      <c r="A337" s="2"/>
      <c r="B337" s="1"/>
      <c r="C337" s="1"/>
      <c r="D337" s="1"/>
      <c r="E337" s="1"/>
      <c r="F337" s="1"/>
      <c r="G337" s="1"/>
      <c r="H337" s="1"/>
      <c r="I337" s="61"/>
      <c r="J337" s="1"/>
      <c r="K337" s="1"/>
    </row>
    <row r="338" spans="1:11" ht="15.75" customHeight="1">
      <c r="A338" s="2"/>
      <c r="B338" s="1"/>
      <c r="C338" s="1"/>
      <c r="D338" s="1"/>
      <c r="E338" s="1"/>
      <c r="F338" s="1"/>
      <c r="G338" s="1"/>
      <c r="H338" s="1"/>
      <c r="I338" s="61"/>
      <c r="J338" s="1"/>
      <c r="K338" s="1"/>
    </row>
    <row r="339" spans="1:11" ht="15.75" customHeight="1">
      <c r="A339" s="2"/>
      <c r="B339" s="1"/>
      <c r="C339" s="1"/>
      <c r="D339" s="1"/>
      <c r="E339" s="1"/>
      <c r="F339" s="1"/>
      <c r="G339" s="1"/>
      <c r="H339" s="1"/>
      <c r="I339" s="61"/>
      <c r="J339" s="1"/>
      <c r="K339" s="1"/>
    </row>
    <row r="340" spans="1:11" ht="15.75" customHeight="1">
      <c r="A340" s="2"/>
      <c r="B340" s="1"/>
      <c r="C340" s="1"/>
      <c r="D340" s="1"/>
      <c r="E340" s="1"/>
      <c r="F340" s="1"/>
      <c r="G340" s="1"/>
      <c r="H340" s="1"/>
      <c r="I340" s="61"/>
      <c r="J340" s="1"/>
      <c r="K340" s="1"/>
    </row>
    <row r="341" spans="1:11" ht="15.75" customHeight="1">
      <c r="A341" s="2"/>
      <c r="B341" s="1"/>
      <c r="C341" s="1"/>
      <c r="D341" s="1"/>
      <c r="E341" s="1"/>
      <c r="F341" s="1"/>
      <c r="G341" s="1"/>
      <c r="H341" s="1"/>
      <c r="I341" s="61"/>
      <c r="J341" s="1"/>
      <c r="K341" s="1"/>
    </row>
    <row r="342" spans="1:11" ht="15.75" customHeight="1">
      <c r="A342" s="2"/>
      <c r="B342" s="1"/>
      <c r="C342" s="1"/>
      <c r="D342" s="1"/>
      <c r="E342" s="1"/>
      <c r="F342" s="1"/>
      <c r="G342" s="1"/>
      <c r="H342" s="1"/>
      <c r="I342" s="61"/>
      <c r="J342" s="1"/>
      <c r="K342" s="1"/>
    </row>
    <row r="343" spans="1:11" ht="15.75" customHeight="1">
      <c r="A343" s="2"/>
      <c r="B343" s="1"/>
      <c r="C343" s="1"/>
      <c r="D343" s="1"/>
      <c r="E343" s="1"/>
      <c r="F343" s="1"/>
      <c r="G343" s="1"/>
      <c r="H343" s="1"/>
      <c r="I343" s="61"/>
      <c r="J343" s="1"/>
      <c r="K343" s="1"/>
    </row>
    <row r="344" spans="1:11" ht="15.75" customHeight="1">
      <c r="A344" s="2"/>
      <c r="B344" s="1"/>
      <c r="C344" s="1"/>
      <c r="D344" s="1"/>
      <c r="E344" s="1"/>
      <c r="F344" s="1"/>
      <c r="G344" s="1"/>
      <c r="H344" s="1"/>
      <c r="I344" s="61"/>
      <c r="J344" s="1"/>
      <c r="K344" s="1"/>
    </row>
    <row r="345" spans="1:11" ht="15.75" customHeight="1">
      <c r="A345" s="2"/>
      <c r="B345" s="1"/>
      <c r="C345" s="1"/>
      <c r="D345" s="1"/>
      <c r="E345" s="1"/>
      <c r="F345" s="1"/>
      <c r="G345" s="1"/>
      <c r="H345" s="1"/>
      <c r="I345" s="61"/>
      <c r="J345" s="1"/>
      <c r="K345" s="1"/>
    </row>
    <row r="346" spans="1:11" ht="15.75" customHeight="1">
      <c r="A346" s="2"/>
      <c r="B346" s="1"/>
      <c r="C346" s="1"/>
      <c r="D346" s="1"/>
      <c r="E346" s="1"/>
      <c r="F346" s="1"/>
      <c r="G346" s="1"/>
      <c r="H346" s="1"/>
      <c r="I346" s="61"/>
      <c r="J346" s="1"/>
      <c r="K346" s="1"/>
    </row>
    <row r="347" spans="1:11" ht="15.75" customHeight="1">
      <c r="A347" s="2"/>
      <c r="B347" s="1"/>
      <c r="C347" s="1"/>
      <c r="D347" s="1"/>
      <c r="E347" s="1"/>
      <c r="F347" s="1"/>
      <c r="G347" s="1"/>
      <c r="H347" s="1"/>
      <c r="I347" s="61"/>
      <c r="J347" s="1"/>
      <c r="K347" s="1"/>
    </row>
    <row r="348" spans="1:11" ht="15.75" customHeight="1">
      <c r="A348" s="2"/>
      <c r="B348" s="1"/>
      <c r="C348" s="1"/>
      <c r="D348" s="1"/>
      <c r="E348" s="1"/>
      <c r="F348" s="1"/>
      <c r="G348" s="1"/>
      <c r="H348" s="1"/>
      <c r="I348" s="61"/>
      <c r="J348" s="1"/>
      <c r="K348" s="1"/>
    </row>
    <row r="349" spans="1:11" ht="15.75" customHeight="1">
      <c r="A349" s="2"/>
      <c r="B349" s="1"/>
      <c r="C349" s="1"/>
      <c r="D349" s="1"/>
      <c r="E349" s="1"/>
      <c r="F349" s="1"/>
      <c r="G349" s="1"/>
      <c r="H349" s="1"/>
      <c r="I349" s="61"/>
      <c r="J349" s="1"/>
      <c r="K349" s="1"/>
    </row>
    <row r="350" spans="1:11" ht="15.75" customHeight="1">
      <c r="A350" s="2"/>
      <c r="B350" s="1"/>
      <c r="C350" s="1"/>
      <c r="D350" s="1"/>
      <c r="E350" s="1"/>
      <c r="F350" s="1"/>
      <c r="G350" s="1"/>
      <c r="H350" s="1"/>
      <c r="I350" s="61"/>
      <c r="J350" s="1"/>
      <c r="K350" s="1"/>
    </row>
    <row r="351" spans="1:11" ht="15.75" customHeight="1">
      <c r="A351" s="2"/>
      <c r="B351" s="1"/>
      <c r="C351" s="1"/>
      <c r="D351" s="1"/>
      <c r="E351" s="1"/>
      <c r="F351" s="1"/>
      <c r="G351" s="1"/>
      <c r="H351" s="1"/>
      <c r="I351" s="61"/>
      <c r="J351" s="1"/>
      <c r="K351" s="1"/>
    </row>
    <row r="352" spans="1:11" ht="15.75" customHeight="1">
      <c r="A352" s="2"/>
      <c r="B352" s="1"/>
      <c r="C352" s="1"/>
      <c r="D352" s="1"/>
      <c r="E352" s="1"/>
      <c r="F352" s="1"/>
      <c r="G352" s="1"/>
      <c r="H352" s="1"/>
      <c r="I352" s="61"/>
      <c r="J352" s="1"/>
      <c r="K352" s="1"/>
    </row>
    <row r="353" spans="1:11" ht="15.75" customHeight="1">
      <c r="A353" s="2"/>
      <c r="B353" s="1"/>
      <c r="C353" s="1"/>
      <c r="D353" s="1"/>
      <c r="E353" s="1"/>
      <c r="F353" s="1"/>
      <c r="G353" s="1"/>
      <c r="H353" s="1"/>
      <c r="I353" s="61"/>
      <c r="J353" s="1"/>
      <c r="K353" s="1"/>
    </row>
    <row r="354" spans="1:11" ht="15.75" customHeight="1">
      <c r="A354" s="2"/>
      <c r="B354" s="1"/>
      <c r="C354" s="1"/>
      <c r="D354" s="1"/>
      <c r="E354" s="1"/>
      <c r="F354" s="1"/>
      <c r="G354" s="1"/>
      <c r="H354" s="1"/>
      <c r="I354" s="61"/>
      <c r="J354" s="1"/>
      <c r="K354" s="1"/>
    </row>
    <row r="355" spans="1:11" ht="15.75" customHeight="1">
      <c r="A355" s="2"/>
      <c r="B355" s="1"/>
      <c r="C355" s="1"/>
      <c r="D355" s="1"/>
      <c r="E355" s="1"/>
      <c r="F355" s="1"/>
      <c r="G355" s="1"/>
      <c r="H355" s="1"/>
      <c r="I355" s="61"/>
      <c r="J355" s="1"/>
      <c r="K355" s="1"/>
    </row>
    <row r="356" spans="1:11" ht="15.75" customHeight="1">
      <c r="A356" s="2"/>
      <c r="B356" s="1"/>
      <c r="C356" s="1"/>
      <c r="D356" s="1"/>
      <c r="E356" s="1"/>
      <c r="F356" s="1"/>
      <c r="G356" s="1"/>
      <c r="H356" s="1"/>
      <c r="I356" s="61"/>
      <c r="J356" s="1"/>
      <c r="K356" s="1"/>
    </row>
    <row r="357" spans="1:11" ht="15.75" customHeight="1">
      <c r="A357" s="2"/>
      <c r="B357" s="1"/>
      <c r="C357" s="1"/>
      <c r="D357" s="1"/>
      <c r="E357" s="1"/>
      <c r="F357" s="1"/>
      <c r="G357" s="1"/>
      <c r="H357" s="1"/>
      <c r="I357" s="61"/>
      <c r="J357" s="1"/>
      <c r="K357" s="1"/>
    </row>
    <row r="358" spans="1:11" ht="15.75" customHeight="1">
      <c r="A358" s="2"/>
      <c r="B358" s="1"/>
      <c r="C358" s="1"/>
      <c r="D358" s="1"/>
      <c r="E358" s="1"/>
      <c r="F358" s="1"/>
      <c r="G358" s="1"/>
      <c r="H358" s="1"/>
      <c r="I358" s="61"/>
      <c r="J358" s="1"/>
      <c r="K358" s="1"/>
    </row>
    <row r="359" spans="1:11" ht="15.75" customHeight="1">
      <c r="A359" s="2"/>
      <c r="B359" s="1"/>
      <c r="C359" s="1"/>
      <c r="D359" s="1"/>
      <c r="E359" s="1"/>
      <c r="F359" s="1"/>
      <c r="G359" s="1"/>
      <c r="H359" s="1"/>
      <c r="I359" s="61"/>
      <c r="J359" s="1"/>
      <c r="K359" s="1"/>
    </row>
    <row r="360" spans="1:11" ht="15.75" customHeight="1">
      <c r="A360" s="2"/>
      <c r="B360" s="1"/>
      <c r="C360" s="1"/>
      <c r="D360" s="1"/>
      <c r="E360" s="1"/>
      <c r="F360" s="1"/>
      <c r="G360" s="1"/>
      <c r="H360" s="1"/>
      <c r="I360" s="61"/>
      <c r="J360" s="1"/>
      <c r="K360" s="1"/>
    </row>
    <row r="361" spans="1:11" ht="15.75" customHeight="1">
      <c r="A361" s="2"/>
      <c r="B361" s="1"/>
      <c r="C361" s="1"/>
      <c r="D361" s="1"/>
      <c r="E361" s="1"/>
      <c r="F361" s="1"/>
      <c r="G361" s="1"/>
      <c r="H361" s="1"/>
      <c r="I361" s="61"/>
      <c r="J361" s="1"/>
      <c r="K361" s="1"/>
    </row>
    <row r="362" spans="1:11" ht="15.75" customHeight="1">
      <c r="A362" s="2"/>
      <c r="B362" s="1"/>
      <c r="C362" s="1"/>
      <c r="D362" s="1"/>
      <c r="E362" s="1"/>
      <c r="F362" s="1"/>
      <c r="G362" s="1"/>
      <c r="H362" s="1"/>
      <c r="I362" s="61"/>
      <c r="J362" s="1"/>
      <c r="K362" s="1"/>
    </row>
    <row r="363" spans="1:11" ht="15.75" customHeight="1">
      <c r="A363" s="2"/>
      <c r="B363" s="1"/>
      <c r="C363" s="1"/>
      <c r="D363" s="1"/>
      <c r="E363" s="1"/>
      <c r="F363" s="1"/>
      <c r="G363" s="1"/>
      <c r="H363" s="1"/>
      <c r="I363" s="61"/>
      <c r="J363" s="1"/>
      <c r="K363" s="1"/>
    </row>
    <row r="364" spans="1:11" ht="15.75" customHeight="1">
      <c r="A364" s="2"/>
      <c r="B364" s="1"/>
      <c r="C364" s="1"/>
      <c r="D364" s="1"/>
      <c r="E364" s="1"/>
      <c r="F364" s="1"/>
      <c r="G364" s="1"/>
      <c r="H364" s="1"/>
      <c r="I364" s="61"/>
      <c r="J364" s="1"/>
      <c r="K364" s="1"/>
    </row>
    <row r="365" spans="1:11" ht="15.75" customHeight="1">
      <c r="A365" s="2"/>
      <c r="B365" s="1"/>
      <c r="C365" s="1"/>
      <c r="D365" s="1"/>
      <c r="E365" s="1"/>
      <c r="F365" s="1"/>
      <c r="G365" s="1"/>
      <c r="H365" s="1"/>
      <c r="I365" s="61"/>
      <c r="J365" s="1"/>
      <c r="K365" s="1"/>
    </row>
    <row r="366" spans="1:11" ht="15.75" customHeight="1">
      <c r="A366" s="2"/>
      <c r="B366" s="1"/>
      <c r="C366" s="1"/>
      <c r="D366" s="1"/>
      <c r="E366" s="1"/>
      <c r="F366" s="1"/>
      <c r="G366" s="1"/>
      <c r="H366" s="1"/>
      <c r="I366" s="61"/>
      <c r="J366" s="1"/>
      <c r="K366" s="1"/>
    </row>
    <row r="367" spans="1:11" ht="15.75" customHeight="1">
      <c r="A367" s="2"/>
      <c r="B367" s="1"/>
      <c r="C367" s="1"/>
      <c r="D367" s="1"/>
      <c r="E367" s="1"/>
      <c r="F367" s="1"/>
      <c r="G367" s="1"/>
      <c r="H367" s="1"/>
      <c r="I367" s="61"/>
      <c r="J367" s="1"/>
      <c r="K367" s="1"/>
    </row>
    <row r="368" spans="1:11" ht="15.75" customHeight="1">
      <c r="A368" s="2"/>
      <c r="B368" s="1"/>
      <c r="C368" s="1"/>
      <c r="D368" s="1"/>
      <c r="E368" s="1"/>
      <c r="F368" s="1"/>
      <c r="G368" s="1"/>
      <c r="H368" s="1"/>
      <c r="I368" s="61"/>
      <c r="J368" s="1"/>
      <c r="K368" s="1"/>
    </row>
    <row r="369" spans="1:11" ht="15.75" customHeight="1">
      <c r="A369" s="2"/>
      <c r="B369" s="1"/>
      <c r="C369" s="1"/>
      <c r="D369" s="1"/>
      <c r="E369" s="1"/>
      <c r="F369" s="1"/>
      <c r="G369" s="1"/>
      <c r="H369" s="1"/>
      <c r="I369" s="61"/>
      <c r="J369" s="1"/>
      <c r="K369" s="1"/>
    </row>
    <row r="370" spans="1:11" ht="15.75" customHeight="1">
      <c r="A370" s="2"/>
      <c r="B370" s="1"/>
      <c r="C370" s="1"/>
      <c r="D370" s="1"/>
      <c r="E370" s="1"/>
      <c r="F370" s="1"/>
      <c r="G370" s="1"/>
      <c r="H370" s="1"/>
      <c r="I370" s="61"/>
      <c r="J370" s="1"/>
      <c r="K370" s="1"/>
    </row>
    <row r="371" spans="1:11" ht="15.75" customHeight="1">
      <c r="A371" s="2"/>
      <c r="B371" s="1"/>
      <c r="C371" s="1"/>
      <c r="D371" s="1"/>
      <c r="E371" s="1"/>
      <c r="F371" s="1"/>
      <c r="G371" s="1"/>
      <c r="H371" s="1"/>
      <c r="I371" s="61"/>
      <c r="J371" s="1"/>
      <c r="K371" s="1"/>
    </row>
    <row r="372" spans="1:11" ht="15.75" customHeight="1">
      <c r="A372" s="2"/>
      <c r="B372" s="1"/>
      <c r="C372" s="1"/>
      <c r="D372" s="1"/>
      <c r="E372" s="1"/>
      <c r="F372" s="1"/>
      <c r="G372" s="1"/>
      <c r="H372" s="1"/>
      <c r="I372" s="61"/>
      <c r="J372" s="1"/>
      <c r="K372" s="1"/>
    </row>
    <row r="373" spans="1:11" ht="15.75" customHeight="1">
      <c r="A373" s="2"/>
      <c r="B373" s="1"/>
      <c r="C373" s="1"/>
      <c r="D373" s="1"/>
      <c r="E373" s="1"/>
      <c r="F373" s="1"/>
      <c r="G373" s="1"/>
      <c r="H373" s="1"/>
      <c r="I373" s="61"/>
      <c r="J373" s="1"/>
      <c r="K373" s="1"/>
    </row>
    <row r="374" spans="1:11" ht="15.75" customHeight="1">
      <c r="A374" s="2"/>
      <c r="B374" s="1"/>
      <c r="C374" s="1"/>
      <c r="D374" s="1"/>
      <c r="E374" s="1"/>
      <c r="F374" s="1"/>
      <c r="G374" s="1"/>
      <c r="H374" s="1"/>
      <c r="I374" s="61"/>
      <c r="J374" s="1"/>
      <c r="K374" s="1"/>
    </row>
    <row r="375" spans="1:11" ht="15.75" customHeight="1">
      <c r="A375" s="2"/>
      <c r="B375" s="1"/>
      <c r="C375" s="1"/>
      <c r="D375" s="1"/>
      <c r="E375" s="1"/>
      <c r="F375" s="1"/>
      <c r="G375" s="1"/>
      <c r="H375" s="1"/>
      <c r="I375" s="61"/>
      <c r="J375" s="1"/>
      <c r="K375" s="1"/>
    </row>
    <row r="376" spans="1:11" ht="15.75" customHeight="1">
      <c r="A376" s="2"/>
      <c r="B376" s="1"/>
      <c r="C376" s="1"/>
      <c r="D376" s="1"/>
      <c r="E376" s="1"/>
      <c r="F376" s="1"/>
      <c r="G376" s="1"/>
      <c r="H376" s="1"/>
      <c r="I376" s="61"/>
      <c r="J376" s="1"/>
      <c r="K376" s="1"/>
    </row>
    <row r="377" spans="1:11" ht="15.75" customHeight="1">
      <c r="A377" s="2"/>
      <c r="B377" s="1"/>
      <c r="C377" s="1"/>
      <c r="D377" s="1"/>
      <c r="E377" s="1"/>
      <c r="F377" s="1"/>
      <c r="G377" s="1"/>
      <c r="H377" s="1"/>
      <c r="I377" s="61"/>
      <c r="J377" s="1"/>
      <c r="K377" s="1"/>
    </row>
    <row r="378" spans="1:11" ht="15.75" customHeight="1">
      <c r="A378" s="2"/>
      <c r="B378" s="1"/>
      <c r="C378" s="1"/>
      <c r="D378" s="1"/>
      <c r="E378" s="1"/>
      <c r="F378" s="1"/>
      <c r="G378" s="1"/>
      <c r="H378" s="1"/>
      <c r="I378" s="61"/>
      <c r="J378" s="1"/>
      <c r="K378" s="1"/>
    </row>
    <row r="379" spans="1:11" ht="15.75" customHeight="1">
      <c r="A379" s="2"/>
      <c r="B379" s="1"/>
      <c r="C379" s="1"/>
      <c r="D379" s="1"/>
      <c r="E379" s="1"/>
      <c r="F379" s="1"/>
      <c r="G379" s="1"/>
      <c r="H379" s="1"/>
      <c r="I379" s="61"/>
      <c r="J379" s="1"/>
      <c r="K379" s="1"/>
    </row>
    <row r="380" spans="1:11" ht="15.75" customHeight="1">
      <c r="A380" s="2"/>
      <c r="B380" s="1"/>
      <c r="C380" s="1"/>
      <c r="D380" s="1"/>
      <c r="E380" s="1"/>
      <c r="F380" s="1"/>
      <c r="G380" s="1"/>
      <c r="H380" s="1"/>
      <c r="I380" s="61"/>
      <c r="J380" s="1"/>
      <c r="K380" s="1"/>
    </row>
    <row r="381" spans="1:11" ht="15.75" customHeight="1">
      <c r="A381" s="2"/>
      <c r="B381" s="1"/>
      <c r="C381" s="1"/>
      <c r="D381" s="1"/>
      <c r="E381" s="1"/>
      <c r="F381" s="1"/>
      <c r="G381" s="1"/>
      <c r="H381" s="1"/>
      <c r="I381" s="61"/>
      <c r="J381" s="1"/>
      <c r="K381" s="1"/>
    </row>
    <row r="382" spans="1:11" ht="15.75" customHeight="1">
      <c r="A382" s="2"/>
      <c r="B382" s="1"/>
      <c r="C382" s="1"/>
      <c r="D382" s="1"/>
      <c r="E382" s="1"/>
      <c r="F382" s="1"/>
      <c r="G382" s="1"/>
      <c r="H382" s="1"/>
      <c r="I382" s="61"/>
      <c r="J382" s="1"/>
      <c r="K382" s="1"/>
    </row>
    <row r="383" spans="1:11" ht="15.75" customHeight="1">
      <c r="A383" s="2"/>
      <c r="B383" s="1"/>
      <c r="C383" s="1"/>
      <c r="D383" s="1"/>
      <c r="E383" s="1"/>
      <c r="F383" s="1"/>
      <c r="G383" s="1"/>
      <c r="H383" s="1"/>
      <c r="I383" s="61"/>
      <c r="J383" s="1"/>
      <c r="K383" s="1"/>
    </row>
    <row r="384" spans="1:11" ht="15.75" customHeight="1">
      <c r="A384" s="2"/>
      <c r="B384" s="1"/>
      <c r="C384" s="1"/>
      <c r="D384" s="1"/>
      <c r="E384" s="1"/>
      <c r="F384" s="1"/>
      <c r="G384" s="1"/>
      <c r="H384" s="1"/>
      <c r="I384" s="61"/>
      <c r="J384" s="1"/>
      <c r="K384" s="1"/>
    </row>
    <row r="385" spans="1:11" ht="15.75" customHeight="1">
      <c r="A385" s="2"/>
      <c r="B385" s="1"/>
      <c r="C385" s="1"/>
      <c r="D385" s="1"/>
      <c r="E385" s="1"/>
      <c r="F385" s="1"/>
      <c r="G385" s="1"/>
      <c r="H385" s="1"/>
      <c r="I385" s="61"/>
      <c r="J385" s="1"/>
      <c r="K385" s="1"/>
    </row>
    <row r="386" spans="1:11" ht="15.75" customHeight="1">
      <c r="A386" s="2"/>
      <c r="B386" s="1"/>
      <c r="C386" s="1"/>
      <c r="D386" s="1"/>
      <c r="E386" s="1"/>
      <c r="F386" s="1"/>
      <c r="G386" s="1"/>
      <c r="H386" s="1"/>
      <c r="I386" s="61"/>
      <c r="J386" s="1"/>
      <c r="K386" s="1"/>
    </row>
    <row r="387" spans="1:11" ht="15.75" customHeight="1">
      <c r="A387" s="2"/>
      <c r="B387" s="1"/>
      <c r="C387" s="1"/>
      <c r="D387" s="1"/>
      <c r="E387" s="1"/>
      <c r="F387" s="1"/>
      <c r="G387" s="1"/>
      <c r="H387" s="1"/>
      <c r="I387" s="61"/>
      <c r="J387" s="1"/>
      <c r="K387" s="1"/>
    </row>
    <row r="388" spans="1:11" ht="15.75" customHeight="1">
      <c r="A388" s="2"/>
      <c r="B388" s="1"/>
      <c r="C388" s="1"/>
      <c r="D388" s="1"/>
      <c r="E388" s="1"/>
      <c r="F388" s="1"/>
      <c r="G388" s="1"/>
      <c r="H388" s="1"/>
      <c r="I388" s="61"/>
      <c r="J388" s="1"/>
      <c r="K388" s="1"/>
    </row>
    <row r="389" spans="1:11" ht="15.75" customHeight="1">
      <c r="A389" s="2"/>
      <c r="B389" s="1"/>
      <c r="C389" s="1"/>
      <c r="D389" s="1"/>
      <c r="E389" s="1"/>
      <c r="F389" s="1"/>
      <c r="G389" s="1"/>
      <c r="H389" s="1"/>
      <c r="I389" s="61"/>
      <c r="J389" s="1"/>
      <c r="K389" s="1"/>
    </row>
    <row r="390" spans="1:11" ht="15.75" customHeight="1">
      <c r="A390" s="2"/>
      <c r="B390" s="1"/>
      <c r="C390" s="1"/>
      <c r="D390" s="1"/>
      <c r="E390" s="1"/>
      <c r="F390" s="1"/>
      <c r="G390" s="1"/>
      <c r="H390" s="1"/>
      <c r="I390" s="61"/>
      <c r="J390" s="1"/>
      <c r="K390" s="1"/>
    </row>
    <row r="391" spans="1:11" ht="15.75" customHeight="1">
      <c r="A391" s="2"/>
      <c r="B391" s="1"/>
      <c r="C391" s="1"/>
      <c r="D391" s="1"/>
      <c r="E391" s="1"/>
      <c r="F391" s="1"/>
      <c r="G391" s="1"/>
      <c r="H391" s="1"/>
      <c r="I391" s="61"/>
      <c r="J391" s="1"/>
      <c r="K391" s="1"/>
    </row>
    <row r="392" spans="1:11" ht="15.75" customHeight="1">
      <c r="A392" s="2"/>
      <c r="B392" s="1"/>
      <c r="C392" s="1"/>
      <c r="D392" s="1"/>
      <c r="E392" s="1"/>
      <c r="F392" s="1"/>
      <c r="G392" s="1"/>
      <c r="H392" s="1"/>
      <c r="I392" s="61"/>
      <c r="J392" s="1"/>
      <c r="K392" s="1"/>
    </row>
    <row r="393" spans="1:11" ht="15.75" customHeight="1">
      <c r="A393" s="2"/>
      <c r="B393" s="1"/>
      <c r="C393" s="1"/>
      <c r="D393" s="1"/>
      <c r="E393" s="1"/>
      <c r="F393" s="1"/>
      <c r="G393" s="1"/>
      <c r="H393" s="1"/>
      <c r="I393" s="61"/>
      <c r="J393" s="1"/>
      <c r="K393" s="1"/>
    </row>
    <row r="394" spans="1:11" ht="15.75" customHeight="1">
      <c r="A394" s="2"/>
      <c r="B394" s="1"/>
      <c r="C394" s="1"/>
      <c r="D394" s="1"/>
      <c r="E394" s="1"/>
      <c r="F394" s="1"/>
      <c r="G394" s="1"/>
      <c r="H394" s="1"/>
      <c r="I394" s="61"/>
      <c r="J394" s="1"/>
      <c r="K394" s="1"/>
    </row>
    <row r="395" spans="1:11" ht="15.75" customHeight="1">
      <c r="A395" s="2"/>
      <c r="B395" s="1"/>
      <c r="C395" s="1"/>
      <c r="D395" s="1"/>
      <c r="E395" s="1"/>
      <c r="F395" s="1"/>
      <c r="G395" s="1"/>
      <c r="H395" s="1"/>
      <c r="I395" s="61"/>
      <c r="J395" s="1"/>
      <c r="K395" s="1"/>
    </row>
    <row r="396" spans="1:11" ht="15.75" customHeight="1">
      <c r="A396" s="2"/>
      <c r="B396" s="1"/>
      <c r="C396" s="1"/>
      <c r="D396" s="1"/>
      <c r="E396" s="1"/>
      <c r="F396" s="1"/>
      <c r="G396" s="1"/>
      <c r="H396" s="1"/>
      <c r="I396" s="61"/>
      <c r="J396" s="1"/>
      <c r="K396" s="1"/>
    </row>
    <row r="397" spans="1:11" ht="15.75" customHeight="1">
      <c r="A397" s="2"/>
      <c r="B397" s="1"/>
      <c r="C397" s="1"/>
      <c r="D397" s="1"/>
      <c r="E397" s="1"/>
      <c r="F397" s="1"/>
      <c r="G397" s="1"/>
      <c r="H397" s="1"/>
      <c r="I397" s="61"/>
      <c r="J397" s="1"/>
      <c r="K397" s="1"/>
    </row>
    <row r="398" spans="1:11" ht="15.75" customHeight="1">
      <c r="A398" s="2"/>
      <c r="B398" s="1"/>
      <c r="C398" s="1"/>
      <c r="D398" s="1"/>
      <c r="E398" s="1"/>
      <c r="F398" s="1"/>
      <c r="G398" s="1"/>
      <c r="H398" s="1"/>
      <c r="I398" s="61"/>
      <c r="J398" s="1"/>
      <c r="K398" s="1"/>
    </row>
    <row r="399" spans="1:11" ht="15.75" customHeight="1">
      <c r="A399" s="2"/>
      <c r="B399" s="1"/>
      <c r="C399" s="1"/>
      <c r="D399" s="1"/>
      <c r="E399" s="1"/>
      <c r="F399" s="1"/>
      <c r="G399" s="1"/>
      <c r="H399" s="1"/>
      <c r="I399" s="61"/>
      <c r="J399" s="1"/>
      <c r="K399" s="1"/>
    </row>
    <row r="400" spans="1:11" ht="15.75" customHeight="1">
      <c r="A400" s="2"/>
      <c r="B400" s="1"/>
      <c r="C400" s="1"/>
      <c r="D400" s="1"/>
      <c r="E400" s="1"/>
      <c r="F400" s="1"/>
      <c r="G400" s="1"/>
      <c r="H400" s="1"/>
      <c r="I400" s="61"/>
      <c r="J400" s="1"/>
      <c r="K400" s="1"/>
    </row>
    <row r="401" spans="1:11" ht="15.75" customHeight="1">
      <c r="A401" s="2"/>
      <c r="B401" s="1"/>
      <c r="C401" s="1"/>
      <c r="D401" s="1"/>
      <c r="E401" s="1"/>
      <c r="F401" s="1"/>
      <c r="G401" s="1"/>
      <c r="H401" s="1"/>
      <c r="I401" s="61"/>
      <c r="J401" s="1"/>
      <c r="K401" s="1"/>
    </row>
    <row r="402" spans="1:11" ht="15.75" customHeight="1">
      <c r="A402" s="2"/>
      <c r="B402" s="1"/>
      <c r="C402" s="1"/>
      <c r="D402" s="1"/>
      <c r="E402" s="1"/>
      <c r="F402" s="1"/>
      <c r="G402" s="1"/>
      <c r="H402" s="1"/>
      <c r="I402" s="61"/>
      <c r="J402" s="1"/>
      <c r="K402" s="1"/>
    </row>
    <row r="403" spans="1:11" ht="15.75" customHeight="1">
      <c r="A403" s="2"/>
      <c r="B403" s="1"/>
      <c r="C403" s="1"/>
      <c r="D403" s="1"/>
      <c r="E403" s="1"/>
      <c r="F403" s="1"/>
      <c r="G403" s="1"/>
      <c r="H403" s="1"/>
      <c r="I403" s="61"/>
      <c r="J403" s="1"/>
      <c r="K403" s="1"/>
    </row>
    <row r="404" spans="1:11" ht="15.75" customHeight="1">
      <c r="A404" s="2"/>
      <c r="B404" s="1"/>
      <c r="C404" s="1"/>
      <c r="D404" s="1"/>
      <c r="E404" s="1"/>
      <c r="F404" s="1"/>
      <c r="G404" s="1"/>
      <c r="H404" s="1"/>
      <c r="I404" s="61"/>
      <c r="J404" s="1"/>
      <c r="K404" s="1"/>
    </row>
    <row r="405" spans="1:11" ht="15.75" customHeight="1">
      <c r="A405" s="2"/>
      <c r="B405" s="1"/>
      <c r="C405" s="1"/>
      <c r="D405" s="1"/>
      <c r="E405" s="1"/>
      <c r="F405" s="1"/>
      <c r="G405" s="1"/>
      <c r="H405" s="1"/>
      <c r="I405" s="61"/>
      <c r="J405" s="1"/>
      <c r="K405" s="1"/>
    </row>
    <row r="406" spans="1:11" ht="15.75" customHeight="1">
      <c r="A406" s="2"/>
      <c r="B406" s="1"/>
      <c r="C406" s="1"/>
      <c r="D406" s="1"/>
      <c r="E406" s="1"/>
      <c r="F406" s="1"/>
      <c r="G406" s="1"/>
      <c r="H406" s="1"/>
      <c r="I406" s="61"/>
      <c r="J406" s="1"/>
      <c r="K406" s="1"/>
    </row>
    <row r="407" spans="1:11" ht="15.75" customHeight="1">
      <c r="A407" s="2"/>
      <c r="B407" s="1"/>
      <c r="C407" s="1"/>
      <c r="D407" s="1"/>
      <c r="E407" s="1"/>
      <c r="F407" s="1"/>
      <c r="G407" s="1"/>
      <c r="H407" s="1"/>
      <c r="I407" s="61"/>
      <c r="J407" s="1"/>
      <c r="K407" s="1"/>
    </row>
    <row r="408" spans="1:11" ht="15.75" customHeight="1">
      <c r="A408" s="2"/>
      <c r="B408" s="1"/>
      <c r="C408" s="1"/>
      <c r="D408" s="1"/>
      <c r="E408" s="1"/>
      <c r="F408" s="1"/>
      <c r="G408" s="1"/>
      <c r="H408" s="1"/>
      <c r="I408" s="61"/>
      <c r="J408" s="1"/>
      <c r="K408" s="1"/>
    </row>
    <row r="409" spans="1:11" ht="15.75" customHeight="1">
      <c r="A409" s="2"/>
      <c r="B409" s="1"/>
      <c r="C409" s="1"/>
      <c r="D409" s="1"/>
      <c r="E409" s="1"/>
      <c r="F409" s="1"/>
      <c r="G409" s="1"/>
      <c r="H409" s="1"/>
      <c r="I409" s="61"/>
      <c r="J409" s="1"/>
      <c r="K409" s="1"/>
    </row>
    <row r="410" spans="1:11" ht="15.75" customHeight="1">
      <c r="A410" s="2"/>
      <c r="B410" s="1"/>
      <c r="C410" s="1"/>
      <c r="D410" s="1"/>
      <c r="E410" s="1"/>
      <c r="F410" s="1"/>
      <c r="G410" s="1"/>
      <c r="H410" s="1"/>
      <c r="I410" s="61"/>
      <c r="J410" s="1"/>
      <c r="K410" s="1"/>
    </row>
    <row r="411" spans="1:11" ht="15.75" customHeight="1">
      <c r="A411" s="2"/>
      <c r="B411" s="1"/>
      <c r="C411" s="1"/>
      <c r="D411" s="1"/>
      <c r="E411" s="1"/>
      <c r="F411" s="1"/>
      <c r="G411" s="1"/>
      <c r="H411" s="1"/>
      <c r="I411" s="61"/>
      <c r="J411" s="1"/>
      <c r="K411" s="1"/>
    </row>
    <row r="412" spans="1:11" ht="15.75" customHeight="1">
      <c r="A412" s="2"/>
      <c r="B412" s="1"/>
      <c r="C412" s="1"/>
      <c r="D412" s="1"/>
      <c r="E412" s="1"/>
      <c r="F412" s="1"/>
      <c r="G412" s="1"/>
      <c r="H412" s="1"/>
      <c r="I412" s="61"/>
      <c r="J412" s="1"/>
      <c r="K412" s="1"/>
    </row>
    <row r="413" spans="1:11" ht="15.75" customHeight="1">
      <c r="A413" s="2"/>
      <c r="B413" s="1"/>
      <c r="C413" s="1"/>
      <c r="D413" s="1"/>
      <c r="E413" s="1"/>
      <c r="F413" s="1"/>
      <c r="G413" s="1"/>
      <c r="H413" s="1"/>
      <c r="I413" s="61"/>
      <c r="J413" s="1"/>
      <c r="K413" s="1"/>
    </row>
    <row r="414" spans="1:11" ht="15.75" customHeight="1">
      <c r="A414" s="2"/>
      <c r="B414" s="1"/>
      <c r="C414" s="1"/>
      <c r="D414" s="1"/>
      <c r="E414" s="1"/>
      <c r="F414" s="1"/>
      <c r="G414" s="1"/>
      <c r="H414" s="1"/>
      <c r="I414" s="61"/>
      <c r="J414" s="1"/>
      <c r="K414" s="1"/>
    </row>
    <row r="415" spans="1:11" ht="15.75" customHeight="1">
      <c r="A415" s="2"/>
      <c r="B415" s="1"/>
      <c r="C415" s="1"/>
      <c r="D415" s="1"/>
      <c r="E415" s="1"/>
      <c r="F415" s="1"/>
      <c r="G415" s="1"/>
      <c r="H415" s="1"/>
      <c r="I415" s="61"/>
      <c r="J415" s="1"/>
      <c r="K415" s="1"/>
    </row>
    <row r="416" spans="1:11" ht="15.75" customHeight="1">
      <c r="A416" s="2"/>
      <c r="B416" s="1"/>
      <c r="C416" s="1"/>
      <c r="D416" s="1"/>
      <c r="E416" s="1"/>
      <c r="F416" s="1"/>
      <c r="G416" s="1"/>
      <c r="H416" s="1"/>
      <c r="I416" s="61"/>
      <c r="J416" s="1"/>
      <c r="K416" s="1"/>
    </row>
    <row r="417" spans="1:11" ht="15.75" customHeight="1">
      <c r="A417" s="2"/>
      <c r="B417" s="1"/>
      <c r="C417" s="1"/>
      <c r="D417" s="1"/>
      <c r="E417" s="1"/>
      <c r="F417" s="1"/>
      <c r="G417" s="1"/>
      <c r="H417" s="1"/>
      <c r="I417" s="61"/>
      <c r="J417" s="1"/>
      <c r="K417" s="1"/>
    </row>
    <row r="418" spans="1:11" ht="15.75" customHeight="1">
      <c r="A418" s="2"/>
      <c r="B418" s="1"/>
      <c r="C418" s="1"/>
      <c r="D418" s="1"/>
      <c r="E418" s="1"/>
      <c r="F418" s="1"/>
      <c r="G418" s="1"/>
      <c r="H418" s="1"/>
      <c r="I418" s="61"/>
      <c r="J418" s="1"/>
      <c r="K418" s="1"/>
    </row>
    <row r="419" spans="1:11" ht="15.75" customHeight="1">
      <c r="A419" s="2"/>
      <c r="B419" s="1"/>
      <c r="C419" s="1"/>
      <c r="D419" s="1"/>
      <c r="E419" s="1"/>
      <c r="F419" s="1"/>
      <c r="G419" s="1"/>
      <c r="H419" s="1"/>
      <c r="I419" s="61"/>
      <c r="J419" s="1"/>
      <c r="K419" s="1"/>
    </row>
    <row r="420" spans="1:11" ht="15.75" customHeight="1">
      <c r="A420" s="2"/>
      <c r="B420" s="1"/>
      <c r="C420" s="1"/>
      <c r="D420" s="1"/>
      <c r="E420" s="1"/>
      <c r="F420" s="1"/>
      <c r="G420" s="1"/>
      <c r="H420" s="1"/>
      <c r="I420" s="61"/>
      <c r="J420" s="1"/>
      <c r="K420" s="1"/>
    </row>
    <row r="421" spans="1:11" ht="15.75" customHeight="1">
      <c r="A421" s="2"/>
      <c r="B421" s="1"/>
      <c r="C421" s="1"/>
      <c r="D421" s="1"/>
      <c r="E421" s="1"/>
      <c r="F421" s="1"/>
      <c r="G421" s="1"/>
      <c r="H421" s="1"/>
      <c r="I421" s="61"/>
      <c r="J421" s="1"/>
      <c r="K421" s="1"/>
    </row>
    <row r="422" spans="1:11" ht="15.75" customHeight="1">
      <c r="A422" s="2"/>
      <c r="B422" s="1"/>
      <c r="C422" s="1"/>
      <c r="D422" s="1"/>
      <c r="E422" s="1"/>
      <c r="F422" s="1"/>
      <c r="G422" s="1"/>
      <c r="H422" s="1"/>
      <c r="I422" s="61"/>
      <c r="J422" s="1"/>
      <c r="K422" s="1"/>
    </row>
    <row r="423" spans="1:11" ht="15.75" customHeight="1">
      <c r="A423" s="2"/>
      <c r="B423" s="1"/>
      <c r="C423" s="1"/>
      <c r="D423" s="1"/>
      <c r="E423" s="1"/>
      <c r="F423" s="1"/>
      <c r="G423" s="1"/>
      <c r="H423" s="1"/>
      <c r="I423" s="61"/>
      <c r="J423" s="1"/>
      <c r="K423" s="1"/>
    </row>
    <row r="424" spans="1:11" ht="15.75" customHeight="1">
      <c r="A424" s="2"/>
      <c r="B424" s="1"/>
      <c r="C424" s="1"/>
      <c r="D424" s="1"/>
      <c r="E424" s="1"/>
      <c r="F424" s="1"/>
      <c r="G424" s="1"/>
      <c r="H424" s="1"/>
      <c r="I424" s="61"/>
      <c r="J424" s="1"/>
      <c r="K424" s="1"/>
    </row>
    <row r="425" spans="1:11" ht="15.75" customHeight="1">
      <c r="A425" s="2"/>
      <c r="B425" s="1"/>
      <c r="C425" s="1"/>
      <c r="D425" s="1"/>
      <c r="E425" s="1"/>
      <c r="F425" s="1"/>
      <c r="G425" s="1"/>
      <c r="H425" s="1"/>
      <c r="I425" s="61"/>
      <c r="J425" s="1"/>
      <c r="K425" s="1"/>
    </row>
    <row r="426" spans="1:11" ht="15.75" customHeight="1">
      <c r="A426" s="2"/>
      <c r="B426" s="1"/>
      <c r="C426" s="1"/>
      <c r="D426" s="1"/>
      <c r="E426" s="1"/>
      <c r="F426" s="1"/>
      <c r="G426" s="1"/>
      <c r="H426" s="1"/>
      <c r="I426" s="61"/>
      <c r="J426" s="1"/>
      <c r="K426" s="1"/>
    </row>
    <row r="427" spans="1:11" ht="15.75" customHeight="1">
      <c r="A427" s="2"/>
      <c r="B427" s="1"/>
      <c r="C427" s="1"/>
      <c r="D427" s="1"/>
      <c r="E427" s="1"/>
      <c r="F427" s="1"/>
      <c r="G427" s="1"/>
      <c r="H427" s="1"/>
      <c r="I427" s="61"/>
      <c r="J427" s="1"/>
      <c r="K427" s="1"/>
    </row>
    <row r="428" spans="1:11" ht="15.75" customHeight="1">
      <c r="A428" s="2"/>
      <c r="B428" s="1"/>
      <c r="C428" s="1"/>
      <c r="D428" s="1"/>
      <c r="E428" s="1"/>
      <c r="F428" s="1"/>
      <c r="G428" s="1"/>
      <c r="H428" s="1"/>
      <c r="I428" s="61"/>
      <c r="J428" s="1"/>
      <c r="K428" s="1"/>
    </row>
    <row r="429" spans="1:11" ht="15.75" customHeight="1">
      <c r="A429" s="2"/>
      <c r="B429" s="1"/>
      <c r="C429" s="1"/>
      <c r="D429" s="1"/>
      <c r="E429" s="1"/>
      <c r="F429" s="1"/>
      <c r="G429" s="1"/>
      <c r="H429" s="1"/>
      <c r="I429" s="61"/>
      <c r="J429" s="1"/>
      <c r="K429" s="1"/>
    </row>
    <row r="430" spans="1:11" ht="15.75" customHeight="1">
      <c r="A430" s="2"/>
      <c r="B430" s="1"/>
      <c r="C430" s="1"/>
      <c r="D430" s="1"/>
      <c r="E430" s="1"/>
      <c r="F430" s="1"/>
      <c r="G430" s="1"/>
      <c r="H430" s="1"/>
      <c r="I430" s="61"/>
      <c r="J430" s="1"/>
      <c r="K430" s="1"/>
    </row>
    <row r="431" spans="1:11" ht="15.75" customHeight="1">
      <c r="A431" s="2"/>
      <c r="B431" s="1"/>
      <c r="C431" s="1"/>
      <c r="D431" s="1"/>
      <c r="E431" s="1"/>
      <c r="F431" s="1"/>
      <c r="G431" s="1"/>
      <c r="H431" s="1"/>
      <c r="I431" s="61"/>
      <c r="J431" s="1"/>
      <c r="K431" s="1"/>
    </row>
    <row r="432" spans="1:11" ht="15.75" customHeight="1">
      <c r="A432" s="2"/>
      <c r="B432" s="1"/>
      <c r="C432" s="1"/>
      <c r="D432" s="1"/>
      <c r="E432" s="1"/>
      <c r="F432" s="1"/>
      <c r="G432" s="1"/>
      <c r="H432" s="1"/>
      <c r="I432" s="61"/>
      <c r="J432" s="1"/>
      <c r="K432" s="1"/>
    </row>
    <row r="433" spans="1:11" ht="15.75" customHeight="1">
      <c r="A433" s="2"/>
      <c r="B433" s="1"/>
      <c r="C433" s="1"/>
      <c r="D433" s="1"/>
      <c r="E433" s="1"/>
      <c r="F433" s="1"/>
      <c r="G433" s="1"/>
      <c r="H433" s="1"/>
      <c r="I433" s="61"/>
      <c r="J433" s="1"/>
      <c r="K433" s="1"/>
    </row>
    <row r="434" spans="1:11" ht="15.75" customHeight="1">
      <c r="A434" s="2"/>
      <c r="B434" s="1"/>
      <c r="C434" s="1"/>
      <c r="D434" s="1"/>
      <c r="E434" s="1"/>
      <c r="F434" s="1"/>
      <c r="G434" s="1"/>
      <c r="H434" s="1"/>
      <c r="I434" s="61"/>
      <c r="J434" s="1"/>
      <c r="K434" s="1"/>
    </row>
    <row r="435" spans="1:11" ht="15.75" customHeight="1">
      <c r="A435" s="2"/>
      <c r="B435" s="1"/>
      <c r="C435" s="1"/>
      <c r="D435" s="1"/>
      <c r="E435" s="1"/>
      <c r="F435" s="1"/>
      <c r="G435" s="1"/>
      <c r="H435" s="1"/>
      <c r="I435" s="61"/>
      <c r="J435" s="1"/>
      <c r="K435" s="1"/>
    </row>
    <row r="436" spans="1:11" ht="15.75" customHeight="1">
      <c r="A436" s="2"/>
      <c r="B436" s="1"/>
      <c r="C436" s="1"/>
      <c r="D436" s="1"/>
      <c r="E436" s="1"/>
      <c r="F436" s="1"/>
      <c r="G436" s="1"/>
      <c r="H436" s="1"/>
      <c r="I436" s="61"/>
      <c r="J436" s="1"/>
      <c r="K436" s="1"/>
    </row>
    <row r="437" spans="1:11" ht="15.75" customHeight="1">
      <c r="A437" s="2"/>
      <c r="B437" s="1"/>
      <c r="C437" s="1"/>
      <c r="D437" s="1"/>
      <c r="E437" s="1"/>
      <c r="F437" s="1"/>
      <c r="G437" s="1"/>
      <c r="H437" s="1"/>
      <c r="I437" s="61"/>
      <c r="J437" s="1"/>
      <c r="K437" s="1"/>
    </row>
    <row r="438" spans="1:11" ht="15.75" customHeight="1">
      <c r="A438" s="2"/>
      <c r="B438" s="1"/>
      <c r="C438" s="1"/>
      <c r="D438" s="1"/>
      <c r="E438" s="1"/>
      <c r="F438" s="1"/>
      <c r="G438" s="1"/>
      <c r="H438" s="1"/>
      <c r="I438" s="61"/>
      <c r="J438" s="1"/>
      <c r="K438" s="1"/>
    </row>
    <row r="439" spans="1:11" ht="15.75" customHeight="1">
      <c r="A439" s="2"/>
      <c r="B439" s="1"/>
      <c r="C439" s="1"/>
      <c r="D439" s="1"/>
      <c r="E439" s="1"/>
      <c r="F439" s="1"/>
      <c r="G439" s="1"/>
      <c r="H439" s="1"/>
      <c r="I439" s="61"/>
      <c r="J439" s="1"/>
      <c r="K439" s="1"/>
    </row>
    <row r="440" spans="1:11" ht="15.75" customHeight="1">
      <c r="A440" s="2"/>
      <c r="B440" s="1"/>
      <c r="C440" s="1"/>
      <c r="D440" s="1"/>
      <c r="E440" s="1"/>
      <c r="F440" s="1"/>
      <c r="G440" s="1"/>
      <c r="H440" s="1"/>
      <c r="I440" s="61"/>
      <c r="J440" s="1"/>
      <c r="K440" s="1"/>
    </row>
    <row r="441" spans="1:11" ht="15.75" customHeight="1">
      <c r="A441" s="2"/>
      <c r="B441" s="1"/>
      <c r="C441" s="1"/>
      <c r="D441" s="1"/>
      <c r="E441" s="1"/>
      <c r="F441" s="1"/>
      <c r="G441" s="1"/>
      <c r="H441" s="1"/>
      <c r="I441" s="61"/>
      <c r="J441" s="1"/>
      <c r="K441" s="1"/>
    </row>
    <row r="442" spans="1:11" ht="15.75" customHeight="1">
      <c r="A442" s="2"/>
      <c r="B442" s="1"/>
      <c r="C442" s="1"/>
      <c r="D442" s="1"/>
      <c r="E442" s="1"/>
      <c r="F442" s="1"/>
      <c r="G442" s="1"/>
      <c r="H442" s="1"/>
      <c r="I442" s="61"/>
      <c r="J442" s="1"/>
      <c r="K442" s="1"/>
    </row>
    <row r="443" spans="1:11" ht="15.75" customHeight="1">
      <c r="A443" s="2"/>
      <c r="B443" s="1"/>
      <c r="C443" s="1"/>
      <c r="D443" s="1"/>
      <c r="E443" s="1"/>
      <c r="F443" s="1"/>
      <c r="G443" s="1"/>
      <c r="H443" s="1"/>
      <c r="I443" s="61"/>
      <c r="J443" s="1"/>
      <c r="K443" s="1"/>
    </row>
    <row r="444" spans="1:11" ht="15.75" customHeight="1">
      <c r="A444" s="2"/>
      <c r="B444" s="1"/>
      <c r="C444" s="1"/>
      <c r="D444" s="1"/>
      <c r="E444" s="1"/>
      <c r="F444" s="1"/>
      <c r="G444" s="1"/>
      <c r="H444" s="1"/>
      <c r="I444" s="61"/>
      <c r="J444" s="1"/>
      <c r="K444" s="1"/>
    </row>
    <row r="445" spans="1:11" ht="15.75" customHeight="1">
      <c r="A445" s="2"/>
      <c r="B445" s="1"/>
      <c r="C445" s="1"/>
      <c r="D445" s="1"/>
      <c r="E445" s="1"/>
      <c r="F445" s="1"/>
      <c r="G445" s="1"/>
      <c r="H445" s="1"/>
      <c r="I445" s="61"/>
      <c r="J445" s="1"/>
      <c r="K445" s="1"/>
    </row>
    <row r="446" spans="1:11" ht="15.75" customHeight="1">
      <c r="A446" s="2"/>
      <c r="B446" s="1"/>
      <c r="C446" s="1"/>
      <c r="D446" s="1"/>
      <c r="E446" s="1"/>
      <c r="F446" s="1"/>
      <c r="G446" s="1"/>
      <c r="H446" s="1"/>
      <c r="I446" s="61"/>
      <c r="J446" s="1"/>
      <c r="K446" s="1"/>
    </row>
    <row r="447" spans="1:11" ht="15.75" customHeight="1">
      <c r="A447" s="2"/>
      <c r="B447" s="1"/>
      <c r="C447" s="1"/>
      <c r="D447" s="1"/>
      <c r="E447" s="1"/>
      <c r="F447" s="1"/>
      <c r="G447" s="1"/>
      <c r="H447" s="1"/>
      <c r="I447" s="61"/>
      <c r="J447" s="1"/>
      <c r="K447" s="1"/>
    </row>
    <row r="448" spans="1:11" ht="15.75" customHeight="1">
      <c r="A448" s="2"/>
      <c r="B448" s="1"/>
      <c r="C448" s="1"/>
      <c r="D448" s="1"/>
      <c r="E448" s="1"/>
      <c r="F448" s="1"/>
      <c r="G448" s="1"/>
      <c r="H448" s="1"/>
      <c r="I448" s="61"/>
      <c r="J448" s="1"/>
      <c r="K448" s="1"/>
    </row>
    <row r="449" spans="1:11" ht="15.75" customHeight="1">
      <c r="A449" s="2"/>
      <c r="B449" s="1"/>
      <c r="C449" s="1"/>
      <c r="D449" s="1"/>
      <c r="E449" s="1"/>
      <c r="F449" s="1"/>
      <c r="G449" s="1"/>
      <c r="H449" s="1"/>
      <c r="I449" s="61"/>
      <c r="J449" s="1"/>
      <c r="K449" s="1"/>
    </row>
    <row r="450" spans="1:11" ht="15.75" customHeight="1">
      <c r="A450" s="2"/>
      <c r="B450" s="1"/>
      <c r="C450" s="1"/>
      <c r="D450" s="1"/>
      <c r="E450" s="1"/>
      <c r="F450" s="1"/>
      <c r="G450" s="1"/>
      <c r="H450" s="1"/>
      <c r="I450" s="61"/>
      <c r="J450" s="1"/>
      <c r="K450" s="1"/>
    </row>
    <row r="451" spans="1:11" ht="15.75" customHeight="1">
      <c r="A451" s="2"/>
      <c r="B451" s="1"/>
      <c r="C451" s="1"/>
      <c r="D451" s="1"/>
      <c r="E451" s="1"/>
      <c r="F451" s="1"/>
      <c r="G451" s="1"/>
      <c r="H451" s="1"/>
      <c r="I451" s="61"/>
      <c r="J451" s="1"/>
      <c r="K451" s="1"/>
    </row>
    <row r="452" spans="1:11" ht="15.75" customHeight="1">
      <c r="A452" s="2"/>
      <c r="B452" s="1"/>
      <c r="C452" s="1"/>
      <c r="D452" s="1"/>
      <c r="E452" s="1"/>
      <c r="F452" s="1"/>
      <c r="G452" s="1"/>
      <c r="H452" s="1"/>
      <c r="I452" s="61"/>
      <c r="J452" s="1"/>
      <c r="K452" s="1"/>
    </row>
    <row r="453" spans="1:11" ht="15.75" customHeight="1">
      <c r="A453" s="2"/>
      <c r="B453" s="1"/>
      <c r="C453" s="1"/>
      <c r="D453" s="1"/>
      <c r="E453" s="1"/>
      <c r="F453" s="1"/>
      <c r="G453" s="1"/>
      <c r="H453" s="1"/>
      <c r="I453" s="61"/>
      <c r="J453" s="1"/>
      <c r="K453" s="1"/>
    </row>
    <row r="454" spans="1:11" ht="15.75" customHeight="1">
      <c r="A454" s="2"/>
      <c r="B454" s="1"/>
      <c r="C454" s="1"/>
      <c r="D454" s="1"/>
      <c r="E454" s="1"/>
      <c r="F454" s="1"/>
      <c r="G454" s="1"/>
      <c r="H454" s="1"/>
      <c r="I454" s="61"/>
      <c r="J454" s="1"/>
      <c r="K454" s="1"/>
    </row>
    <row r="455" spans="1:11" ht="15.75" customHeight="1">
      <c r="A455" s="2"/>
      <c r="B455" s="1"/>
      <c r="C455" s="1"/>
      <c r="D455" s="1"/>
      <c r="E455" s="1"/>
      <c r="F455" s="1"/>
      <c r="G455" s="1"/>
      <c r="H455" s="1"/>
      <c r="I455" s="61"/>
      <c r="J455" s="1"/>
      <c r="K455" s="1"/>
    </row>
    <row r="456" spans="1:11" ht="15.75" customHeight="1">
      <c r="A456" s="2"/>
      <c r="B456" s="1"/>
      <c r="C456" s="1"/>
      <c r="D456" s="1"/>
      <c r="E456" s="1"/>
      <c r="F456" s="1"/>
      <c r="G456" s="1"/>
      <c r="H456" s="1"/>
      <c r="I456" s="61"/>
      <c r="J456" s="1"/>
      <c r="K456" s="1"/>
    </row>
    <row r="457" spans="1:11" ht="15.75" customHeight="1">
      <c r="A457" s="2"/>
      <c r="B457" s="1"/>
      <c r="C457" s="1"/>
      <c r="D457" s="1"/>
      <c r="E457" s="1"/>
      <c r="F457" s="1"/>
      <c r="G457" s="1"/>
      <c r="H457" s="1"/>
      <c r="I457" s="61"/>
      <c r="J457" s="1"/>
      <c r="K457" s="1"/>
    </row>
    <row r="458" spans="1:11" ht="15.75" customHeight="1">
      <c r="A458" s="2"/>
      <c r="B458" s="1"/>
      <c r="C458" s="1"/>
      <c r="D458" s="1"/>
      <c r="E458" s="1"/>
      <c r="F458" s="1"/>
      <c r="G458" s="1"/>
      <c r="H458" s="1"/>
      <c r="I458" s="61"/>
      <c r="J458" s="1"/>
      <c r="K458" s="1"/>
    </row>
    <row r="459" spans="1:11" ht="15.75" customHeight="1">
      <c r="A459" s="2"/>
      <c r="B459" s="1"/>
      <c r="C459" s="1"/>
      <c r="D459" s="1"/>
      <c r="E459" s="1"/>
      <c r="F459" s="1"/>
      <c r="G459" s="1"/>
      <c r="H459" s="1"/>
      <c r="I459" s="61"/>
      <c r="J459" s="1"/>
      <c r="K459" s="1"/>
    </row>
    <row r="460" spans="1:11" ht="15.75" customHeight="1">
      <c r="A460" s="2"/>
      <c r="B460" s="1"/>
      <c r="C460" s="1"/>
      <c r="D460" s="1"/>
      <c r="E460" s="1"/>
      <c r="F460" s="1"/>
      <c r="G460" s="1"/>
      <c r="H460" s="1"/>
      <c r="I460" s="61"/>
      <c r="J460" s="1"/>
      <c r="K460" s="1"/>
    </row>
    <row r="461" spans="1:11" ht="15.75" customHeight="1">
      <c r="A461" s="2"/>
      <c r="B461" s="1"/>
      <c r="C461" s="1"/>
      <c r="D461" s="1"/>
      <c r="E461" s="1"/>
      <c r="F461" s="1"/>
      <c r="G461" s="1"/>
      <c r="H461" s="1"/>
      <c r="I461" s="61"/>
      <c r="J461" s="1"/>
      <c r="K461" s="1"/>
    </row>
    <row r="462" spans="1:11" ht="15.75" customHeight="1">
      <c r="A462" s="2"/>
      <c r="B462" s="1"/>
      <c r="C462" s="1"/>
      <c r="D462" s="1"/>
      <c r="E462" s="1"/>
      <c r="F462" s="1"/>
      <c r="G462" s="1"/>
      <c r="H462" s="1"/>
      <c r="I462" s="61"/>
      <c r="J462" s="1"/>
      <c r="K462" s="1"/>
    </row>
    <row r="463" spans="1:11" ht="15.75" customHeight="1">
      <c r="A463" s="2"/>
      <c r="B463" s="1"/>
      <c r="C463" s="1"/>
      <c r="D463" s="1"/>
      <c r="E463" s="1"/>
      <c r="F463" s="1"/>
      <c r="G463" s="1"/>
      <c r="H463" s="1"/>
      <c r="I463" s="61"/>
      <c r="J463" s="1"/>
      <c r="K463" s="1"/>
    </row>
    <row r="464" spans="1:11" ht="15.75" customHeight="1">
      <c r="A464" s="2"/>
      <c r="B464" s="1"/>
      <c r="C464" s="1"/>
      <c r="D464" s="1"/>
      <c r="E464" s="1"/>
      <c r="F464" s="1"/>
      <c r="G464" s="1"/>
      <c r="H464" s="1"/>
      <c r="I464" s="61"/>
      <c r="J464" s="1"/>
      <c r="K464" s="1"/>
    </row>
    <row r="465" spans="1:11" ht="15.75" customHeight="1">
      <c r="A465" s="2"/>
      <c r="B465" s="1"/>
      <c r="C465" s="1"/>
      <c r="D465" s="1"/>
      <c r="E465" s="1"/>
      <c r="F465" s="1"/>
      <c r="G465" s="1"/>
      <c r="H465" s="1"/>
      <c r="I465" s="61"/>
      <c r="J465" s="1"/>
      <c r="K465" s="1"/>
    </row>
    <row r="466" spans="1:11" ht="15.75" customHeight="1">
      <c r="A466" s="2"/>
      <c r="B466" s="1"/>
      <c r="C466" s="1"/>
      <c r="D466" s="1"/>
      <c r="E466" s="1"/>
      <c r="F466" s="1"/>
      <c r="G466" s="1"/>
      <c r="H466" s="1"/>
      <c r="I466" s="61"/>
      <c r="J466" s="1"/>
      <c r="K466" s="1"/>
    </row>
    <row r="467" spans="1:11" ht="15.75" customHeight="1">
      <c r="A467" s="2"/>
      <c r="B467" s="1"/>
      <c r="C467" s="1"/>
      <c r="D467" s="1"/>
      <c r="E467" s="1"/>
      <c r="F467" s="1"/>
      <c r="G467" s="1"/>
      <c r="H467" s="1"/>
      <c r="I467" s="61"/>
      <c r="J467" s="1"/>
      <c r="K467" s="1"/>
    </row>
    <row r="468" spans="1:11" ht="15.75" customHeight="1">
      <c r="A468" s="2"/>
      <c r="B468" s="1"/>
      <c r="C468" s="1"/>
      <c r="D468" s="1"/>
      <c r="E468" s="1"/>
      <c r="F468" s="1"/>
      <c r="G468" s="1"/>
      <c r="H468" s="1"/>
      <c r="I468" s="61"/>
      <c r="J468" s="1"/>
      <c r="K468" s="1"/>
    </row>
    <row r="469" spans="1:11" ht="15.75" customHeight="1">
      <c r="A469" s="2"/>
      <c r="B469" s="1"/>
      <c r="C469" s="1"/>
      <c r="D469" s="1"/>
      <c r="E469" s="1"/>
      <c r="F469" s="1"/>
      <c r="G469" s="1"/>
      <c r="H469" s="1"/>
      <c r="I469" s="61"/>
      <c r="J469" s="1"/>
      <c r="K469" s="1"/>
    </row>
    <row r="470" spans="1:11" ht="15.75" customHeight="1">
      <c r="A470" s="2"/>
      <c r="B470" s="1"/>
      <c r="C470" s="1"/>
      <c r="D470" s="1"/>
      <c r="E470" s="1"/>
      <c r="F470" s="1"/>
      <c r="G470" s="1"/>
      <c r="H470" s="1"/>
      <c r="I470" s="61"/>
      <c r="J470" s="1"/>
      <c r="K470" s="1"/>
    </row>
    <row r="471" spans="1:11" ht="15.75" customHeight="1">
      <c r="A471" s="2"/>
      <c r="B471" s="1"/>
      <c r="C471" s="1"/>
      <c r="D471" s="1"/>
      <c r="E471" s="1"/>
      <c r="F471" s="1"/>
      <c r="G471" s="1"/>
      <c r="H471" s="1"/>
      <c r="I471" s="61"/>
      <c r="J471" s="1"/>
      <c r="K471" s="1"/>
    </row>
    <row r="472" spans="1:11" ht="15.75" customHeight="1">
      <c r="A472" s="2"/>
      <c r="B472" s="1"/>
      <c r="C472" s="1"/>
      <c r="D472" s="1"/>
      <c r="E472" s="1"/>
      <c r="F472" s="1"/>
      <c r="G472" s="1"/>
      <c r="H472" s="1"/>
      <c r="I472" s="61"/>
      <c r="J472" s="1"/>
      <c r="K472" s="1"/>
    </row>
    <row r="473" spans="1:11" ht="15.75" customHeight="1">
      <c r="A473" s="2"/>
      <c r="B473" s="1"/>
      <c r="C473" s="1"/>
      <c r="D473" s="1"/>
      <c r="E473" s="1"/>
      <c r="F473" s="1"/>
      <c r="G473" s="1"/>
      <c r="H473" s="1"/>
      <c r="I473" s="61"/>
      <c r="J473" s="1"/>
      <c r="K473" s="1"/>
    </row>
    <row r="474" spans="1:11" ht="15.75" customHeight="1">
      <c r="A474" s="2"/>
      <c r="B474" s="1"/>
      <c r="C474" s="1"/>
      <c r="D474" s="1"/>
      <c r="E474" s="1"/>
      <c r="F474" s="1"/>
      <c r="G474" s="1"/>
      <c r="H474" s="1"/>
      <c r="I474" s="61"/>
      <c r="J474" s="1"/>
      <c r="K474" s="1"/>
    </row>
    <row r="475" spans="1:11" ht="15.75" customHeight="1">
      <c r="A475" s="2"/>
      <c r="B475" s="1"/>
      <c r="C475" s="1"/>
      <c r="D475" s="1"/>
      <c r="E475" s="1"/>
      <c r="F475" s="1"/>
      <c r="G475" s="1"/>
      <c r="H475" s="1"/>
      <c r="I475" s="61"/>
      <c r="J475" s="1"/>
      <c r="K475" s="1"/>
    </row>
    <row r="476" spans="1:11" ht="15.75" customHeight="1">
      <c r="A476" s="2"/>
      <c r="B476" s="1"/>
      <c r="C476" s="1"/>
      <c r="D476" s="1"/>
      <c r="E476" s="1"/>
      <c r="F476" s="1"/>
      <c r="G476" s="1"/>
      <c r="H476" s="1"/>
      <c r="I476" s="61"/>
      <c r="J476" s="1"/>
      <c r="K476" s="1"/>
    </row>
    <row r="477" spans="1:11" ht="15.75" customHeight="1">
      <c r="A477" s="2"/>
      <c r="B477" s="1"/>
      <c r="C477" s="1"/>
      <c r="D477" s="1"/>
      <c r="E477" s="1"/>
      <c r="F477" s="1"/>
      <c r="G477" s="1"/>
      <c r="H477" s="1"/>
      <c r="I477" s="61"/>
      <c r="J477" s="1"/>
      <c r="K477" s="1"/>
    </row>
    <row r="478" spans="1:11" ht="15.75" customHeight="1">
      <c r="A478" s="2"/>
      <c r="B478" s="1"/>
      <c r="C478" s="1"/>
      <c r="D478" s="1"/>
      <c r="E478" s="1"/>
      <c r="F478" s="1"/>
      <c r="G478" s="1"/>
      <c r="H478" s="1"/>
      <c r="I478" s="61"/>
      <c r="J478" s="1"/>
      <c r="K478" s="1"/>
    </row>
    <row r="479" spans="1:11" ht="15.75" customHeight="1">
      <c r="A479" s="2"/>
      <c r="B479" s="1"/>
      <c r="C479" s="1"/>
      <c r="D479" s="1"/>
      <c r="E479" s="1"/>
      <c r="F479" s="1"/>
      <c r="G479" s="1"/>
      <c r="H479" s="1"/>
      <c r="I479" s="61"/>
      <c r="J479" s="1"/>
      <c r="K479" s="1"/>
    </row>
    <row r="480" spans="1:11" ht="15.75" customHeight="1">
      <c r="A480" s="2"/>
      <c r="B480" s="1"/>
      <c r="C480" s="1"/>
      <c r="D480" s="1"/>
      <c r="E480" s="1"/>
      <c r="F480" s="1"/>
      <c r="G480" s="1"/>
      <c r="H480" s="1"/>
      <c r="I480" s="61"/>
      <c r="J480" s="1"/>
      <c r="K480" s="1"/>
    </row>
    <row r="481" spans="1:11" ht="15.75" customHeight="1">
      <c r="A481" s="2"/>
      <c r="B481" s="1"/>
      <c r="C481" s="1"/>
      <c r="D481" s="1"/>
      <c r="E481" s="1"/>
      <c r="F481" s="1"/>
      <c r="G481" s="1"/>
      <c r="H481" s="1"/>
      <c r="I481" s="61"/>
      <c r="J481" s="1"/>
      <c r="K481" s="1"/>
    </row>
    <row r="482" spans="1:11" ht="15.75" customHeight="1">
      <c r="A482" s="2"/>
      <c r="B482" s="1"/>
      <c r="C482" s="1"/>
      <c r="D482" s="1"/>
      <c r="E482" s="1"/>
      <c r="F482" s="1"/>
      <c r="G482" s="1"/>
      <c r="H482" s="1"/>
      <c r="I482" s="61"/>
      <c r="J482" s="1"/>
      <c r="K482" s="1"/>
    </row>
    <row r="483" spans="1:11" ht="15.75" customHeight="1">
      <c r="A483" s="2"/>
      <c r="B483" s="1"/>
      <c r="C483" s="1"/>
      <c r="D483" s="1"/>
      <c r="E483" s="1"/>
      <c r="F483" s="1"/>
      <c r="G483" s="1"/>
      <c r="H483" s="1"/>
      <c r="I483" s="61"/>
      <c r="J483" s="1"/>
      <c r="K483" s="1"/>
    </row>
    <row r="484" spans="1:11" ht="15.75" customHeight="1">
      <c r="A484" s="2"/>
      <c r="B484" s="1"/>
      <c r="C484" s="1"/>
      <c r="D484" s="1"/>
      <c r="E484" s="1"/>
      <c r="F484" s="1"/>
      <c r="G484" s="1"/>
      <c r="H484" s="1"/>
      <c r="I484" s="61"/>
      <c r="J484" s="1"/>
      <c r="K484" s="1"/>
    </row>
    <row r="485" spans="1:11" ht="15.75" customHeight="1">
      <c r="A485" s="2"/>
      <c r="B485" s="1"/>
      <c r="C485" s="1"/>
      <c r="D485" s="1"/>
      <c r="E485" s="1"/>
      <c r="F485" s="1"/>
      <c r="G485" s="1"/>
      <c r="H485" s="1"/>
      <c r="I485" s="61"/>
      <c r="J485" s="1"/>
      <c r="K485" s="1"/>
    </row>
    <row r="486" spans="1:11" ht="15.75" customHeight="1">
      <c r="A486" s="2"/>
      <c r="B486" s="1"/>
      <c r="C486" s="1"/>
      <c r="D486" s="1"/>
      <c r="E486" s="1"/>
      <c r="F486" s="1"/>
      <c r="G486" s="1"/>
      <c r="H486" s="1"/>
      <c r="I486" s="61"/>
      <c r="J486" s="1"/>
      <c r="K486" s="1"/>
    </row>
    <row r="487" spans="1:11" ht="15.75" customHeight="1">
      <c r="A487" s="2"/>
      <c r="B487" s="1"/>
      <c r="C487" s="1"/>
      <c r="D487" s="1"/>
      <c r="E487" s="1"/>
      <c r="F487" s="1"/>
      <c r="G487" s="1"/>
      <c r="H487" s="1"/>
      <c r="I487" s="61"/>
      <c r="J487" s="1"/>
      <c r="K487" s="1"/>
    </row>
    <row r="488" spans="1:11" ht="15.75" customHeight="1">
      <c r="A488" s="2"/>
      <c r="B488" s="1"/>
      <c r="C488" s="1"/>
      <c r="D488" s="1"/>
      <c r="E488" s="1"/>
      <c r="F488" s="1"/>
      <c r="G488" s="1"/>
      <c r="H488" s="1"/>
      <c r="I488" s="61"/>
      <c r="J488" s="1"/>
      <c r="K488" s="1"/>
    </row>
    <row r="489" spans="1:11" ht="15.75" customHeight="1">
      <c r="A489" s="2"/>
      <c r="B489" s="1"/>
      <c r="C489" s="1"/>
      <c r="D489" s="1"/>
      <c r="E489" s="1"/>
      <c r="F489" s="1"/>
      <c r="G489" s="1"/>
      <c r="H489" s="1"/>
      <c r="I489" s="61"/>
      <c r="J489" s="1"/>
      <c r="K489" s="1"/>
    </row>
    <row r="490" spans="1:11" ht="15.75" customHeight="1">
      <c r="A490" s="2"/>
      <c r="B490" s="1"/>
      <c r="C490" s="1"/>
      <c r="D490" s="1"/>
      <c r="E490" s="1"/>
      <c r="F490" s="1"/>
      <c r="G490" s="1"/>
      <c r="H490" s="1"/>
      <c r="I490" s="61"/>
      <c r="J490" s="1"/>
      <c r="K490" s="1"/>
    </row>
    <row r="491" spans="1:11" ht="15.75" customHeight="1">
      <c r="A491" s="2"/>
      <c r="B491" s="1"/>
      <c r="C491" s="1"/>
      <c r="D491" s="1"/>
      <c r="E491" s="1"/>
      <c r="F491" s="1"/>
      <c r="G491" s="1"/>
      <c r="H491" s="1"/>
      <c r="I491" s="61"/>
      <c r="J491" s="1"/>
      <c r="K491" s="1"/>
    </row>
    <row r="492" spans="1:11" ht="15.75" customHeight="1">
      <c r="A492" s="2"/>
      <c r="B492" s="1"/>
      <c r="C492" s="1"/>
      <c r="D492" s="1"/>
      <c r="E492" s="1"/>
      <c r="F492" s="1"/>
      <c r="G492" s="1"/>
      <c r="H492" s="1"/>
      <c r="I492" s="61"/>
      <c r="J492" s="1"/>
      <c r="K492" s="1"/>
    </row>
    <row r="493" spans="1:11" ht="15.75" customHeight="1">
      <c r="A493" s="2"/>
      <c r="B493" s="1"/>
      <c r="C493" s="1"/>
      <c r="D493" s="1"/>
      <c r="E493" s="1"/>
      <c r="F493" s="1"/>
      <c r="G493" s="1"/>
      <c r="H493" s="1"/>
      <c r="I493" s="61"/>
      <c r="J493" s="1"/>
      <c r="K493" s="1"/>
    </row>
    <row r="494" spans="1:11" ht="15.75" customHeight="1">
      <c r="A494" s="2"/>
      <c r="B494" s="1"/>
      <c r="C494" s="1"/>
      <c r="D494" s="1"/>
      <c r="E494" s="1"/>
      <c r="F494" s="1"/>
      <c r="G494" s="1"/>
      <c r="H494" s="1"/>
      <c r="I494" s="61"/>
      <c r="J494" s="1"/>
      <c r="K494" s="1"/>
    </row>
    <row r="495" spans="1:11" ht="15.75" customHeight="1">
      <c r="A495" s="2"/>
      <c r="B495" s="1"/>
      <c r="C495" s="1"/>
      <c r="D495" s="1"/>
      <c r="E495" s="1"/>
      <c r="F495" s="1"/>
      <c r="G495" s="1"/>
      <c r="H495" s="1"/>
      <c r="I495" s="61"/>
      <c r="J495" s="1"/>
      <c r="K495" s="1"/>
    </row>
    <row r="496" spans="1:11" ht="15.75" customHeight="1">
      <c r="A496" s="2"/>
      <c r="B496" s="1"/>
      <c r="C496" s="1"/>
      <c r="D496" s="1"/>
      <c r="E496" s="1"/>
      <c r="F496" s="1"/>
      <c r="G496" s="1"/>
      <c r="H496" s="1"/>
      <c r="I496" s="61"/>
      <c r="J496" s="1"/>
      <c r="K496" s="1"/>
    </row>
    <row r="497" spans="1:11" ht="15.75" customHeight="1">
      <c r="A497" s="2"/>
      <c r="B497" s="1"/>
      <c r="C497" s="1"/>
      <c r="D497" s="1"/>
      <c r="E497" s="1"/>
      <c r="F497" s="1"/>
      <c r="G497" s="1"/>
      <c r="H497" s="1"/>
      <c r="I497" s="61"/>
      <c r="J497" s="1"/>
      <c r="K497" s="1"/>
    </row>
    <row r="498" spans="1:11" ht="15.75" customHeight="1">
      <c r="A498" s="2"/>
      <c r="B498" s="1"/>
      <c r="C498" s="1"/>
      <c r="D498" s="1"/>
      <c r="E498" s="1"/>
      <c r="F498" s="1"/>
      <c r="G498" s="1"/>
      <c r="H498" s="1"/>
      <c r="I498" s="61"/>
      <c r="J498" s="1"/>
      <c r="K498" s="1"/>
    </row>
    <row r="499" spans="1:11" ht="15.75" customHeight="1">
      <c r="A499" s="2"/>
      <c r="B499" s="1"/>
      <c r="C499" s="1"/>
      <c r="D499" s="1"/>
      <c r="E499" s="1"/>
      <c r="F499" s="1"/>
      <c r="G499" s="1"/>
      <c r="H499" s="1"/>
      <c r="I499" s="61"/>
      <c r="J499" s="1"/>
      <c r="K499" s="1"/>
    </row>
    <row r="500" spans="1:11" ht="15.75" customHeight="1">
      <c r="A500" s="2"/>
      <c r="B500" s="1"/>
      <c r="C500" s="1"/>
      <c r="D500" s="1"/>
      <c r="E500" s="1"/>
      <c r="F500" s="1"/>
      <c r="G500" s="1"/>
      <c r="H500" s="1"/>
      <c r="I500" s="61"/>
      <c r="J500" s="1"/>
      <c r="K500" s="1"/>
    </row>
    <row r="501" spans="1:11" ht="15.75" customHeight="1">
      <c r="A501" s="2"/>
      <c r="B501" s="1"/>
      <c r="C501" s="1"/>
      <c r="D501" s="1"/>
      <c r="E501" s="1"/>
      <c r="F501" s="1"/>
      <c r="G501" s="1"/>
      <c r="H501" s="1"/>
      <c r="I501" s="61"/>
      <c r="J501" s="1"/>
      <c r="K501" s="1"/>
    </row>
    <row r="502" spans="1:11" ht="15.75" customHeight="1">
      <c r="A502" s="2"/>
      <c r="B502" s="1"/>
      <c r="C502" s="1"/>
      <c r="D502" s="1"/>
      <c r="E502" s="1"/>
      <c r="F502" s="1"/>
      <c r="G502" s="1"/>
      <c r="H502" s="1"/>
      <c r="I502" s="61"/>
      <c r="J502" s="1"/>
      <c r="K502" s="1"/>
    </row>
    <row r="503" spans="1:11" ht="15.75" customHeight="1">
      <c r="A503" s="2"/>
      <c r="B503" s="1"/>
      <c r="C503" s="1"/>
      <c r="D503" s="1"/>
      <c r="E503" s="1"/>
      <c r="F503" s="1"/>
      <c r="G503" s="1"/>
      <c r="H503" s="1"/>
      <c r="I503" s="61"/>
      <c r="J503" s="1"/>
      <c r="K503" s="1"/>
    </row>
    <row r="504" spans="1:11" ht="15.75" customHeight="1">
      <c r="A504" s="2"/>
      <c r="B504" s="1"/>
      <c r="C504" s="1"/>
      <c r="D504" s="1"/>
      <c r="E504" s="1"/>
      <c r="F504" s="1"/>
      <c r="G504" s="1"/>
      <c r="H504" s="1"/>
      <c r="I504" s="61"/>
      <c r="J504" s="1"/>
      <c r="K504" s="1"/>
    </row>
    <row r="505" spans="1:11" ht="15.75" customHeight="1">
      <c r="A505" s="2"/>
      <c r="B505" s="1"/>
      <c r="C505" s="1"/>
      <c r="D505" s="1"/>
      <c r="E505" s="1"/>
      <c r="F505" s="1"/>
      <c r="G505" s="1"/>
      <c r="H505" s="1"/>
      <c r="I505" s="61"/>
      <c r="J505" s="1"/>
      <c r="K505" s="1"/>
    </row>
    <row r="506" spans="1:11" ht="15.75" customHeight="1">
      <c r="A506" s="2"/>
      <c r="B506" s="1"/>
      <c r="C506" s="1"/>
      <c r="D506" s="1"/>
      <c r="E506" s="1"/>
      <c r="F506" s="1"/>
      <c r="G506" s="1"/>
      <c r="H506" s="1"/>
      <c r="I506" s="61"/>
      <c r="J506" s="1"/>
      <c r="K506" s="1"/>
    </row>
    <row r="507" spans="1:11" ht="15.75" customHeight="1">
      <c r="A507" s="2"/>
      <c r="B507" s="1"/>
      <c r="C507" s="1"/>
      <c r="D507" s="1"/>
      <c r="E507" s="1"/>
      <c r="F507" s="1"/>
      <c r="G507" s="1"/>
      <c r="H507" s="1"/>
      <c r="I507" s="61"/>
      <c r="J507" s="1"/>
      <c r="K507" s="1"/>
    </row>
    <row r="508" spans="1:11" ht="15.75" customHeight="1">
      <c r="A508" s="2"/>
      <c r="B508" s="1"/>
      <c r="C508" s="1"/>
      <c r="D508" s="1"/>
      <c r="E508" s="1"/>
      <c r="F508" s="1"/>
      <c r="G508" s="1"/>
      <c r="H508" s="1"/>
      <c r="I508" s="61"/>
      <c r="J508" s="1"/>
      <c r="K508" s="1"/>
    </row>
    <row r="509" spans="1:11" ht="15.75" customHeight="1">
      <c r="A509" s="2"/>
      <c r="B509" s="1"/>
      <c r="C509" s="1"/>
      <c r="D509" s="1"/>
      <c r="E509" s="1"/>
      <c r="F509" s="1"/>
      <c r="G509" s="1"/>
      <c r="H509" s="1"/>
      <c r="I509" s="61"/>
      <c r="J509" s="1"/>
      <c r="K509" s="1"/>
    </row>
    <row r="510" spans="1:11" ht="15.75" customHeight="1">
      <c r="A510" s="2"/>
      <c r="B510" s="1"/>
      <c r="C510" s="1"/>
      <c r="D510" s="1"/>
      <c r="E510" s="1"/>
      <c r="F510" s="1"/>
      <c r="G510" s="1"/>
      <c r="H510" s="1"/>
      <c r="I510" s="61"/>
      <c r="J510" s="1"/>
      <c r="K510" s="1"/>
    </row>
    <row r="511" spans="1:11" ht="15.75" customHeight="1">
      <c r="A511" s="2"/>
      <c r="B511" s="1"/>
      <c r="C511" s="1"/>
      <c r="D511" s="1"/>
      <c r="E511" s="1"/>
      <c r="F511" s="1"/>
      <c r="G511" s="1"/>
      <c r="H511" s="1"/>
      <c r="I511" s="61"/>
      <c r="J511" s="1"/>
      <c r="K511" s="1"/>
    </row>
    <row r="512" spans="1:11" ht="15.75" customHeight="1">
      <c r="A512" s="2"/>
      <c r="B512" s="1"/>
      <c r="C512" s="1"/>
      <c r="D512" s="1"/>
      <c r="E512" s="1"/>
      <c r="F512" s="1"/>
      <c r="G512" s="1"/>
      <c r="H512" s="1"/>
      <c r="I512" s="61"/>
      <c r="J512" s="1"/>
      <c r="K512" s="1"/>
    </row>
    <row r="513" spans="1:11" ht="15.75" customHeight="1">
      <c r="A513" s="2"/>
      <c r="B513" s="1"/>
      <c r="C513" s="1"/>
      <c r="D513" s="1"/>
      <c r="E513" s="1"/>
      <c r="F513" s="1"/>
      <c r="G513" s="1"/>
      <c r="H513" s="1"/>
      <c r="I513" s="61"/>
      <c r="J513" s="1"/>
      <c r="K513" s="1"/>
    </row>
    <row r="514" spans="1:11" ht="15.75" customHeight="1">
      <c r="A514" s="2"/>
      <c r="B514" s="1"/>
      <c r="C514" s="1"/>
      <c r="D514" s="1"/>
      <c r="E514" s="1"/>
      <c r="F514" s="1"/>
      <c r="G514" s="1"/>
      <c r="H514" s="1"/>
      <c r="I514" s="61"/>
      <c r="J514" s="1"/>
      <c r="K514" s="1"/>
    </row>
    <row r="515" spans="1:11" ht="15.75" customHeight="1">
      <c r="A515" s="2"/>
      <c r="B515" s="1"/>
      <c r="C515" s="1"/>
      <c r="D515" s="1"/>
      <c r="E515" s="1"/>
      <c r="F515" s="1"/>
      <c r="G515" s="1"/>
      <c r="H515" s="1"/>
      <c r="I515" s="61"/>
      <c r="J515" s="1"/>
      <c r="K515" s="1"/>
    </row>
    <row r="516" spans="1:11" ht="15.75" customHeight="1">
      <c r="A516" s="2"/>
      <c r="B516" s="1"/>
      <c r="C516" s="1"/>
      <c r="D516" s="1"/>
      <c r="E516" s="1"/>
      <c r="F516" s="1"/>
      <c r="G516" s="1"/>
      <c r="H516" s="1"/>
      <c r="I516" s="61"/>
      <c r="J516" s="1"/>
      <c r="K516" s="1"/>
    </row>
    <row r="517" spans="1:11" ht="15.75" customHeight="1">
      <c r="A517" s="2"/>
      <c r="B517" s="1"/>
      <c r="C517" s="1"/>
      <c r="D517" s="1"/>
      <c r="E517" s="1"/>
      <c r="F517" s="1"/>
      <c r="G517" s="1"/>
      <c r="H517" s="1"/>
      <c r="I517" s="61"/>
      <c r="J517" s="1"/>
      <c r="K517" s="1"/>
    </row>
    <row r="518" spans="1:11" ht="15.75" customHeight="1">
      <c r="A518" s="2"/>
      <c r="B518" s="1"/>
      <c r="C518" s="1"/>
      <c r="D518" s="1"/>
      <c r="E518" s="1"/>
      <c r="F518" s="1"/>
      <c r="G518" s="1"/>
      <c r="H518" s="1"/>
      <c r="I518" s="61"/>
      <c r="J518" s="1"/>
      <c r="K518" s="1"/>
    </row>
    <row r="519" spans="1:11" ht="15.75" customHeight="1">
      <c r="A519" s="2"/>
      <c r="B519" s="1"/>
      <c r="C519" s="1"/>
      <c r="D519" s="1"/>
      <c r="E519" s="1"/>
      <c r="F519" s="1"/>
      <c r="G519" s="1"/>
      <c r="H519" s="1"/>
      <c r="I519" s="61"/>
      <c r="J519" s="1"/>
      <c r="K519" s="1"/>
    </row>
    <row r="520" spans="1:11" ht="15.75" customHeight="1">
      <c r="A520" s="2"/>
      <c r="B520" s="1"/>
      <c r="C520" s="1"/>
      <c r="D520" s="1"/>
      <c r="E520" s="1"/>
      <c r="F520" s="1"/>
      <c r="G520" s="1"/>
      <c r="H520" s="1"/>
      <c r="I520" s="61"/>
      <c r="J520" s="1"/>
      <c r="K520" s="1"/>
    </row>
    <row r="521" spans="1:11" ht="15.75" customHeight="1">
      <c r="A521" s="2"/>
      <c r="B521" s="1"/>
      <c r="C521" s="1"/>
      <c r="D521" s="1"/>
      <c r="E521" s="1"/>
      <c r="F521" s="1"/>
      <c r="G521" s="1"/>
      <c r="H521" s="1"/>
      <c r="I521" s="61"/>
      <c r="J521" s="1"/>
      <c r="K521" s="1"/>
    </row>
    <row r="522" spans="1:11" ht="15.75" customHeight="1">
      <c r="A522" s="2"/>
      <c r="B522" s="1"/>
      <c r="C522" s="1"/>
      <c r="D522" s="1"/>
      <c r="E522" s="1"/>
      <c r="F522" s="1"/>
      <c r="G522" s="1"/>
      <c r="H522" s="1"/>
      <c r="I522" s="61"/>
      <c r="J522" s="1"/>
      <c r="K522" s="1"/>
    </row>
    <row r="523" spans="1:11" ht="15.75" customHeight="1">
      <c r="A523" s="2"/>
      <c r="B523" s="1"/>
      <c r="C523" s="1"/>
      <c r="D523" s="1"/>
      <c r="E523" s="1"/>
      <c r="F523" s="1"/>
      <c r="G523" s="1"/>
      <c r="H523" s="1"/>
      <c r="I523" s="61"/>
      <c r="J523" s="1"/>
      <c r="K523" s="1"/>
    </row>
    <row r="524" spans="1:11" ht="15.75" customHeight="1">
      <c r="A524" s="2"/>
      <c r="B524" s="1"/>
      <c r="C524" s="1"/>
      <c r="D524" s="1"/>
      <c r="E524" s="1"/>
      <c r="F524" s="1"/>
      <c r="G524" s="1"/>
      <c r="H524" s="1"/>
      <c r="I524" s="61"/>
      <c r="J524" s="1"/>
      <c r="K524" s="1"/>
    </row>
    <row r="525" spans="1:11" ht="15.75" customHeight="1">
      <c r="A525" s="2"/>
      <c r="B525" s="1"/>
      <c r="C525" s="1"/>
      <c r="D525" s="1"/>
      <c r="E525" s="1"/>
      <c r="F525" s="1"/>
      <c r="G525" s="1"/>
      <c r="H525" s="1"/>
      <c r="I525" s="61"/>
      <c r="J525" s="1"/>
      <c r="K525" s="1"/>
    </row>
    <row r="526" spans="1:11" ht="15.75" customHeight="1">
      <c r="A526" s="2"/>
      <c r="B526" s="1"/>
      <c r="C526" s="1"/>
      <c r="D526" s="1"/>
      <c r="E526" s="1"/>
      <c r="F526" s="1"/>
      <c r="G526" s="1"/>
      <c r="H526" s="1"/>
      <c r="I526" s="61"/>
      <c r="J526" s="1"/>
      <c r="K526" s="1"/>
    </row>
    <row r="527" spans="1:11" ht="15.75" customHeight="1">
      <c r="A527" s="2"/>
      <c r="B527" s="1"/>
      <c r="C527" s="1"/>
      <c r="D527" s="1"/>
      <c r="E527" s="1"/>
      <c r="F527" s="1"/>
      <c r="G527" s="1"/>
      <c r="H527" s="1"/>
      <c r="I527" s="61"/>
      <c r="J527" s="1"/>
      <c r="K527" s="1"/>
    </row>
    <row r="528" spans="1:11" ht="15.75" customHeight="1">
      <c r="A528" s="2"/>
      <c r="B528" s="1"/>
      <c r="C528" s="1"/>
      <c r="D528" s="1"/>
      <c r="E528" s="1"/>
      <c r="F528" s="1"/>
      <c r="G528" s="1"/>
      <c r="H528" s="1"/>
      <c r="I528" s="61"/>
      <c r="J528" s="1"/>
      <c r="K528" s="1"/>
    </row>
    <row r="529" spans="1:11" ht="15.75" customHeight="1">
      <c r="A529" s="2"/>
      <c r="B529" s="1"/>
      <c r="C529" s="1"/>
      <c r="D529" s="1"/>
      <c r="E529" s="1"/>
      <c r="F529" s="1"/>
      <c r="G529" s="1"/>
      <c r="H529" s="1"/>
      <c r="I529" s="61"/>
      <c r="J529" s="1"/>
      <c r="K529" s="1"/>
    </row>
    <row r="530" spans="1:11" ht="15.75" customHeight="1">
      <c r="A530" s="2"/>
      <c r="B530" s="1"/>
      <c r="C530" s="1"/>
      <c r="D530" s="1"/>
      <c r="E530" s="1"/>
      <c r="F530" s="1"/>
      <c r="G530" s="1"/>
      <c r="H530" s="1"/>
      <c r="I530" s="61"/>
      <c r="J530" s="1"/>
      <c r="K530" s="1"/>
    </row>
    <row r="531" spans="1:11" ht="15.75" customHeight="1">
      <c r="A531" s="2"/>
      <c r="B531" s="1"/>
      <c r="C531" s="1"/>
      <c r="D531" s="1"/>
      <c r="E531" s="1"/>
      <c r="F531" s="1"/>
      <c r="G531" s="1"/>
      <c r="H531" s="1"/>
      <c r="I531" s="61"/>
      <c r="J531" s="1"/>
      <c r="K531" s="1"/>
    </row>
    <row r="532" spans="1:11" ht="15.75" customHeight="1">
      <c r="A532" s="2"/>
      <c r="B532" s="1"/>
      <c r="C532" s="1"/>
      <c r="D532" s="1"/>
      <c r="E532" s="1"/>
      <c r="F532" s="1"/>
      <c r="G532" s="1"/>
      <c r="H532" s="1"/>
      <c r="I532" s="61"/>
      <c r="J532" s="1"/>
      <c r="K532" s="1"/>
    </row>
    <row r="533" spans="1:11" ht="15.75" customHeight="1">
      <c r="A533" s="2"/>
      <c r="B533" s="1"/>
      <c r="C533" s="1"/>
      <c r="D533" s="1"/>
      <c r="E533" s="1"/>
      <c r="F533" s="1"/>
      <c r="G533" s="1"/>
      <c r="H533" s="1"/>
      <c r="I533" s="61"/>
      <c r="J533" s="1"/>
      <c r="K533" s="1"/>
    </row>
    <row r="534" spans="1:11" ht="15.75" customHeight="1">
      <c r="A534" s="2"/>
      <c r="B534" s="1"/>
      <c r="C534" s="1"/>
      <c r="D534" s="1"/>
      <c r="E534" s="1"/>
      <c r="F534" s="1"/>
      <c r="G534" s="1"/>
      <c r="H534" s="1"/>
      <c r="I534" s="61"/>
      <c r="J534" s="1"/>
      <c r="K534" s="1"/>
    </row>
    <row r="535" spans="1:11" ht="15.75" customHeight="1">
      <c r="A535" s="2"/>
      <c r="B535" s="1"/>
      <c r="C535" s="1"/>
      <c r="D535" s="1"/>
      <c r="E535" s="1"/>
      <c r="F535" s="1"/>
      <c r="G535" s="1"/>
      <c r="H535" s="1"/>
      <c r="I535" s="61"/>
      <c r="J535" s="1"/>
      <c r="K535" s="1"/>
    </row>
    <row r="536" spans="1:11" ht="15.75" customHeight="1">
      <c r="A536" s="2"/>
      <c r="B536" s="1"/>
      <c r="C536" s="1"/>
      <c r="D536" s="1"/>
      <c r="E536" s="1"/>
      <c r="F536" s="1"/>
      <c r="G536" s="1"/>
      <c r="H536" s="1"/>
      <c r="I536" s="61"/>
      <c r="J536" s="1"/>
      <c r="K536" s="1"/>
    </row>
    <row r="537" spans="1:11" ht="15.75" customHeight="1">
      <c r="A537" s="2"/>
      <c r="B537" s="1"/>
      <c r="C537" s="1"/>
      <c r="D537" s="1"/>
      <c r="E537" s="1"/>
      <c r="F537" s="1"/>
      <c r="G537" s="1"/>
      <c r="H537" s="1"/>
      <c r="I537" s="61"/>
      <c r="J537" s="1"/>
      <c r="K537" s="1"/>
    </row>
    <row r="538" spans="1:11" ht="15.75" customHeight="1">
      <c r="A538" s="2"/>
      <c r="B538" s="1"/>
      <c r="C538" s="1"/>
      <c r="D538" s="1"/>
      <c r="E538" s="1"/>
      <c r="F538" s="1"/>
      <c r="G538" s="1"/>
      <c r="H538" s="1"/>
      <c r="I538" s="61"/>
      <c r="J538" s="1"/>
      <c r="K538" s="1"/>
    </row>
    <row r="539" spans="1:11" ht="15.75" customHeight="1">
      <c r="A539" s="2"/>
      <c r="B539" s="1"/>
      <c r="C539" s="1"/>
      <c r="D539" s="1"/>
      <c r="E539" s="1"/>
      <c r="F539" s="1"/>
      <c r="G539" s="1"/>
      <c r="H539" s="1"/>
      <c r="I539" s="61"/>
      <c r="J539" s="1"/>
      <c r="K539" s="1"/>
    </row>
    <row r="540" spans="1:11" ht="15.75" customHeight="1">
      <c r="A540" s="2"/>
      <c r="B540" s="1"/>
      <c r="C540" s="1"/>
      <c r="D540" s="1"/>
      <c r="E540" s="1"/>
      <c r="F540" s="1"/>
      <c r="G540" s="1"/>
      <c r="H540" s="1"/>
      <c r="I540" s="61"/>
      <c r="J540" s="1"/>
      <c r="K540" s="1"/>
    </row>
    <row r="541" spans="1:11" ht="15.75" customHeight="1">
      <c r="A541" s="2"/>
      <c r="B541" s="1"/>
      <c r="C541" s="1"/>
      <c r="D541" s="1"/>
      <c r="E541" s="1"/>
      <c r="F541" s="1"/>
      <c r="G541" s="1"/>
      <c r="H541" s="1"/>
      <c r="I541" s="61"/>
      <c r="J541" s="1"/>
      <c r="K541" s="1"/>
    </row>
    <row r="542" spans="1:11" ht="15.75" customHeight="1">
      <c r="A542" s="2"/>
      <c r="B542" s="1"/>
      <c r="C542" s="1"/>
      <c r="D542" s="1"/>
      <c r="E542" s="1"/>
      <c r="F542" s="1"/>
      <c r="G542" s="1"/>
      <c r="H542" s="1"/>
      <c r="I542" s="61"/>
      <c r="J542" s="1"/>
      <c r="K542" s="1"/>
    </row>
    <row r="543" spans="1:11" ht="15.75" customHeight="1">
      <c r="A543" s="2"/>
      <c r="B543" s="1"/>
      <c r="C543" s="1"/>
      <c r="D543" s="1"/>
      <c r="E543" s="1"/>
      <c r="F543" s="1"/>
      <c r="G543" s="1"/>
      <c r="H543" s="1"/>
      <c r="I543" s="61"/>
      <c r="J543" s="1"/>
      <c r="K543" s="1"/>
    </row>
    <row r="544" spans="1:11" ht="15.75" customHeight="1">
      <c r="A544" s="2"/>
      <c r="B544" s="1"/>
      <c r="C544" s="1"/>
      <c r="D544" s="1"/>
      <c r="E544" s="1"/>
      <c r="F544" s="1"/>
      <c r="G544" s="1"/>
      <c r="H544" s="1"/>
      <c r="I544" s="61"/>
      <c r="J544" s="1"/>
      <c r="K544" s="1"/>
    </row>
    <row r="545" spans="1:11" ht="15.75" customHeight="1">
      <c r="A545" s="2"/>
      <c r="B545" s="1"/>
      <c r="C545" s="1"/>
      <c r="D545" s="1"/>
      <c r="E545" s="1"/>
      <c r="F545" s="1"/>
      <c r="G545" s="1"/>
      <c r="H545" s="1"/>
      <c r="I545" s="61"/>
      <c r="J545" s="1"/>
      <c r="K545" s="1"/>
    </row>
    <row r="546" spans="1:11" ht="15.75" customHeight="1">
      <c r="A546" s="2"/>
      <c r="B546" s="1"/>
      <c r="C546" s="1"/>
      <c r="D546" s="1"/>
      <c r="E546" s="1"/>
      <c r="F546" s="1"/>
      <c r="G546" s="1"/>
      <c r="H546" s="1"/>
      <c r="I546" s="61"/>
      <c r="J546" s="1"/>
      <c r="K546" s="1"/>
    </row>
    <row r="547" spans="1:11" ht="15.75" customHeight="1">
      <c r="A547" s="2"/>
      <c r="B547" s="1"/>
      <c r="C547" s="1"/>
      <c r="D547" s="1"/>
      <c r="E547" s="1"/>
      <c r="F547" s="1"/>
      <c r="G547" s="1"/>
      <c r="H547" s="1"/>
      <c r="I547" s="61"/>
      <c r="J547" s="1"/>
      <c r="K547" s="1"/>
    </row>
    <row r="548" spans="1:11" ht="15.75" customHeight="1">
      <c r="A548" s="2"/>
      <c r="B548" s="1"/>
      <c r="C548" s="1"/>
      <c r="D548" s="1"/>
      <c r="E548" s="1"/>
      <c r="F548" s="1"/>
      <c r="G548" s="1"/>
      <c r="H548" s="1"/>
      <c r="I548" s="61"/>
      <c r="J548" s="1"/>
      <c r="K548" s="1"/>
    </row>
    <row r="549" spans="1:11" ht="15.75" customHeight="1">
      <c r="A549" s="2"/>
      <c r="B549" s="1"/>
      <c r="C549" s="1"/>
      <c r="D549" s="1"/>
      <c r="E549" s="1"/>
      <c r="F549" s="1"/>
      <c r="G549" s="1"/>
      <c r="H549" s="1"/>
      <c r="I549" s="61"/>
      <c r="J549" s="1"/>
      <c r="K549" s="1"/>
    </row>
    <row r="550" spans="1:11" ht="15.75" customHeight="1">
      <c r="A550" s="2"/>
      <c r="B550" s="1"/>
      <c r="C550" s="1"/>
      <c r="D550" s="1"/>
      <c r="E550" s="1"/>
      <c r="F550" s="1"/>
      <c r="G550" s="1"/>
      <c r="H550" s="1"/>
      <c r="I550" s="61"/>
      <c r="J550" s="1"/>
      <c r="K550" s="1"/>
    </row>
    <row r="551" spans="1:11" ht="15.75" customHeight="1">
      <c r="A551" s="2"/>
      <c r="B551" s="1"/>
      <c r="C551" s="1"/>
      <c r="D551" s="1"/>
      <c r="E551" s="1"/>
      <c r="F551" s="1"/>
      <c r="G551" s="1"/>
      <c r="H551" s="1"/>
      <c r="I551" s="61"/>
      <c r="J551" s="1"/>
      <c r="K551" s="1"/>
    </row>
    <row r="552" spans="1:11" ht="15.75" customHeight="1">
      <c r="A552" s="2"/>
      <c r="B552" s="1"/>
      <c r="C552" s="1"/>
      <c r="D552" s="1"/>
      <c r="E552" s="1"/>
      <c r="F552" s="1"/>
      <c r="G552" s="1"/>
      <c r="H552" s="1"/>
      <c r="I552" s="61"/>
      <c r="J552" s="1"/>
      <c r="K552" s="1"/>
    </row>
    <row r="553" spans="1:11" ht="15.75" customHeight="1">
      <c r="A553" s="2"/>
      <c r="B553" s="1"/>
      <c r="C553" s="1"/>
      <c r="D553" s="1"/>
      <c r="E553" s="1"/>
      <c r="F553" s="1"/>
      <c r="G553" s="1"/>
      <c r="H553" s="1"/>
      <c r="I553" s="61"/>
      <c r="J553" s="1"/>
      <c r="K553" s="1"/>
    </row>
    <row r="554" spans="1:11" ht="15.75" customHeight="1">
      <c r="A554" s="2"/>
      <c r="B554" s="1"/>
      <c r="C554" s="1"/>
      <c r="D554" s="1"/>
      <c r="E554" s="1"/>
      <c r="F554" s="1"/>
      <c r="G554" s="1"/>
      <c r="H554" s="1"/>
      <c r="I554" s="61"/>
      <c r="J554" s="1"/>
      <c r="K554" s="1"/>
    </row>
    <row r="555" spans="1:11" ht="15.75" customHeight="1">
      <c r="A555" s="2"/>
      <c r="B555" s="1"/>
      <c r="C555" s="1"/>
      <c r="D555" s="1"/>
      <c r="E555" s="1"/>
      <c r="F555" s="1"/>
      <c r="G555" s="1"/>
      <c r="H555" s="1"/>
      <c r="I555" s="61"/>
      <c r="J555" s="1"/>
      <c r="K555" s="1"/>
    </row>
    <row r="556" spans="1:11" ht="15.75" customHeight="1">
      <c r="A556" s="2"/>
      <c r="B556" s="1"/>
      <c r="C556" s="1"/>
      <c r="D556" s="1"/>
      <c r="E556" s="1"/>
      <c r="F556" s="1"/>
      <c r="G556" s="1"/>
      <c r="H556" s="1"/>
      <c r="I556" s="61"/>
      <c r="J556" s="1"/>
      <c r="K556" s="1"/>
    </row>
    <row r="557" spans="1:11" ht="15.75" customHeight="1">
      <c r="A557" s="2"/>
      <c r="B557" s="1"/>
      <c r="C557" s="1"/>
      <c r="D557" s="1"/>
      <c r="E557" s="1"/>
      <c r="F557" s="1"/>
      <c r="G557" s="1"/>
      <c r="H557" s="1"/>
      <c r="I557" s="61"/>
      <c r="J557" s="1"/>
      <c r="K557" s="1"/>
    </row>
    <row r="558" spans="1:11" ht="15.75" customHeight="1">
      <c r="A558" s="2"/>
      <c r="B558" s="1"/>
      <c r="C558" s="1"/>
      <c r="D558" s="1"/>
      <c r="E558" s="1"/>
      <c r="F558" s="1"/>
      <c r="G558" s="1"/>
      <c r="H558" s="1"/>
      <c r="I558" s="61"/>
      <c r="J558" s="1"/>
      <c r="K558" s="1"/>
    </row>
    <row r="559" spans="1:11" ht="15.75" customHeight="1">
      <c r="A559" s="2"/>
      <c r="B559" s="1"/>
      <c r="C559" s="1"/>
      <c r="D559" s="1"/>
      <c r="E559" s="1"/>
      <c r="F559" s="1"/>
      <c r="G559" s="1"/>
      <c r="H559" s="1"/>
      <c r="I559" s="61"/>
      <c r="J559" s="1"/>
      <c r="K559" s="1"/>
    </row>
    <row r="560" spans="1:11" ht="15.75" customHeight="1">
      <c r="A560" s="2"/>
      <c r="B560" s="1"/>
      <c r="C560" s="1"/>
      <c r="D560" s="1"/>
      <c r="E560" s="1"/>
      <c r="F560" s="1"/>
      <c r="G560" s="1"/>
      <c r="H560" s="1"/>
      <c r="I560" s="61"/>
      <c r="J560" s="1"/>
      <c r="K560" s="1"/>
    </row>
    <row r="561" spans="1:11" ht="15.75" customHeight="1">
      <c r="A561" s="2"/>
      <c r="B561" s="1"/>
      <c r="C561" s="1"/>
      <c r="D561" s="1"/>
      <c r="E561" s="1"/>
      <c r="F561" s="1"/>
      <c r="G561" s="1"/>
      <c r="H561" s="1"/>
      <c r="I561" s="61"/>
      <c r="J561" s="1"/>
      <c r="K561" s="1"/>
    </row>
    <row r="562" spans="1:11" ht="15.75" customHeight="1">
      <c r="A562" s="2"/>
      <c r="B562" s="1"/>
      <c r="C562" s="1"/>
      <c r="D562" s="1"/>
      <c r="E562" s="1"/>
      <c r="F562" s="1"/>
      <c r="G562" s="1"/>
      <c r="H562" s="1"/>
      <c r="I562" s="61"/>
      <c r="J562" s="1"/>
      <c r="K562" s="1"/>
    </row>
    <row r="563" spans="1:11" ht="15.75" customHeight="1">
      <c r="A563" s="2"/>
      <c r="B563" s="1"/>
      <c r="C563" s="1"/>
      <c r="D563" s="1"/>
      <c r="E563" s="1"/>
      <c r="F563" s="1"/>
      <c r="G563" s="1"/>
      <c r="H563" s="1"/>
      <c r="I563" s="61"/>
      <c r="J563" s="1"/>
      <c r="K563" s="1"/>
    </row>
    <row r="564" spans="1:11" ht="15.75" customHeight="1">
      <c r="A564" s="2"/>
      <c r="B564" s="1"/>
      <c r="C564" s="1"/>
      <c r="D564" s="1"/>
      <c r="E564" s="1"/>
      <c r="F564" s="1"/>
      <c r="G564" s="1"/>
      <c r="H564" s="1"/>
      <c r="I564" s="61"/>
      <c r="J564" s="1"/>
      <c r="K564" s="1"/>
    </row>
    <row r="565" spans="1:11" ht="15.75" customHeight="1">
      <c r="A565" s="2"/>
      <c r="B565" s="1"/>
      <c r="C565" s="1"/>
      <c r="D565" s="1"/>
      <c r="E565" s="1"/>
      <c r="F565" s="1"/>
      <c r="G565" s="1"/>
      <c r="H565" s="1"/>
      <c r="I565" s="61"/>
      <c r="J565" s="1"/>
      <c r="K565" s="1"/>
    </row>
    <row r="566" spans="1:11" ht="15.75" customHeight="1">
      <c r="A566" s="2"/>
      <c r="B566" s="1"/>
      <c r="C566" s="1"/>
      <c r="D566" s="1"/>
      <c r="E566" s="1"/>
      <c r="F566" s="1"/>
      <c r="G566" s="1"/>
      <c r="H566" s="1"/>
      <c r="I566" s="61"/>
      <c r="J566" s="1"/>
      <c r="K566" s="1"/>
    </row>
    <row r="567" spans="1:11" ht="15.75" customHeight="1">
      <c r="A567" s="2"/>
      <c r="B567" s="1"/>
      <c r="C567" s="1"/>
      <c r="D567" s="1"/>
      <c r="E567" s="1"/>
      <c r="F567" s="1"/>
      <c r="G567" s="1"/>
      <c r="H567" s="1"/>
      <c r="I567" s="61"/>
      <c r="J567" s="1"/>
      <c r="K567" s="1"/>
    </row>
    <row r="568" spans="1:11" ht="15.75" customHeight="1">
      <c r="A568" s="2"/>
      <c r="B568" s="1"/>
      <c r="C568" s="1"/>
      <c r="D568" s="1"/>
      <c r="E568" s="1"/>
      <c r="F568" s="1"/>
      <c r="G568" s="1"/>
      <c r="H568" s="1"/>
      <c r="I568" s="61"/>
      <c r="J568" s="1"/>
      <c r="K568" s="1"/>
    </row>
    <row r="569" spans="1:11" ht="15.75" customHeight="1">
      <c r="A569" s="2"/>
      <c r="B569" s="1"/>
      <c r="C569" s="1"/>
      <c r="D569" s="1"/>
      <c r="E569" s="1"/>
      <c r="F569" s="1"/>
      <c r="G569" s="1"/>
      <c r="H569" s="1"/>
      <c r="I569" s="61"/>
      <c r="J569" s="1"/>
      <c r="K569" s="1"/>
    </row>
    <row r="570" spans="1:11" ht="15.75" customHeight="1">
      <c r="A570" s="2"/>
      <c r="B570" s="1"/>
      <c r="C570" s="1"/>
      <c r="D570" s="1"/>
      <c r="E570" s="1"/>
      <c r="F570" s="1"/>
      <c r="G570" s="1"/>
      <c r="H570" s="1"/>
      <c r="I570" s="61"/>
      <c r="J570" s="1"/>
      <c r="K570" s="1"/>
    </row>
    <row r="571" spans="1:11" ht="15.75" customHeight="1">
      <c r="A571" s="2"/>
      <c r="B571" s="1"/>
      <c r="C571" s="1"/>
      <c r="D571" s="1"/>
      <c r="E571" s="1"/>
      <c r="F571" s="1"/>
      <c r="G571" s="1"/>
      <c r="H571" s="1"/>
      <c r="I571" s="61"/>
      <c r="J571" s="1"/>
      <c r="K571" s="1"/>
    </row>
    <row r="572" spans="1:11" ht="15.75" customHeight="1">
      <c r="A572" s="2"/>
      <c r="B572" s="1"/>
      <c r="C572" s="1"/>
      <c r="D572" s="1"/>
      <c r="E572" s="1"/>
      <c r="F572" s="1"/>
      <c r="G572" s="1"/>
      <c r="H572" s="1"/>
      <c r="I572" s="61"/>
      <c r="J572" s="1"/>
      <c r="K572" s="1"/>
    </row>
    <row r="573" spans="1:11" ht="15.75" customHeight="1">
      <c r="A573" s="2"/>
      <c r="B573" s="1"/>
      <c r="C573" s="1"/>
      <c r="D573" s="1"/>
      <c r="E573" s="1"/>
      <c r="F573" s="1"/>
      <c r="G573" s="1"/>
      <c r="H573" s="1"/>
      <c r="I573" s="61"/>
      <c r="J573" s="1"/>
      <c r="K573" s="1"/>
    </row>
    <row r="574" spans="1:11" ht="15.75" customHeight="1">
      <c r="A574" s="2"/>
      <c r="B574" s="1"/>
      <c r="C574" s="1"/>
      <c r="D574" s="1"/>
      <c r="E574" s="1"/>
      <c r="F574" s="1"/>
      <c r="G574" s="1"/>
      <c r="H574" s="1"/>
      <c r="I574" s="61"/>
      <c r="J574" s="1"/>
      <c r="K574" s="1"/>
    </row>
    <row r="575" spans="1:11" ht="15.75" customHeight="1">
      <c r="A575" s="2"/>
      <c r="B575" s="1"/>
      <c r="C575" s="1"/>
      <c r="D575" s="1"/>
      <c r="E575" s="1"/>
      <c r="F575" s="1"/>
      <c r="G575" s="1"/>
      <c r="H575" s="1"/>
      <c r="I575" s="61"/>
      <c r="J575" s="1"/>
      <c r="K575" s="1"/>
    </row>
    <row r="576" spans="1:11" ht="15.75" customHeight="1">
      <c r="A576" s="2"/>
      <c r="B576" s="1"/>
      <c r="C576" s="1"/>
      <c r="D576" s="1"/>
      <c r="E576" s="1"/>
      <c r="F576" s="1"/>
      <c r="G576" s="1"/>
      <c r="H576" s="1"/>
      <c r="I576" s="61"/>
      <c r="J576" s="1"/>
      <c r="K576" s="1"/>
    </row>
    <row r="577" spans="1:11" ht="15.75" customHeight="1">
      <c r="A577" s="2"/>
      <c r="B577" s="1"/>
      <c r="C577" s="1"/>
      <c r="D577" s="1"/>
      <c r="E577" s="1"/>
      <c r="F577" s="1"/>
      <c r="G577" s="1"/>
      <c r="H577" s="1"/>
      <c r="I577" s="61"/>
      <c r="J577" s="1"/>
      <c r="K577" s="1"/>
    </row>
    <row r="578" spans="1:11" ht="15.75" customHeight="1">
      <c r="A578" s="2"/>
      <c r="B578" s="1"/>
      <c r="C578" s="1"/>
      <c r="D578" s="1"/>
      <c r="E578" s="1"/>
      <c r="F578" s="1"/>
      <c r="G578" s="1"/>
      <c r="H578" s="1"/>
      <c r="I578" s="61"/>
      <c r="J578" s="1"/>
      <c r="K578" s="1"/>
    </row>
    <row r="579" spans="1:11" ht="15.75" customHeight="1">
      <c r="A579" s="2"/>
      <c r="B579" s="1"/>
      <c r="C579" s="1"/>
      <c r="D579" s="1"/>
      <c r="E579" s="1"/>
      <c r="F579" s="1"/>
      <c r="G579" s="1"/>
      <c r="H579" s="1"/>
      <c r="I579" s="61"/>
      <c r="J579" s="1"/>
      <c r="K579" s="1"/>
    </row>
    <row r="580" spans="1:11" ht="15.75" customHeight="1">
      <c r="A580" s="2"/>
      <c r="B580" s="1"/>
      <c r="C580" s="1"/>
      <c r="D580" s="1"/>
      <c r="E580" s="1"/>
      <c r="F580" s="1"/>
      <c r="G580" s="1"/>
      <c r="H580" s="1"/>
      <c r="I580" s="61"/>
      <c r="J580" s="1"/>
      <c r="K580" s="1"/>
    </row>
    <row r="581" spans="1:11" ht="15.75" customHeight="1">
      <c r="A581" s="2"/>
      <c r="B581" s="1"/>
      <c r="C581" s="1"/>
      <c r="D581" s="1"/>
      <c r="E581" s="1"/>
      <c r="F581" s="1"/>
      <c r="G581" s="1"/>
      <c r="H581" s="1"/>
      <c r="I581" s="61"/>
      <c r="J581" s="1"/>
      <c r="K581" s="1"/>
    </row>
    <row r="582" spans="1:11" ht="15.75" customHeight="1">
      <c r="A582" s="2"/>
      <c r="B582" s="1"/>
      <c r="C582" s="1"/>
      <c r="D582" s="1"/>
      <c r="E582" s="1"/>
      <c r="F582" s="1"/>
      <c r="G582" s="1"/>
      <c r="H582" s="1"/>
      <c r="I582" s="61"/>
      <c r="J582" s="1"/>
      <c r="K582" s="1"/>
    </row>
    <row r="583" spans="1:11" ht="15.75" customHeight="1">
      <c r="A583" s="2"/>
      <c r="B583" s="1"/>
      <c r="C583" s="1"/>
      <c r="D583" s="1"/>
      <c r="E583" s="1"/>
      <c r="F583" s="1"/>
      <c r="G583" s="1"/>
      <c r="H583" s="1"/>
      <c r="I583" s="61"/>
      <c r="J583" s="1"/>
      <c r="K583" s="1"/>
    </row>
    <row r="584" spans="1:11" ht="15.75" customHeight="1">
      <c r="A584" s="2"/>
      <c r="B584" s="1"/>
      <c r="C584" s="1"/>
      <c r="D584" s="1"/>
      <c r="E584" s="1"/>
      <c r="F584" s="1"/>
      <c r="G584" s="1"/>
      <c r="H584" s="1"/>
      <c r="I584" s="61"/>
      <c r="J584" s="1"/>
      <c r="K584" s="1"/>
    </row>
    <row r="585" spans="1:11" ht="15.75" customHeight="1">
      <c r="A585" s="2"/>
      <c r="B585" s="1"/>
      <c r="C585" s="1"/>
      <c r="D585" s="1"/>
      <c r="E585" s="1"/>
      <c r="F585" s="1"/>
      <c r="G585" s="1"/>
      <c r="H585" s="1"/>
      <c r="I585" s="61"/>
      <c r="J585" s="1"/>
      <c r="K585" s="1"/>
    </row>
    <row r="586" spans="1:11" ht="15.75" customHeight="1">
      <c r="A586" s="2"/>
      <c r="B586" s="1"/>
      <c r="C586" s="1"/>
      <c r="D586" s="1"/>
      <c r="E586" s="1"/>
      <c r="F586" s="1"/>
      <c r="G586" s="1"/>
      <c r="H586" s="1"/>
      <c r="I586" s="61"/>
      <c r="J586" s="1"/>
      <c r="K586" s="1"/>
    </row>
    <row r="587" spans="1:11" ht="15.75" customHeight="1">
      <c r="A587" s="2"/>
      <c r="B587" s="1"/>
      <c r="C587" s="1"/>
      <c r="D587" s="1"/>
      <c r="E587" s="1"/>
      <c r="F587" s="1"/>
      <c r="G587" s="1"/>
      <c r="H587" s="1"/>
      <c r="I587" s="61"/>
      <c r="J587" s="1"/>
      <c r="K587" s="1"/>
    </row>
    <row r="588" spans="1:11" ht="15.75" customHeight="1">
      <c r="A588" s="2"/>
      <c r="B588" s="1"/>
      <c r="C588" s="1"/>
      <c r="D588" s="1"/>
      <c r="E588" s="1"/>
      <c r="F588" s="1"/>
      <c r="G588" s="1"/>
      <c r="H588" s="1"/>
      <c r="I588" s="61"/>
      <c r="J588" s="1"/>
      <c r="K588" s="1"/>
    </row>
    <row r="589" spans="1:11" ht="15.75" customHeight="1">
      <c r="A589" s="2"/>
      <c r="B589" s="1"/>
      <c r="C589" s="1"/>
      <c r="D589" s="1"/>
      <c r="E589" s="1"/>
      <c r="F589" s="1"/>
      <c r="G589" s="1"/>
      <c r="H589" s="1"/>
      <c r="I589" s="61"/>
      <c r="J589" s="1"/>
      <c r="K589" s="1"/>
    </row>
    <row r="590" spans="1:11" ht="15.75" customHeight="1">
      <c r="A590" s="2"/>
      <c r="B590" s="1"/>
      <c r="C590" s="1"/>
      <c r="D590" s="1"/>
      <c r="E590" s="1"/>
      <c r="F590" s="1"/>
      <c r="G590" s="1"/>
      <c r="H590" s="1"/>
      <c r="I590" s="61"/>
      <c r="J590" s="1"/>
      <c r="K590" s="1"/>
    </row>
    <row r="591" spans="1:11" ht="15.75" customHeight="1">
      <c r="A591" s="2"/>
      <c r="B591" s="1"/>
      <c r="C591" s="1"/>
      <c r="D591" s="1"/>
      <c r="E591" s="1"/>
      <c r="F591" s="1"/>
      <c r="G591" s="1"/>
      <c r="H591" s="1"/>
      <c r="I591" s="61"/>
      <c r="J591" s="1"/>
      <c r="K591" s="1"/>
    </row>
    <row r="592" spans="1:11" ht="15.75" customHeight="1">
      <c r="A592" s="2"/>
      <c r="B592" s="1"/>
      <c r="C592" s="1"/>
      <c r="D592" s="1"/>
      <c r="E592" s="1"/>
      <c r="F592" s="1"/>
      <c r="G592" s="1"/>
      <c r="H592" s="1"/>
      <c r="I592" s="61"/>
      <c r="J592" s="1"/>
      <c r="K592" s="1"/>
    </row>
    <row r="593" spans="1:11" ht="15.75" customHeight="1">
      <c r="A593" s="2"/>
      <c r="B593" s="1"/>
      <c r="C593" s="1"/>
      <c r="D593" s="1"/>
      <c r="E593" s="1"/>
      <c r="F593" s="1"/>
      <c r="G593" s="1"/>
      <c r="H593" s="1"/>
      <c r="I593" s="61"/>
      <c r="J593" s="1"/>
      <c r="K593" s="1"/>
    </row>
    <row r="594" spans="1:11" ht="15.75" customHeight="1">
      <c r="A594" s="2"/>
      <c r="B594" s="1"/>
      <c r="C594" s="1"/>
      <c r="D594" s="1"/>
      <c r="E594" s="1"/>
      <c r="F594" s="1"/>
      <c r="G594" s="1"/>
      <c r="H594" s="1"/>
      <c r="I594" s="61"/>
      <c r="J594" s="1"/>
      <c r="K594" s="1"/>
    </row>
    <row r="595" spans="1:11" ht="15.75" customHeight="1">
      <c r="A595" s="2"/>
      <c r="B595" s="1"/>
      <c r="C595" s="1"/>
      <c r="D595" s="1"/>
      <c r="E595" s="1"/>
      <c r="F595" s="1"/>
      <c r="G595" s="1"/>
      <c r="H595" s="1"/>
      <c r="I595" s="61"/>
      <c r="J595" s="1"/>
      <c r="K595" s="1"/>
    </row>
    <row r="596" spans="1:11" ht="15.75" customHeight="1">
      <c r="A596" s="2"/>
      <c r="B596" s="1"/>
      <c r="C596" s="1"/>
      <c r="D596" s="1"/>
      <c r="E596" s="1"/>
      <c r="F596" s="1"/>
      <c r="G596" s="1"/>
      <c r="H596" s="1"/>
      <c r="I596" s="61"/>
      <c r="J596" s="1"/>
      <c r="K596" s="1"/>
    </row>
    <row r="597" spans="1:11" ht="15.75" customHeight="1">
      <c r="A597" s="2"/>
      <c r="B597" s="1"/>
      <c r="C597" s="1"/>
      <c r="D597" s="1"/>
      <c r="E597" s="1"/>
      <c r="F597" s="1"/>
      <c r="G597" s="1"/>
      <c r="H597" s="1"/>
      <c r="I597" s="61"/>
      <c r="J597" s="1"/>
      <c r="K597" s="1"/>
    </row>
    <row r="598" spans="1:11" ht="15.75" customHeight="1">
      <c r="A598" s="2"/>
      <c r="B598" s="1"/>
      <c r="C598" s="1"/>
      <c r="D598" s="1"/>
      <c r="E598" s="1"/>
      <c r="F598" s="1"/>
      <c r="G598" s="1"/>
      <c r="H598" s="1"/>
      <c r="I598" s="61"/>
      <c r="J598" s="1"/>
      <c r="K598" s="1"/>
    </row>
    <row r="599" spans="1:11" ht="15.75" customHeight="1">
      <c r="A599" s="2"/>
      <c r="B599" s="1"/>
      <c r="C599" s="1"/>
      <c r="D599" s="1"/>
      <c r="E599" s="1"/>
      <c r="F599" s="1"/>
      <c r="G599" s="1"/>
      <c r="H599" s="1"/>
      <c r="I599" s="61"/>
      <c r="J599" s="1"/>
      <c r="K599" s="1"/>
    </row>
    <row r="600" spans="1:11" ht="15.75" customHeight="1">
      <c r="A600" s="2"/>
      <c r="B600" s="1"/>
      <c r="C600" s="1"/>
      <c r="D600" s="1"/>
      <c r="E600" s="1"/>
      <c r="F600" s="1"/>
      <c r="G600" s="1"/>
      <c r="H600" s="1"/>
      <c r="I600" s="61"/>
      <c r="J600" s="1"/>
      <c r="K600" s="1"/>
    </row>
    <row r="601" spans="1:11" ht="15.75" customHeight="1">
      <c r="A601" s="2"/>
      <c r="B601" s="1"/>
      <c r="C601" s="1"/>
      <c r="D601" s="1"/>
      <c r="E601" s="1"/>
      <c r="F601" s="1"/>
      <c r="G601" s="1"/>
      <c r="H601" s="1"/>
      <c r="I601" s="61"/>
      <c r="J601" s="1"/>
      <c r="K601" s="1"/>
    </row>
    <row r="602" spans="1:11" ht="15.75" customHeight="1">
      <c r="A602" s="2"/>
      <c r="B602" s="1"/>
      <c r="C602" s="1"/>
      <c r="D602" s="1"/>
      <c r="E602" s="1"/>
      <c r="F602" s="1"/>
      <c r="G602" s="1"/>
      <c r="H602" s="1"/>
      <c r="I602" s="61"/>
      <c r="J602" s="1"/>
      <c r="K602" s="1"/>
    </row>
    <row r="603" spans="1:11" ht="15.75" customHeight="1">
      <c r="A603" s="2"/>
      <c r="B603" s="1"/>
      <c r="C603" s="1"/>
      <c r="D603" s="1"/>
      <c r="E603" s="1"/>
      <c r="F603" s="1"/>
      <c r="G603" s="1"/>
      <c r="H603" s="1"/>
      <c r="I603" s="61"/>
      <c r="J603" s="1"/>
      <c r="K603" s="1"/>
    </row>
    <row r="604" spans="1:11" ht="15.75" customHeight="1">
      <c r="A604" s="2"/>
      <c r="B604" s="1"/>
      <c r="C604" s="1"/>
      <c r="D604" s="1"/>
      <c r="E604" s="1"/>
      <c r="F604" s="1"/>
      <c r="G604" s="1"/>
      <c r="H604" s="1"/>
      <c r="I604" s="61"/>
      <c r="J604" s="1"/>
      <c r="K604" s="1"/>
    </row>
    <row r="605" spans="1:11" ht="15.75" customHeight="1">
      <c r="A605" s="2"/>
      <c r="B605" s="1"/>
      <c r="C605" s="1"/>
      <c r="D605" s="1"/>
      <c r="E605" s="1"/>
      <c r="F605" s="1"/>
      <c r="G605" s="1"/>
      <c r="H605" s="1"/>
      <c r="I605" s="61"/>
      <c r="J605" s="1"/>
      <c r="K605" s="1"/>
    </row>
    <row r="606" spans="1:11" ht="15.75" customHeight="1">
      <c r="A606" s="2"/>
      <c r="B606" s="1"/>
      <c r="C606" s="1"/>
      <c r="D606" s="1"/>
      <c r="E606" s="1"/>
      <c r="F606" s="1"/>
      <c r="G606" s="1"/>
      <c r="H606" s="1"/>
      <c r="I606" s="61"/>
      <c r="J606" s="1"/>
      <c r="K606" s="1"/>
    </row>
    <row r="607" spans="1:11" ht="15.75" customHeight="1">
      <c r="A607" s="2"/>
      <c r="B607" s="1"/>
      <c r="C607" s="1"/>
      <c r="D607" s="1"/>
      <c r="E607" s="1"/>
      <c r="F607" s="1"/>
      <c r="G607" s="1"/>
      <c r="H607" s="1"/>
      <c r="I607" s="61"/>
      <c r="J607" s="1"/>
      <c r="K607" s="1"/>
    </row>
    <row r="608" spans="1:11" ht="15.75" customHeight="1">
      <c r="A608" s="2"/>
      <c r="B608" s="1"/>
      <c r="C608" s="1"/>
      <c r="D608" s="1"/>
      <c r="E608" s="1"/>
      <c r="F608" s="1"/>
      <c r="G608" s="1"/>
      <c r="H608" s="1"/>
      <c r="I608" s="61"/>
      <c r="J608" s="1"/>
      <c r="K608" s="1"/>
    </row>
    <row r="609" spans="1:11" ht="15.75" customHeight="1">
      <c r="A609" s="2"/>
      <c r="B609" s="1"/>
      <c r="C609" s="1"/>
      <c r="D609" s="1"/>
      <c r="E609" s="1"/>
      <c r="F609" s="1"/>
      <c r="G609" s="1"/>
      <c r="H609" s="1"/>
      <c r="I609" s="61"/>
      <c r="J609" s="1"/>
      <c r="K609" s="1"/>
    </row>
    <row r="610" spans="1:11" ht="15.75" customHeight="1">
      <c r="A610" s="2"/>
      <c r="B610" s="1"/>
      <c r="C610" s="1"/>
      <c r="D610" s="1"/>
      <c r="E610" s="1"/>
      <c r="F610" s="1"/>
      <c r="G610" s="1"/>
      <c r="H610" s="1"/>
      <c r="I610" s="61"/>
      <c r="J610" s="1"/>
      <c r="K610" s="1"/>
    </row>
    <row r="611" spans="1:11" ht="15.75" customHeight="1">
      <c r="A611" s="2"/>
      <c r="B611" s="1"/>
      <c r="C611" s="1"/>
      <c r="D611" s="1"/>
      <c r="E611" s="1"/>
      <c r="F611" s="1"/>
      <c r="G611" s="1"/>
      <c r="H611" s="1"/>
      <c r="I611" s="61"/>
      <c r="J611" s="1"/>
      <c r="K611" s="1"/>
    </row>
    <row r="612" spans="1:11" ht="15.75" customHeight="1">
      <c r="A612" s="2"/>
      <c r="B612" s="1"/>
      <c r="C612" s="1"/>
      <c r="D612" s="1"/>
      <c r="E612" s="1"/>
      <c r="F612" s="1"/>
      <c r="G612" s="1"/>
      <c r="H612" s="1"/>
      <c r="I612" s="61"/>
      <c r="J612" s="1"/>
      <c r="K612" s="1"/>
    </row>
    <row r="613" spans="1:11" ht="15.75" customHeight="1">
      <c r="A613" s="2"/>
      <c r="B613" s="1"/>
      <c r="C613" s="1"/>
      <c r="D613" s="1"/>
      <c r="E613" s="1"/>
      <c r="F613" s="1"/>
      <c r="G613" s="1"/>
      <c r="H613" s="1"/>
      <c r="I613" s="61"/>
      <c r="J613" s="1"/>
      <c r="K613" s="1"/>
    </row>
    <row r="614" spans="1:11" ht="15.75" customHeight="1">
      <c r="A614" s="2"/>
      <c r="B614" s="1"/>
      <c r="C614" s="1"/>
      <c r="D614" s="1"/>
      <c r="E614" s="1"/>
      <c r="F614" s="1"/>
      <c r="G614" s="1"/>
      <c r="H614" s="1"/>
      <c r="I614" s="61"/>
      <c r="J614" s="1"/>
      <c r="K614" s="1"/>
    </row>
    <row r="615" spans="1:11" ht="15.75" customHeight="1">
      <c r="A615" s="2"/>
      <c r="B615" s="1"/>
      <c r="C615" s="1"/>
      <c r="D615" s="1"/>
      <c r="E615" s="1"/>
      <c r="F615" s="1"/>
      <c r="G615" s="1"/>
      <c r="H615" s="1"/>
      <c r="I615" s="61"/>
      <c r="J615" s="1"/>
      <c r="K615" s="1"/>
    </row>
    <row r="616" spans="1:11" ht="15.75" customHeight="1">
      <c r="A616" s="2"/>
      <c r="B616" s="1"/>
      <c r="C616" s="1"/>
      <c r="D616" s="1"/>
      <c r="E616" s="1"/>
      <c r="F616" s="1"/>
      <c r="G616" s="1"/>
      <c r="H616" s="1"/>
      <c r="I616" s="61"/>
      <c r="J616" s="1"/>
      <c r="K616" s="1"/>
    </row>
    <row r="617" spans="1:11" ht="15.75" customHeight="1">
      <c r="A617" s="2"/>
      <c r="B617" s="1"/>
      <c r="C617" s="1"/>
      <c r="D617" s="1"/>
      <c r="E617" s="1"/>
      <c r="F617" s="1"/>
      <c r="G617" s="1"/>
      <c r="H617" s="1"/>
      <c r="I617" s="61"/>
      <c r="J617" s="1"/>
      <c r="K617" s="1"/>
    </row>
    <row r="618" spans="1:11" ht="15.75" customHeight="1">
      <c r="A618" s="2"/>
      <c r="B618" s="1"/>
      <c r="C618" s="1"/>
      <c r="D618" s="1"/>
      <c r="E618" s="1"/>
      <c r="F618" s="1"/>
      <c r="G618" s="1"/>
      <c r="H618" s="1"/>
      <c r="I618" s="61"/>
      <c r="J618" s="1"/>
      <c r="K618" s="1"/>
    </row>
    <row r="619" spans="1:11" ht="15.75" customHeight="1">
      <c r="A619" s="2"/>
      <c r="B619" s="1"/>
      <c r="C619" s="1"/>
      <c r="D619" s="1"/>
      <c r="E619" s="1"/>
      <c r="F619" s="1"/>
      <c r="G619" s="1"/>
      <c r="H619" s="1"/>
      <c r="I619" s="61"/>
      <c r="J619" s="1"/>
      <c r="K619" s="1"/>
    </row>
    <row r="620" spans="1:11" ht="15.75" customHeight="1">
      <c r="A620" s="2"/>
      <c r="B620" s="1"/>
      <c r="C620" s="1"/>
      <c r="D620" s="1"/>
      <c r="E620" s="1"/>
      <c r="F620" s="1"/>
      <c r="G620" s="1"/>
      <c r="H620" s="1"/>
      <c r="I620" s="61"/>
      <c r="J620" s="1"/>
      <c r="K620" s="1"/>
    </row>
    <row r="621" spans="1:11" ht="15.75" customHeight="1">
      <c r="A621" s="2"/>
      <c r="B621" s="1"/>
      <c r="C621" s="1"/>
      <c r="D621" s="1"/>
      <c r="E621" s="1"/>
      <c r="F621" s="1"/>
      <c r="G621" s="1"/>
      <c r="H621" s="1"/>
      <c r="I621" s="61"/>
      <c r="J621" s="1"/>
      <c r="K621" s="1"/>
    </row>
    <row r="622" spans="1:11" ht="15.75" customHeight="1">
      <c r="A622" s="2"/>
      <c r="B622" s="1"/>
      <c r="C622" s="1"/>
      <c r="D622" s="1"/>
      <c r="E622" s="1"/>
      <c r="F622" s="1"/>
      <c r="G622" s="1"/>
      <c r="H622" s="1"/>
      <c r="I622" s="61"/>
      <c r="J622" s="1"/>
      <c r="K622" s="1"/>
    </row>
    <row r="623" spans="1:11" ht="15.75" customHeight="1">
      <c r="A623" s="2"/>
      <c r="B623" s="1"/>
      <c r="C623" s="1"/>
      <c r="D623" s="1"/>
      <c r="E623" s="1"/>
      <c r="F623" s="1"/>
      <c r="G623" s="1"/>
      <c r="H623" s="1"/>
      <c r="I623" s="61"/>
      <c r="J623" s="1"/>
      <c r="K623" s="1"/>
    </row>
    <row r="624" spans="1:11" ht="15.75" customHeight="1">
      <c r="A624" s="2"/>
      <c r="B624" s="1"/>
      <c r="C624" s="1"/>
      <c r="D624" s="1"/>
      <c r="E624" s="1"/>
      <c r="F624" s="1"/>
      <c r="G624" s="1"/>
      <c r="H624" s="1"/>
      <c r="I624" s="61"/>
      <c r="J624" s="1"/>
      <c r="K624" s="1"/>
    </row>
    <row r="625" spans="1:11" ht="15.75" customHeight="1">
      <c r="A625" s="2"/>
      <c r="B625" s="1"/>
      <c r="C625" s="1"/>
      <c r="D625" s="1"/>
      <c r="E625" s="1"/>
      <c r="F625" s="1"/>
      <c r="G625" s="1"/>
      <c r="H625" s="1"/>
      <c r="I625" s="61"/>
      <c r="J625" s="1"/>
      <c r="K625" s="1"/>
    </row>
    <row r="626" spans="1:11" ht="15.75" customHeight="1">
      <c r="A626" s="2"/>
      <c r="B626" s="1"/>
      <c r="C626" s="1"/>
      <c r="D626" s="1"/>
      <c r="E626" s="1"/>
      <c r="F626" s="1"/>
      <c r="G626" s="1"/>
      <c r="H626" s="1"/>
      <c r="I626" s="61"/>
      <c r="J626" s="1"/>
      <c r="K626" s="1"/>
    </row>
    <row r="627" spans="1:11" ht="15.75" customHeight="1">
      <c r="A627" s="2"/>
      <c r="B627" s="1"/>
      <c r="C627" s="1"/>
      <c r="D627" s="1"/>
      <c r="E627" s="1"/>
      <c r="F627" s="1"/>
      <c r="G627" s="1"/>
      <c r="H627" s="1"/>
      <c r="I627" s="61"/>
      <c r="J627" s="1"/>
      <c r="K627" s="1"/>
    </row>
    <row r="628" spans="1:11" ht="15.75" customHeight="1">
      <c r="A628" s="2"/>
      <c r="B628" s="1"/>
      <c r="C628" s="1"/>
      <c r="D628" s="1"/>
      <c r="E628" s="1"/>
      <c r="F628" s="1"/>
      <c r="G628" s="1"/>
      <c r="H628" s="1"/>
      <c r="I628" s="61"/>
      <c r="J628" s="1"/>
      <c r="K628" s="1"/>
    </row>
    <row r="629" spans="1:11" ht="15.75" customHeight="1">
      <c r="A629" s="2"/>
      <c r="B629" s="1"/>
      <c r="C629" s="1"/>
      <c r="D629" s="1"/>
      <c r="E629" s="1"/>
      <c r="F629" s="1"/>
      <c r="G629" s="1"/>
      <c r="H629" s="1"/>
      <c r="I629" s="61"/>
      <c r="J629" s="1"/>
      <c r="K629" s="1"/>
    </row>
    <row r="630" spans="1:11" ht="15.75" customHeight="1">
      <c r="A630" s="2"/>
      <c r="B630" s="1"/>
      <c r="C630" s="1"/>
      <c r="D630" s="1"/>
      <c r="E630" s="1"/>
      <c r="F630" s="1"/>
      <c r="G630" s="1"/>
      <c r="H630" s="1"/>
      <c r="I630" s="61"/>
      <c r="J630" s="1"/>
      <c r="K630" s="1"/>
    </row>
    <row r="631" spans="1:11" ht="15.75" customHeight="1">
      <c r="A631" s="2"/>
      <c r="B631" s="1"/>
      <c r="C631" s="1"/>
      <c r="D631" s="1"/>
      <c r="E631" s="1"/>
      <c r="F631" s="1"/>
      <c r="G631" s="1"/>
      <c r="H631" s="1"/>
      <c r="I631" s="61"/>
      <c r="J631" s="1"/>
      <c r="K631" s="1"/>
    </row>
    <row r="632" spans="1:11" ht="15.75" customHeight="1">
      <c r="A632" s="2"/>
      <c r="B632" s="1"/>
      <c r="C632" s="1"/>
      <c r="D632" s="1"/>
      <c r="E632" s="1"/>
      <c r="F632" s="1"/>
      <c r="G632" s="1"/>
      <c r="H632" s="1"/>
      <c r="I632" s="61"/>
      <c r="J632" s="1"/>
      <c r="K632" s="1"/>
    </row>
    <row r="633" spans="1:11" ht="15.75" customHeight="1">
      <c r="A633" s="2"/>
      <c r="B633" s="1"/>
      <c r="C633" s="1"/>
      <c r="D633" s="1"/>
      <c r="E633" s="1"/>
      <c r="F633" s="1"/>
      <c r="G633" s="1"/>
      <c r="H633" s="1"/>
      <c r="I633" s="61"/>
      <c r="J633" s="1"/>
      <c r="K633" s="1"/>
    </row>
    <row r="634" spans="1:11" ht="15.75" customHeight="1">
      <c r="A634" s="2"/>
      <c r="B634" s="1"/>
      <c r="C634" s="1"/>
      <c r="D634" s="1"/>
      <c r="E634" s="1"/>
      <c r="F634" s="1"/>
      <c r="G634" s="1"/>
      <c r="H634" s="1"/>
      <c r="I634" s="61"/>
      <c r="J634" s="1"/>
      <c r="K634" s="1"/>
    </row>
    <row r="635" spans="1:11" ht="15.75" customHeight="1">
      <c r="A635" s="2"/>
      <c r="B635" s="1"/>
      <c r="C635" s="1"/>
      <c r="D635" s="1"/>
      <c r="E635" s="1"/>
      <c r="F635" s="1"/>
      <c r="G635" s="1"/>
      <c r="H635" s="1"/>
      <c r="I635" s="61"/>
      <c r="J635" s="1"/>
      <c r="K635" s="1"/>
    </row>
    <row r="636" spans="1:11" ht="15.75" customHeight="1">
      <c r="A636" s="2"/>
      <c r="B636" s="1"/>
      <c r="C636" s="1"/>
      <c r="D636" s="1"/>
      <c r="E636" s="1"/>
      <c r="F636" s="1"/>
      <c r="G636" s="1"/>
      <c r="H636" s="1"/>
      <c r="I636" s="61"/>
      <c r="J636" s="1"/>
      <c r="K636" s="1"/>
    </row>
    <row r="637" spans="1:11" ht="15.75" customHeight="1">
      <c r="A637" s="2"/>
      <c r="B637" s="1"/>
      <c r="C637" s="1"/>
      <c r="D637" s="1"/>
      <c r="E637" s="1"/>
      <c r="F637" s="1"/>
      <c r="G637" s="1"/>
      <c r="H637" s="1"/>
      <c r="I637" s="61"/>
      <c r="J637" s="1"/>
      <c r="K637" s="1"/>
    </row>
    <row r="638" spans="1:11" ht="15.75" customHeight="1">
      <c r="A638" s="2"/>
      <c r="B638" s="1"/>
      <c r="C638" s="1"/>
      <c r="D638" s="1"/>
      <c r="E638" s="1"/>
      <c r="F638" s="1"/>
      <c r="G638" s="1"/>
      <c r="H638" s="1"/>
      <c r="I638" s="61"/>
      <c r="J638" s="1"/>
      <c r="K638" s="1"/>
    </row>
    <row r="639" spans="1:11" ht="15.75" customHeight="1">
      <c r="A639" s="2"/>
      <c r="B639" s="1"/>
      <c r="C639" s="1"/>
      <c r="D639" s="1"/>
      <c r="E639" s="1"/>
      <c r="F639" s="1"/>
      <c r="G639" s="1"/>
      <c r="H639" s="1"/>
      <c r="I639" s="61"/>
      <c r="J639" s="1"/>
      <c r="K639" s="1"/>
    </row>
    <row r="640" spans="1:11" ht="15.75" customHeight="1">
      <c r="A640" s="2"/>
      <c r="B640" s="1"/>
      <c r="C640" s="1"/>
      <c r="D640" s="1"/>
      <c r="E640" s="1"/>
      <c r="F640" s="1"/>
      <c r="G640" s="1"/>
      <c r="H640" s="1"/>
      <c r="I640" s="61"/>
      <c r="J640" s="1"/>
      <c r="K640" s="1"/>
    </row>
    <row r="641" spans="1:11" ht="15.75" customHeight="1">
      <c r="A641" s="2"/>
      <c r="B641" s="1"/>
      <c r="C641" s="1"/>
      <c r="D641" s="1"/>
      <c r="E641" s="1"/>
      <c r="F641" s="1"/>
      <c r="G641" s="1"/>
      <c r="H641" s="1"/>
      <c r="I641" s="61"/>
      <c r="J641" s="1"/>
      <c r="K641" s="1"/>
    </row>
    <row r="642" spans="1:11" ht="15.75" customHeight="1">
      <c r="A642" s="2"/>
      <c r="B642" s="1"/>
      <c r="C642" s="1"/>
      <c r="D642" s="1"/>
      <c r="E642" s="1"/>
      <c r="F642" s="1"/>
      <c r="G642" s="1"/>
      <c r="H642" s="1"/>
      <c r="I642" s="61"/>
      <c r="J642" s="1"/>
      <c r="K642" s="1"/>
    </row>
    <row r="643" spans="1:11" ht="15.75" customHeight="1">
      <c r="A643" s="2"/>
      <c r="B643" s="1"/>
      <c r="C643" s="1"/>
      <c r="D643" s="1"/>
      <c r="E643" s="1"/>
      <c r="F643" s="1"/>
      <c r="G643" s="1"/>
      <c r="H643" s="1"/>
      <c r="I643" s="61"/>
      <c r="J643" s="1"/>
      <c r="K643" s="1"/>
    </row>
    <row r="644" spans="1:11" ht="15.75" customHeight="1">
      <c r="A644" s="2"/>
      <c r="B644" s="1"/>
      <c r="C644" s="1"/>
      <c r="D644" s="1"/>
      <c r="E644" s="1"/>
      <c r="F644" s="1"/>
      <c r="G644" s="1"/>
      <c r="H644" s="1"/>
      <c r="I644" s="61"/>
      <c r="J644" s="1"/>
      <c r="K644" s="1"/>
    </row>
    <row r="645" spans="1:11" ht="15.75" customHeight="1">
      <c r="A645" s="2"/>
      <c r="B645" s="1"/>
      <c r="C645" s="1"/>
      <c r="D645" s="1"/>
      <c r="E645" s="1"/>
      <c r="F645" s="1"/>
      <c r="G645" s="1"/>
      <c r="H645" s="1"/>
      <c r="I645" s="61"/>
      <c r="J645" s="1"/>
      <c r="K645" s="1"/>
    </row>
    <row r="646" spans="1:11" ht="15.75" customHeight="1">
      <c r="A646" s="2"/>
      <c r="B646" s="1"/>
      <c r="C646" s="1"/>
      <c r="D646" s="1"/>
      <c r="E646" s="1"/>
      <c r="F646" s="1"/>
      <c r="G646" s="1"/>
      <c r="H646" s="1"/>
      <c r="I646" s="61"/>
      <c r="J646" s="1"/>
      <c r="K646" s="1"/>
    </row>
    <row r="647" spans="1:11" ht="15.75" customHeight="1">
      <c r="A647" s="2"/>
      <c r="B647" s="1"/>
      <c r="C647" s="1"/>
      <c r="D647" s="1"/>
      <c r="E647" s="1"/>
      <c r="F647" s="1"/>
      <c r="G647" s="1"/>
      <c r="H647" s="1"/>
      <c r="I647" s="61"/>
      <c r="J647" s="1"/>
      <c r="K647" s="1"/>
    </row>
    <row r="648" spans="1:11" ht="15.75" customHeight="1">
      <c r="A648" s="2"/>
      <c r="B648" s="1"/>
      <c r="C648" s="1"/>
      <c r="D648" s="1"/>
      <c r="E648" s="1"/>
      <c r="F648" s="1"/>
      <c r="G648" s="1"/>
      <c r="H648" s="1"/>
      <c r="I648" s="61"/>
      <c r="J648" s="1"/>
      <c r="K648" s="1"/>
    </row>
    <row r="649" spans="1:11" ht="15.75" customHeight="1">
      <c r="A649" s="2"/>
      <c r="B649" s="1"/>
      <c r="C649" s="1"/>
      <c r="D649" s="1"/>
      <c r="E649" s="1"/>
      <c r="F649" s="1"/>
      <c r="G649" s="1"/>
      <c r="H649" s="1"/>
      <c r="I649" s="61"/>
      <c r="J649" s="1"/>
      <c r="K649" s="1"/>
    </row>
    <row r="650" spans="1:11" ht="15.75" customHeight="1">
      <c r="A650" s="2"/>
      <c r="B650" s="1"/>
      <c r="C650" s="1"/>
      <c r="D650" s="1"/>
      <c r="E650" s="1"/>
      <c r="F650" s="1"/>
      <c r="G650" s="1"/>
      <c r="H650" s="1"/>
      <c r="I650" s="61"/>
      <c r="J650" s="1"/>
      <c r="K650" s="1"/>
    </row>
    <row r="651" spans="1:11" ht="15.75" customHeight="1">
      <c r="A651" s="2"/>
      <c r="B651" s="1"/>
      <c r="C651" s="1"/>
      <c r="D651" s="1"/>
      <c r="E651" s="1"/>
      <c r="F651" s="1"/>
      <c r="G651" s="1"/>
      <c r="H651" s="1"/>
      <c r="I651" s="61"/>
      <c r="J651" s="1"/>
      <c r="K651" s="1"/>
    </row>
    <row r="652" spans="1:11" ht="15.75" customHeight="1">
      <c r="A652" s="2"/>
      <c r="B652" s="1"/>
      <c r="C652" s="1"/>
      <c r="D652" s="1"/>
      <c r="E652" s="1"/>
      <c r="F652" s="1"/>
      <c r="G652" s="1"/>
      <c r="H652" s="1"/>
      <c r="I652" s="61"/>
      <c r="J652" s="1"/>
      <c r="K652" s="1"/>
    </row>
    <row r="653" spans="1:11" ht="15.75" customHeight="1">
      <c r="A653" s="2"/>
      <c r="B653" s="1"/>
      <c r="C653" s="1"/>
      <c r="D653" s="1"/>
      <c r="E653" s="1"/>
      <c r="F653" s="1"/>
      <c r="G653" s="1"/>
      <c r="H653" s="1"/>
      <c r="I653" s="61"/>
      <c r="J653" s="1"/>
      <c r="K653" s="1"/>
    </row>
    <row r="654" spans="1:11" ht="15.75" customHeight="1">
      <c r="A654" s="2"/>
      <c r="B654" s="1"/>
      <c r="C654" s="1"/>
      <c r="D654" s="1"/>
      <c r="E654" s="1"/>
      <c r="F654" s="1"/>
      <c r="G654" s="1"/>
      <c r="H654" s="1"/>
      <c r="I654" s="61"/>
      <c r="J654" s="1"/>
      <c r="K654" s="1"/>
    </row>
    <row r="655" spans="1:11" ht="15.75" customHeight="1">
      <c r="A655" s="2"/>
      <c r="B655" s="1"/>
      <c r="C655" s="1"/>
      <c r="D655" s="1"/>
      <c r="E655" s="1"/>
      <c r="F655" s="1"/>
      <c r="G655" s="1"/>
      <c r="H655" s="1"/>
      <c r="I655" s="61"/>
      <c r="J655" s="1"/>
      <c r="K655" s="1"/>
    </row>
    <row r="656" spans="1:11" ht="15.75" customHeight="1">
      <c r="A656" s="2"/>
      <c r="B656" s="1"/>
      <c r="C656" s="1"/>
      <c r="D656" s="1"/>
      <c r="E656" s="1"/>
      <c r="F656" s="1"/>
      <c r="G656" s="1"/>
      <c r="H656" s="1"/>
      <c r="I656" s="61"/>
      <c r="J656" s="1"/>
      <c r="K656" s="1"/>
    </row>
    <row r="657" spans="1:11" ht="15.75" customHeight="1">
      <c r="A657" s="2"/>
      <c r="B657" s="1"/>
      <c r="C657" s="1"/>
      <c r="D657" s="1"/>
      <c r="E657" s="1"/>
      <c r="F657" s="1"/>
      <c r="G657" s="1"/>
      <c r="H657" s="1"/>
      <c r="I657" s="61"/>
      <c r="J657" s="1"/>
      <c r="K657" s="1"/>
    </row>
    <row r="658" spans="1:11" ht="15.75" customHeight="1">
      <c r="A658" s="2"/>
      <c r="B658" s="1"/>
      <c r="C658" s="1"/>
      <c r="D658" s="1"/>
      <c r="E658" s="1"/>
      <c r="F658" s="1"/>
      <c r="G658" s="1"/>
      <c r="H658" s="1"/>
      <c r="I658" s="61"/>
      <c r="J658" s="1"/>
      <c r="K658" s="1"/>
    </row>
    <row r="659" spans="1:11" ht="15.75" customHeight="1">
      <c r="A659" s="2"/>
      <c r="B659" s="1"/>
      <c r="C659" s="1"/>
      <c r="D659" s="1"/>
      <c r="E659" s="1"/>
      <c r="F659" s="1"/>
      <c r="G659" s="1"/>
      <c r="H659" s="1"/>
      <c r="I659" s="61"/>
      <c r="J659" s="1"/>
      <c r="K659" s="1"/>
    </row>
    <row r="660" spans="1:11" ht="15.75" customHeight="1">
      <c r="A660" s="2"/>
      <c r="B660" s="1"/>
      <c r="C660" s="1"/>
      <c r="D660" s="1"/>
      <c r="E660" s="1"/>
      <c r="F660" s="1"/>
      <c r="G660" s="1"/>
      <c r="H660" s="1"/>
      <c r="I660" s="61"/>
      <c r="J660" s="1"/>
      <c r="K660" s="1"/>
    </row>
    <row r="661" spans="1:11" ht="15.75" customHeight="1">
      <c r="A661" s="2"/>
      <c r="B661" s="1"/>
      <c r="C661" s="1"/>
      <c r="D661" s="1"/>
      <c r="E661" s="1"/>
      <c r="F661" s="1"/>
      <c r="G661" s="1"/>
      <c r="H661" s="1"/>
      <c r="I661" s="61"/>
      <c r="J661" s="1"/>
      <c r="K661" s="1"/>
    </row>
    <row r="662" spans="1:11" ht="15.75" customHeight="1">
      <c r="A662" s="2"/>
      <c r="B662" s="1"/>
      <c r="C662" s="1"/>
      <c r="D662" s="1"/>
      <c r="E662" s="1"/>
      <c r="F662" s="1"/>
      <c r="G662" s="1"/>
      <c r="H662" s="1"/>
      <c r="I662" s="61"/>
      <c r="J662" s="1"/>
      <c r="K662" s="1"/>
    </row>
    <row r="663" spans="1:11" ht="15.75" customHeight="1">
      <c r="A663" s="2"/>
      <c r="B663" s="1"/>
      <c r="C663" s="1"/>
      <c r="D663" s="1"/>
      <c r="E663" s="1"/>
      <c r="F663" s="1"/>
      <c r="G663" s="1"/>
      <c r="H663" s="1"/>
      <c r="I663" s="61"/>
      <c r="J663" s="1"/>
      <c r="K663" s="1"/>
    </row>
    <row r="664" spans="1:11" ht="15.75" customHeight="1">
      <c r="A664" s="2"/>
      <c r="B664" s="1"/>
      <c r="C664" s="1"/>
      <c r="D664" s="1"/>
      <c r="E664" s="1"/>
      <c r="F664" s="1"/>
      <c r="G664" s="1"/>
      <c r="H664" s="1"/>
      <c r="I664" s="61"/>
      <c r="J664" s="1"/>
      <c r="K664" s="1"/>
    </row>
    <row r="665" spans="1:11" ht="15.75" customHeight="1">
      <c r="A665" s="2"/>
      <c r="B665" s="1"/>
      <c r="C665" s="1"/>
      <c r="D665" s="1"/>
      <c r="E665" s="1"/>
      <c r="F665" s="1"/>
      <c r="G665" s="1"/>
      <c r="H665" s="1"/>
      <c r="I665" s="61"/>
      <c r="J665" s="1"/>
      <c r="K665" s="1"/>
    </row>
    <row r="666" spans="1:11" ht="15.75" customHeight="1">
      <c r="A666" s="2"/>
      <c r="B666" s="1"/>
      <c r="C666" s="1"/>
      <c r="D666" s="1"/>
      <c r="E666" s="1"/>
      <c r="F666" s="1"/>
      <c r="G666" s="1"/>
      <c r="H666" s="1"/>
      <c r="I666" s="61"/>
      <c r="J666" s="1"/>
      <c r="K666" s="1"/>
    </row>
    <row r="667" spans="1:11" ht="15.75" customHeight="1">
      <c r="A667" s="2"/>
      <c r="B667" s="1"/>
      <c r="C667" s="1"/>
      <c r="D667" s="1"/>
      <c r="E667" s="1"/>
      <c r="F667" s="1"/>
      <c r="G667" s="1"/>
      <c r="H667" s="1"/>
      <c r="I667" s="61"/>
      <c r="J667" s="1"/>
      <c r="K667" s="1"/>
    </row>
    <row r="668" spans="1:11" ht="15.75" customHeight="1">
      <c r="A668" s="2"/>
      <c r="B668" s="1"/>
      <c r="C668" s="1"/>
      <c r="D668" s="1"/>
      <c r="E668" s="1"/>
      <c r="F668" s="1"/>
      <c r="G668" s="1"/>
      <c r="H668" s="1"/>
      <c r="I668" s="61"/>
      <c r="J668" s="1"/>
      <c r="K668" s="1"/>
    </row>
    <row r="669" spans="1:11" ht="15.75" customHeight="1">
      <c r="A669" s="2"/>
      <c r="B669" s="1"/>
      <c r="C669" s="1"/>
      <c r="D669" s="1"/>
      <c r="E669" s="1"/>
      <c r="F669" s="1"/>
      <c r="G669" s="1"/>
      <c r="H669" s="1"/>
      <c r="I669" s="61"/>
      <c r="J669" s="1"/>
      <c r="K669" s="1"/>
    </row>
    <row r="670" spans="1:11" ht="15.75" customHeight="1">
      <c r="A670" s="2"/>
      <c r="B670" s="1"/>
      <c r="C670" s="1"/>
      <c r="D670" s="1"/>
      <c r="E670" s="1"/>
      <c r="F670" s="1"/>
      <c r="G670" s="1"/>
      <c r="H670" s="1"/>
      <c r="I670" s="61"/>
      <c r="J670" s="1"/>
      <c r="K670" s="1"/>
    </row>
    <row r="671" spans="1:11" ht="15.75" customHeight="1">
      <c r="A671" s="2"/>
      <c r="B671" s="1"/>
      <c r="C671" s="1"/>
      <c r="D671" s="1"/>
      <c r="E671" s="1"/>
      <c r="F671" s="1"/>
      <c r="G671" s="1"/>
      <c r="H671" s="1"/>
      <c r="I671" s="61"/>
      <c r="J671" s="1"/>
      <c r="K671" s="1"/>
    </row>
    <row r="672" spans="1:11" ht="15.75" customHeight="1">
      <c r="A672" s="2"/>
      <c r="B672" s="1"/>
      <c r="C672" s="1"/>
      <c r="D672" s="1"/>
      <c r="E672" s="1"/>
      <c r="F672" s="1"/>
      <c r="G672" s="1"/>
      <c r="H672" s="1"/>
      <c r="I672" s="61"/>
      <c r="J672" s="1"/>
      <c r="K672" s="1"/>
    </row>
    <row r="673" spans="1:11" ht="15.75" customHeight="1">
      <c r="A673" s="2"/>
      <c r="B673" s="1"/>
      <c r="C673" s="1"/>
      <c r="D673" s="1"/>
      <c r="E673" s="1"/>
      <c r="F673" s="1"/>
      <c r="G673" s="1"/>
      <c r="H673" s="1"/>
      <c r="I673" s="61"/>
      <c r="J673" s="1"/>
      <c r="K673" s="1"/>
    </row>
    <row r="674" spans="1:11" ht="15.75" customHeight="1">
      <c r="A674" s="2"/>
      <c r="B674" s="1"/>
      <c r="C674" s="1"/>
      <c r="D674" s="1"/>
      <c r="E674" s="1"/>
      <c r="F674" s="1"/>
      <c r="G674" s="1"/>
      <c r="H674" s="1"/>
      <c r="I674" s="61"/>
      <c r="J674" s="1"/>
      <c r="K674" s="1"/>
    </row>
    <row r="675" spans="1:11" ht="15.75" customHeight="1">
      <c r="A675" s="2"/>
      <c r="B675" s="1"/>
      <c r="C675" s="1"/>
      <c r="D675" s="1"/>
      <c r="E675" s="1"/>
      <c r="F675" s="1"/>
      <c r="G675" s="1"/>
      <c r="H675" s="1"/>
      <c r="I675" s="61"/>
      <c r="J675" s="1"/>
      <c r="K675" s="1"/>
    </row>
    <row r="676" spans="1:11" ht="15.75" customHeight="1">
      <c r="A676" s="2"/>
      <c r="B676" s="1"/>
      <c r="C676" s="1"/>
      <c r="D676" s="1"/>
      <c r="E676" s="1"/>
      <c r="F676" s="1"/>
      <c r="G676" s="1"/>
      <c r="H676" s="1"/>
      <c r="I676" s="61"/>
      <c r="J676" s="1"/>
      <c r="K676" s="1"/>
    </row>
    <row r="677" spans="1:11" ht="15.75" customHeight="1">
      <c r="A677" s="2"/>
      <c r="B677" s="1"/>
      <c r="C677" s="1"/>
      <c r="D677" s="1"/>
      <c r="E677" s="1"/>
      <c r="F677" s="1"/>
      <c r="G677" s="1"/>
      <c r="H677" s="1"/>
      <c r="I677" s="61"/>
      <c r="J677" s="1"/>
      <c r="K677" s="1"/>
    </row>
    <row r="678" spans="1:11" ht="15.75" customHeight="1">
      <c r="A678" s="2"/>
      <c r="B678" s="1"/>
      <c r="C678" s="1"/>
      <c r="D678" s="1"/>
      <c r="E678" s="1"/>
      <c r="F678" s="1"/>
      <c r="G678" s="1"/>
      <c r="H678" s="1"/>
      <c r="I678" s="61"/>
      <c r="J678" s="1"/>
      <c r="K678" s="1"/>
    </row>
    <row r="679" spans="1:11" ht="15.75" customHeight="1">
      <c r="A679" s="2"/>
      <c r="B679" s="1"/>
      <c r="C679" s="1"/>
      <c r="D679" s="1"/>
      <c r="E679" s="1"/>
      <c r="F679" s="1"/>
      <c r="G679" s="1"/>
      <c r="H679" s="1"/>
      <c r="I679" s="61"/>
      <c r="J679" s="1"/>
      <c r="K679" s="1"/>
    </row>
    <row r="680" spans="1:11" ht="15.75" customHeight="1">
      <c r="A680" s="2"/>
      <c r="B680" s="1"/>
      <c r="C680" s="1"/>
      <c r="D680" s="1"/>
      <c r="E680" s="1"/>
      <c r="F680" s="1"/>
      <c r="G680" s="1"/>
      <c r="H680" s="1"/>
      <c r="I680" s="61"/>
      <c r="J680" s="1"/>
      <c r="K680" s="1"/>
    </row>
    <row r="681" spans="1:11" ht="15.75" customHeight="1">
      <c r="A681" s="2"/>
      <c r="B681" s="1"/>
      <c r="C681" s="1"/>
      <c r="D681" s="1"/>
      <c r="E681" s="1"/>
      <c r="F681" s="1"/>
      <c r="G681" s="1"/>
      <c r="H681" s="1"/>
      <c r="I681" s="61"/>
      <c r="J681" s="1"/>
      <c r="K681" s="1"/>
    </row>
    <row r="682" spans="1:11" ht="15.75" customHeight="1">
      <c r="A682" s="2"/>
      <c r="B682" s="1"/>
      <c r="C682" s="1"/>
      <c r="D682" s="1"/>
      <c r="E682" s="1"/>
      <c r="F682" s="1"/>
      <c r="G682" s="1"/>
      <c r="H682" s="1"/>
      <c r="I682" s="61"/>
      <c r="J682" s="1"/>
      <c r="K682" s="1"/>
    </row>
    <row r="683" spans="1:11" ht="15.75" customHeight="1">
      <c r="A683" s="2"/>
      <c r="B683" s="1"/>
      <c r="C683" s="1"/>
      <c r="D683" s="1"/>
      <c r="E683" s="1"/>
      <c r="F683" s="1"/>
      <c r="G683" s="1"/>
      <c r="H683" s="1"/>
      <c r="I683" s="61"/>
      <c r="J683" s="1"/>
      <c r="K683" s="1"/>
    </row>
    <row r="684" spans="1:11" ht="15.75" customHeight="1">
      <c r="A684" s="2"/>
      <c r="B684" s="1"/>
      <c r="C684" s="1"/>
      <c r="D684" s="1"/>
      <c r="E684" s="1"/>
      <c r="F684" s="1"/>
      <c r="G684" s="1"/>
      <c r="H684" s="1"/>
      <c r="I684" s="61"/>
      <c r="J684" s="1"/>
      <c r="K684" s="1"/>
    </row>
    <row r="685" spans="1:11" ht="15.75" customHeight="1">
      <c r="A685" s="2"/>
      <c r="B685" s="1"/>
      <c r="C685" s="1"/>
      <c r="D685" s="1"/>
      <c r="E685" s="1"/>
      <c r="F685" s="1"/>
      <c r="G685" s="1"/>
      <c r="H685" s="1"/>
      <c r="I685" s="61"/>
      <c r="J685" s="1"/>
      <c r="K685" s="1"/>
    </row>
    <row r="686" spans="1:11" ht="15.75" customHeight="1">
      <c r="A686" s="2"/>
      <c r="B686" s="1"/>
      <c r="C686" s="1"/>
      <c r="D686" s="1"/>
      <c r="E686" s="1"/>
      <c r="F686" s="1"/>
      <c r="G686" s="1"/>
      <c r="H686" s="1"/>
      <c r="I686" s="61"/>
      <c r="J686" s="1"/>
      <c r="K686" s="1"/>
    </row>
    <row r="687" spans="1:11" ht="15.75" customHeight="1">
      <c r="A687" s="2"/>
      <c r="B687" s="1"/>
      <c r="C687" s="1"/>
      <c r="D687" s="1"/>
      <c r="E687" s="1"/>
      <c r="F687" s="1"/>
      <c r="G687" s="1"/>
      <c r="H687" s="1"/>
      <c r="I687" s="61"/>
      <c r="J687" s="1"/>
      <c r="K687" s="1"/>
    </row>
    <row r="688" spans="1:11" ht="15.75" customHeight="1">
      <c r="A688" s="2"/>
      <c r="B688" s="1"/>
      <c r="C688" s="1"/>
      <c r="D688" s="1"/>
      <c r="E688" s="1"/>
      <c r="F688" s="1"/>
      <c r="G688" s="1"/>
      <c r="H688" s="1"/>
      <c r="I688" s="61"/>
      <c r="J688" s="1"/>
      <c r="K688" s="1"/>
    </row>
    <row r="689" spans="1:11" ht="15.75" customHeight="1">
      <c r="A689" s="2"/>
      <c r="B689" s="1"/>
      <c r="C689" s="1"/>
      <c r="D689" s="1"/>
      <c r="E689" s="1"/>
      <c r="F689" s="1"/>
      <c r="G689" s="1"/>
      <c r="H689" s="1"/>
      <c r="I689" s="61"/>
      <c r="J689" s="1"/>
      <c r="K689" s="1"/>
    </row>
    <row r="690" spans="1:11" ht="15.75" customHeight="1">
      <c r="A690" s="2"/>
      <c r="B690" s="1"/>
      <c r="C690" s="1"/>
      <c r="D690" s="1"/>
      <c r="E690" s="1"/>
      <c r="F690" s="1"/>
      <c r="G690" s="1"/>
      <c r="H690" s="1"/>
      <c r="I690" s="61"/>
      <c r="J690" s="1"/>
      <c r="K690" s="1"/>
    </row>
    <row r="691" spans="1:11" ht="15.75" customHeight="1">
      <c r="A691" s="2"/>
      <c r="B691" s="1"/>
      <c r="C691" s="1"/>
      <c r="D691" s="1"/>
      <c r="E691" s="1"/>
      <c r="F691" s="1"/>
      <c r="G691" s="1"/>
      <c r="H691" s="1"/>
      <c r="I691" s="61"/>
      <c r="J691" s="1"/>
      <c r="K691" s="1"/>
    </row>
    <row r="692" spans="1:11" ht="15.75" customHeight="1">
      <c r="A692" s="2"/>
      <c r="B692" s="1"/>
      <c r="C692" s="1"/>
      <c r="D692" s="1"/>
      <c r="E692" s="1"/>
      <c r="F692" s="1"/>
      <c r="G692" s="1"/>
      <c r="H692" s="1"/>
      <c r="I692" s="61"/>
      <c r="J692" s="1"/>
      <c r="K692" s="1"/>
    </row>
    <row r="693" spans="1:11" ht="15.75" customHeight="1">
      <c r="A693" s="2"/>
      <c r="B693" s="1"/>
      <c r="C693" s="1"/>
      <c r="D693" s="1"/>
      <c r="E693" s="1"/>
      <c r="F693" s="1"/>
      <c r="G693" s="1"/>
      <c r="H693" s="1"/>
      <c r="I693" s="61"/>
      <c r="J693" s="1"/>
      <c r="K693" s="1"/>
    </row>
    <row r="694" spans="1:11" ht="15.75" customHeight="1">
      <c r="A694" s="2"/>
      <c r="B694" s="1"/>
      <c r="C694" s="1"/>
      <c r="D694" s="1"/>
      <c r="E694" s="1"/>
      <c r="F694" s="1"/>
      <c r="G694" s="1"/>
      <c r="H694" s="1"/>
      <c r="I694" s="61"/>
      <c r="J694" s="1"/>
      <c r="K694" s="1"/>
    </row>
    <row r="695" spans="1:11" ht="15.75" customHeight="1">
      <c r="A695" s="2"/>
      <c r="B695" s="1"/>
      <c r="C695" s="1"/>
      <c r="D695" s="1"/>
      <c r="E695" s="1"/>
      <c r="F695" s="1"/>
      <c r="G695" s="1"/>
      <c r="H695" s="1"/>
      <c r="I695" s="61"/>
      <c r="J695" s="1"/>
      <c r="K695" s="1"/>
    </row>
    <row r="696" spans="1:11" ht="15.75" customHeight="1">
      <c r="A696" s="2"/>
      <c r="B696" s="1"/>
      <c r="C696" s="1"/>
      <c r="D696" s="1"/>
      <c r="E696" s="1"/>
      <c r="F696" s="1"/>
      <c r="G696" s="1"/>
      <c r="H696" s="1"/>
      <c r="I696" s="61"/>
      <c r="J696" s="1"/>
      <c r="K696" s="1"/>
    </row>
    <row r="697" spans="1:11" ht="15.75" customHeight="1">
      <c r="A697" s="2"/>
      <c r="B697" s="1"/>
      <c r="C697" s="1"/>
      <c r="D697" s="1"/>
      <c r="E697" s="1"/>
      <c r="F697" s="1"/>
      <c r="G697" s="1"/>
      <c r="H697" s="1"/>
      <c r="I697" s="61"/>
      <c r="J697" s="1"/>
      <c r="K697" s="1"/>
    </row>
    <row r="698" spans="1:11" ht="15.75" customHeight="1">
      <c r="A698" s="2"/>
      <c r="B698" s="1"/>
      <c r="C698" s="1"/>
      <c r="D698" s="1"/>
      <c r="E698" s="1"/>
      <c r="F698" s="1"/>
      <c r="G698" s="1"/>
      <c r="H698" s="1"/>
      <c r="I698" s="61"/>
      <c r="J698" s="1"/>
      <c r="K698" s="1"/>
    </row>
    <row r="699" spans="1:11" ht="15.75" customHeight="1">
      <c r="A699" s="2"/>
      <c r="B699" s="1"/>
      <c r="C699" s="1"/>
      <c r="D699" s="1"/>
      <c r="E699" s="1"/>
      <c r="F699" s="1"/>
      <c r="G699" s="1"/>
      <c r="H699" s="1"/>
      <c r="I699" s="61"/>
      <c r="J699" s="1"/>
      <c r="K699" s="1"/>
    </row>
    <row r="700" spans="1:11" ht="15.75" customHeight="1">
      <c r="A700" s="2"/>
      <c r="B700" s="1"/>
      <c r="C700" s="1"/>
      <c r="D700" s="1"/>
      <c r="E700" s="1"/>
      <c r="F700" s="1"/>
      <c r="G700" s="1"/>
      <c r="H700" s="1"/>
      <c r="I700" s="61"/>
      <c r="J700" s="1"/>
      <c r="K700" s="1"/>
    </row>
    <row r="701" spans="1:11" ht="15.75" customHeight="1">
      <c r="A701" s="2"/>
      <c r="B701" s="1"/>
      <c r="C701" s="1"/>
      <c r="D701" s="1"/>
      <c r="E701" s="1"/>
      <c r="F701" s="1"/>
      <c r="G701" s="1"/>
      <c r="H701" s="1"/>
      <c r="I701" s="61"/>
      <c r="J701" s="1"/>
      <c r="K701" s="1"/>
    </row>
    <row r="702" spans="1:11" ht="15.75" customHeight="1">
      <c r="A702" s="2"/>
      <c r="B702" s="1"/>
      <c r="C702" s="1"/>
      <c r="D702" s="1"/>
      <c r="E702" s="1"/>
      <c r="F702" s="1"/>
      <c r="G702" s="1"/>
      <c r="H702" s="1"/>
      <c r="I702" s="61"/>
      <c r="J702" s="1"/>
      <c r="K702" s="1"/>
    </row>
    <row r="703" spans="1:11" ht="15.75" customHeight="1">
      <c r="A703" s="2"/>
      <c r="B703" s="1"/>
      <c r="C703" s="1"/>
      <c r="D703" s="1"/>
      <c r="E703" s="1"/>
      <c r="F703" s="1"/>
      <c r="G703" s="1"/>
      <c r="H703" s="1"/>
      <c r="I703" s="61"/>
      <c r="J703" s="1"/>
      <c r="K703" s="1"/>
    </row>
    <row r="704" spans="1:11" ht="15.75" customHeight="1">
      <c r="A704" s="2"/>
      <c r="B704" s="1"/>
      <c r="C704" s="1"/>
      <c r="D704" s="1"/>
      <c r="E704" s="1"/>
      <c r="F704" s="1"/>
      <c r="G704" s="1"/>
      <c r="H704" s="1"/>
      <c r="I704" s="61"/>
      <c r="J704" s="1"/>
      <c r="K704" s="1"/>
    </row>
    <row r="705" spans="1:11" ht="15.75" customHeight="1">
      <c r="A705" s="2"/>
      <c r="B705" s="1"/>
      <c r="C705" s="1"/>
      <c r="D705" s="1"/>
      <c r="E705" s="1"/>
      <c r="F705" s="1"/>
      <c r="G705" s="1"/>
      <c r="H705" s="1"/>
      <c r="I705" s="61"/>
      <c r="J705" s="1"/>
      <c r="K705" s="1"/>
    </row>
    <row r="706" spans="1:11" ht="15.75" customHeight="1">
      <c r="A706" s="2"/>
      <c r="B706" s="1"/>
      <c r="C706" s="1"/>
      <c r="D706" s="1"/>
      <c r="E706" s="1"/>
      <c r="F706" s="1"/>
      <c r="G706" s="1"/>
      <c r="H706" s="1"/>
      <c r="I706" s="61"/>
      <c r="J706" s="1"/>
      <c r="K706" s="1"/>
    </row>
    <row r="707" spans="1:11" ht="15.75" customHeight="1">
      <c r="A707" s="2"/>
      <c r="B707" s="1"/>
      <c r="C707" s="1"/>
      <c r="D707" s="1"/>
      <c r="E707" s="1"/>
      <c r="F707" s="1"/>
      <c r="G707" s="1"/>
      <c r="H707" s="1"/>
      <c r="I707" s="61"/>
      <c r="J707" s="1"/>
      <c r="K707" s="1"/>
    </row>
    <row r="708" spans="1:11" ht="15.75" customHeight="1">
      <c r="A708" s="2"/>
      <c r="B708" s="1"/>
      <c r="C708" s="1"/>
      <c r="D708" s="1"/>
      <c r="E708" s="1"/>
      <c r="F708" s="1"/>
      <c r="G708" s="1"/>
      <c r="H708" s="1"/>
      <c r="I708" s="61"/>
      <c r="J708" s="1"/>
      <c r="K708" s="1"/>
    </row>
    <row r="709" spans="1:11" ht="15.75" customHeight="1">
      <c r="A709" s="2"/>
      <c r="B709" s="1"/>
      <c r="C709" s="1"/>
      <c r="D709" s="1"/>
      <c r="E709" s="1"/>
      <c r="F709" s="1"/>
      <c r="G709" s="1"/>
      <c r="H709" s="1"/>
      <c r="I709" s="61"/>
      <c r="J709" s="1"/>
      <c r="K709" s="1"/>
    </row>
    <row r="710" spans="1:11" ht="15.75" customHeight="1">
      <c r="A710" s="2"/>
      <c r="B710" s="1"/>
      <c r="C710" s="1"/>
      <c r="D710" s="1"/>
      <c r="E710" s="1"/>
      <c r="F710" s="1"/>
      <c r="G710" s="1"/>
      <c r="H710" s="1"/>
      <c r="I710" s="61"/>
      <c r="J710" s="1"/>
      <c r="K710" s="1"/>
    </row>
    <row r="711" spans="1:11" ht="15.75" customHeight="1">
      <c r="A711" s="2"/>
      <c r="B711" s="1"/>
      <c r="C711" s="1"/>
      <c r="D711" s="1"/>
      <c r="E711" s="1"/>
      <c r="F711" s="1"/>
      <c r="G711" s="1"/>
      <c r="H711" s="1"/>
      <c r="I711" s="61"/>
      <c r="J711" s="1"/>
      <c r="K711" s="1"/>
    </row>
    <row r="712" spans="1:11" ht="15.75" customHeight="1">
      <c r="A712" s="2"/>
      <c r="B712" s="1"/>
      <c r="C712" s="1"/>
      <c r="D712" s="1"/>
      <c r="E712" s="1"/>
      <c r="F712" s="1"/>
      <c r="G712" s="1"/>
      <c r="H712" s="1"/>
      <c r="I712" s="61"/>
      <c r="J712" s="1"/>
      <c r="K712" s="1"/>
    </row>
    <row r="713" spans="1:11" ht="15.75" customHeight="1">
      <c r="A713" s="2"/>
      <c r="B713" s="1"/>
      <c r="C713" s="1"/>
      <c r="D713" s="1"/>
      <c r="E713" s="1"/>
      <c r="F713" s="1"/>
      <c r="G713" s="1"/>
      <c r="H713" s="1"/>
      <c r="I713" s="61"/>
      <c r="J713" s="1"/>
      <c r="K713" s="1"/>
    </row>
    <row r="714" spans="1:11" ht="15.75" customHeight="1">
      <c r="A714" s="2"/>
      <c r="B714" s="1"/>
      <c r="C714" s="1"/>
      <c r="D714" s="1"/>
      <c r="E714" s="1"/>
      <c r="F714" s="1"/>
      <c r="G714" s="1"/>
      <c r="H714" s="1"/>
      <c r="I714" s="61"/>
      <c r="J714" s="1"/>
      <c r="K714" s="1"/>
    </row>
    <row r="715" spans="1:11" ht="15.75" customHeight="1">
      <c r="A715" s="2"/>
      <c r="B715" s="1"/>
      <c r="C715" s="1"/>
      <c r="D715" s="1"/>
      <c r="E715" s="1"/>
      <c r="F715" s="1"/>
      <c r="G715" s="1"/>
      <c r="H715" s="1"/>
      <c r="I715" s="61"/>
      <c r="J715" s="1"/>
      <c r="K715" s="1"/>
    </row>
    <row r="716" spans="1:11" ht="15.75" customHeight="1">
      <c r="A716" s="2"/>
      <c r="B716" s="1"/>
      <c r="C716" s="1"/>
      <c r="D716" s="1"/>
      <c r="E716" s="1"/>
      <c r="F716" s="1"/>
      <c r="G716" s="1"/>
      <c r="H716" s="1"/>
      <c r="I716" s="61"/>
      <c r="J716" s="1"/>
      <c r="K716" s="1"/>
    </row>
    <row r="717" spans="1:11" ht="15.75" customHeight="1">
      <c r="A717" s="2"/>
      <c r="B717" s="1"/>
      <c r="C717" s="1"/>
      <c r="D717" s="1"/>
      <c r="E717" s="1"/>
      <c r="F717" s="1"/>
      <c r="G717" s="1"/>
      <c r="H717" s="1"/>
      <c r="I717" s="61"/>
      <c r="J717" s="1"/>
      <c r="K717" s="1"/>
    </row>
    <row r="718" spans="1:11" ht="15.75" customHeight="1">
      <c r="A718" s="2"/>
      <c r="B718" s="1"/>
      <c r="C718" s="1"/>
      <c r="D718" s="1"/>
      <c r="E718" s="1"/>
      <c r="F718" s="1"/>
      <c r="G718" s="1"/>
      <c r="H718" s="1"/>
      <c r="I718" s="61"/>
      <c r="J718" s="1"/>
      <c r="K718" s="1"/>
    </row>
    <row r="719" spans="1:11" ht="15.75" customHeight="1">
      <c r="A719" s="2"/>
      <c r="B719" s="1"/>
      <c r="C719" s="1"/>
      <c r="D719" s="1"/>
      <c r="E719" s="1"/>
      <c r="F719" s="1"/>
      <c r="G719" s="1"/>
      <c r="H719" s="1"/>
      <c r="I719" s="61"/>
      <c r="J719" s="1"/>
      <c r="K719" s="1"/>
    </row>
    <row r="720" spans="1:11" ht="15.75" customHeight="1">
      <c r="A720" s="2"/>
      <c r="B720" s="1"/>
      <c r="C720" s="1"/>
      <c r="D720" s="1"/>
      <c r="E720" s="1"/>
      <c r="F720" s="1"/>
      <c r="G720" s="1"/>
      <c r="H720" s="1"/>
      <c r="I720" s="61"/>
      <c r="J720" s="1"/>
      <c r="K720" s="1"/>
    </row>
    <row r="721" spans="1:11" ht="15.75" customHeight="1">
      <c r="A721" s="2"/>
      <c r="B721" s="1"/>
      <c r="C721" s="1"/>
      <c r="D721" s="1"/>
      <c r="E721" s="1"/>
      <c r="F721" s="1"/>
      <c r="G721" s="1"/>
      <c r="H721" s="1"/>
      <c r="I721" s="61"/>
      <c r="J721" s="1"/>
      <c r="K721" s="1"/>
    </row>
    <row r="722" spans="1:11" ht="15.75" customHeight="1">
      <c r="A722" s="2"/>
      <c r="B722" s="1"/>
      <c r="C722" s="1"/>
      <c r="D722" s="1"/>
      <c r="E722" s="1"/>
      <c r="F722" s="1"/>
      <c r="G722" s="1"/>
      <c r="H722" s="1"/>
      <c r="I722" s="61"/>
      <c r="J722" s="1"/>
      <c r="K722" s="1"/>
    </row>
    <row r="723" spans="1:11" ht="15.75" customHeight="1">
      <c r="A723" s="2"/>
      <c r="B723" s="1"/>
      <c r="C723" s="1"/>
      <c r="D723" s="1"/>
      <c r="E723" s="1"/>
      <c r="F723" s="1"/>
      <c r="G723" s="1"/>
      <c r="H723" s="1"/>
      <c r="I723" s="61"/>
      <c r="J723" s="1"/>
      <c r="K723" s="1"/>
    </row>
    <row r="724" spans="1:11" ht="15.75" customHeight="1">
      <c r="A724" s="2"/>
      <c r="B724" s="1"/>
      <c r="C724" s="1"/>
      <c r="D724" s="1"/>
      <c r="E724" s="1"/>
      <c r="F724" s="1"/>
      <c r="G724" s="1"/>
      <c r="H724" s="1"/>
      <c r="I724" s="61"/>
      <c r="J724" s="1"/>
      <c r="K724" s="1"/>
    </row>
    <row r="725" spans="1:11" ht="15.75" customHeight="1">
      <c r="A725" s="2"/>
      <c r="B725" s="1"/>
      <c r="C725" s="1"/>
      <c r="D725" s="1"/>
      <c r="E725" s="1"/>
      <c r="F725" s="1"/>
      <c r="G725" s="1"/>
      <c r="H725" s="1"/>
      <c r="I725" s="61"/>
      <c r="J725" s="1"/>
      <c r="K725" s="1"/>
    </row>
    <row r="726" spans="1:11" ht="15.75" customHeight="1">
      <c r="A726" s="2"/>
      <c r="B726" s="1"/>
      <c r="C726" s="1"/>
      <c r="D726" s="1"/>
      <c r="E726" s="1"/>
      <c r="F726" s="1"/>
      <c r="G726" s="1"/>
      <c r="H726" s="1"/>
      <c r="I726" s="61"/>
      <c r="J726" s="1"/>
      <c r="K726" s="1"/>
    </row>
    <row r="727" spans="1:11" ht="15.75" customHeight="1">
      <c r="A727" s="2"/>
      <c r="B727" s="1"/>
      <c r="C727" s="1"/>
      <c r="D727" s="1"/>
      <c r="E727" s="1"/>
      <c r="F727" s="1"/>
      <c r="G727" s="1"/>
      <c r="H727" s="1"/>
      <c r="I727" s="61"/>
      <c r="J727" s="1"/>
      <c r="K727" s="1"/>
    </row>
    <row r="728" spans="1:11" ht="15.75" customHeight="1">
      <c r="A728" s="2"/>
      <c r="B728" s="1"/>
      <c r="C728" s="1"/>
      <c r="D728" s="1"/>
      <c r="E728" s="1"/>
      <c r="F728" s="1"/>
      <c r="G728" s="1"/>
      <c r="H728" s="1"/>
      <c r="I728" s="61"/>
      <c r="J728" s="1"/>
      <c r="K728" s="1"/>
    </row>
    <row r="729" spans="1:11" ht="15.75" customHeight="1">
      <c r="A729" s="2"/>
      <c r="B729" s="1"/>
      <c r="C729" s="1"/>
      <c r="D729" s="1"/>
      <c r="E729" s="1"/>
      <c r="F729" s="1"/>
      <c r="G729" s="1"/>
      <c r="H729" s="1"/>
      <c r="I729" s="61"/>
      <c r="J729" s="1"/>
      <c r="K729" s="1"/>
    </row>
    <row r="730" spans="1:11" ht="15.75" customHeight="1">
      <c r="A730" s="2"/>
      <c r="B730" s="1"/>
      <c r="C730" s="1"/>
      <c r="D730" s="1"/>
      <c r="E730" s="1"/>
      <c r="F730" s="1"/>
      <c r="G730" s="1"/>
      <c r="H730" s="1"/>
      <c r="I730" s="61"/>
      <c r="J730" s="1"/>
      <c r="K730" s="1"/>
    </row>
    <row r="731" spans="1:11" ht="15.75" customHeight="1">
      <c r="A731" s="2"/>
      <c r="B731" s="1"/>
      <c r="C731" s="1"/>
      <c r="D731" s="1"/>
      <c r="E731" s="1"/>
      <c r="F731" s="1"/>
      <c r="G731" s="1"/>
      <c r="H731" s="1"/>
      <c r="I731" s="61"/>
      <c r="J731" s="1"/>
      <c r="K731" s="1"/>
    </row>
    <row r="732" spans="1:11" ht="15.75" customHeight="1">
      <c r="A732" s="2"/>
      <c r="B732" s="1"/>
      <c r="C732" s="1"/>
      <c r="D732" s="1"/>
      <c r="E732" s="1"/>
      <c r="F732" s="1"/>
      <c r="G732" s="1"/>
      <c r="H732" s="1"/>
      <c r="I732" s="61"/>
      <c r="J732" s="1"/>
      <c r="K732" s="1"/>
    </row>
    <row r="733" spans="1:11" ht="15.75" customHeight="1">
      <c r="A733" s="2"/>
      <c r="B733" s="1"/>
      <c r="C733" s="1"/>
      <c r="D733" s="1"/>
      <c r="E733" s="1"/>
      <c r="F733" s="1"/>
      <c r="G733" s="1"/>
      <c r="H733" s="1"/>
      <c r="I733" s="61"/>
      <c r="J733" s="1"/>
      <c r="K733" s="1"/>
    </row>
    <row r="734" spans="1:11" ht="15.75" customHeight="1">
      <c r="A734" s="2"/>
      <c r="B734" s="1"/>
      <c r="C734" s="1"/>
      <c r="D734" s="1"/>
      <c r="E734" s="1"/>
      <c r="F734" s="1"/>
      <c r="G734" s="1"/>
      <c r="H734" s="1"/>
      <c r="I734" s="61"/>
      <c r="J734" s="1"/>
      <c r="K734" s="1"/>
    </row>
    <row r="735" spans="1:11" ht="15.75" customHeight="1">
      <c r="A735" s="2"/>
      <c r="B735" s="1"/>
      <c r="C735" s="1"/>
      <c r="D735" s="1"/>
      <c r="E735" s="1"/>
      <c r="F735" s="1"/>
      <c r="G735" s="1"/>
      <c r="H735" s="1"/>
      <c r="I735" s="61"/>
      <c r="J735" s="1"/>
      <c r="K735" s="1"/>
    </row>
    <row r="736" spans="1:11" ht="15.75" customHeight="1">
      <c r="A736" s="2"/>
      <c r="B736" s="1"/>
      <c r="C736" s="1"/>
      <c r="D736" s="1"/>
      <c r="E736" s="1"/>
      <c r="F736" s="1"/>
      <c r="G736" s="1"/>
      <c r="H736" s="1"/>
      <c r="I736" s="61"/>
      <c r="J736" s="1"/>
      <c r="K736" s="1"/>
    </row>
    <row r="737" spans="1:11" ht="15.75" customHeight="1">
      <c r="A737" s="2"/>
      <c r="B737" s="1"/>
      <c r="C737" s="1"/>
      <c r="D737" s="1"/>
      <c r="E737" s="1"/>
      <c r="F737" s="1"/>
      <c r="G737" s="1"/>
      <c r="H737" s="1"/>
      <c r="I737" s="61"/>
      <c r="J737" s="1"/>
      <c r="K737" s="1"/>
    </row>
    <row r="738" spans="1:11" ht="15.75" customHeight="1">
      <c r="A738" s="2"/>
      <c r="B738" s="1"/>
      <c r="C738" s="1"/>
      <c r="D738" s="1"/>
      <c r="E738" s="1"/>
      <c r="F738" s="1"/>
      <c r="G738" s="1"/>
      <c r="H738" s="1"/>
      <c r="I738" s="61"/>
      <c r="J738" s="1"/>
      <c r="K738" s="1"/>
    </row>
    <row r="739" spans="1:11" ht="15.75" customHeight="1">
      <c r="A739" s="2"/>
      <c r="B739" s="1"/>
      <c r="C739" s="1"/>
      <c r="D739" s="1"/>
      <c r="E739" s="1"/>
      <c r="F739" s="1"/>
      <c r="G739" s="1"/>
      <c r="H739" s="1"/>
      <c r="I739" s="61"/>
      <c r="J739" s="1"/>
      <c r="K739" s="1"/>
    </row>
    <row r="740" spans="1:11" ht="15.75" customHeight="1">
      <c r="A740" s="2"/>
      <c r="B740" s="1"/>
      <c r="C740" s="1"/>
      <c r="D740" s="1"/>
      <c r="E740" s="1"/>
      <c r="F740" s="1"/>
      <c r="G740" s="1"/>
      <c r="H740" s="1"/>
      <c r="I740" s="61"/>
      <c r="J740" s="1"/>
      <c r="K740" s="1"/>
    </row>
    <row r="741" spans="1:11" ht="15.75" customHeight="1">
      <c r="A741" s="2"/>
      <c r="B741" s="1"/>
      <c r="C741" s="1"/>
      <c r="D741" s="1"/>
      <c r="E741" s="1"/>
      <c r="F741" s="1"/>
      <c r="G741" s="1"/>
      <c r="H741" s="1"/>
      <c r="I741" s="61"/>
      <c r="J741" s="1"/>
      <c r="K741" s="1"/>
    </row>
    <row r="742" spans="1:11" ht="15.75" customHeight="1">
      <c r="A742" s="2"/>
      <c r="B742" s="1"/>
      <c r="C742" s="1"/>
      <c r="D742" s="1"/>
      <c r="E742" s="1"/>
      <c r="F742" s="1"/>
      <c r="G742" s="1"/>
      <c r="H742" s="1"/>
      <c r="I742" s="61"/>
      <c r="J742" s="1"/>
      <c r="K742" s="1"/>
    </row>
    <row r="743" spans="1:11" ht="15.75" customHeight="1">
      <c r="A743" s="2"/>
      <c r="B743" s="1"/>
      <c r="C743" s="1"/>
      <c r="D743" s="1"/>
      <c r="E743" s="1"/>
      <c r="F743" s="1"/>
      <c r="G743" s="1"/>
      <c r="H743" s="1"/>
      <c r="I743" s="61"/>
      <c r="J743" s="1"/>
      <c r="K743" s="1"/>
    </row>
    <row r="744" spans="1:11" ht="15.75" customHeight="1">
      <c r="A744" s="2"/>
      <c r="B744" s="1"/>
      <c r="C744" s="1"/>
      <c r="D744" s="1"/>
      <c r="E744" s="1"/>
      <c r="F744" s="1"/>
      <c r="G744" s="1"/>
      <c r="H744" s="1"/>
      <c r="I744" s="61"/>
      <c r="J744" s="1"/>
      <c r="K744" s="1"/>
    </row>
    <row r="745" spans="1:11" ht="15.75" customHeight="1">
      <c r="A745" s="2"/>
      <c r="B745" s="1"/>
      <c r="C745" s="1"/>
      <c r="D745" s="1"/>
      <c r="E745" s="1"/>
      <c r="F745" s="1"/>
      <c r="G745" s="1"/>
      <c r="H745" s="1"/>
      <c r="I745" s="61"/>
      <c r="J745" s="1"/>
      <c r="K745" s="1"/>
    </row>
    <row r="746" spans="1:11" ht="15.75" customHeight="1">
      <c r="A746" s="2"/>
      <c r="B746" s="1"/>
      <c r="C746" s="1"/>
      <c r="D746" s="1"/>
      <c r="E746" s="1"/>
      <c r="F746" s="1"/>
      <c r="G746" s="1"/>
      <c r="H746" s="1"/>
      <c r="I746" s="61"/>
      <c r="J746" s="1"/>
      <c r="K746" s="1"/>
    </row>
    <row r="747" spans="1:11" ht="15.75" customHeight="1">
      <c r="A747" s="2"/>
      <c r="B747" s="1"/>
      <c r="C747" s="1"/>
      <c r="D747" s="1"/>
      <c r="E747" s="1"/>
      <c r="F747" s="1"/>
      <c r="G747" s="1"/>
      <c r="H747" s="1"/>
      <c r="I747" s="61"/>
      <c r="J747" s="1"/>
      <c r="K747" s="1"/>
    </row>
    <row r="748" spans="1:11" ht="15.75" customHeight="1">
      <c r="A748" s="2"/>
      <c r="B748" s="1"/>
      <c r="C748" s="1"/>
      <c r="D748" s="1"/>
      <c r="E748" s="1"/>
      <c r="F748" s="1"/>
      <c r="G748" s="1"/>
      <c r="H748" s="1"/>
      <c r="I748" s="61"/>
      <c r="J748" s="1"/>
      <c r="K748" s="1"/>
    </row>
    <row r="749" spans="1:11" ht="15.75" customHeight="1">
      <c r="A749" s="2"/>
      <c r="B749" s="1"/>
      <c r="C749" s="1"/>
      <c r="D749" s="1"/>
      <c r="E749" s="1"/>
      <c r="F749" s="1"/>
      <c r="G749" s="1"/>
      <c r="H749" s="1"/>
      <c r="I749" s="61"/>
      <c r="J749" s="1"/>
      <c r="K749" s="1"/>
    </row>
    <row r="750" spans="1:11" ht="15.75" customHeight="1">
      <c r="A750" s="2"/>
      <c r="B750" s="1"/>
      <c r="C750" s="1"/>
      <c r="D750" s="1"/>
      <c r="E750" s="1"/>
      <c r="F750" s="1"/>
      <c r="G750" s="1"/>
      <c r="H750" s="1"/>
      <c r="I750" s="61"/>
      <c r="J750" s="1"/>
      <c r="K750" s="1"/>
    </row>
    <row r="751" spans="1:11" ht="15.75" customHeight="1">
      <c r="A751" s="2"/>
      <c r="B751" s="1"/>
      <c r="C751" s="1"/>
      <c r="D751" s="1"/>
      <c r="E751" s="1"/>
      <c r="F751" s="1"/>
      <c r="G751" s="1"/>
      <c r="H751" s="1"/>
      <c r="I751" s="61"/>
      <c r="J751" s="1"/>
      <c r="K751" s="1"/>
    </row>
    <row r="752" spans="1:11" ht="15.75" customHeight="1">
      <c r="A752" s="2"/>
      <c r="B752" s="1"/>
      <c r="C752" s="1"/>
      <c r="D752" s="1"/>
      <c r="E752" s="1"/>
      <c r="F752" s="1"/>
      <c r="G752" s="1"/>
      <c r="H752" s="1"/>
      <c r="I752" s="61"/>
      <c r="J752" s="1"/>
      <c r="K752" s="1"/>
    </row>
    <row r="753" spans="1:11" ht="15.75" customHeight="1">
      <c r="A753" s="2"/>
      <c r="B753" s="1"/>
      <c r="C753" s="1"/>
      <c r="D753" s="1"/>
      <c r="E753" s="1"/>
      <c r="F753" s="1"/>
      <c r="G753" s="1"/>
      <c r="H753" s="1"/>
      <c r="I753" s="61"/>
      <c r="J753" s="1"/>
      <c r="K753" s="1"/>
    </row>
    <row r="754" spans="1:11" ht="15.75" customHeight="1">
      <c r="A754" s="2"/>
      <c r="B754" s="1"/>
      <c r="C754" s="1"/>
      <c r="D754" s="1"/>
      <c r="E754" s="1"/>
      <c r="F754" s="1"/>
      <c r="G754" s="1"/>
      <c r="H754" s="1"/>
      <c r="I754" s="61"/>
      <c r="J754" s="1"/>
      <c r="K754" s="1"/>
    </row>
    <row r="755" spans="1:11" ht="15.75" customHeight="1">
      <c r="A755" s="2"/>
      <c r="B755" s="1"/>
      <c r="C755" s="1"/>
      <c r="D755" s="1"/>
      <c r="E755" s="1"/>
      <c r="F755" s="1"/>
      <c r="G755" s="1"/>
      <c r="H755" s="1"/>
      <c r="I755" s="61"/>
      <c r="J755" s="1"/>
      <c r="K755" s="1"/>
    </row>
    <row r="756" spans="1:11" ht="15.75" customHeight="1">
      <c r="A756" s="2"/>
      <c r="B756" s="1"/>
      <c r="C756" s="1"/>
      <c r="D756" s="1"/>
      <c r="E756" s="1"/>
      <c r="F756" s="1"/>
      <c r="G756" s="1"/>
      <c r="H756" s="1"/>
      <c r="I756" s="61"/>
      <c r="J756" s="1"/>
      <c r="K756" s="1"/>
    </row>
    <row r="757" spans="1:11" ht="15.75" customHeight="1">
      <c r="A757" s="2"/>
      <c r="B757" s="1"/>
      <c r="C757" s="1"/>
      <c r="D757" s="1"/>
      <c r="E757" s="1"/>
      <c r="F757" s="1"/>
      <c r="G757" s="1"/>
      <c r="H757" s="1"/>
      <c r="I757" s="61"/>
      <c r="J757" s="1"/>
      <c r="K757" s="1"/>
    </row>
    <row r="758" spans="1:11" ht="15.75" customHeight="1">
      <c r="A758" s="2"/>
      <c r="B758" s="1"/>
      <c r="C758" s="1"/>
      <c r="D758" s="1"/>
      <c r="E758" s="1"/>
      <c r="F758" s="1"/>
      <c r="G758" s="1"/>
      <c r="H758" s="1"/>
      <c r="I758" s="61"/>
      <c r="J758" s="1"/>
      <c r="K758" s="1"/>
    </row>
    <row r="759" spans="1:11" ht="15.75" customHeight="1">
      <c r="A759" s="2"/>
      <c r="B759" s="1"/>
      <c r="C759" s="1"/>
      <c r="D759" s="1"/>
      <c r="E759" s="1"/>
      <c r="F759" s="1"/>
      <c r="G759" s="1"/>
      <c r="H759" s="1"/>
      <c r="I759" s="61"/>
      <c r="J759" s="1"/>
      <c r="K759" s="1"/>
    </row>
    <row r="760" spans="1:11" ht="15.75" customHeight="1">
      <c r="A760" s="2"/>
      <c r="B760" s="1"/>
      <c r="C760" s="1"/>
      <c r="D760" s="1"/>
      <c r="E760" s="1"/>
      <c r="F760" s="1"/>
      <c r="G760" s="1"/>
      <c r="H760" s="1"/>
      <c r="I760" s="61"/>
      <c r="J760" s="1"/>
      <c r="K760" s="1"/>
    </row>
    <row r="761" spans="1:11" ht="15.75" customHeight="1">
      <c r="A761" s="2"/>
      <c r="B761" s="1"/>
      <c r="C761" s="1"/>
      <c r="D761" s="1"/>
      <c r="E761" s="1"/>
      <c r="F761" s="1"/>
      <c r="G761" s="1"/>
      <c r="H761" s="1"/>
      <c r="I761" s="61"/>
      <c r="J761" s="1"/>
      <c r="K761" s="1"/>
    </row>
    <row r="762" spans="1:11" ht="15.75" customHeight="1">
      <c r="A762" s="2"/>
      <c r="B762" s="1"/>
      <c r="C762" s="1"/>
      <c r="D762" s="1"/>
      <c r="E762" s="1"/>
      <c r="F762" s="1"/>
      <c r="G762" s="1"/>
      <c r="H762" s="1"/>
      <c r="I762" s="61"/>
      <c r="J762" s="1"/>
      <c r="K762" s="1"/>
    </row>
    <row r="763" spans="1:11" ht="15.75" customHeight="1">
      <c r="A763" s="2"/>
      <c r="B763" s="1"/>
      <c r="C763" s="1"/>
      <c r="D763" s="1"/>
      <c r="E763" s="1"/>
      <c r="F763" s="1"/>
      <c r="G763" s="1"/>
      <c r="H763" s="1"/>
      <c r="I763" s="61"/>
      <c r="J763" s="1"/>
      <c r="K763" s="1"/>
    </row>
    <row r="764" spans="1:11" ht="15.75" customHeight="1">
      <c r="A764" s="2"/>
      <c r="B764" s="1"/>
      <c r="C764" s="1"/>
      <c r="D764" s="1"/>
      <c r="E764" s="1"/>
      <c r="F764" s="1"/>
      <c r="G764" s="1"/>
      <c r="H764" s="1"/>
      <c r="I764" s="61"/>
      <c r="J764" s="1"/>
      <c r="K764" s="1"/>
    </row>
    <row r="765" spans="1:11" ht="15.75" customHeight="1">
      <c r="A765" s="2"/>
      <c r="B765" s="1"/>
      <c r="C765" s="1"/>
      <c r="D765" s="1"/>
      <c r="E765" s="1"/>
      <c r="F765" s="1"/>
      <c r="G765" s="1"/>
      <c r="H765" s="1"/>
      <c r="I765" s="61"/>
      <c r="J765" s="1"/>
      <c r="K765" s="1"/>
    </row>
    <row r="766" spans="1:11" ht="15.75" customHeight="1">
      <c r="A766" s="2"/>
      <c r="B766" s="1"/>
      <c r="C766" s="1"/>
      <c r="D766" s="1"/>
      <c r="E766" s="1"/>
      <c r="F766" s="1"/>
      <c r="G766" s="1"/>
      <c r="H766" s="1"/>
      <c r="I766" s="61"/>
      <c r="J766" s="1"/>
      <c r="K766" s="1"/>
    </row>
    <row r="767" spans="1:11" ht="15.75" customHeight="1">
      <c r="A767" s="2"/>
      <c r="B767" s="1"/>
      <c r="C767" s="1"/>
      <c r="D767" s="1"/>
      <c r="E767" s="1"/>
      <c r="F767" s="1"/>
      <c r="G767" s="1"/>
      <c r="H767" s="1"/>
      <c r="I767" s="61"/>
      <c r="J767" s="1"/>
      <c r="K767" s="1"/>
    </row>
    <row r="768" spans="1:11" ht="15.75" customHeight="1">
      <c r="A768" s="2"/>
      <c r="B768" s="1"/>
      <c r="C768" s="1"/>
      <c r="D768" s="1"/>
      <c r="E768" s="1"/>
      <c r="F768" s="1"/>
      <c r="G768" s="1"/>
      <c r="H768" s="1"/>
      <c r="I768" s="61"/>
      <c r="J768" s="1"/>
      <c r="K768" s="1"/>
    </row>
    <row r="769" spans="1:11" ht="15.75" customHeight="1">
      <c r="A769" s="2"/>
      <c r="B769" s="1"/>
      <c r="C769" s="1"/>
      <c r="D769" s="1"/>
      <c r="E769" s="1"/>
      <c r="F769" s="1"/>
      <c r="G769" s="1"/>
      <c r="H769" s="1"/>
      <c r="I769" s="61"/>
      <c r="J769" s="1"/>
      <c r="K769" s="1"/>
    </row>
    <row r="770" spans="1:11" ht="15.75" customHeight="1">
      <c r="A770" s="2"/>
      <c r="B770" s="1"/>
      <c r="C770" s="1"/>
      <c r="D770" s="1"/>
      <c r="E770" s="1"/>
      <c r="F770" s="1"/>
      <c r="G770" s="1"/>
      <c r="H770" s="1"/>
      <c r="I770" s="61"/>
      <c r="J770" s="1"/>
      <c r="K770" s="1"/>
    </row>
    <row r="771" spans="1:11" ht="15.75" customHeight="1">
      <c r="A771" s="2"/>
      <c r="B771" s="1"/>
      <c r="C771" s="1"/>
      <c r="D771" s="1"/>
      <c r="E771" s="1"/>
      <c r="F771" s="1"/>
      <c r="G771" s="1"/>
      <c r="H771" s="1"/>
      <c r="I771" s="61"/>
      <c r="J771" s="1"/>
      <c r="K771" s="1"/>
    </row>
    <row r="772" spans="1:11" ht="15.75" customHeight="1">
      <c r="A772" s="2"/>
      <c r="B772" s="1"/>
      <c r="C772" s="1"/>
      <c r="D772" s="1"/>
      <c r="E772" s="1"/>
      <c r="F772" s="1"/>
      <c r="G772" s="1"/>
      <c r="H772" s="1"/>
      <c r="I772" s="61"/>
      <c r="J772" s="1"/>
      <c r="K772" s="1"/>
    </row>
    <row r="773" spans="1:11" ht="15.75" customHeight="1">
      <c r="A773" s="2"/>
      <c r="B773" s="1"/>
      <c r="C773" s="1"/>
      <c r="D773" s="1"/>
      <c r="E773" s="1"/>
      <c r="F773" s="1"/>
      <c r="G773" s="1"/>
      <c r="H773" s="1"/>
      <c r="I773" s="61"/>
      <c r="J773" s="1"/>
      <c r="K773" s="1"/>
    </row>
    <row r="774" spans="1:11" ht="15.75" customHeight="1">
      <c r="A774" s="2"/>
      <c r="B774" s="1"/>
      <c r="C774" s="1"/>
      <c r="D774" s="1"/>
      <c r="E774" s="1"/>
      <c r="F774" s="1"/>
      <c r="G774" s="1"/>
      <c r="H774" s="1"/>
      <c r="I774" s="61"/>
      <c r="J774" s="1"/>
      <c r="K774" s="1"/>
    </row>
    <row r="775" spans="1:11" ht="15.75" customHeight="1">
      <c r="A775" s="2"/>
      <c r="B775" s="1"/>
      <c r="C775" s="1"/>
      <c r="D775" s="1"/>
      <c r="E775" s="1"/>
      <c r="F775" s="1"/>
      <c r="G775" s="1"/>
      <c r="H775" s="1"/>
      <c r="I775" s="61"/>
      <c r="J775" s="1"/>
      <c r="K775" s="1"/>
    </row>
    <row r="776" spans="1:11" ht="15.75" customHeight="1">
      <c r="A776" s="2"/>
      <c r="B776" s="1"/>
      <c r="C776" s="1"/>
      <c r="D776" s="1"/>
      <c r="E776" s="1"/>
      <c r="F776" s="1"/>
      <c r="G776" s="1"/>
      <c r="H776" s="1"/>
      <c r="I776" s="61"/>
      <c r="J776" s="1"/>
      <c r="K776" s="1"/>
    </row>
    <row r="777" spans="1:11" ht="15.75" customHeight="1">
      <c r="A777" s="2"/>
      <c r="B777" s="1"/>
      <c r="C777" s="1"/>
      <c r="D777" s="1"/>
      <c r="E777" s="1"/>
      <c r="F777" s="1"/>
      <c r="G777" s="1"/>
      <c r="H777" s="1"/>
      <c r="I777" s="61"/>
      <c r="J777" s="1"/>
      <c r="K777" s="1"/>
    </row>
    <row r="778" spans="1:11" ht="15.75" customHeight="1">
      <c r="A778" s="2"/>
      <c r="B778" s="1"/>
      <c r="C778" s="1"/>
      <c r="D778" s="1"/>
      <c r="E778" s="1"/>
      <c r="F778" s="1"/>
      <c r="G778" s="1"/>
      <c r="H778" s="1"/>
      <c r="I778" s="61"/>
      <c r="J778" s="1"/>
      <c r="K778" s="1"/>
    </row>
    <row r="779" spans="1:11" ht="15.75" customHeight="1">
      <c r="A779" s="2"/>
      <c r="B779" s="1"/>
      <c r="C779" s="1"/>
      <c r="D779" s="1"/>
      <c r="E779" s="1"/>
      <c r="F779" s="1"/>
      <c r="G779" s="1"/>
      <c r="H779" s="1"/>
      <c r="I779" s="61"/>
      <c r="J779" s="1"/>
      <c r="K779" s="1"/>
    </row>
    <row r="780" spans="1:11" ht="15.75" customHeight="1">
      <c r="A780" s="2"/>
      <c r="B780" s="1"/>
      <c r="C780" s="1"/>
      <c r="D780" s="1"/>
      <c r="E780" s="1"/>
      <c r="F780" s="1"/>
      <c r="G780" s="1"/>
      <c r="H780" s="1"/>
      <c r="I780" s="61"/>
      <c r="J780" s="1"/>
      <c r="K780" s="1"/>
    </row>
    <row r="781" spans="1:11" ht="15.75" customHeight="1">
      <c r="A781" s="2"/>
      <c r="B781" s="1"/>
      <c r="C781" s="1"/>
      <c r="D781" s="1"/>
      <c r="E781" s="1"/>
      <c r="F781" s="1"/>
      <c r="G781" s="1"/>
      <c r="H781" s="1"/>
      <c r="I781" s="61"/>
      <c r="J781" s="1"/>
      <c r="K781" s="1"/>
    </row>
    <row r="782" spans="1:11" ht="15.75" customHeight="1">
      <c r="A782" s="2"/>
      <c r="B782" s="1"/>
      <c r="C782" s="1"/>
      <c r="D782" s="1"/>
      <c r="E782" s="1"/>
      <c r="F782" s="1"/>
      <c r="G782" s="1"/>
      <c r="H782" s="1"/>
      <c r="I782" s="61"/>
      <c r="J782" s="1"/>
      <c r="K782" s="1"/>
    </row>
    <row r="783" spans="1:11" ht="15.75" customHeight="1">
      <c r="A783" s="2"/>
      <c r="B783" s="1"/>
      <c r="C783" s="1"/>
      <c r="D783" s="1"/>
      <c r="E783" s="1"/>
      <c r="F783" s="1"/>
      <c r="G783" s="1"/>
      <c r="H783" s="1"/>
      <c r="I783" s="61"/>
      <c r="J783" s="1"/>
      <c r="K783" s="1"/>
    </row>
    <row r="784" spans="1:11" ht="15.75" customHeight="1">
      <c r="A784" s="2"/>
      <c r="B784" s="1"/>
      <c r="C784" s="1"/>
      <c r="D784" s="1"/>
      <c r="E784" s="1"/>
      <c r="F784" s="1"/>
      <c r="G784" s="1"/>
      <c r="H784" s="1"/>
      <c r="I784" s="61"/>
      <c r="J784" s="1"/>
      <c r="K784" s="1"/>
    </row>
    <row r="785" spans="1:11" ht="15.75" customHeight="1">
      <c r="A785" s="2"/>
      <c r="B785" s="1"/>
      <c r="C785" s="1"/>
      <c r="D785" s="1"/>
      <c r="E785" s="1"/>
      <c r="F785" s="1"/>
      <c r="G785" s="1"/>
      <c r="H785" s="1"/>
      <c r="I785" s="61"/>
      <c r="J785" s="1"/>
      <c r="K785" s="1"/>
    </row>
    <row r="786" spans="1:11" ht="15.75" customHeight="1">
      <c r="A786" s="2"/>
      <c r="B786" s="1"/>
      <c r="C786" s="1"/>
      <c r="D786" s="1"/>
      <c r="E786" s="1"/>
      <c r="F786" s="1"/>
      <c r="G786" s="1"/>
      <c r="H786" s="1"/>
      <c r="I786" s="61"/>
      <c r="J786" s="1"/>
      <c r="K786" s="1"/>
    </row>
    <row r="787" spans="1:11" ht="15.75" customHeight="1">
      <c r="A787" s="2"/>
      <c r="B787" s="1"/>
      <c r="C787" s="1"/>
      <c r="D787" s="1"/>
      <c r="E787" s="1"/>
      <c r="F787" s="1"/>
      <c r="G787" s="1"/>
      <c r="H787" s="1"/>
      <c r="I787" s="61"/>
      <c r="J787" s="1"/>
      <c r="K787" s="1"/>
    </row>
    <row r="788" spans="1:11" ht="15.75" customHeight="1">
      <c r="A788" s="2"/>
      <c r="B788" s="1"/>
      <c r="C788" s="1"/>
      <c r="D788" s="1"/>
      <c r="E788" s="1"/>
      <c r="F788" s="1"/>
      <c r="G788" s="1"/>
      <c r="H788" s="1"/>
      <c r="I788" s="61"/>
      <c r="J788" s="1"/>
      <c r="K788" s="1"/>
    </row>
    <row r="789" spans="1:11" ht="15.75" customHeight="1">
      <c r="A789" s="2"/>
      <c r="B789" s="1"/>
      <c r="C789" s="1"/>
      <c r="D789" s="1"/>
      <c r="E789" s="1"/>
      <c r="F789" s="1"/>
      <c r="G789" s="1"/>
      <c r="H789" s="1"/>
      <c r="I789" s="61"/>
      <c r="J789" s="1"/>
      <c r="K789" s="1"/>
    </row>
    <row r="790" spans="1:11" ht="15.75" customHeight="1">
      <c r="A790" s="2"/>
      <c r="B790" s="1"/>
      <c r="C790" s="1"/>
      <c r="D790" s="1"/>
      <c r="E790" s="1"/>
      <c r="F790" s="1"/>
      <c r="G790" s="1"/>
      <c r="H790" s="1"/>
      <c r="I790" s="61"/>
      <c r="J790" s="1"/>
      <c r="K790" s="1"/>
    </row>
    <row r="791" spans="1:11" ht="15.75" customHeight="1">
      <c r="A791" s="2"/>
      <c r="B791" s="1"/>
      <c r="C791" s="1"/>
      <c r="D791" s="1"/>
      <c r="E791" s="1"/>
      <c r="F791" s="1"/>
      <c r="G791" s="1"/>
      <c r="H791" s="1"/>
      <c r="I791" s="61"/>
      <c r="J791" s="1"/>
      <c r="K791" s="1"/>
    </row>
    <row r="792" spans="1:11" ht="15.75" customHeight="1">
      <c r="A792" s="2"/>
      <c r="B792" s="1"/>
      <c r="C792" s="1"/>
      <c r="D792" s="1"/>
      <c r="E792" s="1"/>
      <c r="F792" s="1"/>
      <c r="G792" s="1"/>
      <c r="H792" s="1"/>
      <c r="I792" s="61"/>
      <c r="J792" s="1"/>
      <c r="K792" s="1"/>
    </row>
    <row r="793" spans="1:11" ht="15.75" customHeight="1">
      <c r="A793" s="2"/>
      <c r="B793" s="1"/>
      <c r="C793" s="1"/>
      <c r="D793" s="1"/>
      <c r="E793" s="1"/>
      <c r="F793" s="1"/>
      <c r="G793" s="1"/>
      <c r="H793" s="1"/>
      <c r="I793" s="61"/>
      <c r="J793" s="1"/>
      <c r="K793" s="1"/>
    </row>
    <row r="794" spans="1:11" ht="15.75" customHeight="1">
      <c r="A794" s="2"/>
      <c r="B794" s="1"/>
      <c r="C794" s="1"/>
      <c r="D794" s="1"/>
      <c r="E794" s="1"/>
      <c r="F794" s="1"/>
      <c r="G794" s="1"/>
      <c r="H794" s="1"/>
      <c r="I794" s="61"/>
      <c r="J794" s="1"/>
      <c r="K794" s="1"/>
    </row>
    <row r="795" spans="1:11" ht="15.75" customHeight="1">
      <c r="A795" s="2"/>
      <c r="B795" s="1"/>
      <c r="C795" s="1"/>
      <c r="D795" s="1"/>
      <c r="E795" s="1"/>
      <c r="F795" s="1"/>
      <c r="G795" s="1"/>
      <c r="H795" s="1"/>
      <c r="I795" s="61"/>
      <c r="J795" s="1"/>
      <c r="K795" s="1"/>
    </row>
    <row r="796" spans="1:11" ht="15.75" customHeight="1">
      <c r="A796" s="2"/>
      <c r="B796" s="1"/>
      <c r="C796" s="1"/>
      <c r="D796" s="1"/>
      <c r="E796" s="1"/>
      <c r="F796" s="1"/>
      <c r="G796" s="1"/>
      <c r="H796" s="1"/>
      <c r="I796" s="61"/>
      <c r="J796" s="1"/>
      <c r="K796" s="1"/>
    </row>
    <row r="797" spans="1:11" ht="15.75" customHeight="1">
      <c r="A797" s="2"/>
      <c r="B797" s="1"/>
      <c r="C797" s="1"/>
      <c r="D797" s="1"/>
      <c r="E797" s="1"/>
      <c r="F797" s="1"/>
      <c r="G797" s="1"/>
      <c r="H797" s="1"/>
      <c r="I797" s="61"/>
      <c r="J797" s="1"/>
      <c r="K797" s="1"/>
    </row>
    <row r="798" spans="1:11" ht="15.75" customHeight="1">
      <c r="A798" s="2"/>
      <c r="B798" s="1"/>
      <c r="C798" s="1"/>
      <c r="D798" s="1"/>
      <c r="E798" s="1"/>
      <c r="F798" s="1"/>
      <c r="G798" s="1"/>
      <c r="H798" s="1"/>
      <c r="I798" s="61"/>
      <c r="J798" s="1"/>
      <c r="K798" s="1"/>
    </row>
    <row r="799" spans="1:11" ht="15.75" customHeight="1">
      <c r="A799" s="2"/>
      <c r="B799" s="1"/>
      <c r="C799" s="1"/>
      <c r="D799" s="1"/>
      <c r="E799" s="1"/>
      <c r="F799" s="1"/>
      <c r="G799" s="1"/>
      <c r="H799" s="1"/>
      <c r="I799" s="61"/>
      <c r="J799" s="1"/>
      <c r="K799" s="1"/>
    </row>
    <row r="800" spans="1:11" ht="15.75" customHeight="1">
      <c r="A800" s="2"/>
      <c r="B800" s="1"/>
      <c r="C800" s="1"/>
      <c r="D800" s="1"/>
      <c r="E800" s="1"/>
      <c r="F800" s="1"/>
      <c r="G800" s="1"/>
      <c r="H800" s="1"/>
      <c r="I800" s="61"/>
      <c r="J800" s="1"/>
      <c r="K800" s="1"/>
    </row>
    <row r="801" spans="1:11" ht="15.75" customHeight="1">
      <c r="A801" s="2"/>
      <c r="B801" s="1"/>
      <c r="C801" s="1"/>
      <c r="D801" s="1"/>
      <c r="E801" s="1"/>
      <c r="F801" s="1"/>
      <c r="G801" s="1"/>
      <c r="H801" s="1"/>
      <c r="I801" s="61"/>
      <c r="J801" s="1"/>
      <c r="K801" s="1"/>
    </row>
    <row r="802" spans="1:11" ht="15.75" customHeight="1">
      <c r="A802" s="2"/>
      <c r="B802" s="1"/>
      <c r="C802" s="1"/>
      <c r="D802" s="1"/>
      <c r="E802" s="1"/>
      <c r="F802" s="1"/>
      <c r="G802" s="1"/>
      <c r="H802" s="1"/>
      <c r="I802" s="61"/>
      <c r="J802" s="1"/>
      <c r="K802" s="1"/>
    </row>
    <row r="803" spans="1:11" ht="15.75" customHeight="1">
      <c r="A803" s="2"/>
      <c r="B803" s="1"/>
      <c r="C803" s="1"/>
      <c r="D803" s="1"/>
      <c r="E803" s="1"/>
      <c r="F803" s="1"/>
      <c r="G803" s="1"/>
      <c r="H803" s="1"/>
      <c r="I803" s="61"/>
      <c r="J803" s="1"/>
      <c r="K803" s="1"/>
    </row>
    <row r="804" spans="1:11" ht="15.75" customHeight="1">
      <c r="A804" s="2"/>
      <c r="B804" s="1"/>
      <c r="C804" s="1"/>
      <c r="D804" s="1"/>
      <c r="E804" s="1"/>
      <c r="F804" s="1"/>
      <c r="G804" s="1"/>
      <c r="H804" s="1"/>
      <c r="I804" s="61"/>
      <c r="J804" s="1"/>
      <c r="K804" s="1"/>
    </row>
    <row r="805" spans="1:11" ht="15.75" customHeight="1">
      <c r="A805" s="2"/>
      <c r="B805" s="1"/>
      <c r="C805" s="1"/>
      <c r="D805" s="1"/>
      <c r="E805" s="1"/>
      <c r="F805" s="1"/>
      <c r="G805" s="1"/>
      <c r="H805" s="1"/>
      <c r="I805" s="61"/>
      <c r="J805" s="1"/>
      <c r="K805" s="1"/>
    </row>
    <row r="806" spans="1:11" ht="15.75" customHeight="1">
      <c r="A806" s="2"/>
      <c r="B806" s="1"/>
      <c r="C806" s="1"/>
      <c r="D806" s="1"/>
      <c r="E806" s="1"/>
      <c r="F806" s="1"/>
      <c r="G806" s="1"/>
      <c r="H806" s="1"/>
      <c r="I806" s="61"/>
      <c r="J806" s="1"/>
      <c r="K806" s="1"/>
    </row>
    <row r="807" spans="1:11" ht="15.75" customHeight="1">
      <c r="A807" s="2"/>
      <c r="B807" s="1"/>
      <c r="C807" s="1"/>
      <c r="D807" s="1"/>
      <c r="E807" s="1"/>
      <c r="F807" s="1"/>
      <c r="G807" s="1"/>
      <c r="H807" s="1"/>
      <c r="I807" s="61"/>
      <c r="J807" s="1"/>
      <c r="K807" s="1"/>
    </row>
    <row r="808" spans="1:11" ht="15.75" customHeight="1">
      <c r="A808" s="2"/>
      <c r="B808" s="1"/>
      <c r="C808" s="1"/>
      <c r="D808" s="1"/>
      <c r="E808" s="1"/>
      <c r="F808" s="1"/>
      <c r="G808" s="1"/>
      <c r="H808" s="1"/>
      <c r="I808" s="61"/>
      <c r="J808" s="1"/>
      <c r="K808" s="1"/>
    </row>
    <row r="809" spans="1:11" ht="15.75" customHeight="1">
      <c r="A809" s="2"/>
      <c r="B809" s="1"/>
      <c r="C809" s="1"/>
      <c r="D809" s="1"/>
      <c r="E809" s="1"/>
      <c r="F809" s="1"/>
      <c r="G809" s="1"/>
      <c r="H809" s="1"/>
      <c r="I809" s="61"/>
      <c r="J809" s="1"/>
      <c r="K809" s="1"/>
    </row>
    <row r="810" spans="1:11" ht="15.75" customHeight="1">
      <c r="A810" s="2"/>
      <c r="B810" s="1"/>
      <c r="C810" s="1"/>
      <c r="D810" s="1"/>
      <c r="E810" s="1"/>
      <c r="F810" s="1"/>
      <c r="G810" s="1"/>
      <c r="H810" s="1"/>
      <c r="I810" s="61"/>
      <c r="J810" s="1"/>
      <c r="K810" s="1"/>
    </row>
    <row r="811" spans="1:11" ht="15.75" customHeight="1">
      <c r="A811" s="2"/>
      <c r="B811" s="1"/>
      <c r="C811" s="1"/>
      <c r="D811" s="1"/>
      <c r="E811" s="1"/>
      <c r="F811" s="1"/>
      <c r="G811" s="1"/>
      <c r="H811" s="1"/>
      <c r="I811" s="61"/>
      <c r="J811" s="1"/>
      <c r="K811" s="1"/>
    </row>
    <row r="812" spans="1:11" ht="15.75" customHeight="1">
      <c r="A812" s="2"/>
      <c r="B812" s="1"/>
      <c r="C812" s="1"/>
      <c r="D812" s="1"/>
      <c r="E812" s="1"/>
      <c r="F812" s="1"/>
      <c r="G812" s="1"/>
      <c r="H812" s="1"/>
      <c r="I812" s="61"/>
      <c r="J812" s="1"/>
      <c r="K812" s="1"/>
    </row>
    <row r="813" spans="1:11" ht="15.75" customHeight="1">
      <c r="A813" s="2"/>
      <c r="B813" s="1"/>
      <c r="C813" s="1"/>
      <c r="D813" s="1"/>
      <c r="E813" s="1"/>
      <c r="F813" s="1"/>
      <c r="G813" s="1"/>
      <c r="H813" s="1"/>
      <c r="I813" s="61"/>
      <c r="J813" s="1"/>
      <c r="K813" s="1"/>
    </row>
    <row r="814" spans="1:11" ht="15.75" customHeight="1">
      <c r="A814" s="2"/>
      <c r="B814" s="1"/>
      <c r="C814" s="1"/>
      <c r="D814" s="1"/>
      <c r="E814" s="1"/>
      <c r="F814" s="1"/>
      <c r="G814" s="1"/>
      <c r="H814" s="1"/>
      <c r="I814" s="61"/>
      <c r="J814" s="1"/>
      <c r="K814" s="1"/>
    </row>
    <row r="815" spans="1:11" ht="15.75" customHeight="1">
      <c r="A815" s="2"/>
      <c r="B815" s="1"/>
      <c r="C815" s="1"/>
      <c r="D815" s="1"/>
      <c r="E815" s="1"/>
      <c r="F815" s="1"/>
      <c r="G815" s="1"/>
      <c r="H815" s="1"/>
      <c r="I815" s="61"/>
      <c r="J815" s="1"/>
      <c r="K815" s="1"/>
    </row>
    <row r="816" spans="1:11" ht="15.75" customHeight="1">
      <c r="A816" s="2"/>
      <c r="B816" s="1"/>
      <c r="C816" s="1"/>
      <c r="D816" s="1"/>
      <c r="E816" s="1"/>
      <c r="F816" s="1"/>
      <c r="G816" s="1"/>
      <c r="H816" s="1"/>
      <c r="I816" s="61"/>
      <c r="J816" s="1"/>
      <c r="K816" s="1"/>
    </row>
    <row r="817" spans="1:11" ht="15.75" customHeight="1">
      <c r="A817" s="2"/>
      <c r="B817" s="1"/>
      <c r="C817" s="1"/>
      <c r="D817" s="1"/>
      <c r="E817" s="1"/>
      <c r="F817" s="1"/>
      <c r="G817" s="1"/>
      <c r="H817" s="1"/>
      <c r="I817" s="61"/>
      <c r="J817" s="1"/>
      <c r="K817" s="1"/>
    </row>
    <row r="818" spans="1:11" ht="15.75" customHeight="1">
      <c r="A818" s="2"/>
      <c r="B818" s="1"/>
      <c r="C818" s="1"/>
      <c r="D818" s="1"/>
      <c r="E818" s="1"/>
      <c r="F818" s="1"/>
      <c r="G818" s="1"/>
      <c r="H818" s="1"/>
      <c r="I818" s="61"/>
      <c r="J818" s="1"/>
      <c r="K818" s="1"/>
    </row>
    <row r="819" spans="1:11" ht="15.75" customHeight="1">
      <c r="A819" s="2"/>
      <c r="B819" s="1"/>
      <c r="C819" s="1"/>
      <c r="D819" s="1"/>
      <c r="E819" s="1"/>
      <c r="F819" s="1"/>
      <c r="G819" s="1"/>
      <c r="H819" s="1"/>
      <c r="I819" s="61"/>
      <c r="J819" s="1"/>
      <c r="K819" s="1"/>
    </row>
    <row r="820" spans="1:11" ht="15.75" customHeight="1">
      <c r="A820" s="2"/>
      <c r="B820" s="1"/>
      <c r="C820" s="1"/>
      <c r="D820" s="1"/>
      <c r="E820" s="1"/>
      <c r="F820" s="1"/>
      <c r="G820" s="1"/>
      <c r="H820" s="1"/>
      <c r="I820" s="61"/>
      <c r="J820" s="1"/>
      <c r="K820" s="1"/>
    </row>
    <row r="821" spans="1:11" ht="15.75" customHeight="1">
      <c r="A821" s="2"/>
      <c r="B821" s="1"/>
      <c r="C821" s="1"/>
      <c r="D821" s="1"/>
      <c r="E821" s="1"/>
      <c r="F821" s="1"/>
      <c r="G821" s="1"/>
      <c r="H821" s="1"/>
      <c r="I821" s="61"/>
      <c r="J821" s="1"/>
      <c r="K821" s="1"/>
    </row>
    <row r="822" spans="1:11" ht="15.75" customHeight="1">
      <c r="A822" s="2"/>
      <c r="B822" s="1"/>
      <c r="C822" s="1"/>
      <c r="D822" s="1"/>
      <c r="E822" s="1"/>
      <c r="F822" s="1"/>
      <c r="G822" s="1"/>
      <c r="H822" s="1"/>
      <c r="I822" s="61"/>
      <c r="J822" s="1"/>
      <c r="K822" s="1"/>
    </row>
    <row r="823" spans="1:11" ht="15.75" customHeight="1">
      <c r="A823" s="2"/>
      <c r="B823" s="1"/>
      <c r="C823" s="1"/>
      <c r="D823" s="1"/>
      <c r="E823" s="1"/>
      <c r="F823" s="1"/>
      <c r="G823" s="1"/>
      <c r="H823" s="1"/>
      <c r="I823" s="61"/>
      <c r="J823" s="1"/>
      <c r="K823" s="1"/>
    </row>
    <row r="824" spans="1:11" ht="15.75" customHeight="1">
      <c r="A824" s="2"/>
      <c r="B824" s="1"/>
      <c r="C824" s="1"/>
      <c r="D824" s="1"/>
      <c r="E824" s="1"/>
      <c r="F824" s="1"/>
      <c r="G824" s="1"/>
      <c r="H824" s="1"/>
      <c r="I824" s="61"/>
      <c r="J824" s="1"/>
      <c r="K824" s="1"/>
    </row>
    <row r="825" spans="1:11" ht="15.75" customHeight="1">
      <c r="A825" s="2"/>
      <c r="B825" s="1"/>
      <c r="C825" s="1"/>
      <c r="D825" s="1"/>
      <c r="E825" s="1"/>
      <c r="F825" s="1"/>
      <c r="G825" s="1"/>
      <c r="H825" s="1"/>
      <c r="I825" s="61"/>
      <c r="J825" s="1"/>
      <c r="K825" s="1"/>
    </row>
    <row r="826" spans="1:11" ht="15.75" customHeight="1">
      <c r="A826" s="2"/>
      <c r="B826" s="1"/>
      <c r="C826" s="1"/>
      <c r="D826" s="1"/>
      <c r="E826" s="1"/>
      <c r="F826" s="1"/>
      <c r="G826" s="1"/>
      <c r="H826" s="1"/>
      <c r="I826" s="61"/>
      <c r="J826" s="1"/>
      <c r="K826" s="1"/>
    </row>
    <row r="827" spans="1:11" ht="15.75" customHeight="1">
      <c r="A827" s="2"/>
      <c r="B827" s="1"/>
      <c r="C827" s="1"/>
      <c r="D827" s="1"/>
      <c r="E827" s="1"/>
      <c r="F827" s="1"/>
      <c r="G827" s="1"/>
      <c r="H827" s="1"/>
      <c r="I827" s="61"/>
      <c r="J827" s="1"/>
      <c r="K827" s="1"/>
    </row>
    <row r="828" spans="1:11" ht="15.75" customHeight="1">
      <c r="A828" s="2"/>
      <c r="B828" s="1"/>
      <c r="C828" s="1"/>
      <c r="D828" s="1"/>
      <c r="E828" s="1"/>
      <c r="F828" s="1"/>
      <c r="G828" s="1"/>
      <c r="H828" s="1"/>
      <c r="I828" s="61"/>
      <c r="J828" s="1"/>
      <c r="K828" s="1"/>
    </row>
    <row r="829" spans="1:11" ht="15.75" customHeight="1">
      <c r="A829" s="2"/>
      <c r="B829" s="1"/>
      <c r="C829" s="1"/>
      <c r="D829" s="1"/>
      <c r="E829" s="1"/>
      <c r="F829" s="1"/>
      <c r="G829" s="1"/>
      <c r="H829" s="1"/>
      <c r="I829" s="61"/>
      <c r="J829" s="1"/>
      <c r="K829" s="1"/>
    </row>
    <row r="830" spans="1:11" ht="15.75" customHeight="1">
      <c r="A830" s="2"/>
      <c r="B830" s="1"/>
      <c r="C830" s="1"/>
      <c r="D830" s="1"/>
      <c r="E830" s="1"/>
      <c r="F830" s="1"/>
      <c r="G830" s="1"/>
      <c r="H830" s="1"/>
      <c r="I830" s="61"/>
      <c r="J830" s="1"/>
      <c r="K830" s="1"/>
    </row>
    <row r="831" spans="1:11" ht="15.75" customHeight="1">
      <c r="A831" s="2"/>
      <c r="B831" s="1"/>
      <c r="C831" s="1"/>
      <c r="D831" s="1"/>
      <c r="E831" s="1"/>
      <c r="F831" s="1"/>
      <c r="G831" s="1"/>
      <c r="H831" s="1"/>
      <c r="I831" s="61"/>
      <c r="J831" s="1"/>
      <c r="K831" s="1"/>
    </row>
    <row r="832" spans="1:11" ht="15.75" customHeight="1">
      <c r="A832" s="2"/>
      <c r="B832" s="1"/>
      <c r="C832" s="1"/>
      <c r="D832" s="1"/>
      <c r="E832" s="1"/>
      <c r="F832" s="1"/>
      <c r="G832" s="1"/>
      <c r="H832" s="1"/>
      <c r="I832" s="61"/>
      <c r="J832" s="1"/>
      <c r="K832" s="1"/>
    </row>
    <row r="833" spans="1:11" ht="15.75" customHeight="1">
      <c r="A833" s="2"/>
      <c r="B833" s="1"/>
      <c r="C833" s="1"/>
      <c r="D833" s="1"/>
      <c r="E833" s="1"/>
      <c r="F833" s="1"/>
      <c r="G833" s="1"/>
      <c r="H833" s="1"/>
      <c r="I833" s="61"/>
      <c r="J833" s="1"/>
      <c r="K833" s="1"/>
    </row>
    <row r="834" spans="1:11" ht="15.75" customHeight="1">
      <c r="A834" s="2"/>
      <c r="B834" s="1"/>
      <c r="C834" s="1"/>
      <c r="D834" s="1"/>
      <c r="E834" s="1"/>
      <c r="F834" s="1"/>
      <c r="G834" s="1"/>
      <c r="H834" s="1"/>
      <c r="I834" s="61"/>
      <c r="J834" s="1"/>
      <c r="K834" s="1"/>
    </row>
    <row r="835" spans="1:11" ht="15.75" customHeight="1">
      <c r="A835" s="2"/>
      <c r="B835" s="1"/>
      <c r="C835" s="1"/>
      <c r="D835" s="1"/>
      <c r="E835" s="1"/>
      <c r="F835" s="1"/>
      <c r="G835" s="1"/>
      <c r="H835" s="1"/>
      <c r="I835" s="61"/>
      <c r="J835" s="1"/>
      <c r="K835" s="1"/>
    </row>
    <row r="836" spans="1:11" ht="15.75" customHeight="1">
      <c r="A836" s="2"/>
      <c r="B836" s="1"/>
      <c r="C836" s="1"/>
      <c r="D836" s="1"/>
      <c r="E836" s="1"/>
      <c r="F836" s="1"/>
      <c r="G836" s="1"/>
      <c r="H836" s="1"/>
      <c r="I836" s="61"/>
      <c r="J836" s="1"/>
      <c r="K836" s="1"/>
    </row>
    <row r="837" spans="1:11" ht="15.75" customHeight="1">
      <c r="A837" s="2"/>
      <c r="B837" s="1"/>
      <c r="C837" s="1"/>
      <c r="D837" s="1"/>
      <c r="E837" s="1"/>
      <c r="F837" s="1"/>
      <c r="G837" s="1"/>
      <c r="H837" s="1"/>
      <c r="I837" s="61"/>
      <c r="J837" s="1"/>
      <c r="K837" s="1"/>
    </row>
    <row r="838" spans="1:11" ht="15.75" customHeight="1">
      <c r="A838" s="2"/>
      <c r="B838" s="1"/>
      <c r="C838" s="1"/>
      <c r="D838" s="1"/>
      <c r="E838" s="1"/>
      <c r="F838" s="1"/>
      <c r="G838" s="1"/>
      <c r="H838" s="1"/>
      <c r="I838" s="61"/>
      <c r="J838" s="1"/>
      <c r="K838" s="1"/>
    </row>
    <row r="839" spans="1:11" ht="15.75" customHeight="1">
      <c r="A839" s="2"/>
      <c r="B839" s="1"/>
      <c r="C839" s="1"/>
      <c r="D839" s="1"/>
      <c r="E839" s="1"/>
      <c r="F839" s="1"/>
      <c r="G839" s="1"/>
      <c r="H839" s="1"/>
      <c r="I839" s="61"/>
      <c r="J839" s="1"/>
      <c r="K839" s="1"/>
    </row>
    <row r="840" spans="1:11" ht="15.75" customHeight="1">
      <c r="A840" s="2"/>
      <c r="B840" s="1"/>
      <c r="C840" s="1"/>
      <c r="D840" s="1"/>
      <c r="E840" s="1"/>
      <c r="F840" s="1"/>
      <c r="G840" s="1"/>
      <c r="H840" s="1"/>
      <c r="I840" s="61"/>
      <c r="J840" s="1"/>
      <c r="K840" s="1"/>
    </row>
    <row r="841" spans="1:11" ht="15.75" customHeight="1">
      <c r="A841" s="2"/>
      <c r="B841" s="1"/>
      <c r="C841" s="1"/>
      <c r="D841" s="1"/>
      <c r="E841" s="1"/>
      <c r="F841" s="1"/>
      <c r="G841" s="1"/>
      <c r="H841" s="1"/>
      <c r="I841" s="61"/>
      <c r="J841" s="1"/>
      <c r="K841" s="1"/>
    </row>
    <row r="842" spans="1:11" ht="15.75" customHeight="1">
      <c r="A842" s="2"/>
      <c r="B842" s="1"/>
      <c r="C842" s="1"/>
      <c r="D842" s="1"/>
      <c r="E842" s="1"/>
      <c r="F842" s="1"/>
      <c r="G842" s="1"/>
      <c r="H842" s="1"/>
      <c r="I842" s="61"/>
      <c r="J842" s="1"/>
      <c r="K842" s="1"/>
    </row>
    <row r="843" spans="1:11" ht="15.75" customHeight="1">
      <c r="A843" s="2"/>
      <c r="B843" s="1"/>
      <c r="C843" s="1"/>
      <c r="D843" s="1"/>
      <c r="E843" s="1"/>
      <c r="F843" s="1"/>
      <c r="G843" s="1"/>
      <c r="H843" s="1"/>
      <c r="I843" s="61"/>
      <c r="J843" s="1"/>
      <c r="K843" s="1"/>
    </row>
    <row r="844" spans="1:11" ht="15.75" customHeight="1">
      <c r="A844" s="2"/>
      <c r="B844" s="1"/>
      <c r="C844" s="1"/>
      <c r="D844" s="1"/>
      <c r="E844" s="1"/>
      <c r="F844" s="1"/>
      <c r="G844" s="1"/>
      <c r="H844" s="1"/>
      <c r="I844" s="61"/>
      <c r="J844" s="1"/>
      <c r="K844" s="1"/>
    </row>
    <row r="845" spans="1:11" ht="15.75" customHeight="1">
      <c r="A845" s="2"/>
      <c r="B845" s="1"/>
      <c r="C845" s="1"/>
      <c r="D845" s="1"/>
      <c r="E845" s="1"/>
      <c r="F845" s="1"/>
      <c r="G845" s="1"/>
      <c r="H845" s="1"/>
      <c r="I845" s="61"/>
      <c r="J845" s="1"/>
      <c r="K845" s="1"/>
    </row>
    <row r="846" spans="1:11" ht="15.75" customHeight="1">
      <c r="A846" s="2"/>
      <c r="B846" s="1"/>
      <c r="C846" s="1"/>
      <c r="D846" s="1"/>
      <c r="E846" s="1"/>
      <c r="F846" s="1"/>
      <c r="G846" s="1"/>
      <c r="H846" s="1"/>
      <c r="I846" s="61"/>
      <c r="J846" s="1"/>
      <c r="K846" s="1"/>
    </row>
    <row r="847" spans="1:11" ht="15.75" customHeight="1">
      <c r="A847" s="2"/>
      <c r="B847" s="1"/>
      <c r="C847" s="1"/>
      <c r="D847" s="1"/>
      <c r="E847" s="1"/>
      <c r="F847" s="1"/>
      <c r="G847" s="1"/>
      <c r="H847" s="1"/>
      <c r="I847" s="61"/>
      <c r="J847" s="1"/>
      <c r="K847" s="1"/>
    </row>
    <row r="848" spans="1:11" ht="15.75" customHeight="1">
      <c r="A848" s="2"/>
      <c r="B848" s="1"/>
      <c r="C848" s="1"/>
      <c r="D848" s="1"/>
      <c r="E848" s="1"/>
      <c r="F848" s="1"/>
      <c r="G848" s="1"/>
      <c r="H848" s="1"/>
      <c r="I848" s="61"/>
      <c r="J848" s="1"/>
      <c r="K848" s="1"/>
    </row>
    <row r="849" spans="1:11" ht="15.75" customHeight="1">
      <c r="A849" s="2"/>
      <c r="B849" s="1"/>
      <c r="C849" s="1"/>
      <c r="D849" s="1"/>
      <c r="E849" s="1"/>
      <c r="F849" s="1"/>
      <c r="G849" s="1"/>
      <c r="H849" s="1"/>
      <c r="I849" s="61"/>
      <c r="J849" s="1"/>
      <c r="K849" s="1"/>
    </row>
    <row r="850" spans="1:11" ht="15.75" customHeight="1">
      <c r="A850" s="2"/>
      <c r="B850" s="1"/>
      <c r="C850" s="1"/>
      <c r="D850" s="1"/>
      <c r="E850" s="1"/>
      <c r="F850" s="1"/>
      <c r="G850" s="1"/>
      <c r="H850" s="1"/>
      <c r="I850" s="61"/>
      <c r="J850" s="1"/>
      <c r="K850" s="1"/>
    </row>
    <row r="851" spans="1:11" ht="15.75" customHeight="1">
      <c r="A851" s="2"/>
      <c r="B851" s="1"/>
      <c r="C851" s="1"/>
      <c r="D851" s="1"/>
      <c r="E851" s="1"/>
      <c r="F851" s="1"/>
      <c r="G851" s="1"/>
      <c r="H851" s="1"/>
      <c r="I851" s="61"/>
      <c r="J851" s="1"/>
      <c r="K851" s="1"/>
    </row>
    <row r="852" spans="1:11" ht="15.75" customHeight="1">
      <c r="A852" s="2"/>
      <c r="B852" s="1"/>
      <c r="C852" s="1"/>
      <c r="D852" s="1"/>
      <c r="E852" s="1"/>
      <c r="F852" s="1"/>
      <c r="G852" s="1"/>
      <c r="H852" s="1"/>
      <c r="I852" s="61"/>
      <c r="J852" s="1"/>
      <c r="K852" s="1"/>
    </row>
    <row r="853" spans="1:11" ht="15.75" customHeight="1">
      <c r="A853" s="2"/>
      <c r="B853" s="1"/>
      <c r="C853" s="1"/>
      <c r="D853" s="1"/>
      <c r="E853" s="1"/>
      <c r="F853" s="1"/>
      <c r="G853" s="1"/>
      <c r="H853" s="1"/>
      <c r="I853" s="61"/>
      <c r="J853" s="1"/>
      <c r="K853" s="1"/>
    </row>
    <row r="854" spans="1:11" ht="15.75" customHeight="1">
      <c r="A854" s="2"/>
      <c r="B854" s="1"/>
      <c r="C854" s="1"/>
      <c r="D854" s="1"/>
      <c r="E854" s="1"/>
      <c r="F854" s="1"/>
      <c r="G854" s="1"/>
      <c r="H854" s="1"/>
      <c r="I854" s="61"/>
      <c r="J854" s="1"/>
      <c r="K854" s="1"/>
    </row>
    <row r="855" spans="1:11" ht="15.75" customHeight="1">
      <c r="A855" s="2"/>
      <c r="B855" s="1"/>
      <c r="C855" s="1"/>
      <c r="D855" s="1"/>
      <c r="E855" s="1"/>
      <c r="F855" s="1"/>
      <c r="G855" s="1"/>
      <c r="H855" s="1"/>
      <c r="I855" s="61"/>
      <c r="J855" s="1"/>
      <c r="K855" s="1"/>
    </row>
    <row r="856" spans="1:11" ht="15.75" customHeight="1">
      <c r="A856" s="2"/>
      <c r="B856" s="1"/>
      <c r="C856" s="1"/>
      <c r="D856" s="1"/>
      <c r="E856" s="1"/>
      <c r="F856" s="1"/>
      <c r="G856" s="1"/>
      <c r="H856" s="1"/>
      <c r="I856" s="61"/>
      <c r="J856" s="1"/>
      <c r="K856" s="1"/>
    </row>
    <row r="857" spans="1:11" ht="15.75" customHeight="1">
      <c r="A857" s="2"/>
      <c r="B857" s="1"/>
      <c r="C857" s="1"/>
      <c r="D857" s="1"/>
      <c r="E857" s="1"/>
      <c r="F857" s="1"/>
      <c r="G857" s="1"/>
      <c r="H857" s="1"/>
      <c r="I857" s="61"/>
      <c r="J857" s="1"/>
      <c r="K857" s="1"/>
    </row>
    <row r="858" spans="1:11" ht="15.75" customHeight="1">
      <c r="A858" s="2"/>
      <c r="B858" s="1"/>
      <c r="C858" s="1"/>
      <c r="D858" s="1"/>
      <c r="E858" s="1"/>
      <c r="F858" s="1"/>
      <c r="G858" s="1"/>
      <c r="H858" s="1"/>
      <c r="I858" s="61"/>
      <c r="J858" s="1"/>
      <c r="K858" s="1"/>
    </row>
    <row r="859" spans="1:11" ht="15.75" customHeight="1">
      <c r="A859" s="2"/>
      <c r="B859" s="1"/>
      <c r="C859" s="1"/>
      <c r="D859" s="1"/>
      <c r="E859" s="1"/>
      <c r="F859" s="1"/>
      <c r="G859" s="1"/>
      <c r="H859" s="1"/>
      <c r="I859" s="61"/>
      <c r="J859" s="1"/>
      <c r="K859" s="1"/>
    </row>
    <row r="860" spans="1:11" ht="15.75" customHeight="1">
      <c r="A860" s="2"/>
      <c r="B860" s="1"/>
      <c r="C860" s="1"/>
      <c r="D860" s="1"/>
      <c r="E860" s="1"/>
      <c r="F860" s="1"/>
      <c r="G860" s="1"/>
      <c r="H860" s="1"/>
      <c r="I860" s="61"/>
      <c r="J860" s="1"/>
      <c r="K860" s="1"/>
    </row>
    <row r="861" spans="1:11" ht="15.75" customHeight="1">
      <c r="A861" s="2"/>
      <c r="B861" s="1"/>
      <c r="C861" s="1"/>
      <c r="D861" s="1"/>
      <c r="E861" s="1"/>
      <c r="F861" s="1"/>
      <c r="G861" s="1"/>
      <c r="H861" s="1"/>
      <c r="I861" s="61"/>
      <c r="J861" s="1"/>
      <c r="K861" s="1"/>
    </row>
    <row r="862" spans="1:11" ht="15.75" customHeight="1">
      <c r="A862" s="2"/>
      <c r="B862" s="1"/>
      <c r="C862" s="1"/>
      <c r="D862" s="1"/>
      <c r="E862" s="1"/>
      <c r="F862" s="1"/>
      <c r="G862" s="1"/>
      <c r="H862" s="1"/>
      <c r="I862" s="61"/>
      <c r="J862" s="1"/>
      <c r="K862" s="1"/>
    </row>
    <row r="863" spans="1:11" ht="15.75" customHeight="1">
      <c r="A863" s="2"/>
      <c r="B863" s="1"/>
      <c r="C863" s="1"/>
      <c r="D863" s="1"/>
      <c r="E863" s="1"/>
      <c r="F863" s="1"/>
      <c r="G863" s="1"/>
      <c r="H863" s="1"/>
      <c r="I863" s="61"/>
      <c r="J863" s="1"/>
      <c r="K863" s="1"/>
    </row>
    <row r="864" spans="1:11" ht="15.75" customHeight="1">
      <c r="A864" s="2"/>
      <c r="B864" s="1"/>
      <c r="C864" s="1"/>
      <c r="D864" s="1"/>
      <c r="E864" s="1"/>
      <c r="F864" s="1"/>
      <c r="G864" s="1"/>
      <c r="H864" s="1"/>
      <c r="I864" s="61"/>
      <c r="J864" s="1"/>
      <c r="K864" s="1"/>
    </row>
    <row r="865" spans="1:11" ht="15.75" customHeight="1">
      <c r="A865" s="2"/>
      <c r="B865" s="1"/>
      <c r="C865" s="1"/>
      <c r="D865" s="1"/>
      <c r="E865" s="1"/>
      <c r="F865" s="1"/>
      <c r="G865" s="1"/>
      <c r="H865" s="1"/>
      <c r="I865" s="61"/>
      <c r="J865" s="1"/>
      <c r="K865" s="1"/>
    </row>
    <row r="866" spans="1:11" ht="15.75" customHeight="1">
      <c r="A866" s="2"/>
      <c r="B866" s="1"/>
      <c r="C866" s="1"/>
      <c r="D866" s="1"/>
      <c r="E866" s="1"/>
      <c r="F866" s="1"/>
      <c r="G866" s="1"/>
      <c r="H866" s="1"/>
      <c r="I866" s="61"/>
      <c r="J866" s="1"/>
      <c r="K866" s="1"/>
    </row>
    <row r="867" spans="1:11" ht="15.75" customHeight="1">
      <c r="A867" s="2"/>
      <c r="B867" s="1"/>
      <c r="C867" s="1"/>
      <c r="D867" s="1"/>
      <c r="E867" s="1"/>
      <c r="F867" s="1"/>
      <c r="G867" s="1"/>
      <c r="H867" s="1"/>
      <c r="I867" s="61"/>
      <c r="J867" s="1"/>
      <c r="K867" s="1"/>
    </row>
    <row r="868" spans="1:11" ht="15.75" customHeight="1">
      <c r="A868" s="2"/>
      <c r="B868" s="1"/>
      <c r="C868" s="1"/>
      <c r="D868" s="1"/>
      <c r="E868" s="1"/>
      <c r="F868" s="1"/>
      <c r="G868" s="1"/>
      <c r="H868" s="1"/>
      <c r="I868" s="61"/>
      <c r="J868" s="1"/>
      <c r="K868" s="1"/>
    </row>
    <row r="869" spans="1:11" ht="15.75" customHeight="1">
      <c r="A869" s="2"/>
      <c r="B869" s="1"/>
      <c r="C869" s="1"/>
      <c r="D869" s="1"/>
      <c r="E869" s="1"/>
      <c r="F869" s="1"/>
      <c r="G869" s="1"/>
      <c r="H869" s="1"/>
      <c r="I869" s="61"/>
      <c r="J869" s="1"/>
      <c r="K869" s="1"/>
    </row>
    <row r="870" spans="1:11" ht="15.75" customHeight="1">
      <c r="A870" s="2"/>
      <c r="B870" s="1"/>
      <c r="C870" s="1"/>
      <c r="D870" s="1"/>
      <c r="E870" s="1"/>
      <c r="F870" s="1"/>
      <c r="G870" s="1"/>
      <c r="H870" s="1"/>
      <c r="I870" s="61"/>
      <c r="J870" s="1"/>
      <c r="K870" s="1"/>
    </row>
    <row r="871" spans="1:11" ht="15.75" customHeight="1">
      <c r="A871" s="2"/>
      <c r="B871" s="1"/>
      <c r="C871" s="1"/>
      <c r="D871" s="1"/>
      <c r="E871" s="1"/>
      <c r="F871" s="1"/>
      <c r="G871" s="1"/>
      <c r="H871" s="1"/>
      <c r="I871" s="61"/>
      <c r="J871" s="1"/>
      <c r="K871" s="1"/>
    </row>
    <row r="872" spans="1:11" ht="15.75" customHeight="1">
      <c r="A872" s="2"/>
      <c r="B872" s="1"/>
      <c r="C872" s="1"/>
      <c r="D872" s="1"/>
      <c r="E872" s="1"/>
      <c r="F872" s="1"/>
      <c r="G872" s="1"/>
      <c r="H872" s="1"/>
      <c r="I872" s="61"/>
      <c r="J872" s="1"/>
      <c r="K872" s="1"/>
    </row>
    <row r="873" spans="1:11" ht="15.75" customHeight="1">
      <c r="A873" s="2"/>
      <c r="B873" s="1"/>
      <c r="C873" s="1"/>
      <c r="D873" s="1"/>
      <c r="E873" s="1"/>
      <c r="F873" s="1"/>
      <c r="G873" s="1"/>
      <c r="H873" s="1"/>
      <c r="I873" s="61"/>
      <c r="J873" s="1"/>
      <c r="K873" s="1"/>
    </row>
    <row r="874" spans="1:11" ht="15.75" customHeight="1">
      <c r="A874" s="2"/>
      <c r="B874" s="1"/>
      <c r="C874" s="1"/>
      <c r="D874" s="1"/>
      <c r="E874" s="1"/>
      <c r="F874" s="1"/>
      <c r="G874" s="1"/>
      <c r="H874" s="1"/>
      <c r="I874" s="61"/>
      <c r="J874" s="1"/>
      <c r="K874" s="1"/>
    </row>
    <row r="875" spans="1:11" ht="15.75" customHeight="1">
      <c r="A875" s="2"/>
      <c r="B875" s="1"/>
      <c r="C875" s="1"/>
      <c r="D875" s="1"/>
      <c r="E875" s="1"/>
      <c r="F875" s="1"/>
      <c r="G875" s="1"/>
      <c r="H875" s="1"/>
      <c r="I875" s="61"/>
      <c r="J875" s="1"/>
      <c r="K875" s="1"/>
    </row>
    <row r="876" spans="1:11" ht="15.75" customHeight="1">
      <c r="A876" s="2"/>
      <c r="B876" s="1"/>
      <c r="C876" s="1"/>
      <c r="D876" s="1"/>
      <c r="E876" s="1"/>
      <c r="F876" s="1"/>
      <c r="G876" s="1"/>
      <c r="H876" s="1"/>
      <c r="I876" s="61"/>
      <c r="J876" s="1"/>
      <c r="K876" s="1"/>
    </row>
    <row r="877" spans="1:11" ht="15.75" customHeight="1">
      <c r="A877" s="2"/>
      <c r="B877" s="1"/>
      <c r="C877" s="1"/>
      <c r="D877" s="1"/>
      <c r="E877" s="1"/>
      <c r="F877" s="1"/>
      <c r="G877" s="1"/>
      <c r="H877" s="1"/>
      <c r="I877" s="61"/>
      <c r="J877" s="1"/>
      <c r="K877" s="1"/>
    </row>
    <row r="878" spans="1:11" ht="15.75" customHeight="1">
      <c r="A878" s="2"/>
      <c r="B878" s="1"/>
      <c r="C878" s="1"/>
      <c r="D878" s="1"/>
      <c r="E878" s="1"/>
      <c r="F878" s="1"/>
      <c r="G878" s="1"/>
      <c r="H878" s="1"/>
      <c r="I878" s="61"/>
      <c r="J878" s="1"/>
      <c r="K878" s="1"/>
    </row>
    <row r="879" spans="1:11" ht="15.75" customHeight="1">
      <c r="A879" s="2"/>
      <c r="B879" s="1"/>
      <c r="C879" s="1"/>
      <c r="D879" s="1"/>
      <c r="E879" s="1"/>
      <c r="F879" s="1"/>
      <c r="G879" s="1"/>
      <c r="H879" s="1"/>
      <c r="I879" s="61"/>
      <c r="J879" s="1"/>
      <c r="K879" s="1"/>
    </row>
    <row r="880" spans="1:11" ht="15.75" customHeight="1">
      <c r="A880" s="2"/>
      <c r="B880" s="1"/>
      <c r="C880" s="1"/>
      <c r="D880" s="1"/>
      <c r="E880" s="1"/>
      <c r="F880" s="1"/>
      <c r="G880" s="1"/>
      <c r="H880" s="1"/>
      <c r="I880" s="61"/>
      <c r="J880" s="1"/>
      <c r="K880" s="1"/>
    </row>
    <row r="881" spans="1:11" ht="15.75" customHeight="1">
      <c r="A881" s="2"/>
      <c r="B881" s="1"/>
      <c r="C881" s="1"/>
      <c r="D881" s="1"/>
      <c r="E881" s="1"/>
      <c r="F881" s="1"/>
      <c r="G881" s="1"/>
      <c r="H881" s="1"/>
      <c r="I881" s="61"/>
      <c r="J881" s="1"/>
      <c r="K881" s="1"/>
    </row>
    <row r="882" spans="1:11" ht="15.75" customHeight="1">
      <c r="A882" s="2"/>
      <c r="B882" s="1"/>
      <c r="C882" s="1"/>
      <c r="D882" s="1"/>
      <c r="E882" s="1"/>
      <c r="F882" s="1"/>
      <c r="G882" s="1"/>
      <c r="H882" s="1"/>
      <c r="I882" s="61"/>
      <c r="J882" s="1"/>
      <c r="K882" s="1"/>
    </row>
    <row r="883" spans="1:11" ht="15.75" customHeight="1">
      <c r="A883" s="2"/>
      <c r="B883" s="1"/>
      <c r="C883" s="1"/>
      <c r="D883" s="1"/>
      <c r="E883" s="1"/>
      <c r="F883" s="1"/>
      <c r="G883" s="1"/>
      <c r="H883" s="1"/>
      <c r="I883" s="61"/>
      <c r="J883" s="1"/>
      <c r="K883" s="1"/>
    </row>
    <row r="884" spans="1:11" ht="15.75" customHeight="1">
      <c r="A884" s="2"/>
      <c r="B884" s="1"/>
      <c r="C884" s="1"/>
      <c r="D884" s="1"/>
      <c r="E884" s="1"/>
      <c r="F884" s="1"/>
      <c r="G884" s="1"/>
      <c r="H884" s="1"/>
      <c r="I884" s="61"/>
      <c r="J884" s="1"/>
      <c r="K884" s="1"/>
    </row>
    <row r="885" spans="1:11" ht="15.75" customHeight="1">
      <c r="A885" s="2"/>
      <c r="B885" s="1"/>
      <c r="C885" s="1"/>
      <c r="D885" s="1"/>
      <c r="E885" s="1"/>
      <c r="F885" s="1"/>
      <c r="G885" s="1"/>
      <c r="H885" s="1"/>
      <c r="I885" s="61"/>
      <c r="J885" s="1"/>
      <c r="K885" s="1"/>
    </row>
    <row r="886" spans="1:11" ht="15.75" customHeight="1">
      <c r="A886" s="2"/>
      <c r="B886" s="1"/>
      <c r="C886" s="1"/>
      <c r="D886" s="1"/>
      <c r="E886" s="1"/>
      <c r="F886" s="1"/>
      <c r="G886" s="1"/>
      <c r="H886" s="1"/>
      <c r="I886" s="61"/>
      <c r="J886" s="1"/>
      <c r="K886" s="1"/>
    </row>
    <row r="887" spans="1:11" ht="15.75" customHeight="1">
      <c r="A887" s="2"/>
      <c r="B887" s="1"/>
      <c r="C887" s="1"/>
      <c r="D887" s="1"/>
      <c r="E887" s="1"/>
      <c r="F887" s="1"/>
      <c r="G887" s="1"/>
      <c r="H887" s="1"/>
      <c r="I887" s="61"/>
      <c r="J887" s="1"/>
      <c r="K887" s="1"/>
    </row>
    <row r="888" spans="1:11" ht="15.75" customHeight="1">
      <c r="A888" s="2"/>
      <c r="B888" s="1"/>
      <c r="C888" s="1"/>
      <c r="D888" s="1"/>
      <c r="E888" s="1"/>
      <c r="F888" s="1"/>
      <c r="G888" s="1"/>
      <c r="H888" s="1"/>
      <c r="I888" s="61"/>
      <c r="J888" s="1"/>
      <c r="K888" s="1"/>
    </row>
    <row r="889" spans="1:11" ht="15.75" customHeight="1">
      <c r="A889" s="2"/>
      <c r="B889" s="1"/>
      <c r="C889" s="1"/>
      <c r="D889" s="1"/>
      <c r="E889" s="1"/>
      <c r="F889" s="1"/>
      <c r="G889" s="1"/>
      <c r="H889" s="1"/>
      <c r="I889" s="61"/>
      <c r="J889" s="1"/>
      <c r="K889" s="1"/>
    </row>
    <row r="890" spans="1:11" ht="15.75" customHeight="1">
      <c r="A890" s="2"/>
      <c r="B890" s="1"/>
      <c r="C890" s="1"/>
      <c r="D890" s="1"/>
      <c r="E890" s="1"/>
      <c r="F890" s="1"/>
      <c r="G890" s="1"/>
      <c r="H890" s="1"/>
      <c r="I890" s="61"/>
      <c r="J890" s="1"/>
      <c r="K890" s="1"/>
    </row>
    <row r="891" spans="1:11" ht="15.75" customHeight="1">
      <c r="A891" s="2"/>
      <c r="B891" s="1"/>
      <c r="C891" s="1"/>
      <c r="D891" s="1"/>
      <c r="E891" s="1"/>
      <c r="F891" s="1"/>
      <c r="G891" s="1"/>
      <c r="H891" s="1"/>
      <c r="I891" s="61"/>
      <c r="J891" s="1"/>
      <c r="K891" s="1"/>
    </row>
    <row r="892" spans="1:11" ht="15.75" customHeight="1">
      <c r="A892" s="2"/>
      <c r="B892" s="1"/>
      <c r="C892" s="1"/>
      <c r="D892" s="1"/>
      <c r="E892" s="1"/>
      <c r="F892" s="1"/>
      <c r="G892" s="1"/>
      <c r="H892" s="1"/>
      <c r="I892" s="61"/>
      <c r="J892" s="1"/>
      <c r="K892" s="1"/>
    </row>
    <row r="893" spans="1:11" ht="15.75" customHeight="1">
      <c r="A893" s="2"/>
      <c r="B893" s="1"/>
      <c r="C893" s="1"/>
      <c r="D893" s="1"/>
      <c r="E893" s="1"/>
      <c r="F893" s="1"/>
      <c r="G893" s="1"/>
      <c r="H893" s="1"/>
      <c r="I893" s="61"/>
      <c r="J893" s="1"/>
      <c r="K893" s="1"/>
    </row>
    <row r="894" spans="1:11" ht="15.75" customHeight="1">
      <c r="A894" s="2"/>
      <c r="B894" s="1"/>
      <c r="C894" s="1"/>
      <c r="D894" s="1"/>
      <c r="E894" s="1"/>
      <c r="F894" s="1"/>
      <c r="G894" s="1"/>
      <c r="H894" s="1"/>
      <c r="I894" s="61"/>
      <c r="J894" s="1"/>
      <c r="K894" s="1"/>
    </row>
    <row r="895" spans="1:11" ht="15.75" customHeight="1">
      <c r="A895" s="2"/>
      <c r="B895" s="1"/>
      <c r="C895" s="1"/>
      <c r="D895" s="1"/>
      <c r="E895" s="1"/>
      <c r="F895" s="1"/>
      <c r="G895" s="1"/>
      <c r="H895" s="1"/>
      <c r="I895" s="61"/>
      <c r="J895" s="1"/>
      <c r="K895" s="1"/>
    </row>
    <row r="896" spans="1:11" ht="15.75" customHeight="1">
      <c r="A896" s="2"/>
      <c r="B896" s="1"/>
      <c r="C896" s="1"/>
      <c r="D896" s="1"/>
      <c r="E896" s="1"/>
      <c r="F896" s="1"/>
      <c r="G896" s="1"/>
      <c r="H896" s="1"/>
      <c r="I896" s="61"/>
      <c r="J896" s="1"/>
      <c r="K896" s="1"/>
    </row>
    <row r="897" spans="1:11" ht="15.75" customHeight="1">
      <c r="A897" s="2"/>
      <c r="B897" s="1"/>
      <c r="C897" s="1"/>
      <c r="D897" s="1"/>
      <c r="E897" s="1"/>
      <c r="F897" s="1"/>
      <c r="G897" s="1"/>
      <c r="H897" s="1"/>
      <c r="I897" s="61"/>
      <c r="J897" s="1"/>
      <c r="K897" s="1"/>
    </row>
    <row r="898" spans="1:11" ht="15.75" customHeight="1">
      <c r="A898" s="2"/>
      <c r="B898" s="1"/>
      <c r="C898" s="1"/>
      <c r="D898" s="1"/>
      <c r="E898" s="1"/>
      <c r="F898" s="1"/>
      <c r="G898" s="1"/>
      <c r="H898" s="1"/>
      <c r="I898" s="61"/>
      <c r="J898" s="1"/>
      <c r="K898" s="1"/>
    </row>
    <row r="899" spans="1:11" ht="15.75" customHeight="1">
      <c r="A899" s="2"/>
      <c r="B899" s="1"/>
      <c r="C899" s="1"/>
      <c r="D899" s="1"/>
      <c r="E899" s="1"/>
      <c r="F899" s="1"/>
      <c r="G899" s="1"/>
      <c r="H899" s="1"/>
      <c r="I899" s="61"/>
      <c r="J899" s="1"/>
      <c r="K899" s="1"/>
    </row>
    <row r="900" spans="1:11" ht="15.75" customHeight="1">
      <c r="A900" s="2"/>
      <c r="B900" s="1"/>
      <c r="C900" s="1"/>
      <c r="D900" s="1"/>
      <c r="E900" s="1"/>
      <c r="F900" s="1"/>
      <c r="G900" s="1"/>
      <c r="H900" s="1"/>
      <c r="I900" s="61"/>
      <c r="J900" s="1"/>
      <c r="K900" s="1"/>
    </row>
    <row r="901" spans="1:11" ht="15.75" customHeight="1">
      <c r="A901" s="2"/>
      <c r="B901" s="1"/>
      <c r="C901" s="1"/>
      <c r="D901" s="1"/>
      <c r="E901" s="1"/>
      <c r="F901" s="1"/>
      <c r="G901" s="1"/>
      <c r="H901" s="1"/>
      <c r="I901" s="61"/>
      <c r="J901" s="1"/>
      <c r="K901" s="1"/>
    </row>
    <row r="902" spans="1:11" ht="15.75" customHeight="1">
      <c r="A902" s="2"/>
      <c r="B902" s="1"/>
      <c r="C902" s="1"/>
      <c r="D902" s="1"/>
      <c r="E902" s="1"/>
      <c r="F902" s="1"/>
      <c r="G902" s="1"/>
      <c r="H902" s="1"/>
      <c r="I902" s="61"/>
      <c r="J902" s="1"/>
      <c r="K902" s="1"/>
    </row>
    <row r="903" spans="1:11" ht="15.75" customHeight="1">
      <c r="A903" s="2"/>
      <c r="B903" s="1"/>
      <c r="C903" s="1"/>
      <c r="D903" s="1"/>
      <c r="E903" s="1"/>
      <c r="F903" s="1"/>
      <c r="G903" s="1"/>
      <c r="H903" s="1"/>
      <c r="I903" s="61"/>
      <c r="J903" s="1"/>
      <c r="K903" s="1"/>
    </row>
    <row r="904" spans="1:11" ht="15.75" customHeight="1">
      <c r="A904" s="2"/>
      <c r="B904" s="1"/>
      <c r="C904" s="1"/>
      <c r="D904" s="1"/>
      <c r="E904" s="1"/>
      <c r="F904" s="1"/>
      <c r="G904" s="1"/>
      <c r="H904" s="1"/>
      <c r="I904" s="61"/>
      <c r="J904" s="1"/>
      <c r="K904" s="1"/>
    </row>
    <row r="905" spans="1:11" ht="15.75" customHeight="1">
      <c r="A905" s="2"/>
      <c r="B905" s="1"/>
      <c r="C905" s="1"/>
      <c r="D905" s="1"/>
      <c r="E905" s="1"/>
      <c r="F905" s="1"/>
      <c r="G905" s="1"/>
      <c r="H905" s="1"/>
      <c r="I905" s="61"/>
      <c r="J905" s="1"/>
      <c r="K905" s="1"/>
    </row>
    <row r="906" spans="1:11" ht="15.75" customHeight="1">
      <c r="A906" s="2"/>
      <c r="B906" s="1"/>
      <c r="C906" s="1"/>
      <c r="D906" s="1"/>
      <c r="E906" s="1"/>
      <c r="F906" s="1"/>
      <c r="G906" s="1"/>
      <c r="H906" s="1"/>
      <c r="I906" s="61"/>
      <c r="J906" s="1"/>
      <c r="K906" s="1"/>
    </row>
    <row r="907" spans="1:11" ht="15.75" customHeight="1">
      <c r="A907" s="2"/>
      <c r="B907" s="1"/>
      <c r="C907" s="1"/>
      <c r="D907" s="1"/>
      <c r="E907" s="1"/>
      <c r="F907" s="1"/>
      <c r="G907" s="1"/>
      <c r="H907" s="1"/>
      <c r="I907" s="61"/>
      <c r="J907" s="1"/>
      <c r="K907" s="1"/>
    </row>
    <row r="908" spans="1:11" ht="15.75" customHeight="1">
      <c r="A908" s="2"/>
      <c r="B908" s="1"/>
      <c r="C908" s="1"/>
      <c r="D908" s="1"/>
      <c r="E908" s="1"/>
      <c r="F908" s="1"/>
      <c r="G908" s="1"/>
      <c r="H908" s="1"/>
      <c r="I908" s="61"/>
      <c r="J908" s="1"/>
      <c r="K908" s="1"/>
    </row>
    <row r="909" spans="1:11" ht="15.75" customHeight="1">
      <c r="A909" s="2"/>
      <c r="B909" s="1"/>
      <c r="C909" s="1"/>
      <c r="D909" s="1"/>
      <c r="E909" s="1"/>
      <c r="F909" s="1"/>
      <c r="G909" s="1"/>
      <c r="H909" s="1"/>
      <c r="I909" s="61"/>
      <c r="J909" s="1"/>
      <c r="K909" s="1"/>
    </row>
    <row r="910" spans="1:11" ht="15.75" customHeight="1">
      <c r="A910" s="2"/>
      <c r="B910" s="1"/>
      <c r="C910" s="1"/>
      <c r="D910" s="1"/>
      <c r="E910" s="1"/>
      <c r="F910" s="1"/>
      <c r="G910" s="1"/>
      <c r="H910" s="1"/>
      <c r="I910" s="61"/>
      <c r="J910" s="1"/>
      <c r="K910" s="1"/>
    </row>
    <row r="911" spans="1:11" ht="15.75" customHeight="1">
      <c r="A911" s="2"/>
      <c r="B911" s="1"/>
      <c r="C911" s="1"/>
      <c r="D911" s="1"/>
      <c r="E911" s="1"/>
      <c r="F911" s="1"/>
      <c r="G911" s="1"/>
      <c r="H911" s="1"/>
      <c r="I911" s="61"/>
      <c r="J911" s="1"/>
      <c r="K911" s="1"/>
    </row>
    <row r="912" spans="1:11" ht="15.75" customHeight="1">
      <c r="A912" s="2"/>
      <c r="B912" s="1"/>
      <c r="C912" s="1"/>
      <c r="D912" s="1"/>
      <c r="E912" s="1"/>
      <c r="F912" s="1"/>
      <c r="G912" s="1"/>
      <c r="H912" s="1"/>
      <c r="I912" s="61"/>
      <c r="J912" s="1"/>
      <c r="K912" s="1"/>
    </row>
    <row r="913" spans="1:11" ht="15.75" customHeight="1">
      <c r="A913" s="2"/>
      <c r="B913" s="1"/>
      <c r="C913" s="1"/>
      <c r="D913" s="1"/>
      <c r="E913" s="1"/>
      <c r="F913" s="1"/>
      <c r="G913" s="1"/>
      <c r="H913" s="1"/>
      <c r="I913" s="61"/>
      <c r="J913" s="1"/>
      <c r="K913" s="1"/>
    </row>
    <row r="914" spans="1:11" ht="15.75" customHeight="1">
      <c r="A914" s="2"/>
      <c r="B914" s="1"/>
      <c r="C914" s="1"/>
      <c r="D914" s="1"/>
      <c r="E914" s="1"/>
      <c r="F914" s="1"/>
      <c r="G914" s="1"/>
      <c r="H914" s="1"/>
      <c r="I914" s="61"/>
      <c r="J914" s="1"/>
      <c r="K914" s="1"/>
    </row>
    <row r="915" spans="1:11" ht="15.75" customHeight="1">
      <c r="A915" s="2"/>
      <c r="B915" s="1"/>
      <c r="C915" s="1"/>
      <c r="D915" s="1"/>
      <c r="E915" s="1"/>
      <c r="F915" s="1"/>
      <c r="G915" s="1"/>
      <c r="H915" s="1"/>
      <c r="I915" s="61"/>
      <c r="J915" s="1"/>
      <c r="K915" s="1"/>
    </row>
    <row r="916" spans="1:11" ht="15.75" customHeight="1">
      <c r="A916" s="2"/>
      <c r="B916" s="1"/>
      <c r="C916" s="1"/>
      <c r="D916" s="1"/>
      <c r="E916" s="1"/>
      <c r="F916" s="1"/>
      <c r="G916" s="1"/>
      <c r="H916" s="1"/>
      <c r="I916" s="61"/>
      <c r="J916" s="1"/>
      <c r="K916" s="1"/>
    </row>
    <row r="917" spans="1:11" ht="15.75" customHeight="1">
      <c r="A917" s="2"/>
      <c r="B917" s="1"/>
      <c r="C917" s="1"/>
      <c r="D917" s="1"/>
      <c r="E917" s="1"/>
      <c r="F917" s="1"/>
      <c r="G917" s="1"/>
      <c r="H917" s="1"/>
      <c r="I917" s="61"/>
      <c r="J917" s="1"/>
      <c r="K917" s="1"/>
    </row>
    <row r="918" spans="1:11" ht="15.75" customHeight="1">
      <c r="A918" s="2"/>
      <c r="B918" s="1"/>
      <c r="C918" s="1"/>
      <c r="D918" s="1"/>
      <c r="E918" s="1"/>
      <c r="F918" s="1"/>
      <c r="G918" s="1"/>
      <c r="H918" s="1"/>
      <c r="I918" s="61"/>
      <c r="J918" s="1"/>
      <c r="K918" s="1"/>
    </row>
    <row r="919" spans="1:11" ht="15.75" customHeight="1">
      <c r="A919" s="2"/>
      <c r="B919" s="1"/>
      <c r="C919" s="1"/>
      <c r="D919" s="1"/>
      <c r="E919" s="1"/>
      <c r="F919" s="1"/>
      <c r="G919" s="1"/>
      <c r="H919" s="1"/>
      <c r="I919" s="61"/>
      <c r="J919" s="1"/>
      <c r="K919" s="1"/>
    </row>
    <row r="920" spans="1:11" ht="15.75" customHeight="1">
      <c r="A920" s="2"/>
      <c r="B920" s="1"/>
      <c r="C920" s="1"/>
      <c r="D920" s="1"/>
      <c r="E920" s="1"/>
      <c r="F920" s="1"/>
      <c r="G920" s="1"/>
      <c r="H920" s="1"/>
      <c r="I920" s="61"/>
      <c r="J920" s="1"/>
      <c r="K920" s="1"/>
    </row>
    <row r="921" spans="1:11" ht="15.75" customHeight="1">
      <c r="A921" s="2"/>
      <c r="B921" s="1"/>
      <c r="C921" s="1"/>
      <c r="D921" s="1"/>
      <c r="E921" s="1"/>
      <c r="F921" s="1"/>
      <c r="G921" s="1"/>
      <c r="H921" s="1"/>
      <c r="I921" s="61"/>
      <c r="J921" s="1"/>
      <c r="K921" s="1"/>
    </row>
    <row r="922" spans="1:11" ht="15.75" customHeight="1">
      <c r="A922" s="2"/>
      <c r="B922" s="1"/>
      <c r="C922" s="1"/>
      <c r="D922" s="1"/>
      <c r="E922" s="1"/>
      <c r="F922" s="1"/>
      <c r="G922" s="1"/>
      <c r="H922" s="1"/>
      <c r="I922" s="61"/>
      <c r="J922" s="1"/>
      <c r="K922" s="1"/>
    </row>
    <row r="923" spans="1:11" ht="15.75" customHeight="1">
      <c r="A923" s="2"/>
      <c r="B923" s="1"/>
      <c r="C923" s="1"/>
      <c r="D923" s="1"/>
      <c r="E923" s="1"/>
      <c r="F923" s="1"/>
      <c r="G923" s="1"/>
      <c r="H923" s="1"/>
      <c r="I923" s="61"/>
      <c r="J923" s="1"/>
      <c r="K923" s="1"/>
    </row>
    <row r="924" spans="1:11" ht="15.75" customHeight="1">
      <c r="A924" s="2"/>
      <c r="B924" s="1"/>
      <c r="C924" s="1"/>
      <c r="D924" s="1"/>
      <c r="E924" s="1"/>
      <c r="F924" s="1"/>
      <c r="G924" s="1"/>
      <c r="H924" s="1"/>
      <c r="I924" s="61"/>
      <c r="J924" s="1"/>
      <c r="K924" s="1"/>
    </row>
    <row r="925" spans="1:11" ht="15.75" customHeight="1">
      <c r="A925" s="2"/>
      <c r="B925" s="1"/>
      <c r="C925" s="1"/>
      <c r="D925" s="1"/>
      <c r="E925" s="1"/>
      <c r="F925" s="1"/>
      <c r="G925" s="1"/>
      <c r="H925" s="1"/>
      <c r="I925" s="61"/>
      <c r="J925" s="1"/>
      <c r="K925" s="1"/>
    </row>
    <row r="926" spans="1:11" ht="15.75" customHeight="1">
      <c r="A926" s="2"/>
      <c r="B926" s="1"/>
      <c r="C926" s="1"/>
      <c r="D926" s="1"/>
      <c r="E926" s="1"/>
      <c r="F926" s="1"/>
      <c r="G926" s="1"/>
      <c r="H926" s="1"/>
      <c r="I926" s="61"/>
      <c r="J926" s="1"/>
      <c r="K926" s="1"/>
    </row>
    <row r="927" spans="1:11" ht="15.75" customHeight="1">
      <c r="A927" s="2"/>
      <c r="B927" s="1"/>
      <c r="C927" s="1"/>
      <c r="D927" s="1"/>
      <c r="E927" s="1"/>
      <c r="F927" s="1"/>
      <c r="G927" s="1"/>
      <c r="H927" s="1"/>
      <c r="I927" s="61"/>
      <c r="J927" s="1"/>
      <c r="K927" s="1"/>
    </row>
    <row r="928" spans="1:11" ht="15.75" customHeight="1">
      <c r="A928" s="2"/>
      <c r="B928" s="1"/>
      <c r="C928" s="1"/>
      <c r="D928" s="1"/>
      <c r="E928" s="1"/>
      <c r="F928" s="1"/>
      <c r="G928" s="1"/>
      <c r="H928" s="1"/>
      <c r="I928" s="61"/>
      <c r="J928" s="1"/>
      <c r="K928" s="1"/>
    </row>
    <row r="929" spans="1:11" ht="15.75" customHeight="1">
      <c r="A929" s="2"/>
      <c r="B929" s="1"/>
      <c r="C929" s="1"/>
      <c r="D929" s="1"/>
      <c r="E929" s="1"/>
      <c r="F929" s="1"/>
      <c r="G929" s="1"/>
      <c r="H929" s="1"/>
      <c r="I929" s="61"/>
      <c r="J929" s="1"/>
      <c r="K929" s="1"/>
    </row>
    <row r="930" spans="1:11" ht="15.75" customHeight="1">
      <c r="A930" s="2"/>
      <c r="B930" s="1"/>
      <c r="C930" s="1"/>
      <c r="D930" s="1"/>
      <c r="E930" s="1"/>
      <c r="F930" s="1"/>
      <c r="G930" s="1"/>
      <c r="H930" s="1"/>
      <c r="I930" s="61"/>
      <c r="J930" s="1"/>
      <c r="K930" s="1"/>
    </row>
    <row r="931" spans="1:11" ht="15.75" customHeight="1">
      <c r="A931" s="2"/>
      <c r="B931" s="1"/>
      <c r="C931" s="1"/>
      <c r="D931" s="1"/>
      <c r="E931" s="1"/>
      <c r="F931" s="1"/>
      <c r="G931" s="1"/>
      <c r="H931" s="1"/>
      <c r="I931" s="61"/>
      <c r="J931" s="1"/>
      <c r="K931" s="1"/>
    </row>
    <row r="932" spans="1:11" ht="15.75" customHeight="1">
      <c r="A932" s="2"/>
      <c r="B932" s="1"/>
      <c r="C932" s="1"/>
      <c r="D932" s="1"/>
      <c r="E932" s="1"/>
      <c r="F932" s="1"/>
      <c r="G932" s="1"/>
      <c r="H932" s="1"/>
      <c r="I932" s="61"/>
      <c r="J932" s="1"/>
      <c r="K932" s="1"/>
    </row>
    <row r="933" spans="1:11" ht="15.75" customHeight="1">
      <c r="A933" s="2"/>
      <c r="B933" s="1"/>
      <c r="C933" s="1"/>
      <c r="D933" s="1"/>
      <c r="E933" s="1"/>
      <c r="F933" s="1"/>
      <c r="G933" s="1"/>
      <c r="H933" s="1"/>
      <c r="I933" s="61"/>
      <c r="J933" s="1"/>
      <c r="K933" s="1"/>
    </row>
    <row r="934" spans="1:11" ht="15.75" customHeight="1">
      <c r="A934" s="2"/>
      <c r="B934" s="1"/>
      <c r="C934" s="1"/>
      <c r="D934" s="1"/>
      <c r="E934" s="1"/>
      <c r="F934" s="1"/>
      <c r="G934" s="1"/>
      <c r="H934" s="1"/>
      <c r="I934" s="61"/>
      <c r="J934" s="1"/>
      <c r="K934" s="1"/>
    </row>
    <row r="935" spans="1:11" ht="15.75" customHeight="1">
      <c r="A935" s="2"/>
      <c r="B935" s="1"/>
      <c r="C935" s="1"/>
      <c r="D935" s="1"/>
      <c r="E935" s="1"/>
      <c r="F935" s="1"/>
      <c r="G935" s="1"/>
      <c r="H935" s="1"/>
      <c r="I935" s="61"/>
      <c r="J935" s="1"/>
      <c r="K935" s="1"/>
    </row>
    <row r="936" spans="1:11" ht="15.75" customHeight="1">
      <c r="A936" s="2"/>
      <c r="B936" s="1"/>
      <c r="C936" s="1"/>
      <c r="D936" s="1"/>
      <c r="E936" s="1"/>
      <c r="F936" s="1"/>
      <c r="G936" s="1"/>
      <c r="H936" s="1"/>
      <c r="I936" s="61"/>
      <c r="J936" s="1"/>
      <c r="K936" s="1"/>
    </row>
    <row r="937" spans="1:11" ht="15.75" customHeight="1">
      <c r="A937" s="2"/>
      <c r="B937" s="1"/>
      <c r="C937" s="1"/>
      <c r="D937" s="1"/>
      <c r="E937" s="1"/>
      <c r="F937" s="1"/>
      <c r="G937" s="1"/>
      <c r="H937" s="1"/>
      <c r="I937" s="61"/>
      <c r="J937" s="1"/>
      <c r="K937" s="1"/>
    </row>
    <row r="938" spans="1:11" ht="15.75" customHeight="1">
      <c r="A938" s="2"/>
      <c r="B938" s="1"/>
      <c r="C938" s="1"/>
      <c r="D938" s="1"/>
      <c r="E938" s="1"/>
      <c r="F938" s="1"/>
      <c r="G938" s="1"/>
      <c r="H938" s="1"/>
      <c r="I938" s="61"/>
      <c r="J938" s="1"/>
      <c r="K938" s="1"/>
    </row>
    <row r="939" spans="1:11" ht="15.75" customHeight="1">
      <c r="A939" s="2"/>
      <c r="B939" s="1"/>
      <c r="C939" s="1"/>
      <c r="D939" s="1"/>
      <c r="E939" s="1"/>
      <c r="F939" s="1"/>
      <c r="G939" s="1"/>
      <c r="H939" s="1"/>
      <c r="I939" s="61"/>
      <c r="J939" s="1"/>
      <c r="K939" s="1"/>
    </row>
    <row r="940" spans="1:11" ht="15.75" customHeight="1">
      <c r="A940" s="2"/>
      <c r="B940" s="1"/>
      <c r="C940" s="1"/>
      <c r="D940" s="1"/>
      <c r="E940" s="1"/>
      <c r="F940" s="1"/>
      <c r="G940" s="1"/>
      <c r="H940" s="1"/>
      <c r="I940" s="61"/>
      <c r="J940" s="1"/>
      <c r="K940" s="1"/>
    </row>
    <row r="941" spans="1:11" ht="15.75" customHeight="1">
      <c r="A941" s="2"/>
      <c r="B941" s="1"/>
      <c r="C941" s="1"/>
      <c r="D941" s="1"/>
      <c r="E941" s="1"/>
      <c r="F941" s="1"/>
      <c r="G941" s="1"/>
      <c r="H941" s="1"/>
      <c r="I941" s="61"/>
      <c r="J941" s="1"/>
      <c r="K941" s="1"/>
    </row>
    <row r="942" spans="1:11" ht="15.75" customHeight="1">
      <c r="A942" s="2"/>
      <c r="B942" s="1"/>
      <c r="C942" s="1"/>
      <c r="D942" s="1"/>
      <c r="E942" s="1"/>
      <c r="F942" s="1"/>
      <c r="G942" s="1"/>
      <c r="H942" s="1"/>
      <c r="I942" s="61"/>
      <c r="J942" s="1"/>
      <c r="K942" s="1"/>
    </row>
    <row r="943" spans="1:11" ht="15.75" customHeight="1">
      <c r="A943" s="2"/>
      <c r="B943" s="1"/>
      <c r="C943" s="1"/>
      <c r="D943" s="1"/>
      <c r="E943" s="1"/>
      <c r="F943" s="1"/>
      <c r="G943" s="1"/>
      <c r="H943" s="1"/>
      <c r="I943" s="61"/>
      <c r="J943" s="1"/>
      <c r="K943" s="1"/>
    </row>
    <row r="944" spans="1:11" ht="15.75" customHeight="1">
      <c r="A944" s="2"/>
      <c r="B944" s="1"/>
      <c r="C944" s="1"/>
      <c r="D944" s="1"/>
      <c r="E944" s="1"/>
      <c r="F944" s="1"/>
      <c r="G944" s="1"/>
      <c r="H944" s="1"/>
      <c r="I944" s="61"/>
      <c r="J944" s="1"/>
      <c r="K944" s="1"/>
    </row>
    <row r="945" spans="1:11" ht="15.75" customHeight="1">
      <c r="A945" s="2"/>
      <c r="B945" s="1"/>
      <c r="C945" s="1"/>
      <c r="D945" s="1"/>
      <c r="E945" s="1"/>
      <c r="F945" s="1"/>
      <c r="G945" s="1"/>
      <c r="H945" s="1"/>
      <c r="I945" s="61"/>
      <c r="J945" s="1"/>
      <c r="K945" s="1"/>
    </row>
    <row r="946" spans="1:11" ht="15.75" customHeight="1">
      <c r="A946" s="2"/>
      <c r="B946" s="1"/>
      <c r="C946" s="1"/>
      <c r="D946" s="1"/>
      <c r="E946" s="1"/>
      <c r="F946" s="1"/>
      <c r="G946" s="1"/>
      <c r="H946" s="1"/>
      <c r="I946" s="61"/>
      <c r="J946" s="1"/>
      <c r="K946" s="1"/>
    </row>
    <row r="947" spans="1:11" ht="15.75" customHeight="1">
      <c r="A947" s="2"/>
      <c r="B947" s="1"/>
      <c r="C947" s="1"/>
      <c r="D947" s="1"/>
      <c r="E947" s="1"/>
      <c r="F947" s="1"/>
      <c r="G947" s="1"/>
      <c r="H947" s="1"/>
      <c r="I947" s="61"/>
      <c r="J947" s="1"/>
      <c r="K947" s="1"/>
    </row>
    <row r="948" spans="1:11" ht="15.75" customHeight="1">
      <c r="A948" s="2"/>
      <c r="B948" s="1"/>
      <c r="C948" s="1"/>
      <c r="D948" s="1"/>
      <c r="E948" s="1"/>
      <c r="F948" s="1"/>
      <c r="G948" s="1"/>
      <c r="H948" s="1"/>
      <c r="I948" s="61"/>
      <c r="J948" s="1"/>
      <c r="K948" s="1"/>
    </row>
    <row r="949" spans="1:11" ht="15.75" customHeight="1">
      <c r="A949" s="2"/>
      <c r="B949" s="1"/>
      <c r="C949" s="1"/>
      <c r="D949" s="1"/>
      <c r="E949" s="1"/>
      <c r="F949" s="1"/>
      <c r="G949" s="1"/>
      <c r="H949" s="1"/>
      <c r="I949" s="61"/>
      <c r="J949" s="1"/>
      <c r="K949" s="1"/>
    </row>
    <row r="950" spans="1:11" ht="15.75" customHeight="1">
      <c r="A950" s="2"/>
      <c r="B950" s="1"/>
      <c r="C950" s="1"/>
      <c r="D950" s="1"/>
      <c r="E950" s="1"/>
      <c r="F950" s="1"/>
      <c r="G950" s="1"/>
      <c r="H950" s="1"/>
      <c r="I950" s="61"/>
      <c r="J950" s="1"/>
      <c r="K950" s="1"/>
    </row>
    <row r="951" spans="1:11" ht="15.75" customHeight="1">
      <c r="A951" s="2"/>
      <c r="B951" s="1"/>
      <c r="C951" s="1"/>
      <c r="D951" s="1"/>
      <c r="E951" s="1"/>
      <c r="F951" s="1"/>
      <c r="G951" s="1"/>
      <c r="H951" s="1"/>
      <c r="I951" s="61"/>
      <c r="J951" s="1"/>
      <c r="K951" s="1"/>
    </row>
    <row r="952" spans="1:11" ht="15.75" customHeight="1">
      <c r="A952" s="2"/>
      <c r="B952" s="1"/>
      <c r="C952" s="1"/>
      <c r="D952" s="1"/>
      <c r="E952" s="1"/>
      <c r="F952" s="1"/>
      <c r="G952" s="1"/>
      <c r="H952" s="1"/>
      <c r="I952" s="61"/>
      <c r="J952" s="1"/>
      <c r="K952" s="1"/>
    </row>
    <row r="953" spans="1:11" ht="15.75" customHeight="1">
      <c r="A953" s="2"/>
      <c r="B953" s="1"/>
      <c r="C953" s="1"/>
      <c r="D953" s="1"/>
      <c r="E953" s="1"/>
      <c r="F953" s="1"/>
      <c r="G953" s="1"/>
      <c r="H953" s="1"/>
      <c r="I953" s="61"/>
      <c r="J953" s="1"/>
      <c r="K953" s="1"/>
    </row>
    <row r="954" spans="1:11" ht="15.75" customHeight="1">
      <c r="A954" s="2"/>
      <c r="B954" s="1"/>
      <c r="C954" s="1"/>
      <c r="D954" s="1"/>
      <c r="E954" s="1"/>
      <c r="F954" s="1"/>
      <c r="G954" s="1"/>
      <c r="H954" s="1"/>
      <c r="I954" s="61"/>
      <c r="J954" s="1"/>
      <c r="K954" s="1"/>
    </row>
    <row r="955" spans="1:11" ht="15.75" customHeight="1">
      <c r="A955" s="2"/>
      <c r="B955" s="1"/>
      <c r="C955" s="1"/>
      <c r="D955" s="1"/>
      <c r="E955" s="1"/>
      <c r="F955" s="1"/>
      <c r="G955" s="1"/>
      <c r="H955" s="1"/>
      <c r="I955" s="61"/>
      <c r="J955" s="1"/>
      <c r="K955" s="1"/>
    </row>
    <row r="956" spans="1:11" ht="15.75" customHeight="1">
      <c r="A956" s="2"/>
      <c r="B956" s="1"/>
      <c r="C956" s="1"/>
      <c r="D956" s="1"/>
      <c r="E956" s="1"/>
      <c r="F956" s="1"/>
      <c r="G956" s="1"/>
      <c r="H956" s="1"/>
      <c r="I956" s="61"/>
      <c r="J956" s="1"/>
      <c r="K956" s="1"/>
    </row>
    <row r="957" spans="1:11" ht="15.75" customHeight="1">
      <c r="A957" s="2"/>
      <c r="B957" s="1"/>
      <c r="C957" s="1"/>
      <c r="D957" s="1"/>
      <c r="E957" s="1"/>
      <c r="F957" s="1"/>
      <c r="G957" s="1"/>
      <c r="H957" s="1"/>
      <c r="I957" s="61"/>
      <c r="J957" s="1"/>
      <c r="K957" s="1"/>
    </row>
    <row r="958" spans="1:11" ht="15.75" customHeight="1">
      <c r="A958" s="2"/>
      <c r="B958" s="1"/>
      <c r="C958" s="1"/>
      <c r="D958" s="1"/>
      <c r="E958" s="1"/>
      <c r="F958" s="1"/>
      <c r="G958" s="1"/>
      <c r="H958" s="1"/>
      <c r="I958" s="61"/>
      <c r="J958" s="1"/>
      <c r="K958" s="1"/>
    </row>
    <row r="959" spans="1:11" ht="15.75" customHeight="1">
      <c r="A959" s="2"/>
      <c r="B959" s="1"/>
      <c r="C959" s="1"/>
      <c r="D959" s="1"/>
      <c r="E959" s="1"/>
      <c r="F959" s="1"/>
      <c r="G959" s="1"/>
      <c r="H959" s="1"/>
      <c r="I959" s="61"/>
      <c r="J959" s="1"/>
      <c r="K959" s="1"/>
    </row>
    <row r="960" spans="1:11" ht="15.75" customHeight="1">
      <c r="A960" s="2"/>
      <c r="B960" s="1"/>
      <c r="C960" s="1"/>
      <c r="D960" s="1"/>
      <c r="E960" s="1"/>
      <c r="F960" s="1"/>
      <c r="G960" s="1"/>
      <c r="H960" s="1"/>
      <c r="I960" s="61"/>
      <c r="J960" s="1"/>
      <c r="K960" s="1"/>
    </row>
    <row r="961" spans="1:11" ht="15.75" customHeight="1">
      <c r="A961" s="2"/>
      <c r="B961" s="1"/>
      <c r="C961" s="1"/>
      <c r="D961" s="1"/>
      <c r="E961" s="1"/>
      <c r="F961" s="1"/>
      <c r="G961" s="1"/>
      <c r="H961" s="1"/>
      <c r="I961" s="61"/>
      <c r="J961" s="1"/>
      <c r="K961" s="1"/>
    </row>
    <row r="962" spans="1:11" ht="15.75" customHeight="1">
      <c r="A962" s="2"/>
      <c r="B962" s="1"/>
      <c r="C962" s="1"/>
      <c r="D962" s="1"/>
      <c r="E962" s="1"/>
      <c r="F962" s="1"/>
      <c r="G962" s="1"/>
      <c r="H962" s="1"/>
      <c r="I962" s="61"/>
      <c r="J962" s="1"/>
      <c r="K962" s="1"/>
    </row>
    <row r="963" spans="1:11" ht="15.75" customHeight="1">
      <c r="A963" s="2"/>
      <c r="B963" s="1"/>
      <c r="C963" s="1"/>
      <c r="D963" s="1"/>
      <c r="E963" s="1"/>
      <c r="F963" s="1"/>
      <c r="G963" s="1"/>
      <c r="H963" s="1"/>
      <c r="I963" s="61"/>
      <c r="J963" s="1"/>
      <c r="K963" s="1"/>
    </row>
    <row r="964" spans="1:11" ht="15.75" customHeight="1">
      <c r="A964" s="2"/>
      <c r="B964" s="1"/>
      <c r="C964" s="1"/>
      <c r="D964" s="1"/>
      <c r="E964" s="1"/>
      <c r="F964" s="1"/>
      <c r="G964" s="1"/>
      <c r="H964" s="1"/>
      <c r="I964" s="61"/>
      <c r="J964" s="1"/>
      <c r="K964" s="1"/>
    </row>
    <row r="965" spans="1:11" ht="15.75" customHeight="1">
      <c r="A965" s="2"/>
      <c r="B965" s="1"/>
      <c r="C965" s="1"/>
      <c r="D965" s="1"/>
      <c r="E965" s="1"/>
      <c r="F965" s="1"/>
      <c r="G965" s="1"/>
      <c r="H965" s="1"/>
      <c r="I965" s="61"/>
      <c r="J965" s="1"/>
      <c r="K965" s="1"/>
    </row>
    <row r="966" spans="1:11" ht="15.75" customHeight="1">
      <c r="A966" s="2"/>
      <c r="B966" s="1"/>
      <c r="C966" s="1"/>
      <c r="D966" s="1"/>
      <c r="E966" s="1"/>
      <c r="F966" s="1"/>
      <c r="G966" s="1"/>
      <c r="H966" s="1"/>
      <c r="I966" s="61"/>
      <c r="J966" s="1"/>
      <c r="K966" s="1"/>
    </row>
    <row r="967" spans="1:11" ht="15.75" customHeight="1">
      <c r="A967" s="2"/>
      <c r="B967" s="1"/>
      <c r="C967" s="1"/>
      <c r="D967" s="1"/>
      <c r="E967" s="1"/>
      <c r="F967" s="1"/>
      <c r="G967" s="1"/>
      <c r="H967" s="1"/>
      <c r="I967" s="61"/>
      <c r="J967" s="1"/>
      <c r="K967" s="1"/>
    </row>
    <row r="968" spans="1:11" ht="15.75" customHeight="1">
      <c r="A968" s="2"/>
      <c r="B968" s="1"/>
      <c r="C968" s="1"/>
      <c r="D968" s="1"/>
      <c r="E968" s="1"/>
      <c r="F968" s="1"/>
      <c r="G968" s="1"/>
      <c r="H968" s="1"/>
      <c r="I968" s="61"/>
      <c r="J968" s="1"/>
      <c r="K968" s="1"/>
    </row>
    <row r="969" spans="1:11" ht="15.75" customHeight="1">
      <c r="A969" s="2"/>
      <c r="B969" s="1"/>
      <c r="C969" s="1"/>
      <c r="D969" s="1"/>
      <c r="E969" s="1"/>
      <c r="F969" s="1"/>
      <c r="G969" s="1"/>
      <c r="H969" s="1"/>
      <c r="I969" s="61"/>
      <c r="J969" s="1"/>
      <c r="K969" s="1"/>
    </row>
    <row r="970" spans="1:11" ht="15.75" customHeight="1">
      <c r="A970" s="2"/>
      <c r="B970" s="1"/>
      <c r="C970" s="1"/>
      <c r="D970" s="1"/>
      <c r="E970" s="1"/>
      <c r="F970" s="1"/>
      <c r="G970" s="1"/>
      <c r="H970" s="1"/>
      <c r="I970" s="61"/>
      <c r="J970" s="1"/>
      <c r="K970" s="1"/>
    </row>
    <row r="971" spans="1:11" ht="15.75" customHeight="1">
      <c r="A971" s="2"/>
      <c r="B971" s="1"/>
      <c r="C971" s="1"/>
      <c r="D971" s="1"/>
      <c r="E971" s="1"/>
      <c r="F971" s="1"/>
      <c r="G971" s="1"/>
      <c r="H971" s="1"/>
      <c r="I971" s="61"/>
      <c r="J971" s="1"/>
      <c r="K971" s="1"/>
    </row>
    <row r="972" spans="1:11" ht="15.75" customHeight="1">
      <c r="A972" s="2"/>
      <c r="B972" s="1"/>
      <c r="C972" s="1"/>
      <c r="D972" s="1"/>
      <c r="E972" s="1"/>
      <c r="F972" s="1"/>
      <c r="G972" s="1"/>
      <c r="H972" s="1"/>
      <c r="I972" s="61"/>
      <c r="J972" s="1"/>
      <c r="K972" s="1"/>
    </row>
    <row r="973" spans="1:11" ht="15.75" customHeight="1">
      <c r="A973" s="2"/>
      <c r="B973" s="1"/>
      <c r="C973" s="1"/>
      <c r="D973" s="1"/>
      <c r="E973" s="1"/>
      <c r="F973" s="1"/>
      <c r="G973" s="1"/>
      <c r="H973" s="1"/>
      <c r="I973" s="61"/>
      <c r="J973" s="1"/>
      <c r="K973" s="1"/>
    </row>
    <row r="974" spans="1:11" ht="15.75" customHeight="1">
      <c r="A974" s="2"/>
      <c r="B974" s="1"/>
      <c r="C974" s="1"/>
      <c r="D974" s="1"/>
      <c r="E974" s="1"/>
      <c r="F974" s="1"/>
      <c r="G974" s="1"/>
      <c r="H974" s="1"/>
      <c r="I974" s="61"/>
      <c r="J974" s="1"/>
      <c r="K974" s="1"/>
    </row>
    <row r="975" spans="1:11" ht="15.75" customHeight="1">
      <c r="A975" s="2"/>
      <c r="B975" s="1"/>
      <c r="C975" s="1"/>
      <c r="D975" s="1"/>
      <c r="E975" s="1"/>
      <c r="F975" s="1"/>
      <c r="G975" s="1"/>
      <c r="H975" s="1"/>
      <c r="I975" s="61"/>
      <c r="J975" s="1"/>
      <c r="K975" s="1"/>
    </row>
    <row r="976" spans="1:11" ht="15.75" customHeight="1">
      <c r="A976" s="2"/>
      <c r="B976" s="1"/>
      <c r="C976" s="1"/>
      <c r="D976" s="1"/>
      <c r="E976" s="1"/>
      <c r="F976" s="1"/>
      <c r="G976" s="1"/>
      <c r="H976" s="1"/>
      <c r="I976" s="61"/>
      <c r="J976" s="1"/>
      <c r="K976" s="1"/>
    </row>
    <row r="977" spans="1:11" ht="15.75" customHeight="1">
      <c r="A977" s="2"/>
      <c r="B977" s="1"/>
      <c r="C977" s="1"/>
      <c r="D977" s="1"/>
      <c r="E977" s="1"/>
      <c r="F977" s="1"/>
      <c r="G977" s="1"/>
      <c r="H977" s="1"/>
      <c r="I977" s="61"/>
      <c r="J977" s="1"/>
      <c r="K977" s="1"/>
    </row>
    <row r="978" spans="1:11" ht="15.75" customHeight="1">
      <c r="A978" s="2"/>
      <c r="B978" s="1"/>
      <c r="C978" s="1"/>
      <c r="D978" s="1"/>
      <c r="E978" s="1"/>
      <c r="F978" s="1"/>
      <c r="G978" s="1"/>
      <c r="H978" s="1"/>
      <c r="I978" s="61"/>
      <c r="J978" s="1"/>
      <c r="K978" s="1"/>
    </row>
    <row r="979" spans="1:11" ht="15.75" customHeight="1">
      <c r="A979" s="2"/>
      <c r="B979" s="1"/>
      <c r="C979" s="1"/>
      <c r="D979" s="1"/>
      <c r="E979" s="1"/>
      <c r="F979" s="1"/>
      <c r="G979" s="1"/>
      <c r="H979" s="1"/>
      <c r="I979" s="61"/>
      <c r="J979" s="1"/>
      <c r="K979" s="1"/>
    </row>
    <row r="980" spans="1:11" ht="15.75" customHeight="1">
      <c r="A980" s="2"/>
      <c r="B980" s="1"/>
      <c r="C980" s="1"/>
      <c r="D980" s="1"/>
      <c r="E980" s="1"/>
      <c r="F980" s="1"/>
      <c r="G980" s="1"/>
      <c r="H980" s="1"/>
      <c r="I980" s="61"/>
      <c r="J980" s="1"/>
      <c r="K980" s="1"/>
    </row>
    <row r="981" spans="1:11" ht="15.75" customHeight="1">
      <c r="A981" s="2"/>
      <c r="B981" s="1"/>
      <c r="C981" s="1"/>
      <c r="D981" s="1"/>
      <c r="E981" s="1"/>
      <c r="F981" s="1"/>
      <c r="G981" s="1"/>
      <c r="H981" s="1"/>
      <c r="I981" s="61"/>
      <c r="J981" s="1"/>
      <c r="K981" s="1"/>
    </row>
    <row r="982" spans="1:11" ht="15.75" customHeight="1">
      <c r="A982" s="2"/>
      <c r="B982" s="1"/>
      <c r="C982" s="1"/>
      <c r="D982" s="1"/>
      <c r="E982" s="1"/>
      <c r="F982" s="1"/>
      <c r="G982" s="1"/>
      <c r="H982" s="1"/>
      <c r="I982" s="61"/>
      <c r="J982" s="1"/>
      <c r="K982" s="1"/>
    </row>
    <row r="983" spans="1:11" ht="15.75" customHeight="1">
      <c r="A983" s="2"/>
      <c r="B983" s="1"/>
      <c r="C983" s="1"/>
      <c r="D983" s="1"/>
      <c r="E983" s="1"/>
      <c r="F983" s="1"/>
      <c r="G983" s="1"/>
      <c r="H983" s="1"/>
      <c r="I983" s="61"/>
      <c r="J983" s="1"/>
      <c r="K983" s="1"/>
    </row>
    <row r="984" spans="1:11" ht="15.75" customHeight="1">
      <c r="A984" s="2"/>
      <c r="B984" s="1"/>
      <c r="C984" s="1"/>
      <c r="D984" s="1"/>
      <c r="E984" s="1"/>
      <c r="F984" s="1"/>
      <c r="G984" s="1"/>
      <c r="H984" s="1"/>
      <c r="I984" s="61"/>
      <c r="J984" s="1"/>
      <c r="K984" s="1"/>
    </row>
    <row r="985" spans="1:11" ht="15.75" customHeight="1">
      <c r="A985" s="2"/>
      <c r="B985" s="1"/>
      <c r="C985" s="1"/>
      <c r="D985" s="1"/>
      <c r="E985" s="1"/>
      <c r="F985" s="1"/>
      <c r="G985" s="1"/>
      <c r="H985" s="1"/>
      <c r="I985" s="61"/>
      <c r="J985" s="1"/>
      <c r="K985" s="1"/>
    </row>
    <row r="986" spans="1:11" ht="15.75" customHeight="1">
      <c r="A986" s="2"/>
      <c r="B986" s="1"/>
      <c r="C986" s="1"/>
      <c r="D986" s="1"/>
      <c r="E986" s="1"/>
      <c r="F986" s="1"/>
      <c r="G986" s="1"/>
      <c r="H986" s="1"/>
      <c r="I986" s="61"/>
      <c r="J986" s="1"/>
      <c r="K986" s="1"/>
    </row>
    <row r="987" spans="1:11" ht="15.75" customHeight="1">
      <c r="A987" s="2"/>
      <c r="B987" s="1"/>
      <c r="C987" s="1"/>
      <c r="D987" s="1"/>
      <c r="E987" s="1"/>
      <c r="F987" s="1"/>
      <c r="G987" s="1"/>
      <c r="H987" s="1"/>
      <c r="I987" s="61"/>
      <c r="J987" s="1"/>
      <c r="K987" s="1"/>
    </row>
    <row r="988" spans="1:11" ht="15.75" customHeight="1">
      <c r="A988" s="2"/>
      <c r="B988" s="1"/>
      <c r="C988" s="1"/>
      <c r="D988" s="1"/>
      <c r="E988" s="1"/>
      <c r="F988" s="1"/>
      <c r="G988" s="1"/>
      <c r="H988" s="1"/>
      <c r="I988" s="61"/>
      <c r="J988" s="1"/>
      <c r="K988" s="1"/>
    </row>
    <row r="989" spans="1:11" ht="15.75" customHeight="1">
      <c r="A989" s="2"/>
      <c r="B989" s="1"/>
      <c r="C989" s="1"/>
      <c r="D989" s="1"/>
      <c r="E989" s="1"/>
      <c r="F989" s="1"/>
      <c r="G989" s="1"/>
      <c r="H989" s="1"/>
      <c r="I989" s="61"/>
      <c r="J989" s="1"/>
      <c r="K989" s="1"/>
    </row>
    <row r="990" spans="1:11" ht="15.75" customHeight="1">
      <c r="A990" s="2"/>
      <c r="B990" s="1"/>
      <c r="C990" s="1"/>
      <c r="D990" s="1"/>
      <c r="E990" s="1"/>
      <c r="F990" s="1"/>
      <c r="G990" s="1"/>
      <c r="H990" s="1"/>
      <c r="I990" s="61"/>
      <c r="J990" s="1"/>
      <c r="K990" s="1"/>
    </row>
    <row r="991" spans="1:11" ht="15.75" customHeight="1">
      <c r="A991" s="2"/>
      <c r="B991" s="1"/>
      <c r="C991" s="1"/>
      <c r="D991" s="1"/>
      <c r="E991" s="1"/>
      <c r="F991" s="1"/>
      <c r="G991" s="1"/>
      <c r="H991" s="1"/>
      <c r="I991" s="61"/>
      <c r="J991" s="1"/>
      <c r="K991" s="1"/>
    </row>
    <row r="992" spans="1:11" ht="15.75" customHeight="1">
      <c r="A992" s="2"/>
      <c r="B992" s="1"/>
      <c r="C992" s="1"/>
      <c r="D992" s="1"/>
      <c r="E992" s="1"/>
      <c r="F992" s="1"/>
      <c r="G992" s="1"/>
      <c r="H992" s="1"/>
      <c r="I992" s="61"/>
      <c r="J992" s="1"/>
      <c r="K992" s="1"/>
    </row>
    <row r="993" spans="1:11" ht="15.75" customHeight="1">
      <c r="A993" s="2"/>
      <c r="B993" s="1"/>
      <c r="C993" s="1"/>
      <c r="D993" s="1"/>
      <c r="E993" s="1"/>
      <c r="F993" s="1"/>
      <c r="G993" s="1"/>
      <c r="H993" s="1"/>
      <c r="I993" s="61"/>
      <c r="J993" s="1"/>
      <c r="K993" s="1"/>
    </row>
    <row r="994" spans="1:11" ht="15.75" customHeight="1">
      <c r="A994" s="2"/>
      <c r="B994" s="1"/>
      <c r="C994" s="1"/>
      <c r="D994" s="1"/>
      <c r="E994" s="1"/>
      <c r="F994" s="1"/>
      <c r="G994" s="1"/>
      <c r="H994" s="1"/>
      <c r="I994" s="61"/>
      <c r="J994" s="1"/>
      <c r="K994" s="1"/>
    </row>
    <row r="995" spans="1:11" ht="15.75" customHeight="1">
      <c r="A995" s="2"/>
      <c r="B995" s="1"/>
      <c r="C995" s="1"/>
      <c r="D995" s="1"/>
      <c r="E995" s="1"/>
      <c r="F995" s="1"/>
      <c r="G995" s="1"/>
      <c r="H995" s="1"/>
      <c r="I995" s="61"/>
      <c r="J995" s="1"/>
      <c r="K995" s="1"/>
    </row>
    <row r="996" spans="1:11" ht="15.75" customHeight="1">
      <c r="A996" s="2"/>
      <c r="B996" s="1"/>
      <c r="C996" s="1"/>
      <c r="D996" s="1"/>
      <c r="E996" s="1"/>
      <c r="F996" s="1"/>
      <c r="G996" s="1"/>
      <c r="H996" s="1"/>
      <c r="I996" s="61"/>
      <c r="J996" s="1"/>
      <c r="K996" s="1"/>
    </row>
    <row r="997" spans="1:11" ht="15.75" customHeight="1">
      <c r="A997" s="2"/>
      <c r="B997" s="1"/>
      <c r="C997" s="1"/>
      <c r="D997" s="1"/>
      <c r="E997" s="1"/>
      <c r="F997" s="1"/>
      <c r="G997" s="1"/>
      <c r="H997" s="1"/>
      <c r="I997" s="61"/>
      <c r="J997" s="1"/>
      <c r="K997" s="1"/>
    </row>
    <row r="998" spans="1:11" ht="15.75" customHeight="1">
      <c r="A998" s="2"/>
      <c r="B998" s="1"/>
      <c r="C998" s="1"/>
      <c r="D998" s="1"/>
      <c r="E998" s="1"/>
      <c r="F998" s="1"/>
      <c r="G998" s="1"/>
      <c r="H998" s="1"/>
      <c r="I998" s="61"/>
      <c r="J998" s="1"/>
      <c r="K998" s="1"/>
    </row>
    <row r="999" spans="1:11" ht="15.75" customHeight="1">
      <c r="A999" s="2"/>
      <c r="B999" s="1"/>
      <c r="C999" s="1"/>
      <c r="D999" s="1"/>
      <c r="E999" s="1"/>
      <c r="F999" s="1"/>
      <c r="G999" s="1"/>
      <c r="H999" s="1"/>
      <c r="I999" s="61"/>
      <c r="J999" s="1"/>
      <c r="K999" s="1"/>
    </row>
    <row r="1000" spans="1:11" ht="15.75" customHeight="1">
      <c r="A1000" s="2"/>
      <c r="B1000" s="1"/>
      <c r="C1000" s="1"/>
      <c r="D1000" s="1"/>
      <c r="E1000" s="1"/>
      <c r="F1000" s="1"/>
      <c r="G1000" s="1"/>
      <c r="H1000" s="1"/>
      <c r="I1000" s="61"/>
      <c r="J1000" s="1"/>
      <c r="K1000" s="1"/>
    </row>
  </sheetData>
  <mergeCells count="8">
    <mergeCell ref="A8:B8"/>
    <mergeCell ref="E173:H173"/>
    <mergeCell ref="E174:H174"/>
    <mergeCell ref="A1:K1"/>
    <mergeCell ref="A2:K2"/>
    <mergeCell ref="A6:B6"/>
    <mergeCell ref="F7:H7"/>
    <mergeCell ref="J7:K7"/>
  </mergeCells>
  <printOptions horizontalCentered="1"/>
  <pageMargins left="0.5" right="0.5" top="0.75" bottom="0.75" header="0" footer="0"/>
  <pageSetup paperSize="5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dimension ref="A1:O1000"/>
  <sheetViews>
    <sheetView topLeftCell="A7" workbookViewId="0">
      <selection sqref="A1:L1"/>
    </sheetView>
  </sheetViews>
  <sheetFormatPr defaultColWidth="14.42578125" defaultRowHeight="15" customHeight="1"/>
  <cols>
    <col min="1" max="1" width="4.7109375" customWidth="1"/>
    <col min="2" max="2" width="22" customWidth="1"/>
    <col min="3" max="3" width="9.28515625" customWidth="1"/>
    <col min="4" max="4" width="15.7109375" customWidth="1"/>
    <col min="5" max="5" width="14.85546875" customWidth="1"/>
    <col min="6" max="6" width="16.140625" customWidth="1"/>
    <col min="7" max="7" width="21.85546875" customWidth="1"/>
    <col min="8" max="8" width="12.42578125" customWidth="1"/>
    <col min="9" max="9" width="16.5703125" customWidth="1"/>
    <col min="10" max="10" width="13.7109375" customWidth="1"/>
    <col min="11" max="11" width="8.28515625" customWidth="1"/>
    <col min="12" max="12" width="18.140625" customWidth="1"/>
    <col min="13" max="26" width="8.7109375" customWidth="1"/>
  </cols>
  <sheetData>
    <row r="1" spans="1:15" ht="23.25">
      <c r="A1" s="555" t="s">
        <v>0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</row>
    <row r="2" spans="1:15" ht="18">
      <c r="A2" s="556" t="s">
        <v>1990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</row>
    <row r="3" spans="1:15">
      <c r="A3" s="2"/>
      <c r="B3" s="3"/>
      <c r="C3" s="71"/>
      <c r="D3" s="3"/>
      <c r="E3" s="3"/>
      <c r="G3" s="3"/>
      <c r="H3" s="71"/>
      <c r="I3" s="45"/>
      <c r="J3" s="72"/>
      <c r="K3" s="557" t="s">
        <v>2271</v>
      </c>
      <c r="L3" s="558"/>
    </row>
    <row r="4" spans="1:15">
      <c r="A4" s="2"/>
      <c r="B4" s="3"/>
      <c r="C4" s="71"/>
      <c r="D4" s="3"/>
      <c r="E4" s="3"/>
      <c r="G4" s="3"/>
      <c r="H4" s="71"/>
      <c r="I4" s="45"/>
      <c r="J4" s="72"/>
      <c r="K4" s="73" t="s">
        <v>2272</v>
      </c>
      <c r="L4" s="294">
        <v>1</v>
      </c>
    </row>
    <row r="5" spans="1:15">
      <c r="A5" s="2"/>
      <c r="B5" s="3"/>
      <c r="C5" s="71"/>
      <c r="D5" s="3"/>
      <c r="E5" s="3"/>
      <c r="G5" s="3"/>
      <c r="H5" s="71"/>
      <c r="I5" s="45"/>
      <c r="J5" s="72"/>
      <c r="K5" s="73" t="s">
        <v>2273</v>
      </c>
      <c r="L5" s="294">
        <v>1</v>
      </c>
    </row>
    <row r="6" spans="1:15" ht="18">
      <c r="A6" s="567" t="s">
        <v>360</v>
      </c>
      <c r="B6" s="560"/>
      <c r="C6" s="75"/>
      <c r="D6" s="3"/>
      <c r="E6" s="10"/>
      <c r="F6" s="76"/>
      <c r="G6" s="3"/>
      <c r="H6" s="71"/>
      <c r="I6" s="45"/>
      <c r="J6" s="72"/>
      <c r="K6" s="77" t="s">
        <v>2274</v>
      </c>
      <c r="L6" s="53"/>
    </row>
    <row r="7" spans="1:15">
      <c r="A7" s="11"/>
      <c r="B7" s="12"/>
      <c r="C7" s="78" t="s">
        <v>362</v>
      </c>
      <c r="D7" s="14"/>
      <c r="E7" s="14"/>
      <c r="F7" s="79" t="s">
        <v>363</v>
      </c>
      <c r="G7" s="78" t="s">
        <v>364</v>
      </c>
      <c r="H7" s="563" t="s">
        <v>365</v>
      </c>
      <c r="I7" s="558"/>
      <c r="J7" s="80"/>
      <c r="K7" s="550" t="s">
        <v>8</v>
      </c>
      <c r="L7" s="551"/>
    </row>
    <row r="8" spans="1:15">
      <c r="A8" s="565" t="s">
        <v>366</v>
      </c>
      <c r="B8" s="566"/>
      <c r="C8" s="79" t="s">
        <v>367</v>
      </c>
      <c r="D8" s="17" t="s">
        <v>11</v>
      </c>
      <c r="E8" s="18" t="s">
        <v>12</v>
      </c>
      <c r="F8" s="79" t="s">
        <v>368</v>
      </c>
      <c r="G8" s="81" t="s">
        <v>369</v>
      </c>
      <c r="H8" s="82"/>
      <c r="I8" s="83" t="s">
        <v>14</v>
      </c>
      <c r="J8" s="84" t="s">
        <v>15</v>
      </c>
      <c r="K8" s="24"/>
      <c r="L8" s="85"/>
    </row>
    <row r="9" spans="1:15">
      <c r="A9" s="25"/>
      <c r="B9" s="26"/>
      <c r="C9" s="79" t="s">
        <v>370</v>
      </c>
      <c r="D9" s="27"/>
      <c r="E9" s="26"/>
      <c r="F9" s="79" t="s">
        <v>371</v>
      </c>
      <c r="G9" s="81" t="s">
        <v>372</v>
      </c>
      <c r="H9" s="86" t="s">
        <v>17</v>
      </c>
      <c r="I9" s="83" t="s">
        <v>18</v>
      </c>
      <c r="J9" s="87"/>
      <c r="K9" s="17" t="s">
        <v>19</v>
      </c>
      <c r="L9" s="17" t="s">
        <v>20</v>
      </c>
    </row>
    <row r="10" spans="1:15">
      <c r="A10" s="30"/>
      <c r="B10" s="31"/>
      <c r="C10" s="88"/>
      <c r="D10" s="33"/>
      <c r="E10" s="33"/>
      <c r="F10" s="89" t="s">
        <v>373</v>
      </c>
      <c r="G10" s="38"/>
      <c r="H10" s="90"/>
      <c r="I10" s="91" t="s">
        <v>374</v>
      </c>
      <c r="J10" s="92"/>
      <c r="K10" s="34"/>
      <c r="L10" s="38" t="s">
        <v>22</v>
      </c>
    </row>
    <row r="11" spans="1:15">
      <c r="A11" s="39" t="s">
        <v>23</v>
      </c>
      <c r="B11" s="57"/>
      <c r="C11" s="93"/>
      <c r="D11" s="57"/>
      <c r="E11" s="57"/>
      <c r="F11" s="40"/>
      <c r="G11" s="57"/>
      <c r="H11" s="93"/>
      <c r="I11" s="44"/>
      <c r="J11" s="94"/>
      <c r="K11" s="40"/>
      <c r="L11" s="40"/>
    </row>
    <row r="12" spans="1:15">
      <c r="A12" s="389">
        <v>2</v>
      </c>
      <c r="B12" s="390" t="s">
        <v>2275</v>
      </c>
      <c r="C12" s="391"/>
      <c r="D12" s="392"/>
      <c r="E12" s="392" t="s">
        <v>103</v>
      </c>
      <c r="F12" s="392"/>
      <c r="G12" s="393" t="s">
        <v>2276</v>
      </c>
      <c r="H12" s="394" t="s">
        <v>29</v>
      </c>
      <c r="I12" s="395">
        <v>25000</v>
      </c>
      <c r="J12" s="396">
        <v>5000</v>
      </c>
      <c r="K12" s="397"/>
      <c r="L12" s="393" t="s">
        <v>31</v>
      </c>
    </row>
    <row r="13" spans="1:15">
      <c r="A13" s="106">
        <v>20</v>
      </c>
      <c r="B13" s="398" t="s">
        <v>378</v>
      </c>
      <c r="C13" s="399"/>
      <c r="D13" s="398" t="s">
        <v>2277</v>
      </c>
      <c r="E13" s="400" t="s">
        <v>2278</v>
      </c>
      <c r="F13" s="401" t="s">
        <v>2279</v>
      </c>
      <c r="G13" s="402" t="s">
        <v>2280</v>
      </c>
      <c r="H13" s="403" t="s">
        <v>29</v>
      </c>
      <c r="I13" s="404">
        <v>200</v>
      </c>
      <c r="J13" s="405" t="s">
        <v>101</v>
      </c>
      <c r="K13" s="108"/>
      <c r="L13" s="402"/>
      <c r="O13" s="65"/>
    </row>
    <row r="14" spans="1:15">
      <c r="A14" s="95">
        <v>20</v>
      </c>
      <c r="B14" s="333" t="s">
        <v>2281</v>
      </c>
      <c r="C14" s="334"/>
      <c r="D14" s="95" t="s">
        <v>1248</v>
      </c>
      <c r="E14" s="95" t="s">
        <v>870</v>
      </c>
      <c r="F14" s="99" t="s">
        <v>2282</v>
      </c>
      <c r="G14" s="341" t="s">
        <v>2283</v>
      </c>
      <c r="H14" s="338" t="s">
        <v>1030</v>
      </c>
      <c r="I14" s="339">
        <v>420</v>
      </c>
      <c r="J14" s="406" t="s">
        <v>101</v>
      </c>
      <c r="K14" s="95"/>
      <c r="L14" s="341"/>
    </row>
    <row r="15" spans="1:15">
      <c r="A15" s="95"/>
      <c r="B15" s="97"/>
      <c r="C15" s="98"/>
      <c r="D15" s="97"/>
      <c r="E15" s="313"/>
      <c r="F15" s="97"/>
      <c r="G15" s="96"/>
      <c r="H15" s="100"/>
      <c r="I15" s="101"/>
      <c r="J15" s="335"/>
      <c r="K15" s="98"/>
      <c r="L15" s="96"/>
      <c r="O15" s="65"/>
    </row>
    <row r="16" spans="1:15">
      <c r="I16" s="111" t="s">
        <v>335</v>
      </c>
      <c r="J16" s="63"/>
    </row>
    <row r="17" spans="2:10">
      <c r="I17" s="63" t="s">
        <v>338</v>
      </c>
      <c r="J17" s="291">
        <v>0</v>
      </c>
    </row>
    <row r="18" spans="2:10">
      <c r="I18" s="63" t="s">
        <v>340</v>
      </c>
      <c r="J18" s="291" t="s">
        <v>2284</v>
      </c>
    </row>
    <row r="19" spans="2:10">
      <c r="B19" s="157" t="s">
        <v>336</v>
      </c>
      <c r="E19" s="157" t="s">
        <v>337</v>
      </c>
      <c r="I19" s="63" t="s">
        <v>342</v>
      </c>
      <c r="J19" s="292">
        <v>0</v>
      </c>
    </row>
    <row r="20" spans="2:10">
      <c r="I20" s="63" t="s">
        <v>2285</v>
      </c>
      <c r="J20" s="292">
        <v>0</v>
      </c>
    </row>
    <row r="21" spans="2:10" ht="15.75" customHeight="1">
      <c r="I21" s="63" t="s">
        <v>349</v>
      </c>
      <c r="J21" s="292">
        <v>0</v>
      </c>
    </row>
    <row r="22" spans="2:10" ht="15.75" customHeight="1">
      <c r="B22" s="70" t="s">
        <v>343</v>
      </c>
      <c r="E22" s="568" t="s">
        <v>344</v>
      </c>
      <c r="F22" s="553"/>
      <c r="G22" s="553"/>
      <c r="H22" s="553"/>
      <c r="I22" s="63" t="s">
        <v>406</v>
      </c>
      <c r="J22" s="292">
        <v>0</v>
      </c>
    </row>
    <row r="23" spans="2:10" ht="15.75" customHeight="1">
      <c r="B23" s="157" t="s">
        <v>347</v>
      </c>
      <c r="E23" s="552" t="s">
        <v>348</v>
      </c>
      <c r="F23" s="553"/>
      <c r="G23" s="553"/>
      <c r="H23" s="553"/>
      <c r="I23" s="63" t="s">
        <v>353</v>
      </c>
      <c r="J23" s="293"/>
    </row>
    <row r="24" spans="2:10" ht="15.75" customHeight="1">
      <c r="I24" s="4" t="s">
        <v>407</v>
      </c>
      <c r="J24" s="291"/>
    </row>
    <row r="25" spans="2:10" ht="15.75" customHeight="1">
      <c r="I25" s="4" t="s">
        <v>2286</v>
      </c>
      <c r="J25" s="291"/>
    </row>
    <row r="26" spans="2:10" ht="15.75" customHeight="1"/>
    <row r="27" spans="2:10" ht="15.75" customHeight="1"/>
    <row r="28" spans="2:10" ht="15.75" customHeight="1"/>
    <row r="29" spans="2:10" ht="15.75" customHeight="1"/>
    <row r="30" spans="2:10" ht="15.75" customHeight="1"/>
    <row r="31" spans="2:10" ht="15.75" customHeight="1"/>
    <row r="32" spans="2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E22:H22"/>
    <mergeCell ref="E23:H23"/>
    <mergeCell ref="A1:L1"/>
    <mergeCell ref="A2:L2"/>
    <mergeCell ref="K3:L3"/>
    <mergeCell ref="A6:B6"/>
    <mergeCell ref="H7:I7"/>
    <mergeCell ref="K7:L7"/>
    <mergeCell ref="A8:B8"/>
  </mergeCells>
  <pageMargins left="0.7" right="0.7" top="0.75" bottom="0.75" header="0" footer="0"/>
  <pageSetup orientation="portrait"/>
  <colBreaks count="1" manualBreakCount="1">
    <brk id="8" man="1"/>
  </colBreaks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</sheetPr>
  <dimension ref="A1:Z1000"/>
  <sheetViews>
    <sheetView workbookViewId="0">
      <selection sqref="A1:K1"/>
    </sheetView>
  </sheetViews>
  <sheetFormatPr defaultColWidth="14.42578125" defaultRowHeight="15" customHeight="1"/>
  <cols>
    <col min="1" max="1" width="4.7109375" customWidth="1"/>
    <col min="2" max="2" width="26" customWidth="1"/>
    <col min="3" max="3" width="7.28515625" customWidth="1"/>
    <col min="4" max="4" width="16.140625" customWidth="1"/>
    <col min="5" max="5" width="14.5703125" customWidth="1"/>
    <col min="6" max="6" width="14.85546875" customWidth="1"/>
    <col min="7" max="7" width="14" customWidth="1"/>
    <col min="8" max="8" width="16.42578125" customWidth="1"/>
    <col min="9" max="9" width="16.85546875" customWidth="1"/>
    <col min="10" max="10" width="9.5703125" customWidth="1"/>
    <col min="11" max="11" width="17.85546875" customWidth="1"/>
    <col min="12" max="12" width="7.42578125" customWidth="1"/>
    <col min="13" max="14" width="8.7109375" customWidth="1"/>
    <col min="15" max="15" width="10.7109375" customWidth="1"/>
    <col min="16" max="26" width="8.7109375" customWidth="1"/>
  </cols>
  <sheetData>
    <row r="1" spans="1:15" ht="23.25">
      <c r="A1" s="555" t="s">
        <v>0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</row>
    <row r="2" spans="1:15" ht="18">
      <c r="A2" s="604" t="s">
        <v>2287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</row>
    <row r="3" spans="1:15">
      <c r="A3" s="2"/>
      <c r="B3" s="3"/>
      <c r="C3" s="4"/>
      <c r="D3" s="3"/>
      <c r="E3" s="3"/>
      <c r="F3" s="1"/>
      <c r="G3" s="4"/>
      <c r="H3" s="5"/>
      <c r="I3" s="6"/>
      <c r="J3" s="371" t="s">
        <v>2288</v>
      </c>
      <c r="K3" s="372"/>
    </row>
    <row r="4" spans="1:15">
      <c r="A4" s="2"/>
      <c r="B4" s="3"/>
      <c r="C4" s="4"/>
      <c r="D4" s="3"/>
      <c r="E4" s="3"/>
      <c r="F4" s="1"/>
      <c r="G4" s="4"/>
      <c r="H4" s="5"/>
      <c r="I4" s="7"/>
      <c r="J4" s="373" t="s">
        <v>3</v>
      </c>
      <c r="K4" s="374">
        <v>255</v>
      </c>
    </row>
    <row r="5" spans="1:15">
      <c r="A5" s="2"/>
      <c r="B5" s="3"/>
      <c r="C5" s="4"/>
      <c r="D5" s="3"/>
      <c r="E5" s="3"/>
      <c r="F5" s="1"/>
      <c r="G5" s="4"/>
      <c r="H5" s="5"/>
      <c r="I5" s="7"/>
      <c r="J5" s="373" t="s">
        <v>4</v>
      </c>
      <c r="K5" s="374">
        <v>60</v>
      </c>
    </row>
    <row r="6" spans="1:15">
      <c r="A6" s="559" t="s">
        <v>5</v>
      </c>
      <c r="B6" s="560"/>
      <c r="C6" s="4"/>
      <c r="D6" s="3"/>
      <c r="E6" s="10"/>
      <c r="F6" s="1"/>
      <c r="G6" s="4"/>
      <c r="H6" s="5"/>
      <c r="I6" s="6"/>
      <c r="J6" s="375" t="s">
        <v>2289</v>
      </c>
      <c r="K6" s="376"/>
    </row>
    <row r="7" spans="1:15">
      <c r="A7" s="11"/>
      <c r="B7" s="12"/>
      <c r="C7" s="13"/>
      <c r="D7" s="14"/>
      <c r="E7" s="14"/>
      <c r="F7" s="563" t="s">
        <v>7</v>
      </c>
      <c r="G7" s="564"/>
      <c r="H7" s="558"/>
      <c r="I7" s="15"/>
      <c r="J7" s="550" t="s">
        <v>8</v>
      </c>
      <c r="K7" s="551"/>
    </row>
    <row r="8" spans="1:15">
      <c r="A8" s="565" t="s">
        <v>9</v>
      </c>
      <c r="B8" s="566"/>
      <c r="C8" s="16" t="s">
        <v>10</v>
      </c>
      <c r="D8" s="17" t="s">
        <v>11</v>
      </c>
      <c r="E8" s="18" t="s">
        <v>12</v>
      </c>
      <c r="F8" s="19" t="s">
        <v>13</v>
      </c>
      <c r="G8" s="20"/>
      <c r="H8" s="21" t="s">
        <v>14</v>
      </c>
      <c r="I8" s="22" t="s">
        <v>15</v>
      </c>
      <c r="J8" s="23"/>
      <c r="K8" s="24"/>
    </row>
    <row r="9" spans="1:15">
      <c r="A9" s="25"/>
      <c r="B9" s="26"/>
      <c r="C9" s="20"/>
      <c r="D9" s="27"/>
      <c r="E9" s="26"/>
      <c r="F9" s="28" t="s">
        <v>16</v>
      </c>
      <c r="G9" s="16" t="s">
        <v>17</v>
      </c>
      <c r="H9" s="21" t="s">
        <v>18</v>
      </c>
      <c r="I9" s="29"/>
      <c r="J9" s="17" t="s">
        <v>19</v>
      </c>
      <c r="K9" s="17" t="s">
        <v>20</v>
      </c>
    </row>
    <row r="10" spans="1:15">
      <c r="A10" s="30"/>
      <c r="B10" s="31"/>
      <c r="C10" s="32"/>
      <c r="D10" s="33"/>
      <c r="E10" s="33"/>
      <c r="F10" s="34"/>
      <c r="G10" s="35"/>
      <c r="H10" s="36" t="s">
        <v>21</v>
      </c>
      <c r="I10" s="37"/>
      <c r="J10" s="34"/>
      <c r="K10" s="38" t="s">
        <v>22</v>
      </c>
    </row>
    <row r="11" spans="1:15">
      <c r="A11" s="39" t="s">
        <v>23</v>
      </c>
      <c r="B11" s="40"/>
      <c r="C11" s="40"/>
      <c r="D11" s="40"/>
      <c r="E11" s="40"/>
      <c r="F11" s="40"/>
      <c r="G11" s="40"/>
      <c r="H11" s="40"/>
      <c r="I11" s="41"/>
      <c r="J11" s="40"/>
      <c r="K11" s="40"/>
    </row>
    <row r="12" spans="1:15">
      <c r="A12" s="42">
        <v>1</v>
      </c>
      <c r="B12" s="40" t="s">
        <v>2290</v>
      </c>
      <c r="C12" s="40" t="s">
        <v>25</v>
      </c>
      <c r="D12" s="40" t="s">
        <v>811</v>
      </c>
      <c r="E12" s="40" t="s">
        <v>46</v>
      </c>
      <c r="F12" s="43" t="s">
        <v>2291</v>
      </c>
      <c r="G12" s="40" t="s">
        <v>29</v>
      </c>
      <c r="H12" s="44">
        <v>1000</v>
      </c>
      <c r="I12" s="41">
        <v>200</v>
      </c>
      <c r="J12" s="40" t="s">
        <v>30</v>
      </c>
      <c r="K12" s="40" t="s">
        <v>31</v>
      </c>
    </row>
    <row r="13" spans="1:15">
      <c r="A13" s="42">
        <v>1</v>
      </c>
      <c r="B13" s="40" t="s">
        <v>734</v>
      </c>
      <c r="C13" s="40" t="s">
        <v>25</v>
      </c>
      <c r="D13" s="40" t="s">
        <v>735</v>
      </c>
      <c r="E13" s="40" t="s">
        <v>318</v>
      </c>
      <c r="F13" s="43" t="s">
        <v>736</v>
      </c>
      <c r="G13" s="40" t="s">
        <v>29</v>
      </c>
      <c r="H13" s="44">
        <v>30000</v>
      </c>
      <c r="I13" s="41">
        <v>6000</v>
      </c>
      <c r="J13" s="40" t="s">
        <v>30</v>
      </c>
      <c r="K13" s="40" t="s">
        <v>31</v>
      </c>
      <c r="M13" s="157">
        <v>6000</v>
      </c>
    </row>
    <row r="14" spans="1:15">
      <c r="A14" s="42">
        <v>1</v>
      </c>
      <c r="B14" s="40" t="s">
        <v>2292</v>
      </c>
      <c r="C14" s="40" t="s">
        <v>25</v>
      </c>
      <c r="D14" s="40" t="s">
        <v>86</v>
      </c>
      <c r="E14" s="40" t="s">
        <v>42</v>
      </c>
      <c r="F14" s="43" t="s">
        <v>579</v>
      </c>
      <c r="G14" s="40" t="s">
        <v>29</v>
      </c>
      <c r="H14" s="44">
        <v>7000</v>
      </c>
      <c r="I14" s="41">
        <v>1400</v>
      </c>
      <c r="J14" s="40" t="s">
        <v>30</v>
      </c>
      <c r="K14" s="40" t="s">
        <v>31</v>
      </c>
      <c r="M14" s="157">
        <v>1400</v>
      </c>
    </row>
    <row r="15" spans="1:15">
      <c r="A15" s="42">
        <v>1</v>
      </c>
      <c r="B15" s="40" t="s">
        <v>2293</v>
      </c>
      <c r="C15" s="40" t="s">
        <v>25</v>
      </c>
      <c r="D15" s="40" t="s">
        <v>831</v>
      </c>
      <c r="E15" s="40" t="s">
        <v>50</v>
      </c>
      <c r="F15" s="40" t="s">
        <v>638</v>
      </c>
      <c r="G15" s="40" t="s">
        <v>29</v>
      </c>
      <c r="H15" s="44">
        <v>250</v>
      </c>
      <c r="I15" s="41">
        <v>50</v>
      </c>
      <c r="J15" s="40" t="s">
        <v>30</v>
      </c>
      <c r="K15" s="40" t="s">
        <v>31</v>
      </c>
    </row>
    <row r="16" spans="1:15">
      <c r="A16" s="42">
        <v>1</v>
      </c>
      <c r="B16" s="40" t="s">
        <v>2294</v>
      </c>
      <c r="C16" s="40" t="s">
        <v>25</v>
      </c>
      <c r="D16" s="40" t="s">
        <v>2295</v>
      </c>
      <c r="E16" s="40" t="s">
        <v>533</v>
      </c>
      <c r="F16" s="43" t="s">
        <v>2296</v>
      </c>
      <c r="G16" s="40" t="s">
        <v>29</v>
      </c>
      <c r="H16" s="44">
        <v>700</v>
      </c>
      <c r="I16" s="41">
        <v>140</v>
      </c>
      <c r="J16" s="40" t="s">
        <v>30</v>
      </c>
      <c r="K16" s="40" t="s">
        <v>31</v>
      </c>
      <c r="O16" s="45"/>
    </row>
    <row r="17" spans="1:13">
      <c r="A17" s="42">
        <v>1</v>
      </c>
      <c r="B17" s="40" t="s">
        <v>2297</v>
      </c>
      <c r="C17" s="40" t="s">
        <v>25</v>
      </c>
      <c r="D17" s="40" t="s">
        <v>2298</v>
      </c>
      <c r="E17" s="40" t="s">
        <v>1927</v>
      </c>
      <c r="F17" s="43" t="s">
        <v>2299</v>
      </c>
      <c r="G17" s="40" t="s">
        <v>29</v>
      </c>
      <c r="H17" s="44">
        <v>150</v>
      </c>
      <c r="I17" s="41">
        <v>30</v>
      </c>
      <c r="J17" s="40" t="s">
        <v>30</v>
      </c>
      <c r="K17" s="40" t="s">
        <v>31</v>
      </c>
    </row>
    <row r="18" spans="1:13">
      <c r="A18" s="42">
        <v>1</v>
      </c>
      <c r="B18" s="40" t="s">
        <v>2300</v>
      </c>
      <c r="C18" s="40" t="s">
        <v>25</v>
      </c>
      <c r="D18" s="40" t="s">
        <v>1839</v>
      </c>
      <c r="E18" s="40" t="s">
        <v>38</v>
      </c>
      <c r="F18" s="43" t="s">
        <v>2301</v>
      </c>
      <c r="G18" s="40" t="s">
        <v>29</v>
      </c>
      <c r="H18" s="44">
        <v>100</v>
      </c>
      <c r="I18" s="41">
        <v>20</v>
      </c>
      <c r="J18" s="40" t="s">
        <v>30</v>
      </c>
      <c r="K18" s="40" t="s">
        <v>31</v>
      </c>
    </row>
    <row r="19" spans="1:13">
      <c r="A19" s="42">
        <v>1</v>
      </c>
      <c r="B19" s="40" t="s">
        <v>2302</v>
      </c>
      <c r="C19" s="40" t="s">
        <v>25</v>
      </c>
      <c r="D19" s="40" t="s">
        <v>718</v>
      </c>
      <c r="E19" s="40" t="s">
        <v>96</v>
      </c>
      <c r="F19" s="43" t="s">
        <v>2303</v>
      </c>
      <c r="G19" s="40" t="s">
        <v>29</v>
      </c>
      <c r="H19" s="200">
        <v>400</v>
      </c>
      <c r="I19" s="41">
        <v>80</v>
      </c>
      <c r="J19" s="40" t="s">
        <v>30</v>
      </c>
      <c r="K19" s="40" t="s">
        <v>31</v>
      </c>
    </row>
    <row r="20" spans="1:13">
      <c r="A20" s="42">
        <v>1</v>
      </c>
      <c r="B20" s="40" t="s">
        <v>2304</v>
      </c>
      <c r="C20" s="40" t="s">
        <v>25</v>
      </c>
      <c r="D20" s="40" t="s">
        <v>1637</v>
      </c>
      <c r="E20" s="40" t="s">
        <v>46</v>
      </c>
      <c r="F20" s="43" t="s">
        <v>2305</v>
      </c>
      <c r="G20" s="40" t="s">
        <v>29</v>
      </c>
      <c r="H20" s="44">
        <v>5000</v>
      </c>
      <c r="I20" s="41" t="s">
        <v>101</v>
      </c>
      <c r="J20" s="40" t="s">
        <v>30</v>
      </c>
      <c r="K20" s="40" t="s">
        <v>31</v>
      </c>
    </row>
    <row r="21" spans="1:13" ht="15.75" customHeight="1">
      <c r="A21" s="42">
        <v>1</v>
      </c>
      <c r="B21" s="40" t="s">
        <v>2306</v>
      </c>
      <c r="C21" s="40" t="s">
        <v>25</v>
      </c>
      <c r="D21" s="40" t="s">
        <v>163</v>
      </c>
      <c r="E21" s="40" t="s">
        <v>150</v>
      </c>
      <c r="F21" s="43" t="s">
        <v>2307</v>
      </c>
      <c r="G21" s="40" t="s">
        <v>29</v>
      </c>
      <c r="H21" s="44">
        <v>400</v>
      </c>
      <c r="I21" s="41" t="s">
        <v>101</v>
      </c>
      <c r="J21" s="40" t="s">
        <v>30</v>
      </c>
      <c r="K21" s="40" t="s">
        <v>31</v>
      </c>
    </row>
    <row r="22" spans="1:13" ht="15.75" customHeight="1">
      <c r="A22" s="42">
        <v>1</v>
      </c>
      <c r="B22" s="40" t="s">
        <v>2308</v>
      </c>
      <c r="C22" s="40" t="s">
        <v>59</v>
      </c>
      <c r="D22" s="40" t="s">
        <v>718</v>
      </c>
      <c r="E22" s="40" t="s">
        <v>96</v>
      </c>
      <c r="F22" s="43" t="s">
        <v>2309</v>
      </c>
      <c r="G22" s="40" t="s">
        <v>29</v>
      </c>
      <c r="H22" s="44">
        <v>1000</v>
      </c>
      <c r="I22" s="41">
        <v>200</v>
      </c>
      <c r="J22" s="40" t="s">
        <v>30</v>
      </c>
      <c r="K22" s="40" t="s">
        <v>31</v>
      </c>
      <c r="M22" s="157">
        <v>1600</v>
      </c>
    </row>
    <row r="23" spans="1:13" ht="15.75" customHeight="1">
      <c r="A23" s="42">
        <v>1</v>
      </c>
      <c r="B23" s="40" t="s">
        <v>2310</v>
      </c>
      <c r="C23" s="40" t="s">
        <v>25</v>
      </c>
      <c r="D23" s="40" t="s">
        <v>63</v>
      </c>
      <c r="E23" s="40" t="s">
        <v>540</v>
      </c>
      <c r="F23" s="43" t="s">
        <v>2311</v>
      </c>
      <c r="G23" s="40" t="s">
        <v>29</v>
      </c>
      <c r="H23" s="44">
        <v>500</v>
      </c>
      <c r="I23" s="407" t="s">
        <v>2312</v>
      </c>
      <c r="J23" s="40" t="s">
        <v>30</v>
      </c>
      <c r="K23" s="40" t="s">
        <v>31</v>
      </c>
      <c r="M23" s="157">
        <v>100</v>
      </c>
    </row>
    <row r="24" spans="1:13" ht="15.75" customHeight="1">
      <c r="A24" s="42">
        <v>1</v>
      </c>
      <c r="B24" s="40" t="s">
        <v>2310</v>
      </c>
      <c r="C24" s="40" t="s">
        <v>25</v>
      </c>
      <c r="D24" s="40" t="s">
        <v>63</v>
      </c>
      <c r="E24" s="40" t="s">
        <v>540</v>
      </c>
      <c r="F24" s="40"/>
      <c r="G24" s="40" t="s">
        <v>2313</v>
      </c>
      <c r="H24" s="44">
        <v>200</v>
      </c>
      <c r="I24" s="41">
        <v>200</v>
      </c>
      <c r="J24" s="40" t="s">
        <v>30</v>
      </c>
      <c r="K24" s="408" t="s">
        <v>31</v>
      </c>
    </row>
    <row r="25" spans="1:13" ht="15.75" customHeight="1">
      <c r="A25" s="42">
        <v>1</v>
      </c>
      <c r="B25" s="40" t="s">
        <v>2314</v>
      </c>
      <c r="C25" s="40" t="s">
        <v>25</v>
      </c>
      <c r="D25" s="40" t="s">
        <v>1564</v>
      </c>
      <c r="E25" s="40" t="s">
        <v>46</v>
      </c>
      <c r="F25" s="43" t="s">
        <v>2315</v>
      </c>
      <c r="G25" s="40" t="s">
        <v>29</v>
      </c>
      <c r="H25" s="44">
        <v>600</v>
      </c>
      <c r="I25" s="41">
        <v>120</v>
      </c>
      <c r="J25" s="40" t="s">
        <v>30</v>
      </c>
      <c r="K25" s="408" t="s">
        <v>31</v>
      </c>
    </row>
    <row r="26" spans="1:13" ht="15.75" customHeight="1">
      <c r="A26" s="42">
        <v>1</v>
      </c>
      <c r="B26" s="40" t="s">
        <v>589</v>
      </c>
      <c r="C26" s="40" t="s">
        <v>25</v>
      </c>
      <c r="D26" s="40" t="s">
        <v>63</v>
      </c>
      <c r="E26" s="40" t="s">
        <v>318</v>
      </c>
      <c r="F26" s="43" t="s">
        <v>590</v>
      </c>
      <c r="G26" s="40" t="s">
        <v>29</v>
      </c>
      <c r="H26" s="44">
        <v>1000</v>
      </c>
      <c r="I26" s="41">
        <v>200</v>
      </c>
      <c r="J26" s="40" t="s">
        <v>30</v>
      </c>
      <c r="K26" s="408" t="s">
        <v>31</v>
      </c>
    </row>
    <row r="27" spans="1:13" ht="15.75" customHeight="1">
      <c r="A27" s="42">
        <v>1</v>
      </c>
      <c r="B27" s="40" t="s">
        <v>2316</v>
      </c>
      <c r="C27" s="40" t="s">
        <v>25</v>
      </c>
      <c r="D27" s="40" t="s">
        <v>33</v>
      </c>
      <c r="E27" s="40" t="s">
        <v>38</v>
      </c>
      <c r="F27" s="43" t="s">
        <v>2317</v>
      </c>
      <c r="G27" s="40" t="s">
        <v>29</v>
      </c>
      <c r="H27" s="44">
        <v>500</v>
      </c>
      <c r="I27" s="41">
        <v>100</v>
      </c>
      <c r="J27" s="40" t="s">
        <v>30</v>
      </c>
      <c r="K27" s="408" t="s">
        <v>31</v>
      </c>
    </row>
    <row r="28" spans="1:13" ht="15.75" customHeight="1">
      <c r="A28" s="42">
        <v>1</v>
      </c>
      <c r="B28" s="40" t="s">
        <v>2318</v>
      </c>
      <c r="C28" s="40" t="s">
        <v>25</v>
      </c>
      <c r="D28" s="40" t="s">
        <v>2319</v>
      </c>
      <c r="E28" s="40" t="s">
        <v>38</v>
      </c>
      <c r="F28" s="43" t="s">
        <v>2113</v>
      </c>
      <c r="G28" s="40" t="s">
        <v>29</v>
      </c>
      <c r="H28" s="44">
        <v>500</v>
      </c>
      <c r="I28" s="41">
        <v>100</v>
      </c>
      <c r="J28" s="40" t="s">
        <v>30</v>
      </c>
      <c r="K28" s="408" t="s">
        <v>31</v>
      </c>
    </row>
    <row r="29" spans="1:13" ht="15.75" customHeight="1">
      <c r="A29" s="42">
        <v>1</v>
      </c>
      <c r="B29" s="40" t="s">
        <v>2320</v>
      </c>
      <c r="C29" s="40" t="s">
        <v>59</v>
      </c>
      <c r="D29" s="40" t="s">
        <v>89</v>
      </c>
      <c r="E29" s="40" t="s">
        <v>46</v>
      </c>
      <c r="F29" s="40"/>
      <c r="G29" s="40" t="s">
        <v>29</v>
      </c>
      <c r="H29" s="44">
        <v>500</v>
      </c>
      <c r="I29" s="41">
        <v>100</v>
      </c>
      <c r="J29" s="40" t="s">
        <v>30</v>
      </c>
      <c r="K29" s="408" t="s">
        <v>31</v>
      </c>
    </row>
    <row r="30" spans="1:13" ht="15.75" customHeight="1">
      <c r="A30" s="42">
        <v>1</v>
      </c>
      <c r="B30" s="40" t="s">
        <v>2321</v>
      </c>
      <c r="C30" s="40" t="s">
        <v>25</v>
      </c>
      <c r="D30" s="40" t="s">
        <v>532</v>
      </c>
      <c r="E30" s="40" t="s">
        <v>2053</v>
      </c>
      <c r="F30" s="43" t="s">
        <v>2322</v>
      </c>
      <c r="G30" s="40" t="s">
        <v>29</v>
      </c>
      <c r="H30" s="44">
        <v>5000</v>
      </c>
      <c r="I30" s="41" t="s">
        <v>101</v>
      </c>
      <c r="J30" s="40" t="s">
        <v>30</v>
      </c>
      <c r="K30" s="408" t="s">
        <v>31</v>
      </c>
    </row>
    <row r="31" spans="1:13" ht="15.75" customHeight="1">
      <c r="A31" s="42">
        <v>1</v>
      </c>
      <c r="B31" s="40" t="s">
        <v>2323</v>
      </c>
      <c r="C31" s="40" t="s">
        <v>25</v>
      </c>
      <c r="D31" s="40" t="s">
        <v>1964</v>
      </c>
      <c r="E31" s="40" t="s">
        <v>96</v>
      </c>
      <c r="F31" s="40"/>
      <c r="G31" s="40" t="s">
        <v>29</v>
      </c>
      <c r="H31" s="44">
        <v>50</v>
      </c>
      <c r="I31" s="41" t="s">
        <v>101</v>
      </c>
      <c r="J31" s="40" t="s">
        <v>30</v>
      </c>
      <c r="K31" s="408" t="s">
        <v>31</v>
      </c>
    </row>
    <row r="32" spans="1:13" ht="15.75" customHeight="1">
      <c r="A32" s="42">
        <v>1</v>
      </c>
      <c r="B32" s="40" t="s">
        <v>2324</v>
      </c>
      <c r="C32" s="40" t="s">
        <v>25</v>
      </c>
      <c r="D32" s="40" t="s">
        <v>600</v>
      </c>
      <c r="E32" s="40" t="s">
        <v>60</v>
      </c>
      <c r="F32" s="43" t="s">
        <v>2325</v>
      </c>
      <c r="G32" s="40" t="s">
        <v>29</v>
      </c>
      <c r="H32" s="44">
        <v>1000</v>
      </c>
      <c r="I32" s="41">
        <v>200</v>
      </c>
      <c r="J32" s="40" t="s">
        <v>30</v>
      </c>
      <c r="K32" s="408" t="s">
        <v>31</v>
      </c>
    </row>
    <row r="33" spans="1:13" ht="15.75" customHeight="1">
      <c r="A33" s="42">
        <v>1</v>
      </c>
      <c r="B33" s="40" t="s">
        <v>2326</v>
      </c>
      <c r="C33" s="40" t="s">
        <v>25</v>
      </c>
      <c r="D33" s="40" t="s">
        <v>63</v>
      </c>
      <c r="E33" s="40" t="s">
        <v>38</v>
      </c>
      <c r="F33" s="40"/>
      <c r="G33" s="40" t="s">
        <v>29</v>
      </c>
      <c r="H33" s="44">
        <v>1000</v>
      </c>
      <c r="I33" s="41">
        <v>200</v>
      </c>
      <c r="J33" s="40" t="s">
        <v>30</v>
      </c>
      <c r="K33" s="408" t="s">
        <v>31</v>
      </c>
    </row>
    <row r="34" spans="1:13" ht="15.75" customHeight="1">
      <c r="A34" s="42">
        <v>1</v>
      </c>
      <c r="B34" s="40" t="s">
        <v>1549</v>
      </c>
      <c r="C34" s="40" t="s">
        <v>25</v>
      </c>
      <c r="D34" s="40" t="s">
        <v>570</v>
      </c>
      <c r="E34" s="40" t="s">
        <v>60</v>
      </c>
      <c r="F34" s="43" t="s">
        <v>1607</v>
      </c>
      <c r="G34" s="40" t="s">
        <v>29</v>
      </c>
      <c r="H34" s="44">
        <v>1000</v>
      </c>
      <c r="I34" s="41">
        <v>200</v>
      </c>
      <c r="J34" s="40" t="s">
        <v>30</v>
      </c>
      <c r="K34" s="408" t="s">
        <v>31</v>
      </c>
    </row>
    <row r="35" spans="1:13" ht="15.75" customHeight="1">
      <c r="A35" s="42">
        <v>1</v>
      </c>
      <c r="B35" s="40" t="s">
        <v>1344</v>
      </c>
      <c r="C35" s="40" t="s">
        <v>25</v>
      </c>
      <c r="D35" s="40" t="s">
        <v>63</v>
      </c>
      <c r="E35" s="40" t="s">
        <v>96</v>
      </c>
      <c r="F35" s="43" t="s">
        <v>1345</v>
      </c>
      <c r="G35" s="40" t="s">
        <v>29</v>
      </c>
      <c r="H35" s="44">
        <v>1000</v>
      </c>
      <c r="I35" s="41">
        <v>200</v>
      </c>
      <c r="J35" s="40" t="s">
        <v>30</v>
      </c>
      <c r="K35" s="408" t="s">
        <v>31</v>
      </c>
    </row>
    <row r="36" spans="1:13" ht="15.75" customHeight="1">
      <c r="A36" s="42">
        <v>1</v>
      </c>
      <c r="B36" s="40" t="s">
        <v>2327</v>
      </c>
      <c r="C36" s="40" t="s">
        <v>25</v>
      </c>
      <c r="D36" s="40" t="s">
        <v>63</v>
      </c>
      <c r="E36" s="40" t="s">
        <v>96</v>
      </c>
      <c r="F36" s="43" t="s">
        <v>2328</v>
      </c>
      <c r="G36" s="40" t="s">
        <v>29</v>
      </c>
      <c r="H36" s="44">
        <v>1000</v>
      </c>
      <c r="I36" s="41">
        <v>200</v>
      </c>
      <c r="J36" s="40" t="s">
        <v>30</v>
      </c>
      <c r="K36" s="408" t="s">
        <v>31</v>
      </c>
    </row>
    <row r="37" spans="1:13" ht="15.75" customHeight="1">
      <c r="A37" s="42">
        <v>1</v>
      </c>
      <c r="B37" s="40" t="s">
        <v>1066</v>
      </c>
      <c r="C37" s="40" t="s">
        <v>25</v>
      </c>
      <c r="D37" s="40" t="s">
        <v>245</v>
      </c>
      <c r="E37" s="40" t="s">
        <v>150</v>
      </c>
      <c r="F37" s="43" t="s">
        <v>1067</v>
      </c>
      <c r="G37" s="40" t="s">
        <v>29</v>
      </c>
      <c r="H37" s="44">
        <v>1000</v>
      </c>
      <c r="I37" s="41">
        <v>200</v>
      </c>
      <c r="J37" s="40" t="s">
        <v>30</v>
      </c>
      <c r="K37" s="408" t="s">
        <v>31</v>
      </c>
      <c r="M37" s="157">
        <v>200</v>
      </c>
    </row>
    <row r="38" spans="1:13" ht="15.75" customHeight="1">
      <c r="A38" s="42">
        <v>1</v>
      </c>
      <c r="B38" s="40" t="s">
        <v>2329</v>
      </c>
      <c r="C38" s="40" t="s">
        <v>25</v>
      </c>
      <c r="D38" s="40" t="s">
        <v>55</v>
      </c>
      <c r="E38" s="40" t="s">
        <v>96</v>
      </c>
      <c r="F38" s="43" t="s">
        <v>2330</v>
      </c>
      <c r="G38" s="40" t="s">
        <v>29</v>
      </c>
      <c r="H38" s="44">
        <v>1000</v>
      </c>
      <c r="I38" s="41">
        <v>200</v>
      </c>
      <c r="J38" s="40" t="s">
        <v>30</v>
      </c>
      <c r="K38" s="408" t="s">
        <v>31</v>
      </c>
      <c r="M38" s="157">
        <v>600</v>
      </c>
    </row>
    <row r="39" spans="1:13" ht="15.75" customHeight="1">
      <c r="A39" s="42">
        <v>1</v>
      </c>
      <c r="B39" s="40" t="s">
        <v>2331</v>
      </c>
      <c r="C39" s="40" t="s">
        <v>25</v>
      </c>
      <c r="D39" s="40" t="s">
        <v>718</v>
      </c>
      <c r="E39" s="40" t="s">
        <v>96</v>
      </c>
      <c r="F39" s="43" t="s">
        <v>2332</v>
      </c>
      <c r="G39" s="40" t="s">
        <v>29</v>
      </c>
      <c r="H39" s="44">
        <v>1000</v>
      </c>
      <c r="I39" s="41">
        <v>200</v>
      </c>
      <c r="J39" s="40" t="s">
        <v>30</v>
      </c>
      <c r="K39" s="408" t="s">
        <v>31</v>
      </c>
      <c r="M39" s="157">
        <v>300</v>
      </c>
    </row>
    <row r="40" spans="1:13" ht="15.75" customHeight="1">
      <c r="A40" s="42">
        <v>1</v>
      </c>
      <c r="B40" s="40" t="s">
        <v>2333</v>
      </c>
      <c r="C40" s="40" t="s">
        <v>25</v>
      </c>
      <c r="D40" s="40" t="s">
        <v>570</v>
      </c>
      <c r="E40" s="40" t="s">
        <v>60</v>
      </c>
      <c r="F40" s="40"/>
      <c r="G40" s="40" t="s">
        <v>29</v>
      </c>
      <c r="H40" s="44">
        <v>1000</v>
      </c>
      <c r="I40" s="41">
        <v>200</v>
      </c>
      <c r="J40" s="40" t="s">
        <v>30</v>
      </c>
      <c r="K40" s="408" t="s">
        <v>31</v>
      </c>
    </row>
    <row r="41" spans="1:13" ht="15.75" customHeight="1">
      <c r="A41" s="42">
        <v>1</v>
      </c>
      <c r="B41" s="40" t="s">
        <v>2334</v>
      </c>
      <c r="C41" s="40" t="s">
        <v>59</v>
      </c>
      <c r="D41" s="40" t="s">
        <v>176</v>
      </c>
      <c r="E41" s="40" t="s">
        <v>27</v>
      </c>
      <c r="F41" s="43" t="s">
        <v>2335</v>
      </c>
      <c r="G41" s="40" t="s">
        <v>29</v>
      </c>
      <c r="H41" s="44">
        <v>1000</v>
      </c>
      <c r="I41" s="41">
        <v>200</v>
      </c>
      <c r="J41" s="40" t="s">
        <v>30</v>
      </c>
      <c r="K41" s="408" t="s">
        <v>31</v>
      </c>
    </row>
    <row r="42" spans="1:13" ht="15.75" customHeight="1">
      <c r="A42" s="42">
        <v>1</v>
      </c>
      <c r="B42" s="40" t="s">
        <v>2336</v>
      </c>
      <c r="C42" s="40" t="s">
        <v>25</v>
      </c>
      <c r="D42" s="40" t="s">
        <v>1336</v>
      </c>
      <c r="E42" s="40" t="s">
        <v>38</v>
      </c>
      <c r="F42" s="43" t="s">
        <v>2337</v>
      </c>
      <c r="G42" s="40" t="s">
        <v>29</v>
      </c>
      <c r="H42" s="44">
        <v>500</v>
      </c>
      <c r="I42" s="41">
        <v>100</v>
      </c>
      <c r="J42" s="40" t="s">
        <v>30</v>
      </c>
      <c r="K42" s="408" t="s">
        <v>31</v>
      </c>
    </row>
    <row r="43" spans="1:13" ht="15.75" customHeight="1">
      <c r="A43" s="42">
        <v>1</v>
      </c>
      <c r="B43" s="40" t="s">
        <v>2338</v>
      </c>
      <c r="C43" s="40" t="s">
        <v>25</v>
      </c>
      <c r="D43" s="40" t="s">
        <v>89</v>
      </c>
      <c r="E43" s="40" t="s">
        <v>46</v>
      </c>
      <c r="F43" s="43" t="s">
        <v>2339</v>
      </c>
      <c r="G43" s="40" t="s">
        <v>29</v>
      </c>
      <c r="H43" s="44">
        <v>500</v>
      </c>
      <c r="I43" s="41">
        <v>100</v>
      </c>
      <c r="J43" s="40" t="s">
        <v>30</v>
      </c>
      <c r="K43" s="408" t="s">
        <v>31</v>
      </c>
      <c r="M43" s="157">
        <v>150</v>
      </c>
    </row>
    <row r="44" spans="1:13" ht="15.75" customHeight="1">
      <c r="A44" s="42">
        <v>1</v>
      </c>
      <c r="B44" s="40" t="s">
        <v>2340</v>
      </c>
      <c r="C44" s="40" t="s">
        <v>59</v>
      </c>
      <c r="D44" s="40" t="s">
        <v>89</v>
      </c>
      <c r="E44" s="40" t="s">
        <v>38</v>
      </c>
      <c r="F44" s="43" t="s">
        <v>2341</v>
      </c>
      <c r="G44" s="40" t="s">
        <v>29</v>
      </c>
      <c r="H44" s="44">
        <v>500</v>
      </c>
      <c r="I44" s="41">
        <v>100</v>
      </c>
      <c r="J44" s="40" t="s">
        <v>30</v>
      </c>
      <c r="K44" s="408" t="s">
        <v>31</v>
      </c>
    </row>
    <row r="45" spans="1:13" ht="15.75" customHeight="1">
      <c r="A45" s="42">
        <v>1</v>
      </c>
      <c r="B45" s="40" t="s">
        <v>2342</v>
      </c>
      <c r="C45" s="40" t="s">
        <v>59</v>
      </c>
      <c r="D45" s="40" t="s">
        <v>89</v>
      </c>
      <c r="E45" s="40" t="s">
        <v>38</v>
      </c>
      <c r="F45" s="43" t="s">
        <v>2343</v>
      </c>
      <c r="G45" s="40" t="s">
        <v>29</v>
      </c>
      <c r="H45" s="44">
        <v>500</v>
      </c>
      <c r="I45" s="41">
        <v>100</v>
      </c>
      <c r="J45" s="40" t="s">
        <v>30</v>
      </c>
      <c r="K45" s="408" t="s">
        <v>31</v>
      </c>
    </row>
    <row r="46" spans="1:13" ht="15.75" customHeight="1">
      <c r="A46" s="42">
        <v>1</v>
      </c>
      <c r="B46" s="40" t="s">
        <v>2344</v>
      </c>
      <c r="C46" s="40" t="s">
        <v>25</v>
      </c>
      <c r="D46" s="40" t="s">
        <v>2345</v>
      </c>
      <c r="E46" s="40" t="s">
        <v>1491</v>
      </c>
      <c r="F46" s="40"/>
      <c r="G46" s="40" t="s">
        <v>29</v>
      </c>
      <c r="H46" s="44">
        <v>500</v>
      </c>
      <c r="I46" s="41">
        <v>100</v>
      </c>
      <c r="J46" s="40" t="s">
        <v>30</v>
      </c>
      <c r="K46" s="408" t="s">
        <v>31</v>
      </c>
      <c r="M46" s="157">
        <v>100</v>
      </c>
    </row>
    <row r="47" spans="1:13" ht="15.75" customHeight="1">
      <c r="A47" s="42">
        <v>1</v>
      </c>
      <c r="B47" s="40" t="s">
        <v>2346</v>
      </c>
      <c r="C47" s="40" t="s">
        <v>25</v>
      </c>
      <c r="D47" s="40" t="s">
        <v>2345</v>
      </c>
      <c r="E47" s="40" t="s">
        <v>1491</v>
      </c>
      <c r="F47" s="40"/>
      <c r="G47" s="40" t="s">
        <v>29</v>
      </c>
      <c r="H47" s="44">
        <v>500</v>
      </c>
      <c r="I47" s="41">
        <v>100</v>
      </c>
      <c r="J47" s="40" t="s">
        <v>30</v>
      </c>
      <c r="K47" s="408" t="s">
        <v>31</v>
      </c>
      <c r="M47" s="157">
        <v>100</v>
      </c>
    </row>
    <row r="48" spans="1:13" ht="15.75" customHeight="1">
      <c r="A48" s="42">
        <v>1</v>
      </c>
      <c r="B48" s="40" t="s">
        <v>2347</v>
      </c>
      <c r="C48" s="40" t="s">
        <v>25</v>
      </c>
      <c r="D48" s="40" t="s">
        <v>2345</v>
      </c>
      <c r="E48" s="40" t="s">
        <v>1491</v>
      </c>
      <c r="F48" s="40"/>
      <c r="G48" s="40" t="s">
        <v>29</v>
      </c>
      <c r="H48" s="44">
        <v>500</v>
      </c>
      <c r="I48" s="41">
        <v>100</v>
      </c>
      <c r="J48" s="40" t="s">
        <v>30</v>
      </c>
      <c r="K48" s="408" t="s">
        <v>31</v>
      </c>
      <c r="M48" s="157">
        <v>150</v>
      </c>
    </row>
    <row r="49" spans="1:13" ht="15.75" customHeight="1">
      <c r="A49" s="42">
        <v>1</v>
      </c>
      <c r="B49" s="40" t="s">
        <v>2348</v>
      </c>
      <c r="C49" s="40" t="s">
        <v>25</v>
      </c>
      <c r="D49" s="40" t="s">
        <v>2345</v>
      </c>
      <c r="E49" s="40" t="s">
        <v>1491</v>
      </c>
      <c r="F49" s="40"/>
      <c r="G49" s="40" t="s">
        <v>29</v>
      </c>
      <c r="H49" s="44">
        <v>500</v>
      </c>
      <c r="I49" s="41">
        <v>100</v>
      </c>
      <c r="J49" s="40" t="s">
        <v>30</v>
      </c>
      <c r="K49" s="408" t="s">
        <v>31</v>
      </c>
      <c r="M49" s="157">
        <v>180</v>
      </c>
    </row>
    <row r="50" spans="1:13" ht="15.75" customHeight="1">
      <c r="A50" s="42">
        <v>1</v>
      </c>
      <c r="B50" s="40" t="s">
        <v>2349</v>
      </c>
      <c r="C50" s="40" t="s">
        <v>25</v>
      </c>
      <c r="D50" s="40" t="s">
        <v>77</v>
      </c>
      <c r="E50" s="40" t="s">
        <v>96</v>
      </c>
      <c r="F50" s="43" t="s">
        <v>2350</v>
      </c>
      <c r="G50" s="40" t="s">
        <v>29</v>
      </c>
      <c r="H50" s="44">
        <v>500</v>
      </c>
      <c r="I50" s="41">
        <v>100</v>
      </c>
      <c r="J50" s="40" t="s">
        <v>30</v>
      </c>
      <c r="K50" s="408" t="s">
        <v>31</v>
      </c>
      <c r="M50" s="157">
        <v>120</v>
      </c>
    </row>
    <row r="51" spans="1:13" ht="15.75" customHeight="1">
      <c r="A51" s="42">
        <v>1</v>
      </c>
      <c r="B51" s="40" t="s">
        <v>2351</v>
      </c>
      <c r="C51" s="40" t="s">
        <v>25</v>
      </c>
      <c r="D51" s="40" t="s">
        <v>77</v>
      </c>
      <c r="E51" s="40" t="s">
        <v>96</v>
      </c>
      <c r="F51" s="40"/>
      <c r="G51" s="40" t="s">
        <v>29</v>
      </c>
      <c r="H51" s="44">
        <v>500</v>
      </c>
      <c r="I51" s="41">
        <v>100</v>
      </c>
      <c r="J51" s="40" t="s">
        <v>30</v>
      </c>
      <c r="K51" s="408" t="s">
        <v>31</v>
      </c>
      <c r="M51" s="157">
        <v>205</v>
      </c>
    </row>
    <row r="52" spans="1:13" ht="15.75" customHeight="1">
      <c r="A52" s="42">
        <v>1</v>
      </c>
      <c r="B52" s="40" t="s">
        <v>2352</v>
      </c>
      <c r="C52" s="40" t="s">
        <v>25</v>
      </c>
      <c r="D52" s="40" t="s">
        <v>1082</v>
      </c>
      <c r="E52" s="40" t="s">
        <v>96</v>
      </c>
      <c r="F52" s="43" t="s">
        <v>2353</v>
      </c>
      <c r="G52" s="40" t="s">
        <v>29</v>
      </c>
      <c r="H52" s="44">
        <v>500</v>
      </c>
      <c r="I52" s="41" t="s">
        <v>101</v>
      </c>
      <c r="J52" s="40" t="s">
        <v>30</v>
      </c>
      <c r="K52" s="408" t="s">
        <v>31</v>
      </c>
      <c r="M52" s="157">
        <v>150</v>
      </c>
    </row>
    <row r="53" spans="1:13" ht="15.75" customHeight="1">
      <c r="A53" s="42">
        <v>1</v>
      </c>
      <c r="B53" s="40" t="s">
        <v>2354</v>
      </c>
      <c r="C53" s="40" t="s">
        <v>25</v>
      </c>
      <c r="D53" s="40" t="s">
        <v>92</v>
      </c>
      <c r="E53" s="40" t="s">
        <v>46</v>
      </c>
      <c r="F53" s="40"/>
      <c r="G53" s="40" t="s">
        <v>29</v>
      </c>
      <c r="H53" s="44">
        <v>300</v>
      </c>
      <c r="I53" s="41">
        <v>60</v>
      </c>
      <c r="J53" s="40" t="s">
        <v>30</v>
      </c>
      <c r="K53" s="408" t="s">
        <v>31</v>
      </c>
    </row>
    <row r="54" spans="1:13" ht="15.75" customHeight="1">
      <c r="A54" s="42">
        <v>1</v>
      </c>
      <c r="B54" s="40" t="s">
        <v>2355</v>
      </c>
      <c r="C54" s="40" t="s">
        <v>25</v>
      </c>
      <c r="D54" s="40" t="s">
        <v>2356</v>
      </c>
      <c r="E54" s="40" t="s">
        <v>1308</v>
      </c>
      <c r="F54" s="43" t="s">
        <v>2357</v>
      </c>
      <c r="G54" s="40" t="s">
        <v>29</v>
      </c>
      <c r="H54" s="44">
        <v>1500</v>
      </c>
      <c r="I54" s="41">
        <v>300</v>
      </c>
      <c r="J54" s="40" t="s">
        <v>30</v>
      </c>
      <c r="K54" s="408" t="s">
        <v>31</v>
      </c>
    </row>
    <row r="55" spans="1:13" ht="15.75" customHeight="1">
      <c r="A55" s="42">
        <v>1</v>
      </c>
      <c r="B55" s="40" t="s">
        <v>2355</v>
      </c>
      <c r="C55" s="40" t="s">
        <v>25</v>
      </c>
      <c r="D55" s="40" t="s">
        <v>2356</v>
      </c>
      <c r="E55" s="40" t="s">
        <v>1308</v>
      </c>
      <c r="F55" s="40"/>
      <c r="G55" s="40" t="s">
        <v>321</v>
      </c>
      <c r="H55" s="44">
        <v>200</v>
      </c>
      <c r="I55" s="41">
        <v>600</v>
      </c>
      <c r="J55" s="40" t="s">
        <v>30</v>
      </c>
      <c r="K55" s="408" t="s">
        <v>31</v>
      </c>
    </row>
    <row r="56" spans="1:13" ht="15.75" customHeight="1">
      <c r="A56" s="42">
        <v>1</v>
      </c>
      <c r="B56" s="40" t="s">
        <v>2355</v>
      </c>
      <c r="C56" s="40" t="s">
        <v>25</v>
      </c>
      <c r="D56" s="40" t="s">
        <v>2356</v>
      </c>
      <c r="E56" s="40" t="s">
        <v>1308</v>
      </c>
      <c r="F56" s="40"/>
      <c r="G56" s="40" t="s">
        <v>2313</v>
      </c>
      <c r="H56" s="44">
        <v>500</v>
      </c>
      <c r="I56" s="41">
        <v>300</v>
      </c>
      <c r="J56" s="40" t="s">
        <v>30</v>
      </c>
      <c r="K56" s="408" t="s">
        <v>31</v>
      </c>
    </row>
    <row r="57" spans="1:13" ht="15.75" customHeight="1">
      <c r="A57" s="42">
        <v>1</v>
      </c>
      <c r="B57" s="40" t="s">
        <v>2358</v>
      </c>
      <c r="C57" s="40" t="s">
        <v>25</v>
      </c>
      <c r="D57" s="40" t="s">
        <v>700</v>
      </c>
      <c r="E57" s="40" t="s">
        <v>46</v>
      </c>
      <c r="F57" s="43" t="s">
        <v>2359</v>
      </c>
      <c r="G57" s="40" t="s">
        <v>2313</v>
      </c>
      <c r="H57" s="44">
        <v>200</v>
      </c>
      <c r="I57" s="41">
        <v>120</v>
      </c>
      <c r="J57" s="40" t="s">
        <v>30</v>
      </c>
      <c r="K57" s="408" t="s">
        <v>31</v>
      </c>
    </row>
    <row r="58" spans="1:13" ht="15.75" customHeight="1">
      <c r="A58" s="42">
        <v>1</v>
      </c>
      <c r="B58" s="40" t="s">
        <v>2360</v>
      </c>
      <c r="C58" s="40" t="s">
        <v>25</v>
      </c>
      <c r="D58" s="40" t="s">
        <v>706</v>
      </c>
      <c r="E58" s="40" t="s">
        <v>38</v>
      </c>
      <c r="F58" s="40"/>
      <c r="G58" s="40" t="s">
        <v>29</v>
      </c>
      <c r="H58" s="44">
        <v>400</v>
      </c>
      <c r="I58" s="41">
        <v>80</v>
      </c>
      <c r="J58" s="40" t="s">
        <v>30</v>
      </c>
      <c r="K58" s="408" t="s">
        <v>31</v>
      </c>
    </row>
    <row r="59" spans="1:13" ht="15.75" customHeight="1">
      <c r="A59" s="42">
        <v>1</v>
      </c>
      <c r="B59" s="40" t="s">
        <v>2361</v>
      </c>
      <c r="C59" s="40" t="s">
        <v>25</v>
      </c>
      <c r="D59" s="40" t="s">
        <v>593</v>
      </c>
      <c r="E59" s="40" t="s">
        <v>96</v>
      </c>
      <c r="F59" s="43" t="s">
        <v>2362</v>
      </c>
      <c r="G59" s="40" t="s">
        <v>29</v>
      </c>
      <c r="H59" s="44">
        <v>1200</v>
      </c>
      <c r="I59" s="41">
        <v>240</v>
      </c>
      <c r="J59" s="40" t="s">
        <v>30</v>
      </c>
      <c r="K59" s="408" t="s">
        <v>31</v>
      </c>
    </row>
    <row r="60" spans="1:13" ht="15.75" customHeight="1">
      <c r="A60" s="42">
        <v>1</v>
      </c>
      <c r="B60" s="40" t="s">
        <v>2363</v>
      </c>
      <c r="C60" s="40" t="s">
        <v>25</v>
      </c>
      <c r="D60" s="40" t="s">
        <v>176</v>
      </c>
      <c r="E60" s="40" t="s">
        <v>38</v>
      </c>
      <c r="F60" s="43" t="s">
        <v>2364</v>
      </c>
      <c r="G60" s="40" t="s">
        <v>29</v>
      </c>
      <c r="H60" s="44">
        <v>1000</v>
      </c>
      <c r="I60" s="41">
        <v>200</v>
      </c>
      <c r="J60" s="40" t="s">
        <v>30</v>
      </c>
      <c r="K60" s="408" t="s">
        <v>31</v>
      </c>
      <c r="M60" s="157">
        <v>187</v>
      </c>
    </row>
    <row r="61" spans="1:13" ht="15.75" customHeight="1">
      <c r="A61" s="42">
        <v>1</v>
      </c>
      <c r="B61" s="40" t="s">
        <v>2365</v>
      </c>
      <c r="C61" s="40" t="s">
        <v>25</v>
      </c>
      <c r="D61" s="40" t="s">
        <v>204</v>
      </c>
      <c r="E61" s="40" t="s">
        <v>50</v>
      </c>
      <c r="F61" s="40"/>
      <c r="G61" s="40" t="s">
        <v>29</v>
      </c>
      <c r="H61" s="44">
        <v>6000</v>
      </c>
      <c r="I61" s="41">
        <v>1200</v>
      </c>
      <c r="J61" s="40" t="s">
        <v>30</v>
      </c>
      <c r="K61" s="408" t="s">
        <v>31</v>
      </c>
    </row>
    <row r="62" spans="1:13" ht="15.75" customHeight="1">
      <c r="A62" s="42">
        <v>1</v>
      </c>
      <c r="B62" s="40" t="s">
        <v>2366</v>
      </c>
      <c r="C62" s="40" t="s">
        <v>25</v>
      </c>
      <c r="D62" s="40" t="s">
        <v>1287</v>
      </c>
      <c r="E62" s="40" t="s">
        <v>42</v>
      </c>
      <c r="F62" s="43" t="s">
        <v>2367</v>
      </c>
      <c r="G62" s="40" t="s">
        <v>29</v>
      </c>
      <c r="H62" s="44">
        <v>4000</v>
      </c>
      <c r="I62" s="41">
        <v>800</v>
      </c>
      <c r="J62" s="40" t="s">
        <v>30</v>
      </c>
      <c r="K62" s="408" t="s">
        <v>31</v>
      </c>
      <c r="M62" s="157">
        <v>1500</v>
      </c>
    </row>
    <row r="63" spans="1:13" ht="15.75" customHeight="1">
      <c r="A63" s="42">
        <v>1</v>
      </c>
      <c r="B63" s="40" t="s">
        <v>44</v>
      </c>
      <c r="C63" s="40" t="s">
        <v>25</v>
      </c>
      <c r="D63" s="40" t="s">
        <v>45</v>
      </c>
      <c r="E63" s="40" t="s">
        <v>46</v>
      </c>
      <c r="F63" s="43" t="s">
        <v>47</v>
      </c>
      <c r="G63" s="40" t="s">
        <v>2313</v>
      </c>
      <c r="H63" s="44">
        <v>200</v>
      </c>
      <c r="I63" s="41">
        <v>120</v>
      </c>
      <c r="J63" s="40" t="s">
        <v>30</v>
      </c>
      <c r="K63" s="408" t="s">
        <v>31</v>
      </c>
    </row>
    <row r="64" spans="1:13" ht="15.75" customHeight="1">
      <c r="A64" s="42">
        <v>1</v>
      </c>
      <c r="B64" s="40" t="s">
        <v>2368</v>
      </c>
      <c r="C64" s="40" t="s">
        <v>25</v>
      </c>
      <c r="D64" s="40" t="s">
        <v>92</v>
      </c>
      <c r="E64" s="40" t="s">
        <v>46</v>
      </c>
      <c r="F64" s="43" t="s">
        <v>2369</v>
      </c>
      <c r="G64" s="40" t="s">
        <v>29</v>
      </c>
      <c r="H64" s="44">
        <v>500</v>
      </c>
      <c r="I64" s="41" t="s">
        <v>101</v>
      </c>
      <c r="J64" s="40" t="s">
        <v>30</v>
      </c>
      <c r="K64" s="408" t="s">
        <v>31</v>
      </c>
    </row>
    <row r="65" spans="1:15" ht="15.75" customHeight="1">
      <c r="A65" s="42">
        <v>2</v>
      </c>
      <c r="B65" s="40" t="s">
        <v>2370</v>
      </c>
      <c r="C65" s="40" t="s">
        <v>25</v>
      </c>
      <c r="D65" s="40" t="s">
        <v>2371</v>
      </c>
      <c r="E65" s="40" t="s">
        <v>50</v>
      </c>
      <c r="F65" s="43" t="s">
        <v>2372</v>
      </c>
      <c r="G65" s="40" t="s">
        <v>29</v>
      </c>
      <c r="H65" s="44">
        <v>500</v>
      </c>
      <c r="I65" s="41">
        <v>100</v>
      </c>
      <c r="J65" s="40" t="s">
        <v>30</v>
      </c>
      <c r="K65" s="408" t="s">
        <v>31</v>
      </c>
      <c r="M65" s="157">
        <v>200</v>
      </c>
    </row>
    <row r="66" spans="1:15" ht="15.75" customHeight="1">
      <c r="A66" s="42">
        <v>2</v>
      </c>
      <c r="B66" s="40" t="s">
        <v>2370</v>
      </c>
      <c r="C66" s="40" t="s">
        <v>25</v>
      </c>
      <c r="D66" s="40" t="s">
        <v>2371</v>
      </c>
      <c r="E66" s="40" t="s">
        <v>50</v>
      </c>
      <c r="F66" s="40"/>
      <c r="G66" s="40" t="s">
        <v>2313</v>
      </c>
      <c r="H66" s="44">
        <v>500</v>
      </c>
      <c r="I66" s="41">
        <v>300</v>
      </c>
      <c r="J66" s="40" t="s">
        <v>30</v>
      </c>
      <c r="K66" s="408" t="s">
        <v>31</v>
      </c>
    </row>
    <row r="67" spans="1:15" ht="15.75" customHeight="1">
      <c r="A67" s="42">
        <v>2</v>
      </c>
      <c r="B67" s="40" t="s">
        <v>2373</v>
      </c>
      <c r="C67" s="40" t="s">
        <v>25</v>
      </c>
      <c r="D67" s="40" t="s">
        <v>2090</v>
      </c>
      <c r="E67" s="40" t="s">
        <v>96</v>
      </c>
      <c r="F67" s="43" t="s">
        <v>2374</v>
      </c>
      <c r="G67" s="40" t="s">
        <v>29</v>
      </c>
      <c r="H67" s="44">
        <v>500</v>
      </c>
      <c r="I67" s="41">
        <v>100</v>
      </c>
      <c r="J67" s="40" t="s">
        <v>30</v>
      </c>
      <c r="K67" s="408" t="s">
        <v>31</v>
      </c>
      <c r="M67" s="157">
        <v>300</v>
      </c>
    </row>
    <row r="68" spans="1:15" ht="15.75" customHeight="1">
      <c r="A68" s="42">
        <v>2</v>
      </c>
      <c r="B68" s="40" t="s">
        <v>2375</v>
      </c>
      <c r="C68" s="40" t="s">
        <v>25</v>
      </c>
      <c r="D68" s="40" t="s">
        <v>99</v>
      </c>
      <c r="E68" s="40" t="s">
        <v>42</v>
      </c>
      <c r="F68" s="43" t="s">
        <v>2376</v>
      </c>
      <c r="G68" s="40" t="s">
        <v>29</v>
      </c>
      <c r="H68" s="44">
        <v>3000</v>
      </c>
      <c r="I68" s="41">
        <v>600</v>
      </c>
      <c r="J68" s="40" t="s">
        <v>30</v>
      </c>
      <c r="K68" s="408" t="s">
        <v>31</v>
      </c>
      <c r="M68" s="157">
        <v>600</v>
      </c>
    </row>
    <row r="69" spans="1:15" ht="15.75" customHeight="1">
      <c r="A69" s="42">
        <v>2</v>
      </c>
      <c r="B69" s="40" t="s">
        <v>2375</v>
      </c>
      <c r="C69" s="40" t="s">
        <v>25</v>
      </c>
      <c r="D69" s="40" t="s">
        <v>99</v>
      </c>
      <c r="E69" s="40" t="s">
        <v>42</v>
      </c>
      <c r="F69" s="40"/>
      <c r="G69" s="40" t="s">
        <v>2313</v>
      </c>
      <c r="H69" s="44">
        <v>200</v>
      </c>
      <c r="I69" s="41">
        <v>120</v>
      </c>
      <c r="J69" s="40" t="s">
        <v>30</v>
      </c>
      <c r="K69" s="408" t="s">
        <v>31</v>
      </c>
      <c r="O69" s="157">
        <v>3000</v>
      </c>
    </row>
    <row r="70" spans="1:15" ht="15.75" customHeight="1">
      <c r="A70" s="42">
        <v>2</v>
      </c>
      <c r="B70" s="40" t="s">
        <v>2377</v>
      </c>
      <c r="C70" s="40" t="s">
        <v>25</v>
      </c>
      <c r="D70" s="40" t="s">
        <v>627</v>
      </c>
      <c r="E70" s="40" t="s">
        <v>540</v>
      </c>
      <c r="F70" s="43" t="s">
        <v>2378</v>
      </c>
      <c r="G70" s="40" t="s">
        <v>29</v>
      </c>
      <c r="H70" s="44">
        <v>500</v>
      </c>
      <c r="I70" s="41">
        <v>100</v>
      </c>
      <c r="J70" s="40" t="s">
        <v>30</v>
      </c>
      <c r="K70" s="408" t="s">
        <v>31</v>
      </c>
      <c r="M70" s="157">
        <v>600</v>
      </c>
      <c r="O70" s="45">
        <f>SUM(H20:H21,H23,H30:H31,H52,H64,H77,H87)</f>
        <v>12650</v>
      </c>
    </row>
    <row r="71" spans="1:15" ht="15.75" customHeight="1">
      <c r="A71" s="42">
        <v>2</v>
      </c>
      <c r="B71" s="40" t="s">
        <v>2379</v>
      </c>
      <c r="C71" s="40" t="s">
        <v>59</v>
      </c>
      <c r="D71" s="40" t="s">
        <v>2380</v>
      </c>
      <c r="E71" s="40" t="s">
        <v>318</v>
      </c>
      <c r="F71" s="43" t="s">
        <v>2381</v>
      </c>
      <c r="G71" s="40" t="s">
        <v>29</v>
      </c>
      <c r="H71" s="44">
        <v>1000</v>
      </c>
      <c r="I71" s="41">
        <v>200</v>
      </c>
      <c r="J71" s="40" t="s">
        <v>30</v>
      </c>
      <c r="K71" s="408" t="s">
        <v>31</v>
      </c>
      <c r="M71" s="157">
        <v>250</v>
      </c>
      <c r="O71" s="409">
        <f>SUM(O69:O70)</f>
        <v>15650</v>
      </c>
    </row>
    <row r="72" spans="1:15" ht="15.75" customHeight="1">
      <c r="A72" s="42">
        <v>2</v>
      </c>
      <c r="B72" s="40" t="s">
        <v>2382</v>
      </c>
      <c r="C72" s="40" t="s">
        <v>25</v>
      </c>
      <c r="D72" s="40" t="s">
        <v>600</v>
      </c>
      <c r="E72" s="40" t="s">
        <v>60</v>
      </c>
      <c r="F72" s="43" t="s">
        <v>2383</v>
      </c>
      <c r="G72" s="40" t="s">
        <v>29</v>
      </c>
      <c r="H72" s="44">
        <v>700</v>
      </c>
      <c r="I72" s="41">
        <v>140</v>
      </c>
      <c r="J72" s="40" t="s">
        <v>30</v>
      </c>
      <c r="K72" s="408" t="s">
        <v>31</v>
      </c>
      <c r="M72" s="157">
        <v>150</v>
      </c>
      <c r="O72" s="410">
        <f>SUM(H12:H19,H22,H25:H29,H32:H51,H53:H54,H58:H62,H65,H67:H68,H70:H72,H74:H76,H78:H86,H88:H94)</f>
        <v>95250</v>
      </c>
    </row>
    <row r="73" spans="1:15" ht="15.75" customHeight="1">
      <c r="A73" s="42">
        <v>2</v>
      </c>
      <c r="B73" s="40" t="s">
        <v>2382</v>
      </c>
      <c r="C73" s="40" t="s">
        <v>25</v>
      </c>
      <c r="D73" s="40" t="s">
        <v>600</v>
      </c>
      <c r="E73" s="40" t="s">
        <v>60</v>
      </c>
      <c r="F73" s="40"/>
      <c r="G73" s="40" t="s">
        <v>2313</v>
      </c>
      <c r="H73" s="44">
        <v>200</v>
      </c>
      <c r="I73" s="41">
        <v>120</v>
      </c>
      <c r="J73" s="40" t="s">
        <v>30</v>
      </c>
      <c r="K73" s="408" t="s">
        <v>31</v>
      </c>
      <c r="O73" s="46">
        <v>200</v>
      </c>
    </row>
    <row r="74" spans="1:15" ht="15.75" customHeight="1">
      <c r="A74" s="42">
        <v>2</v>
      </c>
      <c r="B74" s="40" t="s">
        <v>2384</v>
      </c>
      <c r="C74" s="40" t="s">
        <v>25</v>
      </c>
      <c r="D74" s="40" t="s">
        <v>63</v>
      </c>
      <c r="E74" s="40" t="s">
        <v>50</v>
      </c>
      <c r="F74" s="43" t="s">
        <v>2243</v>
      </c>
      <c r="G74" s="40" t="s">
        <v>29</v>
      </c>
      <c r="H74" s="44">
        <v>500</v>
      </c>
      <c r="I74" s="41">
        <v>100</v>
      </c>
      <c r="J74" s="40" t="s">
        <v>30</v>
      </c>
      <c r="K74" s="408" t="s">
        <v>31</v>
      </c>
      <c r="O74" s="410">
        <f>SUM(H24,H56:H57,H63,H66,H69,H73)</f>
        <v>2000</v>
      </c>
    </row>
    <row r="75" spans="1:15" ht="15.75" customHeight="1">
      <c r="A75" s="42">
        <v>2</v>
      </c>
      <c r="B75" s="40" t="s">
        <v>2385</v>
      </c>
      <c r="C75" s="40" t="s">
        <v>25</v>
      </c>
      <c r="D75" s="40" t="s">
        <v>81</v>
      </c>
      <c r="E75" s="40" t="s">
        <v>50</v>
      </c>
      <c r="F75" s="43" t="s">
        <v>2386</v>
      </c>
      <c r="G75" s="40" t="s">
        <v>29</v>
      </c>
      <c r="H75" s="44">
        <v>500</v>
      </c>
      <c r="I75" s="41">
        <v>100</v>
      </c>
      <c r="J75" s="40" t="s">
        <v>30</v>
      </c>
      <c r="K75" s="408" t="s">
        <v>31</v>
      </c>
      <c r="M75" s="157">
        <v>200</v>
      </c>
      <c r="O75" s="65">
        <f>SUM(O71:O74)</f>
        <v>113100</v>
      </c>
    </row>
    <row r="76" spans="1:15" ht="15.75" customHeight="1">
      <c r="A76" s="42">
        <v>2</v>
      </c>
      <c r="B76" s="40" t="s">
        <v>2387</v>
      </c>
      <c r="C76" s="40" t="s">
        <v>25</v>
      </c>
      <c r="D76" s="40" t="s">
        <v>2388</v>
      </c>
      <c r="E76" s="40" t="s">
        <v>1049</v>
      </c>
      <c r="F76" s="43" t="s">
        <v>2389</v>
      </c>
      <c r="G76" s="40" t="s">
        <v>29</v>
      </c>
      <c r="H76" s="44">
        <v>500</v>
      </c>
      <c r="I76" s="41">
        <v>100</v>
      </c>
      <c r="J76" s="40" t="s">
        <v>30</v>
      </c>
      <c r="K76" s="408" t="s">
        <v>31</v>
      </c>
      <c r="M76" s="157">
        <v>40</v>
      </c>
    </row>
    <row r="77" spans="1:15" ht="15.75" customHeight="1">
      <c r="A77" s="42">
        <v>2</v>
      </c>
      <c r="B77" s="40" t="s">
        <v>2390</v>
      </c>
      <c r="C77" s="40" t="s">
        <v>25</v>
      </c>
      <c r="D77" s="40" t="s">
        <v>86</v>
      </c>
      <c r="E77" s="40" t="s">
        <v>42</v>
      </c>
      <c r="F77" s="40"/>
      <c r="G77" s="40" t="s">
        <v>29</v>
      </c>
      <c r="H77" s="44">
        <v>200</v>
      </c>
      <c r="I77" s="41" t="s">
        <v>101</v>
      </c>
      <c r="J77" s="40" t="s">
        <v>30</v>
      </c>
      <c r="K77" s="408" t="s">
        <v>31</v>
      </c>
    </row>
    <row r="78" spans="1:15" ht="15.75" customHeight="1">
      <c r="A78" s="42">
        <v>2</v>
      </c>
      <c r="B78" s="40" t="s">
        <v>2391</v>
      </c>
      <c r="C78" s="40" t="s">
        <v>25</v>
      </c>
      <c r="D78" s="40" t="s">
        <v>77</v>
      </c>
      <c r="E78" s="40" t="s">
        <v>78</v>
      </c>
      <c r="F78" s="43" t="s">
        <v>2392</v>
      </c>
      <c r="G78" s="40" t="s">
        <v>29</v>
      </c>
      <c r="H78" s="44">
        <v>1500</v>
      </c>
      <c r="I78" s="41">
        <v>300</v>
      </c>
      <c r="J78" s="40" t="s">
        <v>30</v>
      </c>
      <c r="K78" s="408" t="s">
        <v>31</v>
      </c>
      <c r="M78" s="157">
        <v>300</v>
      </c>
    </row>
    <row r="79" spans="1:15" ht="15.75" customHeight="1">
      <c r="A79" s="42">
        <v>2</v>
      </c>
      <c r="B79" s="40" t="s">
        <v>2393</v>
      </c>
      <c r="C79" s="40" t="s">
        <v>25</v>
      </c>
      <c r="D79" s="40" t="s">
        <v>176</v>
      </c>
      <c r="E79" s="40" t="s">
        <v>38</v>
      </c>
      <c r="F79" s="43" t="s">
        <v>2394</v>
      </c>
      <c r="G79" s="40" t="s">
        <v>29</v>
      </c>
      <c r="H79" s="44">
        <v>1500</v>
      </c>
      <c r="I79" s="41">
        <v>300</v>
      </c>
      <c r="J79" s="40" t="s">
        <v>30</v>
      </c>
      <c r="K79" s="408" t="s">
        <v>31</v>
      </c>
      <c r="M79" s="157">
        <v>400</v>
      </c>
    </row>
    <row r="80" spans="1:15" ht="15.75" customHeight="1">
      <c r="A80" s="42">
        <v>2</v>
      </c>
      <c r="B80" s="40" t="s">
        <v>2395</v>
      </c>
      <c r="C80" s="40" t="s">
        <v>25</v>
      </c>
      <c r="D80" s="40" t="s">
        <v>2021</v>
      </c>
      <c r="E80" s="40" t="s">
        <v>34</v>
      </c>
      <c r="F80" s="43" t="s">
        <v>2396</v>
      </c>
      <c r="G80" s="40" t="s">
        <v>29</v>
      </c>
      <c r="H80" s="44">
        <v>1000</v>
      </c>
      <c r="I80" s="41">
        <v>200</v>
      </c>
      <c r="J80" s="40" t="s">
        <v>30</v>
      </c>
      <c r="K80" s="408" t="s">
        <v>31</v>
      </c>
    </row>
    <row r="81" spans="1:13" ht="15.75" customHeight="1">
      <c r="A81" s="42">
        <v>2</v>
      </c>
      <c r="B81" s="40" t="s">
        <v>2397</v>
      </c>
      <c r="C81" s="40" t="s">
        <v>59</v>
      </c>
      <c r="D81" s="40" t="s">
        <v>631</v>
      </c>
      <c r="E81" s="40" t="s">
        <v>60</v>
      </c>
      <c r="F81" s="43" t="s">
        <v>2398</v>
      </c>
      <c r="G81" s="40" t="s">
        <v>29</v>
      </c>
      <c r="H81" s="44">
        <v>500</v>
      </c>
      <c r="I81" s="41">
        <v>100</v>
      </c>
      <c r="J81" s="40" t="s">
        <v>30</v>
      </c>
      <c r="K81" s="408" t="s">
        <v>31</v>
      </c>
      <c r="M81" s="157">
        <v>200</v>
      </c>
    </row>
    <row r="82" spans="1:13" ht="15.75" customHeight="1">
      <c r="A82" s="42">
        <v>2</v>
      </c>
      <c r="B82" s="40" t="s">
        <v>2399</v>
      </c>
      <c r="C82" s="40" t="s">
        <v>25</v>
      </c>
      <c r="D82" s="40" t="s">
        <v>1704</v>
      </c>
      <c r="E82" s="40" t="s">
        <v>46</v>
      </c>
      <c r="F82" s="43" t="s">
        <v>2400</v>
      </c>
      <c r="G82" s="40" t="s">
        <v>29</v>
      </c>
      <c r="H82" s="44">
        <v>500</v>
      </c>
      <c r="I82" s="41">
        <v>100</v>
      </c>
      <c r="J82" s="40" t="s">
        <v>30</v>
      </c>
      <c r="K82" s="408" t="s">
        <v>31</v>
      </c>
      <c r="M82" s="157">
        <v>750</v>
      </c>
    </row>
    <row r="83" spans="1:13" ht="15.75" customHeight="1">
      <c r="A83" s="42">
        <v>2</v>
      </c>
      <c r="B83" s="40" t="s">
        <v>2401</v>
      </c>
      <c r="C83" s="40" t="s">
        <v>25</v>
      </c>
      <c r="D83" s="40" t="s">
        <v>2021</v>
      </c>
      <c r="E83" s="40" t="s">
        <v>34</v>
      </c>
      <c r="F83" s="43" t="s">
        <v>2402</v>
      </c>
      <c r="G83" s="40" t="s">
        <v>29</v>
      </c>
      <c r="H83" s="44">
        <v>500</v>
      </c>
      <c r="I83" s="41">
        <v>100</v>
      </c>
      <c r="J83" s="40" t="s">
        <v>30</v>
      </c>
      <c r="K83" s="408" t="s">
        <v>31</v>
      </c>
      <c r="M83" s="157">
        <v>225</v>
      </c>
    </row>
    <row r="84" spans="1:13" ht="15.75" customHeight="1">
      <c r="A84" s="42">
        <v>2</v>
      </c>
      <c r="B84" s="40" t="s">
        <v>2403</v>
      </c>
      <c r="C84" s="40" t="s">
        <v>59</v>
      </c>
      <c r="D84" s="40" t="s">
        <v>1262</v>
      </c>
      <c r="E84" s="40" t="s">
        <v>60</v>
      </c>
      <c r="F84" s="43" t="s">
        <v>2404</v>
      </c>
      <c r="G84" s="40" t="s">
        <v>29</v>
      </c>
      <c r="H84" s="44">
        <v>500</v>
      </c>
      <c r="I84" s="41">
        <v>100</v>
      </c>
      <c r="J84" s="40" t="s">
        <v>30</v>
      </c>
      <c r="K84" s="408" t="s">
        <v>31</v>
      </c>
      <c r="M84" s="157">
        <v>100</v>
      </c>
    </row>
    <row r="85" spans="1:13" ht="15.75" customHeight="1">
      <c r="A85" s="42">
        <v>2</v>
      </c>
      <c r="B85" s="40" t="s">
        <v>2405</v>
      </c>
      <c r="C85" s="40" t="s">
        <v>25</v>
      </c>
      <c r="D85" s="40" t="s">
        <v>81</v>
      </c>
      <c r="E85" s="40" t="s">
        <v>318</v>
      </c>
      <c r="F85" s="43" t="s">
        <v>2406</v>
      </c>
      <c r="G85" s="40" t="s">
        <v>29</v>
      </c>
      <c r="H85" s="44">
        <v>500</v>
      </c>
      <c r="I85" s="41">
        <v>100</v>
      </c>
      <c r="J85" s="40" t="s">
        <v>30</v>
      </c>
      <c r="K85" s="408" t="s">
        <v>31</v>
      </c>
      <c r="M85" s="157">
        <v>150</v>
      </c>
    </row>
    <row r="86" spans="1:13" ht="15.75" customHeight="1">
      <c r="A86" s="42">
        <v>2</v>
      </c>
      <c r="B86" s="40" t="s">
        <v>2407</v>
      </c>
      <c r="C86" s="40" t="s">
        <v>25</v>
      </c>
      <c r="D86" s="40" t="s">
        <v>2129</v>
      </c>
      <c r="E86" s="40" t="s">
        <v>103</v>
      </c>
      <c r="F86" s="43" t="s">
        <v>2408</v>
      </c>
      <c r="G86" s="40" t="s">
        <v>29</v>
      </c>
      <c r="H86" s="44">
        <v>500</v>
      </c>
      <c r="I86" s="41">
        <v>100</v>
      </c>
      <c r="J86" s="40" t="s">
        <v>30</v>
      </c>
      <c r="K86" s="408" t="s">
        <v>31</v>
      </c>
      <c r="M86" s="157">
        <v>70</v>
      </c>
    </row>
    <row r="87" spans="1:13" ht="15.75" customHeight="1">
      <c r="A87" s="42">
        <v>2</v>
      </c>
      <c r="B87" s="40" t="s">
        <v>2409</v>
      </c>
      <c r="C87" s="40" t="s">
        <v>59</v>
      </c>
      <c r="D87" s="40" t="s">
        <v>826</v>
      </c>
      <c r="E87" s="40" t="s">
        <v>96</v>
      </c>
      <c r="F87" s="43" t="s">
        <v>2410</v>
      </c>
      <c r="G87" s="40" t="s">
        <v>29</v>
      </c>
      <c r="H87" s="44">
        <v>500</v>
      </c>
      <c r="I87" s="41" t="s">
        <v>101</v>
      </c>
      <c r="J87" s="40" t="s">
        <v>30</v>
      </c>
      <c r="K87" s="408" t="s">
        <v>31</v>
      </c>
      <c r="M87" s="157">
        <v>500</v>
      </c>
    </row>
    <row r="88" spans="1:13" ht="15.75" customHeight="1">
      <c r="A88" s="42">
        <v>2</v>
      </c>
      <c r="B88" s="40" t="s">
        <v>2409</v>
      </c>
      <c r="C88" s="40" t="s">
        <v>59</v>
      </c>
      <c r="D88" s="40" t="s">
        <v>826</v>
      </c>
      <c r="E88" s="40" t="s">
        <v>96</v>
      </c>
      <c r="F88" s="40"/>
      <c r="G88" s="40" t="s">
        <v>29</v>
      </c>
      <c r="H88" s="44">
        <v>4500</v>
      </c>
      <c r="I88" s="41">
        <v>900</v>
      </c>
      <c r="J88" s="40" t="s">
        <v>30</v>
      </c>
      <c r="K88" s="408" t="s">
        <v>31</v>
      </c>
    </row>
    <row r="89" spans="1:13" ht="15.75" customHeight="1">
      <c r="A89" s="42">
        <v>5</v>
      </c>
      <c r="B89" s="40" t="s">
        <v>2411</v>
      </c>
      <c r="C89" s="40" t="s">
        <v>25</v>
      </c>
      <c r="D89" s="40" t="s">
        <v>204</v>
      </c>
      <c r="E89" s="40" t="s">
        <v>50</v>
      </c>
      <c r="F89" s="43" t="s">
        <v>2412</v>
      </c>
      <c r="G89" s="40" t="s">
        <v>29</v>
      </c>
      <c r="H89" s="44">
        <v>150</v>
      </c>
      <c r="I89" s="41">
        <v>30</v>
      </c>
      <c r="J89" s="40" t="s">
        <v>30</v>
      </c>
      <c r="K89" s="408" t="s">
        <v>31</v>
      </c>
      <c r="M89" s="157">
        <v>30</v>
      </c>
    </row>
    <row r="90" spans="1:13" ht="15.75" customHeight="1">
      <c r="A90" s="42">
        <v>5</v>
      </c>
      <c r="B90" s="40" t="s">
        <v>2413</v>
      </c>
      <c r="C90" s="40" t="s">
        <v>25</v>
      </c>
      <c r="D90" s="40" t="s">
        <v>1349</v>
      </c>
      <c r="E90" s="40" t="s">
        <v>249</v>
      </c>
      <c r="F90" s="43" t="s">
        <v>2414</v>
      </c>
      <c r="G90" s="40" t="s">
        <v>29</v>
      </c>
      <c r="H90" s="44">
        <v>700</v>
      </c>
      <c r="I90" s="41">
        <v>140</v>
      </c>
      <c r="J90" s="40" t="s">
        <v>30</v>
      </c>
      <c r="K90" s="408" t="s">
        <v>31</v>
      </c>
      <c r="M90" s="157">
        <v>150</v>
      </c>
    </row>
    <row r="91" spans="1:13" ht="15.75" customHeight="1">
      <c r="A91" s="42">
        <v>5</v>
      </c>
      <c r="B91" s="40" t="s">
        <v>2415</v>
      </c>
      <c r="C91" s="40" t="s">
        <v>25</v>
      </c>
      <c r="D91" s="40" t="s">
        <v>706</v>
      </c>
      <c r="E91" s="40" t="s">
        <v>38</v>
      </c>
      <c r="F91" s="43" t="s">
        <v>2416</v>
      </c>
      <c r="G91" s="40" t="s">
        <v>29</v>
      </c>
      <c r="H91" s="44">
        <v>200</v>
      </c>
      <c r="I91" s="41">
        <v>40</v>
      </c>
      <c r="J91" s="40" t="s">
        <v>30</v>
      </c>
      <c r="K91" s="408" t="s">
        <v>31</v>
      </c>
      <c r="M91" s="157">
        <v>50</v>
      </c>
    </row>
    <row r="92" spans="1:13" ht="15.75" customHeight="1">
      <c r="A92" s="42">
        <v>5</v>
      </c>
      <c r="B92" s="40" t="s">
        <v>2417</v>
      </c>
      <c r="C92" s="40" t="s">
        <v>25</v>
      </c>
      <c r="D92" s="40" t="s">
        <v>655</v>
      </c>
      <c r="E92" s="40" t="s">
        <v>42</v>
      </c>
      <c r="F92" s="43" t="s">
        <v>2418</v>
      </c>
      <c r="G92" s="40" t="s">
        <v>29</v>
      </c>
      <c r="H92" s="44">
        <v>100</v>
      </c>
      <c r="I92" s="41">
        <v>20</v>
      </c>
      <c r="J92" s="40" t="s">
        <v>30</v>
      </c>
      <c r="K92" s="408" t="s">
        <v>31</v>
      </c>
    </row>
    <row r="93" spans="1:13" ht="15.75" customHeight="1">
      <c r="A93" s="42">
        <v>5</v>
      </c>
      <c r="B93" s="40" t="s">
        <v>2419</v>
      </c>
      <c r="C93" s="40" t="s">
        <v>25</v>
      </c>
      <c r="D93" s="40" t="s">
        <v>1371</v>
      </c>
      <c r="E93" s="40" t="s">
        <v>96</v>
      </c>
      <c r="F93" s="43" t="s">
        <v>2420</v>
      </c>
      <c r="G93" s="40" t="s">
        <v>29</v>
      </c>
      <c r="H93" s="44">
        <v>600</v>
      </c>
      <c r="I93" s="41">
        <v>120</v>
      </c>
      <c r="J93" s="40" t="s">
        <v>30</v>
      </c>
      <c r="K93" s="408" t="s">
        <v>31</v>
      </c>
      <c r="M93" s="157">
        <v>100</v>
      </c>
    </row>
    <row r="94" spans="1:13" ht="15.75" customHeight="1">
      <c r="A94" s="42">
        <v>5</v>
      </c>
      <c r="B94" s="40" t="s">
        <v>2421</v>
      </c>
      <c r="C94" s="40" t="s">
        <v>25</v>
      </c>
      <c r="D94" s="40" t="s">
        <v>63</v>
      </c>
      <c r="E94" s="40" t="s">
        <v>50</v>
      </c>
      <c r="F94" s="43" t="s">
        <v>2422</v>
      </c>
      <c r="G94" s="40" t="s">
        <v>29</v>
      </c>
      <c r="H94" s="44">
        <v>1200</v>
      </c>
      <c r="I94" s="41">
        <v>240</v>
      </c>
      <c r="J94" s="40" t="s">
        <v>30</v>
      </c>
      <c r="K94" s="408" t="s">
        <v>31</v>
      </c>
    </row>
    <row r="95" spans="1:13" ht="15.75" customHeight="1">
      <c r="A95" s="42">
        <v>5</v>
      </c>
      <c r="B95" s="40" t="s">
        <v>2423</v>
      </c>
      <c r="C95" s="40" t="s">
        <v>59</v>
      </c>
      <c r="D95" s="40" t="s">
        <v>1371</v>
      </c>
      <c r="E95" s="40" t="s">
        <v>96</v>
      </c>
      <c r="F95" s="43" t="s">
        <v>2424</v>
      </c>
      <c r="G95" s="40" t="s">
        <v>29</v>
      </c>
      <c r="H95" s="44">
        <v>300</v>
      </c>
      <c r="I95" s="41">
        <v>60</v>
      </c>
      <c r="J95" s="40" t="s">
        <v>30</v>
      </c>
      <c r="K95" s="408" t="s">
        <v>31</v>
      </c>
      <c r="M95" s="157">
        <v>150</v>
      </c>
    </row>
    <row r="96" spans="1:13" ht="15.75" customHeight="1">
      <c r="A96" s="42">
        <v>5</v>
      </c>
      <c r="B96" s="40" t="s">
        <v>2425</v>
      </c>
      <c r="C96" s="40" t="s">
        <v>25</v>
      </c>
      <c r="D96" s="40" t="s">
        <v>27</v>
      </c>
      <c r="E96" s="40" t="s">
        <v>60</v>
      </c>
      <c r="F96" s="43" t="s">
        <v>2426</v>
      </c>
      <c r="G96" s="40" t="s">
        <v>29</v>
      </c>
      <c r="H96" s="44">
        <v>1000</v>
      </c>
      <c r="I96" s="41">
        <v>200</v>
      </c>
      <c r="J96" s="40" t="s">
        <v>30</v>
      </c>
      <c r="K96" s="408" t="s">
        <v>31</v>
      </c>
      <c r="M96" s="157">
        <v>300</v>
      </c>
    </row>
    <row r="97" spans="1:13" ht="15.75" customHeight="1">
      <c r="A97" s="42">
        <v>5</v>
      </c>
      <c r="B97" s="40" t="s">
        <v>799</v>
      </c>
      <c r="C97" s="40" t="s">
        <v>25</v>
      </c>
      <c r="D97" s="40" t="s">
        <v>800</v>
      </c>
      <c r="E97" s="40" t="s">
        <v>801</v>
      </c>
      <c r="F97" s="43" t="s">
        <v>802</v>
      </c>
      <c r="G97" s="40" t="s">
        <v>29</v>
      </c>
      <c r="H97" s="44">
        <v>500</v>
      </c>
      <c r="I97" s="41">
        <v>100</v>
      </c>
      <c r="J97" s="40" t="s">
        <v>30</v>
      </c>
      <c r="K97" s="408" t="s">
        <v>31</v>
      </c>
      <c r="M97" s="157">
        <v>360</v>
      </c>
    </row>
    <row r="98" spans="1:13" ht="15.75" customHeight="1">
      <c r="A98" s="42">
        <v>5</v>
      </c>
      <c r="B98" s="40" t="s">
        <v>2427</v>
      </c>
      <c r="C98" s="40" t="s">
        <v>25</v>
      </c>
      <c r="D98" s="40" t="s">
        <v>81</v>
      </c>
      <c r="E98" s="40" t="s">
        <v>50</v>
      </c>
      <c r="F98" s="40"/>
      <c r="G98" s="40" t="s">
        <v>29</v>
      </c>
      <c r="H98" s="44">
        <v>1000</v>
      </c>
      <c r="I98" s="41">
        <v>200</v>
      </c>
      <c r="J98" s="40" t="s">
        <v>30</v>
      </c>
      <c r="K98" s="408" t="s">
        <v>31</v>
      </c>
      <c r="M98" s="157">
        <v>300</v>
      </c>
    </row>
    <row r="99" spans="1:13" ht="15.75" customHeight="1">
      <c r="A99" s="42">
        <v>5</v>
      </c>
      <c r="B99" s="40" t="s">
        <v>2428</v>
      </c>
      <c r="C99" s="40" t="s">
        <v>25</v>
      </c>
      <c r="D99" s="40" t="s">
        <v>204</v>
      </c>
      <c r="E99" s="40" t="s">
        <v>50</v>
      </c>
      <c r="F99" s="43" t="s">
        <v>2429</v>
      </c>
      <c r="G99" s="40" t="s">
        <v>29</v>
      </c>
      <c r="H99" s="44">
        <v>500</v>
      </c>
      <c r="I99" s="41">
        <v>100</v>
      </c>
      <c r="J99" s="40" t="s">
        <v>30</v>
      </c>
      <c r="K99" s="408" t="s">
        <v>31</v>
      </c>
    </row>
    <row r="100" spans="1:13" ht="15.75" customHeight="1">
      <c r="A100" s="42">
        <v>5</v>
      </c>
      <c r="B100" s="40" t="s">
        <v>2430</v>
      </c>
      <c r="C100" s="40" t="s">
        <v>25</v>
      </c>
      <c r="D100" s="40" t="s">
        <v>1082</v>
      </c>
      <c r="E100" s="40" t="s">
        <v>96</v>
      </c>
      <c r="F100" s="43" t="s">
        <v>2431</v>
      </c>
      <c r="G100" s="40" t="s">
        <v>29</v>
      </c>
      <c r="H100" s="44">
        <v>500</v>
      </c>
      <c r="I100" s="41">
        <v>100</v>
      </c>
      <c r="J100" s="40" t="s">
        <v>30</v>
      </c>
      <c r="K100" s="408" t="s">
        <v>31</v>
      </c>
      <c r="M100" s="157">
        <v>150</v>
      </c>
    </row>
    <row r="101" spans="1:13" ht="15.75" customHeight="1">
      <c r="A101" s="42">
        <v>5</v>
      </c>
      <c r="B101" s="40" t="s">
        <v>2432</v>
      </c>
      <c r="C101" s="40" t="s">
        <v>25</v>
      </c>
      <c r="D101" s="40" t="s">
        <v>570</v>
      </c>
      <c r="E101" s="40" t="s">
        <v>60</v>
      </c>
      <c r="F101" s="43" t="s">
        <v>2433</v>
      </c>
      <c r="G101" s="40" t="s">
        <v>29</v>
      </c>
      <c r="H101" s="44">
        <v>500</v>
      </c>
      <c r="I101" s="41">
        <v>100</v>
      </c>
      <c r="J101" s="40" t="s">
        <v>30</v>
      </c>
      <c r="K101" s="408" t="s">
        <v>31</v>
      </c>
    </row>
    <row r="102" spans="1:13" ht="15.75" customHeight="1">
      <c r="A102" s="42">
        <v>5</v>
      </c>
      <c r="B102" s="40" t="s">
        <v>2434</v>
      </c>
      <c r="C102" s="40" t="s">
        <v>25</v>
      </c>
      <c r="D102" s="40" t="s">
        <v>1287</v>
      </c>
      <c r="E102" s="40" t="s">
        <v>42</v>
      </c>
      <c r="F102" s="40"/>
      <c r="G102" s="40" t="s">
        <v>29</v>
      </c>
      <c r="H102" s="44">
        <v>500</v>
      </c>
      <c r="I102" s="41">
        <v>100</v>
      </c>
      <c r="J102" s="40" t="s">
        <v>30</v>
      </c>
      <c r="K102" s="408" t="s">
        <v>31</v>
      </c>
    </row>
    <row r="103" spans="1:13" ht="15.75" customHeight="1">
      <c r="A103" s="42">
        <v>5</v>
      </c>
      <c r="B103" s="40" t="s">
        <v>2435</v>
      </c>
      <c r="C103" s="40" t="s">
        <v>25</v>
      </c>
      <c r="D103" s="40" t="s">
        <v>2436</v>
      </c>
      <c r="E103" s="40" t="s">
        <v>50</v>
      </c>
      <c r="F103" s="40"/>
      <c r="G103" s="40" t="s">
        <v>29</v>
      </c>
      <c r="H103" s="44">
        <v>500</v>
      </c>
      <c r="I103" s="41">
        <v>100</v>
      </c>
      <c r="J103" s="40" t="s">
        <v>30</v>
      </c>
      <c r="K103" s="408" t="s">
        <v>31</v>
      </c>
    </row>
    <row r="104" spans="1:13" ht="15.75" customHeight="1">
      <c r="A104" s="42">
        <v>5</v>
      </c>
      <c r="B104" s="40" t="s">
        <v>2437</v>
      </c>
      <c r="C104" s="40" t="s">
        <v>25</v>
      </c>
      <c r="D104" s="40" t="s">
        <v>37</v>
      </c>
      <c r="E104" s="40" t="s">
        <v>38</v>
      </c>
      <c r="F104" s="43" t="s">
        <v>2438</v>
      </c>
      <c r="G104" s="40" t="s">
        <v>29</v>
      </c>
      <c r="H104" s="44">
        <v>500</v>
      </c>
      <c r="I104" s="41">
        <v>100</v>
      </c>
      <c r="J104" s="40" t="s">
        <v>30</v>
      </c>
      <c r="K104" s="408" t="s">
        <v>31</v>
      </c>
    </row>
    <row r="105" spans="1:13" ht="15.75" customHeight="1">
      <c r="A105" s="42">
        <v>5</v>
      </c>
      <c r="B105" s="40" t="s">
        <v>2439</v>
      </c>
      <c r="C105" s="40" t="s">
        <v>25</v>
      </c>
      <c r="D105" s="40" t="s">
        <v>843</v>
      </c>
      <c r="E105" s="40" t="s">
        <v>34</v>
      </c>
      <c r="F105" s="43" t="s">
        <v>2440</v>
      </c>
      <c r="G105" s="40" t="s">
        <v>29</v>
      </c>
      <c r="H105" s="44">
        <v>500</v>
      </c>
      <c r="I105" s="41">
        <v>100</v>
      </c>
      <c r="J105" s="40" t="s">
        <v>30</v>
      </c>
      <c r="K105" s="408" t="s">
        <v>31</v>
      </c>
    </row>
    <row r="106" spans="1:13" ht="15.75" customHeight="1">
      <c r="A106" s="42">
        <v>5</v>
      </c>
      <c r="B106" s="40" t="s">
        <v>2441</v>
      </c>
      <c r="C106" s="40" t="s">
        <v>25</v>
      </c>
      <c r="D106" s="40" t="s">
        <v>1390</v>
      </c>
      <c r="E106" s="40" t="s">
        <v>50</v>
      </c>
      <c r="F106" s="43" t="s">
        <v>2442</v>
      </c>
      <c r="G106" s="40" t="s">
        <v>29</v>
      </c>
      <c r="H106" s="44">
        <v>500</v>
      </c>
      <c r="I106" s="41">
        <v>100</v>
      </c>
      <c r="J106" s="40" t="s">
        <v>30</v>
      </c>
      <c r="K106" s="408" t="s">
        <v>31</v>
      </c>
      <c r="M106" s="157">
        <v>100</v>
      </c>
    </row>
    <row r="107" spans="1:13" ht="15.75" customHeight="1">
      <c r="A107" s="42">
        <v>5</v>
      </c>
      <c r="B107" s="40" t="s">
        <v>2443</v>
      </c>
      <c r="C107" s="40" t="s">
        <v>25</v>
      </c>
      <c r="D107" s="40" t="s">
        <v>33</v>
      </c>
      <c r="E107" s="40" t="s">
        <v>34</v>
      </c>
      <c r="F107" s="40"/>
      <c r="G107" s="40" t="s">
        <v>29</v>
      </c>
      <c r="H107" s="44">
        <v>1000</v>
      </c>
      <c r="I107" s="41">
        <v>200</v>
      </c>
      <c r="J107" s="40" t="s">
        <v>30</v>
      </c>
      <c r="K107" s="408" t="s">
        <v>31</v>
      </c>
    </row>
    <row r="108" spans="1:13" ht="15.75" customHeight="1">
      <c r="A108" s="47">
        <v>5</v>
      </c>
      <c r="B108" s="48" t="s">
        <v>2444</v>
      </c>
      <c r="C108" s="48" t="s">
        <v>25</v>
      </c>
      <c r="D108" s="48" t="s">
        <v>185</v>
      </c>
      <c r="E108" s="48" t="s">
        <v>42</v>
      </c>
      <c r="F108" s="49" t="s">
        <v>2445</v>
      </c>
      <c r="G108" s="48" t="s">
        <v>29</v>
      </c>
      <c r="H108" s="50">
        <v>1500</v>
      </c>
      <c r="I108" s="51">
        <v>300</v>
      </c>
      <c r="J108" s="48" t="s">
        <v>30</v>
      </c>
      <c r="K108" s="411" t="s">
        <v>31</v>
      </c>
    </row>
    <row r="109" spans="1:13" ht="15.75" customHeight="1">
      <c r="A109" s="52">
        <v>6</v>
      </c>
      <c r="B109" s="53" t="s">
        <v>2446</v>
      </c>
      <c r="C109" s="53" t="s">
        <v>59</v>
      </c>
      <c r="D109" s="53" t="s">
        <v>2380</v>
      </c>
      <c r="E109" s="53" t="s">
        <v>318</v>
      </c>
      <c r="F109" s="60" t="s">
        <v>2447</v>
      </c>
      <c r="G109" s="53" t="s">
        <v>29</v>
      </c>
      <c r="H109" s="54">
        <v>10000</v>
      </c>
      <c r="I109" s="55">
        <v>2000</v>
      </c>
      <c r="J109" s="53" t="s">
        <v>30</v>
      </c>
      <c r="K109" s="412" t="s">
        <v>31</v>
      </c>
    </row>
    <row r="110" spans="1:13" ht="15.75" customHeight="1">
      <c r="A110" s="42">
        <v>6</v>
      </c>
      <c r="B110" s="40" t="s">
        <v>2448</v>
      </c>
      <c r="C110" s="40" t="s">
        <v>59</v>
      </c>
      <c r="D110" s="40" t="s">
        <v>158</v>
      </c>
      <c r="E110" s="40" t="s">
        <v>141</v>
      </c>
      <c r="F110" s="43" t="s">
        <v>2449</v>
      </c>
      <c r="G110" s="40" t="s">
        <v>29</v>
      </c>
      <c r="H110" s="44">
        <v>6000</v>
      </c>
      <c r="I110" s="41">
        <v>1200</v>
      </c>
      <c r="J110" s="40" t="s">
        <v>30</v>
      </c>
      <c r="K110" s="408" t="s">
        <v>31</v>
      </c>
      <c r="M110" s="157">
        <v>1500</v>
      </c>
    </row>
    <row r="111" spans="1:13" ht="15.75" customHeight="1">
      <c r="A111" s="42">
        <v>6</v>
      </c>
      <c r="B111" s="40" t="s">
        <v>2450</v>
      </c>
      <c r="C111" s="40" t="s">
        <v>25</v>
      </c>
      <c r="D111" s="40" t="s">
        <v>2451</v>
      </c>
      <c r="E111" s="40" t="s">
        <v>96</v>
      </c>
      <c r="F111" s="43" t="s">
        <v>2452</v>
      </c>
      <c r="G111" s="40" t="s">
        <v>29</v>
      </c>
      <c r="H111" s="44">
        <v>6000</v>
      </c>
      <c r="I111" s="41">
        <v>1200</v>
      </c>
      <c r="J111" s="40" t="s">
        <v>30</v>
      </c>
      <c r="K111" s="408" t="s">
        <v>31</v>
      </c>
      <c r="M111" s="157">
        <v>1200</v>
      </c>
    </row>
    <row r="112" spans="1:13" ht="15.75" customHeight="1">
      <c r="A112" s="42">
        <v>6</v>
      </c>
      <c r="B112" s="40" t="s">
        <v>1821</v>
      </c>
      <c r="C112" s="40" t="s">
        <v>25</v>
      </c>
      <c r="D112" s="40" t="s">
        <v>849</v>
      </c>
      <c r="E112" s="40" t="s">
        <v>38</v>
      </c>
      <c r="F112" s="43" t="s">
        <v>638</v>
      </c>
      <c r="G112" s="40" t="s">
        <v>29</v>
      </c>
      <c r="H112" s="44">
        <v>1000</v>
      </c>
      <c r="I112" s="41">
        <v>200</v>
      </c>
      <c r="J112" s="40" t="s">
        <v>30</v>
      </c>
      <c r="K112" s="408" t="s">
        <v>31</v>
      </c>
      <c r="M112" s="157">
        <v>300</v>
      </c>
    </row>
    <row r="113" spans="1:13" ht="15.75" customHeight="1">
      <c r="A113" s="42">
        <v>6</v>
      </c>
      <c r="B113" s="40" t="s">
        <v>2453</v>
      </c>
      <c r="C113" s="40" t="s">
        <v>59</v>
      </c>
      <c r="D113" s="40" t="s">
        <v>2454</v>
      </c>
      <c r="E113" s="40" t="s">
        <v>96</v>
      </c>
      <c r="F113" s="43" t="s">
        <v>2455</v>
      </c>
      <c r="G113" s="40" t="s">
        <v>29</v>
      </c>
      <c r="H113" s="44">
        <v>1000</v>
      </c>
      <c r="I113" s="41">
        <v>200</v>
      </c>
      <c r="J113" s="40" t="s">
        <v>30</v>
      </c>
      <c r="K113" s="408" t="s">
        <v>31</v>
      </c>
      <c r="M113" s="157">
        <v>300</v>
      </c>
    </row>
    <row r="114" spans="1:13" ht="15.75" customHeight="1">
      <c r="A114" s="42">
        <v>6</v>
      </c>
      <c r="B114" s="40" t="s">
        <v>2456</v>
      </c>
      <c r="C114" s="40" t="s">
        <v>25</v>
      </c>
      <c r="D114" s="40" t="s">
        <v>185</v>
      </c>
      <c r="E114" s="40" t="s">
        <v>42</v>
      </c>
      <c r="F114" s="43" t="s">
        <v>2457</v>
      </c>
      <c r="G114" s="40" t="s">
        <v>29</v>
      </c>
      <c r="H114" s="44">
        <v>1000</v>
      </c>
      <c r="I114" s="41">
        <v>200</v>
      </c>
      <c r="J114" s="40" t="s">
        <v>30</v>
      </c>
      <c r="K114" s="408" t="s">
        <v>31</v>
      </c>
    </row>
    <row r="115" spans="1:13" ht="15.75" customHeight="1">
      <c r="A115" s="42">
        <v>6</v>
      </c>
      <c r="B115" s="40" t="s">
        <v>2458</v>
      </c>
      <c r="C115" s="40" t="s">
        <v>25</v>
      </c>
      <c r="D115" s="40" t="s">
        <v>2459</v>
      </c>
      <c r="E115" s="40" t="s">
        <v>46</v>
      </c>
      <c r="F115" s="43" t="s">
        <v>2460</v>
      </c>
      <c r="G115" s="40" t="s">
        <v>29</v>
      </c>
      <c r="H115" s="44">
        <v>1000</v>
      </c>
      <c r="I115" s="41">
        <v>200</v>
      </c>
      <c r="J115" s="40" t="s">
        <v>30</v>
      </c>
      <c r="K115" s="408" t="s">
        <v>31</v>
      </c>
      <c r="M115" s="157">
        <v>300</v>
      </c>
    </row>
    <row r="116" spans="1:13" ht="15.75" customHeight="1">
      <c r="A116" s="42">
        <v>6</v>
      </c>
      <c r="B116" s="40" t="s">
        <v>2461</v>
      </c>
      <c r="C116" s="40" t="s">
        <v>25</v>
      </c>
      <c r="D116" s="40" t="s">
        <v>55</v>
      </c>
      <c r="E116" s="40" t="s">
        <v>96</v>
      </c>
      <c r="F116" s="43" t="s">
        <v>2462</v>
      </c>
      <c r="G116" s="40" t="s">
        <v>29</v>
      </c>
      <c r="H116" s="44">
        <v>10000</v>
      </c>
      <c r="I116" s="41">
        <v>3000</v>
      </c>
      <c r="J116" s="40" t="s">
        <v>30</v>
      </c>
      <c r="K116" s="408" t="s">
        <v>31</v>
      </c>
      <c r="M116" s="157">
        <v>5000</v>
      </c>
    </row>
    <row r="117" spans="1:13" ht="15.75" customHeight="1">
      <c r="A117" s="42">
        <v>6</v>
      </c>
      <c r="B117" s="40" t="s">
        <v>2463</v>
      </c>
      <c r="C117" s="40" t="s">
        <v>25</v>
      </c>
      <c r="D117" s="40" t="s">
        <v>532</v>
      </c>
      <c r="E117" s="40" t="s">
        <v>27</v>
      </c>
      <c r="F117" s="43" t="s">
        <v>2464</v>
      </c>
      <c r="G117" s="40" t="s">
        <v>29</v>
      </c>
      <c r="H117" s="44">
        <v>2000</v>
      </c>
      <c r="I117" s="41">
        <v>400</v>
      </c>
      <c r="J117" s="40" t="s">
        <v>30</v>
      </c>
      <c r="K117" s="408" t="s">
        <v>31</v>
      </c>
    </row>
    <row r="118" spans="1:13" ht="15.75" customHeight="1">
      <c r="A118" s="42">
        <v>6</v>
      </c>
      <c r="B118" s="40" t="s">
        <v>2465</v>
      </c>
      <c r="C118" s="40" t="s">
        <v>25</v>
      </c>
      <c r="D118" s="40" t="s">
        <v>86</v>
      </c>
      <c r="E118" s="40" t="s">
        <v>42</v>
      </c>
      <c r="F118" s="43" t="s">
        <v>638</v>
      </c>
      <c r="G118" s="40" t="s">
        <v>29</v>
      </c>
      <c r="H118" s="44">
        <v>5000</v>
      </c>
      <c r="I118" s="41">
        <v>1000</v>
      </c>
      <c r="J118" s="40" t="s">
        <v>30</v>
      </c>
      <c r="K118" s="408" t="s">
        <v>31</v>
      </c>
    </row>
    <row r="119" spans="1:13" ht="15.75" customHeight="1">
      <c r="A119" s="42">
        <v>7</v>
      </c>
      <c r="B119" s="40" t="s">
        <v>2466</v>
      </c>
      <c r="C119" s="40" t="s">
        <v>25</v>
      </c>
      <c r="D119" s="40" t="s">
        <v>532</v>
      </c>
      <c r="E119" s="40" t="s">
        <v>38</v>
      </c>
      <c r="F119" s="43" t="s">
        <v>2467</v>
      </c>
      <c r="G119" s="40" t="s">
        <v>29</v>
      </c>
      <c r="H119" s="44">
        <v>10000</v>
      </c>
      <c r="I119" s="41">
        <v>2000</v>
      </c>
      <c r="J119" s="40" t="s">
        <v>30</v>
      </c>
      <c r="K119" s="408" t="s">
        <v>31</v>
      </c>
      <c r="M119" s="157">
        <v>2500</v>
      </c>
    </row>
    <row r="120" spans="1:13" ht="15.75" customHeight="1">
      <c r="A120" s="42">
        <v>7</v>
      </c>
      <c r="B120" s="40" t="s">
        <v>2468</v>
      </c>
      <c r="C120" s="40" t="s">
        <v>25</v>
      </c>
      <c r="D120" s="40" t="s">
        <v>176</v>
      </c>
      <c r="E120" s="40" t="s">
        <v>141</v>
      </c>
      <c r="F120" s="43" t="s">
        <v>2469</v>
      </c>
      <c r="G120" s="40" t="s">
        <v>29</v>
      </c>
      <c r="H120" s="44">
        <v>22500</v>
      </c>
      <c r="I120" s="41">
        <v>4500</v>
      </c>
      <c r="J120" s="40" t="s">
        <v>30</v>
      </c>
      <c r="K120" s="408" t="s">
        <v>31</v>
      </c>
      <c r="M120" s="157">
        <v>5000</v>
      </c>
    </row>
    <row r="121" spans="1:13" ht="15.75" customHeight="1">
      <c r="A121" s="42">
        <v>7</v>
      </c>
      <c r="B121" s="40" t="s">
        <v>2470</v>
      </c>
      <c r="C121" s="40" t="s">
        <v>25</v>
      </c>
      <c r="D121" s="40" t="s">
        <v>2471</v>
      </c>
      <c r="E121" s="40" t="s">
        <v>130</v>
      </c>
      <c r="F121" s="43" t="s">
        <v>2472</v>
      </c>
      <c r="G121" s="40" t="s">
        <v>29</v>
      </c>
      <c r="H121" s="44">
        <v>6000</v>
      </c>
      <c r="I121" s="41">
        <v>1200</v>
      </c>
      <c r="J121" s="40" t="s">
        <v>30</v>
      </c>
      <c r="K121" s="408" t="s">
        <v>31</v>
      </c>
      <c r="M121" s="157">
        <v>1200</v>
      </c>
    </row>
    <row r="122" spans="1:13" ht="15.75" customHeight="1">
      <c r="A122" s="42">
        <v>7</v>
      </c>
      <c r="B122" s="40" t="s">
        <v>2473</v>
      </c>
      <c r="C122" s="40" t="s">
        <v>25</v>
      </c>
      <c r="D122" s="40" t="s">
        <v>2454</v>
      </c>
      <c r="E122" s="40" t="s">
        <v>96</v>
      </c>
      <c r="F122" s="43" t="s">
        <v>2474</v>
      </c>
      <c r="G122" s="40" t="s">
        <v>29</v>
      </c>
      <c r="H122" s="44">
        <v>1000</v>
      </c>
      <c r="I122" s="41">
        <v>200</v>
      </c>
      <c r="J122" s="40" t="s">
        <v>30</v>
      </c>
      <c r="K122" s="408" t="s">
        <v>31</v>
      </c>
      <c r="M122" s="157">
        <v>300</v>
      </c>
    </row>
    <row r="123" spans="1:13" ht="15.75" customHeight="1">
      <c r="A123" s="42">
        <v>7</v>
      </c>
      <c r="B123" s="40" t="s">
        <v>2475</v>
      </c>
      <c r="C123" s="40" t="s">
        <v>59</v>
      </c>
      <c r="D123" s="40" t="s">
        <v>2476</v>
      </c>
      <c r="E123" s="40" t="s">
        <v>2477</v>
      </c>
      <c r="F123" s="43" t="s">
        <v>2478</v>
      </c>
      <c r="G123" s="40" t="s">
        <v>29</v>
      </c>
      <c r="H123" s="44">
        <v>1000</v>
      </c>
      <c r="I123" s="41">
        <v>200</v>
      </c>
      <c r="J123" s="40" t="s">
        <v>30</v>
      </c>
      <c r="K123" s="408" t="s">
        <v>31</v>
      </c>
    </row>
    <row r="124" spans="1:13" ht="15.75" customHeight="1">
      <c r="A124" s="42">
        <v>7</v>
      </c>
      <c r="B124" s="40" t="s">
        <v>2479</v>
      </c>
      <c r="C124" s="40" t="s">
        <v>25</v>
      </c>
      <c r="D124" s="40" t="s">
        <v>77</v>
      </c>
      <c r="E124" s="40" t="s">
        <v>78</v>
      </c>
      <c r="F124" s="43" t="s">
        <v>2480</v>
      </c>
      <c r="G124" s="40" t="s">
        <v>29</v>
      </c>
      <c r="H124" s="44">
        <v>1000</v>
      </c>
      <c r="I124" s="41">
        <v>200</v>
      </c>
      <c r="J124" s="40" t="s">
        <v>30</v>
      </c>
      <c r="K124" s="408" t="s">
        <v>31</v>
      </c>
    </row>
    <row r="125" spans="1:13" ht="15.75" customHeight="1">
      <c r="A125" s="42">
        <v>7</v>
      </c>
      <c r="B125" s="40" t="s">
        <v>2481</v>
      </c>
      <c r="C125" s="40" t="s">
        <v>59</v>
      </c>
      <c r="D125" s="40" t="s">
        <v>2482</v>
      </c>
      <c r="E125" s="40" t="s">
        <v>27</v>
      </c>
      <c r="F125" s="43" t="s">
        <v>2483</v>
      </c>
      <c r="G125" s="40" t="s">
        <v>29</v>
      </c>
      <c r="H125" s="44">
        <v>1000</v>
      </c>
      <c r="I125" s="41">
        <v>200</v>
      </c>
      <c r="J125" s="40" t="s">
        <v>30</v>
      </c>
      <c r="K125" s="408" t="s">
        <v>31</v>
      </c>
    </row>
    <row r="126" spans="1:13" ht="15.75" customHeight="1">
      <c r="A126" s="42">
        <v>7</v>
      </c>
      <c r="B126" s="40" t="s">
        <v>2484</v>
      </c>
      <c r="C126" s="40" t="s">
        <v>25</v>
      </c>
      <c r="D126" s="40" t="s">
        <v>2141</v>
      </c>
      <c r="E126" s="40" t="s">
        <v>533</v>
      </c>
      <c r="F126" s="43" t="s">
        <v>2485</v>
      </c>
      <c r="G126" s="40" t="s">
        <v>29</v>
      </c>
      <c r="H126" s="44">
        <v>3000</v>
      </c>
      <c r="I126" s="41">
        <v>600</v>
      </c>
      <c r="J126" s="40" t="s">
        <v>30</v>
      </c>
      <c r="K126" s="408" t="s">
        <v>31</v>
      </c>
    </row>
    <row r="127" spans="1:13" ht="15.75" customHeight="1">
      <c r="A127" s="42">
        <v>7</v>
      </c>
      <c r="B127" s="40" t="s">
        <v>2486</v>
      </c>
      <c r="C127" s="40" t="s">
        <v>25</v>
      </c>
      <c r="D127" s="40" t="s">
        <v>2380</v>
      </c>
      <c r="E127" s="40" t="s">
        <v>318</v>
      </c>
      <c r="F127" s="43" t="s">
        <v>2487</v>
      </c>
      <c r="G127" s="40" t="s">
        <v>29</v>
      </c>
      <c r="H127" s="44">
        <v>10000</v>
      </c>
      <c r="I127" s="41">
        <v>2000</v>
      </c>
      <c r="J127" s="40" t="s">
        <v>30</v>
      </c>
      <c r="K127" s="408" t="s">
        <v>31</v>
      </c>
      <c r="M127" s="157">
        <v>2000</v>
      </c>
    </row>
    <row r="128" spans="1:13" ht="15.75" customHeight="1">
      <c r="A128" s="42">
        <v>7</v>
      </c>
      <c r="B128" s="40" t="s">
        <v>2488</v>
      </c>
      <c r="C128" s="40" t="s">
        <v>25</v>
      </c>
      <c r="D128" s="40" t="s">
        <v>81</v>
      </c>
      <c r="E128" s="40" t="s">
        <v>50</v>
      </c>
      <c r="F128" s="43" t="s">
        <v>2489</v>
      </c>
      <c r="G128" s="40" t="s">
        <v>29</v>
      </c>
      <c r="H128" s="44">
        <v>1000</v>
      </c>
      <c r="I128" s="41">
        <v>200</v>
      </c>
      <c r="J128" s="40" t="s">
        <v>30</v>
      </c>
      <c r="K128" s="408" t="s">
        <v>31</v>
      </c>
    </row>
    <row r="129" spans="1:13" ht="15.75" customHeight="1">
      <c r="A129" s="42">
        <v>7</v>
      </c>
      <c r="B129" s="40" t="s">
        <v>2490</v>
      </c>
      <c r="C129" s="40" t="s">
        <v>25</v>
      </c>
      <c r="D129" s="40" t="s">
        <v>688</v>
      </c>
      <c r="E129" s="40" t="s">
        <v>38</v>
      </c>
      <c r="F129" s="43" t="s">
        <v>2491</v>
      </c>
      <c r="G129" s="40" t="s">
        <v>29</v>
      </c>
      <c r="H129" s="44">
        <v>13500</v>
      </c>
      <c r="I129" s="41">
        <v>2700</v>
      </c>
      <c r="J129" s="40" t="s">
        <v>30</v>
      </c>
      <c r="K129" s="408" t="s">
        <v>31</v>
      </c>
      <c r="M129" s="157">
        <v>2000</v>
      </c>
    </row>
    <row r="130" spans="1:13" ht="15.75" customHeight="1">
      <c r="A130" s="42">
        <v>7</v>
      </c>
      <c r="B130" s="40" t="s">
        <v>2492</v>
      </c>
      <c r="C130" s="40" t="s">
        <v>25</v>
      </c>
      <c r="D130" s="40" t="s">
        <v>63</v>
      </c>
      <c r="E130" s="40" t="s">
        <v>141</v>
      </c>
      <c r="F130" s="43" t="s">
        <v>2493</v>
      </c>
      <c r="G130" s="40" t="s">
        <v>29</v>
      </c>
      <c r="H130" s="44">
        <v>30000</v>
      </c>
      <c r="I130" s="41">
        <v>6000</v>
      </c>
      <c r="J130" s="40" t="s">
        <v>30</v>
      </c>
      <c r="K130" s="408" t="s">
        <v>31</v>
      </c>
      <c r="M130" s="157">
        <v>6000</v>
      </c>
    </row>
    <row r="131" spans="1:13" ht="15.75" customHeight="1">
      <c r="A131" s="42">
        <v>7</v>
      </c>
      <c r="B131" s="40" t="s">
        <v>2494</v>
      </c>
      <c r="C131" s="40" t="s">
        <v>25</v>
      </c>
      <c r="D131" s="40" t="s">
        <v>2044</v>
      </c>
      <c r="E131" s="40" t="s">
        <v>34</v>
      </c>
      <c r="F131" s="43" t="s">
        <v>2495</v>
      </c>
      <c r="G131" s="40" t="s">
        <v>29</v>
      </c>
      <c r="H131" s="44">
        <v>4000</v>
      </c>
      <c r="I131" s="41">
        <v>800</v>
      </c>
      <c r="J131" s="40" t="s">
        <v>30</v>
      </c>
      <c r="K131" s="408" t="s">
        <v>31</v>
      </c>
    </row>
    <row r="132" spans="1:13" ht="15.75" customHeight="1">
      <c r="A132" s="42">
        <v>7</v>
      </c>
      <c r="B132" s="40" t="s">
        <v>2496</v>
      </c>
      <c r="C132" s="40" t="s">
        <v>25</v>
      </c>
      <c r="D132" s="40" t="s">
        <v>2497</v>
      </c>
      <c r="E132" s="40" t="s">
        <v>258</v>
      </c>
      <c r="F132" s="43" t="s">
        <v>2498</v>
      </c>
      <c r="G132" s="40" t="s">
        <v>29</v>
      </c>
      <c r="H132" s="44">
        <v>1000</v>
      </c>
      <c r="I132" s="41">
        <v>200</v>
      </c>
      <c r="J132" s="40" t="s">
        <v>30</v>
      </c>
      <c r="K132" s="408" t="s">
        <v>31</v>
      </c>
    </row>
    <row r="133" spans="1:13" ht="15.75" customHeight="1">
      <c r="A133" s="42">
        <v>7</v>
      </c>
      <c r="B133" s="40" t="s">
        <v>2499</v>
      </c>
      <c r="C133" s="40" t="s">
        <v>25</v>
      </c>
      <c r="D133" s="40" t="s">
        <v>782</v>
      </c>
      <c r="E133" s="40" t="s">
        <v>150</v>
      </c>
      <c r="F133" s="43" t="s">
        <v>2500</v>
      </c>
      <c r="G133" s="40" t="s">
        <v>29</v>
      </c>
      <c r="H133" s="44">
        <v>1000</v>
      </c>
      <c r="I133" s="41">
        <v>200</v>
      </c>
      <c r="J133" s="40" t="s">
        <v>30</v>
      </c>
      <c r="K133" s="408" t="s">
        <v>31</v>
      </c>
    </row>
    <row r="134" spans="1:13" ht="15.75" customHeight="1">
      <c r="A134" s="42">
        <v>7</v>
      </c>
      <c r="B134" s="40" t="s">
        <v>2501</v>
      </c>
      <c r="C134" s="40" t="s">
        <v>25</v>
      </c>
      <c r="D134" s="40" t="s">
        <v>627</v>
      </c>
      <c r="E134" s="40" t="s">
        <v>2502</v>
      </c>
      <c r="F134" s="43" t="s">
        <v>2503</v>
      </c>
      <c r="G134" s="40" t="s">
        <v>29</v>
      </c>
      <c r="H134" s="44">
        <v>1000</v>
      </c>
      <c r="I134" s="41">
        <v>200</v>
      </c>
      <c r="J134" s="40" t="s">
        <v>30</v>
      </c>
      <c r="K134" s="408" t="s">
        <v>31</v>
      </c>
    </row>
    <row r="135" spans="1:13" ht="15.75" customHeight="1">
      <c r="A135" s="42">
        <v>7</v>
      </c>
      <c r="B135" s="40" t="s">
        <v>2504</v>
      </c>
      <c r="C135" s="40" t="s">
        <v>25</v>
      </c>
      <c r="D135" s="40" t="s">
        <v>63</v>
      </c>
      <c r="E135" s="40" t="s">
        <v>38</v>
      </c>
      <c r="F135" s="43" t="s">
        <v>2505</v>
      </c>
      <c r="G135" s="40" t="s">
        <v>29</v>
      </c>
      <c r="H135" s="44">
        <v>100</v>
      </c>
      <c r="I135" s="41">
        <v>20</v>
      </c>
      <c r="J135" s="40" t="s">
        <v>30</v>
      </c>
      <c r="K135" s="408" t="s">
        <v>31</v>
      </c>
    </row>
    <row r="136" spans="1:13" ht="15.75" customHeight="1">
      <c r="A136" s="42">
        <v>7</v>
      </c>
      <c r="B136" s="40" t="s">
        <v>2506</v>
      </c>
      <c r="C136" s="40" t="s">
        <v>25</v>
      </c>
      <c r="D136" s="40" t="s">
        <v>826</v>
      </c>
      <c r="E136" s="40" t="s">
        <v>96</v>
      </c>
      <c r="F136" s="43" t="s">
        <v>2507</v>
      </c>
      <c r="G136" s="40" t="s">
        <v>29</v>
      </c>
      <c r="H136" s="44">
        <v>10000</v>
      </c>
      <c r="I136" s="41">
        <v>2000</v>
      </c>
      <c r="J136" s="40" t="s">
        <v>30</v>
      </c>
      <c r="K136" s="408" t="s">
        <v>31</v>
      </c>
      <c r="M136" s="157">
        <v>2000</v>
      </c>
    </row>
    <row r="137" spans="1:13" ht="15.75" customHeight="1">
      <c r="A137" s="42">
        <v>7</v>
      </c>
      <c r="B137" s="40" t="s">
        <v>2508</v>
      </c>
      <c r="C137" s="40" t="s">
        <v>25</v>
      </c>
      <c r="D137" s="40" t="s">
        <v>33</v>
      </c>
      <c r="E137" s="40" t="s">
        <v>38</v>
      </c>
      <c r="F137" s="43" t="s">
        <v>2509</v>
      </c>
      <c r="G137" s="40" t="s">
        <v>29</v>
      </c>
      <c r="H137" s="44">
        <v>700</v>
      </c>
      <c r="I137" s="41">
        <v>140</v>
      </c>
      <c r="J137" s="40" t="s">
        <v>30</v>
      </c>
      <c r="K137" s="408" t="s">
        <v>31</v>
      </c>
    </row>
    <row r="138" spans="1:13" ht="15.75" customHeight="1">
      <c r="A138" s="42">
        <v>7</v>
      </c>
      <c r="B138" s="40" t="s">
        <v>2508</v>
      </c>
      <c r="C138" s="40" t="s">
        <v>25</v>
      </c>
      <c r="D138" s="40" t="s">
        <v>33</v>
      </c>
      <c r="E138" s="40" t="s">
        <v>38</v>
      </c>
      <c r="F138" s="43" t="s">
        <v>2509</v>
      </c>
      <c r="G138" s="40" t="s">
        <v>321</v>
      </c>
      <c r="H138" s="44">
        <v>10</v>
      </c>
      <c r="I138" s="41">
        <v>30</v>
      </c>
      <c r="J138" s="40" t="s">
        <v>30</v>
      </c>
      <c r="K138" s="408" t="s">
        <v>31</v>
      </c>
    </row>
    <row r="139" spans="1:13" ht="15.75" customHeight="1">
      <c r="A139" s="42">
        <v>7</v>
      </c>
      <c r="B139" s="40" t="s">
        <v>2510</v>
      </c>
      <c r="C139" s="40" t="s">
        <v>25</v>
      </c>
      <c r="D139" s="40" t="s">
        <v>158</v>
      </c>
      <c r="E139" s="40" t="s">
        <v>141</v>
      </c>
      <c r="F139" s="43" t="s">
        <v>2511</v>
      </c>
      <c r="G139" s="40" t="s">
        <v>29</v>
      </c>
      <c r="H139" s="44">
        <v>5000</v>
      </c>
      <c r="I139" s="41">
        <v>1000</v>
      </c>
      <c r="J139" s="40" t="s">
        <v>30</v>
      </c>
      <c r="K139" s="408" t="s">
        <v>31</v>
      </c>
    </row>
    <row r="140" spans="1:13" ht="15.75" customHeight="1">
      <c r="A140" s="42">
        <v>9</v>
      </c>
      <c r="B140" s="40" t="s">
        <v>1569</v>
      </c>
      <c r="C140" s="40" t="s">
        <v>25</v>
      </c>
      <c r="D140" s="40" t="s">
        <v>86</v>
      </c>
      <c r="E140" s="40" t="s">
        <v>42</v>
      </c>
      <c r="F140" s="43" t="s">
        <v>2512</v>
      </c>
      <c r="G140" s="40" t="s">
        <v>29</v>
      </c>
      <c r="H140" s="44">
        <v>12000</v>
      </c>
      <c r="I140" s="41">
        <v>2400</v>
      </c>
      <c r="J140" s="40" t="s">
        <v>30</v>
      </c>
      <c r="K140" s="408" t="s">
        <v>31</v>
      </c>
    </row>
    <row r="141" spans="1:13" ht="15.75" customHeight="1">
      <c r="A141" s="42">
        <v>9</v>
      </c>
      <c r="B141" s="40" t="s">
        <v>2513</v>
      </c>
      <c r="C141" s="40" t="s">
        <v>59</v>
      </c>
      <c r="D141" s="40" t="s">
        <v>1432</v>
      </c>
      <c r="E141" s="40" t="s">
        <v>130</v>
      </c>
      <c r="F141" s="43" t="s">
        <v>1433</v>
      </c>
      <c r="G141" s="40" t="s">
        <v>29</v>
      </c>
      <c r="H141" s="44">
        <v>5000</v>
      </c>
      <c r="I141" s="41">
        <v>1000</v>
      </c>
      <c r="J141" s="40" t="s">
        <v>30</v>
      </c>
      <c r="K141" s="408" t="s">
        <v>31</v>
      </c>
      <c r="M141" s="157">
        <v>10000</v>
      </c>
    </row>
    <row r="142" spans="1:13" ht="15.75" customHeight="1">
      <c r="A142" s="42">
        <v>9</v>
      </c>
      <c r="B142" s="40" t="s">
        <v>2514</v>
      </c>
      <c r="C142" s="40" t="s">
        <v>25</v>
      </c>
      <c r="D142" s="40" t="s">
        <v>33</v>
      </c>
      <c r="E142" s="40" t="s">
        <v>38</v>
      </c>
      <c r="F142" s="43" t="s">
        <v>2515</v>
      </c>
      <c r="G142" s="40" t="s">
        <v>29</v>
      </c>
      <c r="H142" s="44">
        <v>500</v>
      </c>
      <c r="I142" s="41">
        <v>100</v>
      </c>
      <c r="J142" s="40" t="s">
        <v>30</v>
      </c>
      <c r="K142" s="408" t="s">
        <v>31</v>
      </c>
      <c r="M142" s="157">
        <v>100</v>
      </c>
    </row>
    <row r="143" spans="1:13" ht="15.75" customHeight="1">
      <c r="A143" s="42">
        <v>9</v>
      </c>
      <c r="B143" s="40" t="s">
        <v>2516</v>
      </c>
      <c r="C143" s="40" t="s">
        <v>59</v>
      </c>
      <c r="D143" s="40" t="s">
        <v>947</v>
      </c>
      <c r="E143" s="40" t="s">
        <v>42</v>
      </c>
      <c r="F143" s="43" t="s">
        <v>2517</v>
      </c>
      <c r="G143" s="40" t="s">
        <v>29</v>
      </c>
      <c r="H143" s="44">
        <v>500</v>
      </c>
      <c r="I143" s="41">
        <v>100</v>
      </c>
      <c r="J143" s="40" t="s">
        <v>30</v>
      </c>
      <c r="K143" s="408" t="s">
        <v>31</v>
      </c>
    </row>
    <row r="144" spans="1:13" ht="15.75" customHeight="1">
      <c r="A144" s="42">
        <v>9</v>
      </c>
      <c r="B144" s="40" t="s">
        <v>2518</v>
      </c>
      <c r="C144" s="40" t="s">
        <v>25</v>
      </c>
      <c r="D144" s="40" t="s">
        <v>1505</v>
      </c>
      <c r="E144" s="40" t="s">
        <v>42</v>
      </c>
      <c r="F144" s="43" t="s">
        <v>2519</v>
      </c>
      <c r="G144" s="40" t="s">
        <v>29</v>
      </c>
      <c r="H144" s="44">
        <v>300</v>
      </c>
      <c r="I144" s="41">
        <v>60</v>
      </c>
      <c r="J144" s="40" t="s">
        <v>30</v>
      </c>
      <c r="K144" s="408" t="s">
        <v>31</v>
      </c>
      <c r="M144" s="157">
        <v>50</v>
      </c>
    </row>
    <row r="145" spans="1:13" ht="15.75" customHeight="1">
      <c r="A145" s="42">
        <v>9</v>
      </c>
      <c r="B145" s="40" t="s">
        <v>2520</v>
      </c>
      <c r="C145" s="40" t="s">
        <v>25</v>
      </c>
      <c r="D145" s="40" t="s">
        <v>779</v>
      </c>
      <c r="E145" s="40" t="s">
        <v>42</v>
      </c>
      <c r="F145" s="43" t="s">
        <v>2521</v>
      </c>
      <c r="G145" s="40" t="s">
        <v>29</v>
      </c>
      <c r="H145" s="44">
        <v>500</v>
      </c>
      <c r="I145" s="41">
        <v>100</v>
      </c>
      <c r="J145" s="40" t="s">
        <v>30</v>
      </c>
      <c r="K145" s="408" t="s">
        <v>31</v>
      </c>
      <c r="M145" s="157">
        <v>150</v>
      </c>
    </row>
    <row r="146" spans="1:13" ht="15.75" customHeight="1">
      <c r="A146" s="42">
        <v>9</v>
      </c>
      <c r="B146" s="40" t="s">
        <v>2522</v>
      </c>
      <c r="C146" s="40" t="s">
        <v>25</v>
      </c>
      <c r="D146" s="40" t="s">
        <v>89</v>
      </c>
      <c r="E146" s="40" t="s">
        <v>46</v>
      </c>
      <c r="F146" s="43" t="s">
        <v>2523</v>
      </c>
      <c r="G146" s="40" t="s">
        <v>29</v>
      </c>
      <c r="H146" s="44">
        <v>800</v>
      </c>
      <c r="I146" s="41">
        <v>160</v>
      </c>
      <c r="J146" s="40" t="s">
        <v>30</v>
      </c>
      <c r="K146" s="408" t="s">
        <v>31</v>
      </c>
      <c r="M146" s="157">
        <v>160</v>
      </c>
    </row>
    <row r="147" spans="1:13" ht="15.75" customHeight="1">
      <c r="A147" s="42">
        <v>9</v>
      </c>
      <c r="B147" s="40" t="s">
        <v>2524</v>
      </c>
      <c r="C147" s="40" t="s">
        <v>25</v>
      </c>
      <c r="D147" s="40" t="s">
        <v>2380</v>
      </c>
      <c r="E147" s="40" t="s">
        <v>318</v>
      </c>
      <c r="F147" s="43" t="s">
        <v>2525</v>
      </c>
      <c r="G147" s="40" t="s">
        <v>29</v>
      </c>
      <c r="H147" s="44">
        <v>4000</v>
      </c>
      <c r="I147" s="41">
        <v>800</v>
      </c>
      <c r="J147" s="40" t="s">
        <v>30</v>
      </c>
      <c r="K147" s="408" t="s">
        <v>31</v>
      </c>
    </row>
    <row r="148" spans="1:13" ht="15.75" customHeight="1">
      <c r="A148" s="42">
        <v>9</v>
      </c>
      <c r="B148" s="40" t="s">
        <v>2526</v>
      </c>
      <c r="C148" s="40" t="s">
        <v>25</v>
      </c>
      <c r="D148" s="40" t="s">
        <v>2482</v>
      </c>
      <c r="E148" s="40" t="s">
        <v>27</v>
      </c>
      <c r="F148" s="43" t="s">
        <v>2527</v>
      </c>
      <c r="G148" s="40" t="s">
        <v>29</v>
      </c>
      <c r="H148" s="44">
        <v>2000</v>
      </c>
      <c r="I148" s="41">
        <v>400</v>
      </c>
      <c r="J148" s="40" t="s">
        <v>30</v>
      </c>
      <c r="K148" s="408" t="s">
        <v>31</v>
      </c>
      <c r="M148" s="157">
        <v>400</v>
      </c>
    </row>
    <row r="149" spans="1:13" ht="15.75" customHeight="1">
      <c r="A149" s="42">
        <v>9</v>
      </c>
      <c r="B149" s="40" t="s">
        <v>2528</v>
      </c>
      <c r="C149" s="40" t="s">
        <v>25</v>
      </c>
      <c r="D149" s="40" t="s">
        <v>2529</v>
      </c>
      <c r="E149" s="40" t="s">
        <v>27</v>
      </c>
      <c r="F149" s="43" t="s">
        <v>2530</v>
      </c>
      <c r="G149" s="40" t="s">
        <v>29</v>
      </c>
      <c r="H149" s="44">
        <v>500</v>
      </c>
      <c r="I149" s="41">
        <v>100</v>
      </c>
      <c r="J149" s="40" t="s">
        <v>30</v>
      </c>
      <c r="K149" s="408" t="s">
        <v>31</v>
      </c>
      <c r="M149" s="157">
        <v>100</v>
      </c>
    </row>
    <row r="150" spans="1:13" ht="15.75" customHeight="1">
      <c r="A150" s="42">
        <v>9</v>
      </c>
      <c r="B150" s="40" t="s">
        <v>2531</v>
      </c>
      <c r="C150" s="40" t="s">
        <v>25</v>
      </c>
      <c r="D150" s="40" t="s">
        <v>2532</v>
      </c>
      <c r="E150" s="40" t="s">
        <v>50</v>
      </c>
      <c r="F150" s="43" t="s">
        <v>2533</v>
      </c>
      <c r="G150" s="40" t="s">
        <v>29</v>
      </c>
      <c r="H150" s="44">
        <v>500</v>
      </c>
      <c r="I150" s="41">
        <v>100</v>
      </c>
      <c r="J150" s="40" t="s">
        <v>30</v>
      </c>
      <c r="K150" s="408" t="s">
        <v>31</v>
      </c>
      <c r="M150" s="157">
        <v>100</v>
      </c>
    </row>
    <row r="151" spans="1:13" ht="15.75" customHeight="1">
      <c r="A151" s="42">
        <v>9</v>
      </c>
      <c r="B151" s="40" t="s">
        <v>2534</v>
      </c>
      <c r="C151" s="40" t="s">
        <v>59</v>
      </c>
      <c r="D151" s="40" t="s">
        <v>548</v>
      </c>
      <c r="E151" s="40" t="s">
        <v>42</v>
      </c>
      <c r="F151" s="43" t="s">
        <v>2535</v>
      </c>
      <c r="G151" s="40" t="s">
        <v>29</v>
      </c>
      <c r="H151" s="44">
        <v>500</v>
      </c>
      <c r="I151" s="41">
        <v>100</v>
      </c>
      <c r="J151" s="40" t="s">
        <v>30</v>
      </c>
      <c r="K151" s="408" t="s">
        <v>31</v>
      </c>
    </row>
    <row r="152" spans="1:13" ht="15.75" customHeight="1">
      <c r="A152" s="42">
        <v>9</v>
      </c>
      <c r="B152" s="40" t="s">
        <v>2536</v>
      </c>
      <c r="C152" s="40" t="s">
        <v>25</v>
      </c>
      <c r="D152" s="40" t="s">
        <v>950</v>
      </c>
      <c r="E152" s="40" t="s">
        <v>96</v>
      </c>
      <c r="F152" s="43" t="s">
        <v>2537</v>
      </c>
      <c r="G152" s="40" t="s">
        <v>29</v>
      </c>
      <c r="H152" s="44">
        <v>500</v>
      </c>
      <c r="I152" s="41">
        <v>100</v>
      </c>
      <c r="J152" s="40" t="s">
        <v>30</v>
      </c>
      <c r="K152" s="408" t="s">
        <v>31</v>
      </c>
    </row>
    <row r="153" spans="1:13" ht="15.75" customHeight="1">
      <c r="A153" s="42">
        <v>9</v>
      </c>
      <c r="B153" s="40" t="s">
        <v>2538</v>
      </c>
      <c r="C153" s="40" t="s">
        <v>25</v>
      </c>
      <c r="D153" s="40" t="s">
        <v>185</v>
      </c>
      <c r="E153" s="40" t="s">
        <v>42</v>
      </c>
      <c r="F153" s="40"/>
      <c r="G153" s="40" t="s">
        <v>29</v>
      </c>
      <c r="H153" s="44">
        <v>500</v>
      </c>
      <c r="I153" s="41">
        <v>100</v>
      </c>
      <c r="J153" s="40" t="s">
        <v>30</v>
      </c>
      <c r="K153" s="408" t="s">
        <v>31</v>
      </c>
    </row>
    <row r="154" spans="1:13" ht="15.75" customHeight="1">
      <c r="A154" s="42">
        <v>9</v>
      </c>
      <c r="B154" s="40" t="s">
        <v>2539</v>
      </c>
      <c r="C154" s="40" t="s">
        <v>25</v>
      </c>
      <c r="D154" s="40" t="s">
        <v>950</v>
      </c>
      <c r="E154" s="40" t="s">
        <v>96</v>
      </c>
      <c r="F154" s="43" t="s">
        <v>2540</v>
      </c>
      <c r="G154" s="40" t="s">
        <v>29</v>
      </c>
      <c r="H154" s="44">
        <v>1000</v>
      </c>
      <c r="I154" s="41">
        <v>200</v>
      </c>
      <c r="J154" s="40" t="s">
        <v>30</v>
      </c>
      <c r="K154" s="408" t="s">
        <v>31</v>
      </c>
    </row>
    <row r="155" spans="1:13" ht="15.75" customHeight="1">
      <c r="A155" s="42">
        <v>9</v>
      </c>
      <c r="B155" s="40" t="s">
        <v>2541</v>
      </c>
      <c r="C155" s="40" t="s">
        <v>25</v>
      </c>
      <c r="D155" s="40" t="s">
        <v>328</v>
      </c>
      <c r="E155" s="40" t="s">
        <v>311</v>
      </c>
      <c r="F155" s="43" t="s">
        <v>2542</v>
      </c>
      <c r="G155" s="40" t="s">
        <v>29</v>
      </c>
      <c r="H155" s="44">
        <v>1000</v>
      </c>
      <c r="I155" s="41">
        <v>200</v>
      </c>
      <c r="J155" s="40" t="s">
        <v>30</v>
      </c>
      <c r="K155" s="408" t="s">
        <v>31</v>
      </c>
    </row>
    <row r="156" spans="1:13" ht="15.75" customHeight="1">
      <c r="A156" s="42">
        <v>9</v>
      </c>
      <c r="B156" s="40" t="s">
        <v>2543</v>
      </c>
      <c r="C156" s="40" t="s">
        <v>25</v>
      </c>
      <c r="D156" s="40" t="s">
        <v>950</v>
      </c>
      <c r="E156" s="40" t="s">
        <v>96</v>
      </c>
      <c r="F156" s="43" t="s">
        <v>2544</v>
      </c>
      <c r="G156" s="40" t="s">
        <v>29</v>
      </c>
      <c r="H156" s="44">
        <v>1000</v>
      </c>
      <c r="I156" s="41">
        <v>200</v>
      </c>
      <c r="J156" s="40" t="s">
        <v>30</v>
      </c>
      <c r="K156" s="408" t="s">
        <v>31</v>
      </c>
    </row>
    <row r="157" spans="1:13" ht="15.75" customHeight="1">
      <c r="A157" s="42">
        <v>9</v>
      </c>
      <c r="B157" s="40" t="s">
        <v>2545</v>
      </c>
      <c r="C157" s="40" t="s">
        <v>25</v>
      </c>
      <c r="D157" s="40" t="s">
        <v>2371</v>
      </c>
      <c r="E157" s="40" t="s">
        <v>50</v>
      </c>
      <c r="F157" s="43" t="s">
        <v>2546</v>
      </c>
      <c r="G157" s="40" t="s">
        <v>29</v>
      </c>
      <c r="H157" s="44">
        <v>1000</v>
      </c>
      <c r="I157" s="41">
        <v>200</v>
      </c>
      <c r="J157" s="40" t="s">
        <v>30</v>
      </c>
      <c r="K157" s="408" t="s">
        <v>31</v>
      </c>
    </row>
    <row r="158" spans="1:13" ht="15.75" customHeight="1">
      <c r="A158" s="47">
        <v>9</v>
      </c>
      <c r="B158" s="48" t="s">
        <v>2547</v>
      </c>
      <c r="C158" s="48" t="s">
        <v>25</v>
      </c>
      <c r="D158" s="48" t="s">
        <v>192</v>
      </c>
      <c r="E158" s="48" t="s">
        <v>78</v>
      </c>
      <c r="F158" s="49" t="s">
        <v>2548</v>
      </c>
      <c r="G158" s="48" t="s">
        <v>29</v>
      </c>
      <c r="H158" s="50">
        <v>1000</v>
      </c>
      <c r="I158" s="51">
        <v>200</v>
      </c>
      <c r="J158" s="48" t="s">
        <v>30</v>
      </c>
      <c r="K158" s="411" t="s">
        <v>31</v>
      </c>
    </row>
    <row r="159" spans="1:13" ht="15.75" customHeight="1">
      <c r="A159" s="52">
        <v>10</v>
      </c>
      <c r="B159" s="53" t="s">
        <v>2549</v>
      </c>
      <c r="C159" s="53" t="s">
        <v>59</v>
      </c>
      <c r="D159" s="53" t="s">
        <v>110</v>
      </c>
      <c r="E159" s="53" t="s">
        <v>111</v>
      </c>
      <c r="F159" s="60" t="s">
        <v>2550</v>
      </c>
      <c r="G159" s="53" t="s">
        <v>29</v>
      </c>
      <c r="H159" s="54">
        <v>3000</v>
      </c>
      <c r="I159" s="55">
        <v>600</v>
      </c>
      <c r="J159" s="53" t="s">
        <v>30</v>
      </c>
      <c r="K159" s="412" t="s">
        <v>31</v>
      </c>
    </row>
    <row r="160" spans="1:13" ht="15.75" customHeight="1">
      <c r="A160" s="42">
        <v>10</v>
      </c>
      <c r="B160" s="40" t="s">
        <v>2551</v>
      </c>
      <c r="C160" s="40" t="s">
        <v>59</v>
      </c>
      <c r="D160" s="40" t="s">
        <v>950</v>
      </c>
      <c r="E160" s="40" t="s">
        <v>96</v>
      </c>
      <c r="F160" s="43" t="s">
        <v>2552</v>
      </c>
      <c r="G160" s="40" t="s">
        <v>29</v>
      </c>
      <c r="H160" s="44">
        <v>500</v>
      </c>
      <c r="I160" s="41">
        <v>100</v>
      </c>
      <c r="J160" s="40" t="s">
        <v>30</v>
      </c>
      <c r="K160" s="408" t="s">
        <v>31</v>
      </c>
    </row>
    <row r="161" spans="1:26" ht="15.75" customHeight="1">
      <c r="A161" s="42">
        <v>10</v>
      </c>
      <c r="B161" s="40" t="s">
        <v>2553</v>
      </c>
      <c r="C161" s="40" t="s">
        <v>59</v>
      </c>
      <c r="D161" s="40" t="s">
        <v>1678</v>
      </c>
      <c r="E161" s="40" t="s">
        <v>96</v>
      </c>
      <c r="F161" s="43" t="s">
        <v>2554</v>
      </c>
      <c r="G161" s="40" t="s">
        <v>29</v>
      </c>
      <c r="H161" s="44">
        <v>500</v>
      </c>
      <c r="I161" s="41">
        <v>100</v>
      </c>
      <c r="J161" s="40" t="s">
        <v>30</v>
      </c>
      <c r="K161" s="408" t="s">
        <v>31</v>
      </c>
    </row>
    <row r="162" spans="1:26" ht="15.75" customHeight="1">
      <c r="A162" s="42">
        <v>10</v>
      </c>
      <c r="B162" s="40" t="s">
        <v>2555</v>
      </c>
      <c r="C162" s="40" t="s">
        <v>25</v>
      </c>
      <c r="D162" s="40" t="s">
        <v>1377</v>
      </c>
      <c r="E162" s="40" t="s">
        <v>50</v>
      </c>
      <c r="F162" s="43" t="s">
        <v>2556</v>
      </c>
      <c r="G162" s="40" t="s">
        <v>29</v>
      </c>
      <c r="H162" s="44">
        <v>500</v>
      </c>
      <c r="I162" s="41">
        <v>100</v>
      </c>
      <c r="J162" s="40" t="s">
        <v>30</v>
      </c>
      <c r="K162" s="408" t="s">
        <v>31</v>
      </c>
    </row>
    <row r="163" spans="1:26" ht="15.75" customHeight="1">
      <c r="A163" s="42">
        <v>10</v>
      </c>
      <c r="B163" s="40" t="s">
        <v>2557</v>
      </c>
      <c r="C163" s="40" t="s">
        <v>25</v>
      </c>
      <c r="D163" s="40" t="s">
        <v>1564</v>
      </c>
      <c r="E163" s="40" t="s">
        <v>46</v>
      </c>
      <c r="F163" s="43" t="s">
        <v>2558</v>
      </c>
      <c r="G163" s="40" t="s">
        <v>2313</v>
      </c>
      <c r="H163" s="44">
        <v>400</v>
      </c>
      <c r="I163" s="41">
        <v>240</v>
      </c>
      <c r="J163" s="40" t="s">
        <v>30</v>
      </c>
      <c r="K163" s="408" t="s">
        <v>31</v>
      </c>
    </row>
    <row r="164" spans="1:26" ht="15.75" customHeight="1">
      <c r="A164" s="42">
        <v>10</v>
      </c>
      <c r="B164" s="40" t="s">
        <v>2559</v>
      </c>
      <c r="C164" s="40" t="s">
        <v>25</v>
      </c>
      <c r="D164" s="40" t="s">
        <v>63</v>
      </c>
      <c r="E164" s="40" t="s">
        <v>50</v>
      </c>
      <c r="F164" s="43" t="s">
        <v>2560</v>
      </c>
      <c r="G164" s="40" t="s">
        <v>29</v>
      </c>
      <c r="H164" s="44">
        <v>650</v>
      </c>
      <c r="I164" s="41">
        <v>130</v>
      </c>
      <c r="J164" s="40" t="s">
        <v>30</v>
      </c>
      <c r="K164" s="408" t="s">
        <v>31</v>
      </c>
      <c r="M164" s="157">
        <v>150</v>
      </c>
    </row>
    <row r="165" spans="1:26" ht="15.75" customHeight="1">
      <c r="A165" s="42">
        <v>10</v>
      </c>
      <c r="B165" s="40" t="s">
        <v>2561</v>
      </c>
      <c r="C165" s="40" t="s">
        <v>25</v>
      </c>
      <c r="D165" s="40" t="s">
        <v>1377</v>
      </c>
      <c r="E165" s="40" t="s">
        <v>50</v>
      </c>
      <c r="F165" s="43" t="s">
        <v>2562</v>
      </c>
      <c r="G165" s="40" t="s">
        <v>29</v>
      </c>
      <c r="H165" s="44">
        <v>300</v>
      </c>
      <c r="I165" s="41">
        <v>60</v>
      </c>
      <c r="J165" s="40" t="s">
        <v>30</v>
      </c>
      <c r="K165" s="40" t="s">
        <v>31</v>
      </c>
      <c r="M165" s="157">
        <v>50</v>
      </c>
    </row>
    <row r="166" spans="1:26" ht="15.75" customHeight="1">
      <c r="A166" s="42">
        <v>10</v>
      </c>
      <c r="B166" s="40" t="s">
        <v>2563</v>
      </c>
      <c r="C166" s="40" t="s">
        <v>59</v>
      </c>
      <c r="D166" s="40" t="s">
        <v>2564</v>
      </c>
      <c r="E166" s="40" t="s">
        <v>96</v>
      </c>
      <c r="F166" s="43" t="s">
        <v>2565</v>
      </c>
      <c r="G166" s="40" t="s">
        <v>29</v>
      </c>
      <c r="H166" s="44">
        <v>10000</v>
      </c>
      <c r="I166" s="41">
        <v>2000</v>
      </c>
      <c r="J166" s="40" t="s">
        <v>30</v>
      </c>
      <c r="K166" s="40" t="s">
        <v>31</v>
      </c>
      <c r="L166" s="1"/>
      <c r="M166" s="1">
        <v>3000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42">
        <v>10</v>
      </c>
      <c r="B167" s="40" t="s">
        <v>2566</v>
      </c>
      <c r="C167" s="40" t="s">
        <v>25</v>
      </c>
      <c r="D167" s="40" t="s">
        <v>192</v>
      </c>
      <c r="E167" s="40" t="s">
        <v>150</v>
      </c>
      <c r="F167" s="43" t="s">
        <v>2567</v>
      </c>
      <c r="G167" s="40" t="s">
        <v>29</v>
      </c>
      <c r="H167" s="44">
        <v>500</v>
      </c>
      <c r="I167" s="41">
        <v>100</v>
      </c>
      <c r="J167" s="40" t="s">
        <v>30</v>
      </c>
      <c r="K167" s="40" t="s">
        <v>31</v>
      </c>
      <c r="L167" s="1"/>
      <c r="M167" s="1">
        <v>150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42">
        <v>10</v>
      </c>
      <c r="B168" s="40" t="s">
        <v>2568</v>
      </c>
      <c r="C168" s="40" t="s">
        <v>25</v>
      </c>
      <c r="D168" s="40" t="s">
        <v>1082</v>
      </c>
      <c r="E168" s="40" t="s">
        <v>96</v>
      </c>
      <c r="F168" s="43" t="s">
        <v>2569</v>
      </c>
      <c r="G168" s="40" t="s">
        <v>29</v>
      </c>
      <c r="H168" s="44">
        <v>500</v>
      </c>
      <c r="I168" s="41" t="s">
        <v>101</v>
      </c>
      <c r="J168" s="40" t="s">
        <v>30</v>
      </c>
      <c r="K168" s="40" t="s">
        <v>31</v>
      </c>
      <c r="L168" s="1"/>
      <c r="M168" s="1">
        <v>90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42">
        <v>12</v>
      </c>
      <c r="B169" s="40" t="s">
        <v>2570</v>
      </c>
      <c r="C169" s="40" t="s">
        <v>25</v>
      </c>
      <c r="D169" s="40" t="s">
        <v>63</v>
      </c>
      <c r="E169" s="40" t="s">
        <v>27</v>
      </c>
      <c r="F169" s="43" t="s">
        <v>2571</v>
      </c>
      <c r="G169" s="40" t="s">
        <v>29</v>
      </c>
      <c r="H169" s="44">
        <v>300</v>
      </c>
      <c r="I169" s="41">
        <v>60</v>
      </c>
      <c r="J169" s="40" t="s">
        <v>30</v>
      </c>
      <c r="K169" s="40" t="s">
        <v>31</v>
      </c>
      <c r="L169" s="1"/>
      <c r="M169" s="1">
        <v>50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42">
        <v>12</v>
      </c>
      <c r="B170" s="40" t="s">
        <v>2572</v>
      </c>
      <c r="C170" s="40" t="s">
        <v>59</v>
      </c>
      <c r="D170" s="40" t="s">
        <v>1143</v>
      </c>
      <c r="E170" s="40" t="s">
        <v>258</v>
      </c>
      <c r="F170" s="43" t="s">
        <v>2573</v>
      </c>
      <c r="G170" s="40" t="s">
        <v>29</v>
      </c>
      <c r="H170" s="44">
        <v>500</v>
      </c>
      <c r="I170" s="41">
        <v>100</v>
      </c>
      <c r="J170" s="40" t="s">
        <v>30</v>
      </c>
      <c r="K170" s="40" t="s">
        <v>31</v>
      </c>
      <c r="L170" s="1"/>
      <c r="M170" s="1">
        <v>900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42">
        <v>12</v>
      </c>
      <c r="B171" s="40" t="s">
        <v>2574</v>
      </c>
      <c r="C171" s="40" t="s">
        <v>59</v>
      </c>
      <c r="D171" s="40" t="s">
        <v>63</v>
      </c>
      <c r="E171" s="40" t="s">
        <v>38</v>
      </c>
      <c r="F171" s="43" t="s">
        <v>2575</v>
      </c>
      <c r="G171" s="40" t="s">
        <v>29</v>
      </c>
      <c r="H171" s="44">
        <v>100</v>
      </c>
      <c r="I171" s="41">
        <v>30</v>
      </c>
      <c r="J171" s="40" t="s">
        <v>30</v>
      </c>
      <c r="K171" s="40" t="s">
        <v>31</v>
      </c>
      <c r="L171" s="1"/>
      <c r="M171" s="1">
        <v>30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42">
        <v>12</v>
      </c>
      <c r="B172" s="40" t="s">
        <v>2576</v>
      </c>
      <c r="C172" s="40" t="s">
        <v>25</v>
      </c>
      <c r="D172" s="40" t="s">
        <v>570</v>
      </c>
      <c r="E172" s="40" t="s">
        <v>60</v>
      </c>
      <c r="F172" s="43" t="s">
        <v>2577</v>
      </c>
      <c r="G172" s="40" t="s">
        <v>29</v>
      </c>
      <c r="H172" s="44">
        <v>500</v>
      </c>
      <c r="I172" s="41">
        <v>100</v>
      </c>
      <c r="J172" s="40" t="s">
        <v>30</v>
      </c>
      <c r="K172" s="40" t="s">
        <v>31</v>
      </c>
      <c r="L172" s="1"/>
      <c r="M172" s="1">
        <v>200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42">
        <v>12</v>
      </c>
      <c r="B173" s="40" t="s">
        <v>2578</v>
      </c>
      <c r="C173" s="40" t="s">
        <v>25</v>
      </c>
      <c r="D173" s="40" t="s">
        <v>570</v>
      </c>
      <c r="E173" s="40" t="s">
        <v>60</v>
      </c>
      <c r="F173" s="43" t="s">
        <v>2579</v>
      </c>
      <c r="G173" s="40" t="s">
        <v>29</v>
      </c>
      <c r="H173" s="44">
        <v>500</v>
      </c>
      <c r="I173" s="41">
        <v>100</v>
      </c>
      <c r="J173" s="40" t="s">
        <v>30</v>
      </c>
      <c r="K173" s="40" t="s">
        <v>31</v>
      </c>
      <c r="L173" s="1"/>
      <c r="M173" s="1">
        <v>300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42">
        <v>12</v>
      </c>
      <c r="B174" s="40" t="s">
        <v>2580</v>
      </c>
      <c r="C174" s="40" t="s">
        <v>25</v>
      </c>
      <c r="D174" s="40" t="s">
        <v>63</v>
      </c>
      <c r="E174" s="40" t="s">
        <v>27</v>
      </c>
      <c r="F174" s="43" t="s">
        <v>2581</v>
      </c>
      <c r="G174" s="40" t="s">
        <v>29</v>
      </c>
      <c r="H174" s="44">
        <v>1500</v>
      </c>
      <c r="I174" s="41">
        <v>300</v>
      </c>
      <c r="J174" s="40" t="s">
        <v>30</v>
      </c>
      <c r="K174" s="40" t="s">
        <v>31</v>
      </c>
      <c r="L174" s="1"/>
      <c r="M174" s="1">
        <v>900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42">
        <v>12</v>
      </c>
      <c r="B175" s="40" t="s">
        <v>2582</v>
      </c>
      <c r="C175" s="40" t="s">
        <v>59</v>
      </c>
      <c r="D175" s="40" t="s">
        <v>195</v>
      </c>
      <c r="E175" s="40" t="s">
        <v>96</v>
      </c>
      <c r="F175" s="43" t="s">
        <v>2583</v>
      </c>
      <c r="G175" s="40" t="s">
        <v>29</v>
      </c>
      <c r="H175" s="44">
        <v>300</v>
      </c>
      <c r="I175" s="41">
        <v>60</v>
      </c>
      <c r="J175" s="40" t="s">
        <v>30</v>
      </c>
      <c r="K175" s="40" t="s">
        <v>31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42">
        <v>12</v>
      </c>
      <c r="B176" s="40" t="s">
        <v>2584</v>
      </c>
      <c r="C176" s="40" t="s">
        <v>25</v>
      </c>
      <c r="D176" s="40" t="s">
        <v>263</v>
      </c>
      <c r="E176" s="40" t="s">
        <v>42</v>
      </c>
      <c r="F176" s="43" t="s">
        <v>2585</v>
      </c>
      <c r="G176" s="40" t="s">
        <v>29</v>
      </c>
      <c r="H176" s="44">
        <v>300</v>
      </c>
      <c r="I176" s="41">
        <v>60</v>
      </c>
      <c r="J176" s="40" t="s">
        <v>30</v>
      </c>
      <c r="K176" s="40" t="s">
        <v>31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42">
        <v>12</v>
      </c>
      <c r="B177" s="40" t="s">
        <v>88</v>
      </c>
      <c r="C177" s="40" t="s">
        <v>25</v>
      </c>
      <c r="D177" s="40" t="s">
        <v>89</v>
      </c>
      <c r="E177" s="40" t="s">
        <v>46</v>
      </c>
      <c r="F177" s="40"/>
      <c r="G177" s="40" t="s">
        <v>29</v>
      </c>
      <c r="H177" s="44">
        <v>500</v>
      </c>
      <c r="I177" s="41">
        <v>100</v>
      </c>
      <c r="J177" s="40" t="s">
        <v>30</v>
      </c>
      <c r="K177" s="40" t="s">
        <v>31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47">
        <v>12</v>
      </c>
      <c r="B178" s="48" t="s">
        <v>2586</v>
      </c>
      <c r="C178" s="48" t="s">
        <v>25</v>
      </c>
      <c r="D178" s="48" t="s">
        <v>631</v>
      </c>
      <c r="E178" s="48" t="s">
        <v>60</v>
      </c>
      <c r="F178" s="49" t="s">
        <v>2587</v>
      </c>
      <c r="G178" s="48" t="s">
        <v>29</v>
      </c>
      <c r="H178" s="50">
        <v>2000</v>
      </c>
      <c r="I178" s="51">
        <v>400</v>
      </c>
      <c r="J178" s="48" t="s">
        <v>30</v>
      </c>
      <c r="K178" s="48" t="s">
        <v>31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52">
        <v>13</v>
      </c>
      <c r="B179" s="53" t="s">
        <v>2152</v>
      </c>
      <c r="C179" s="53" t="s">
        <v>25</v>
      </c>
      <c r="D179" s="53" t="s">
        <v>2588</v>
      </c>
      <c r="E179" s="53" t="s">
        <v>50</v>
      </c>
      <c r="F179" s="60" t="s">
        <v>2589</v>
      </c>
      <c r="G179" s="413" t="s">
        <v>29</v>
      </c>
      <c r="H179" s="414">
        <v>4300</v>
      </c>
      <c r="I179" s="55">
        <v>860</v>
      </c>
      <c r="J179" s="53" t="s">
        <v>30</v>
      </c>
      <c r="K179" s="53" t="s">
        <v>31</v>
      </c>
      <c r="L179" s="1"/>
      <c r="M179" s="1">
        <v>1000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42">
        <v>13</v>
      </c>
      <c r="B180" s="40" t="s">
        <v>2590</v>
      </c>
      <c r="C180" s="40" t="s">
        <v>59</v>
      </c>
      <c r="D180" s="40" t="s">
        <v>826</v>
      </c>
      <c r="E180" s="40" t="s">
        <v>96</v>
      </c>
      <c r="F180" s="43" t="s">
        <v>2591</v>
      </c>
      <c r="G180" s="162" t="s">
        <v>29</v>
      </c>
      <c r="H180" s="415">
        <v>1000</v>
      </c>
      <c r="I180" s="41">
        <v>200</v>
      </c>
      <c r="J180" s="40" t="s">
        <v>30</v>
      </c>
      <c r="K180" s="40" t="s">
        <v>31</v>
      </c>
      <c r="L180" s="1"/>
      <c r="M180" s="1">
        <v>300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42">
        <v>13</v>
      </c>
      <c r="B181" s="40" t="s">
        <v>2592</v>
      </c>
      <c r="C181" s="40" t="s">
        <v>25</v>
      </c>
      <c r="D181" s="40" t="s">
        <v>811</v>
      </c>
      <c r="E181" s="40" t="s">
        <v>78</v>
      </c>
      <c r="F181" s="43" t="s">
        <v>108</v>
      </c>
      <c r="G181" s="162" t="s">
        <v>29</v>
      </c>
      <c r="H181" s="415">
        <v>200</v>
      </c>
      <c r="I181" s="41">
        <v>40</v>
      </c>
      <c r="J181" s="40" t="s">
        <v>30</v>
      </c>
      <c r="K181" s="40" t="s">
        <v>31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42">
        <v>13</v>
      </c>
      <c r="B182" s="40" t="s">
        <v>2593</v>
      </c>
      <c r="C182" s="40" t="s">
        <v>25</v>
      </c>
      <c r="D182" s="40" t="s">
        <v>2371</v>
      </c>
      <c r="E182" s="40" t="s">
        <v>50</v>
      </c>
      <c r="F182" s="43" t="s">
        <v>2594</v>
      </c>
      <c r="G182" s="162" t="s">
        <v>29</v>
      </c>
      <c r="H182" s="415">
        <v>1000</v>
      </c>
      <c r="I182" s="41">
        <v>200</v>
      </c>
      <c r="J182" s="40" t="s">
        <v>30</v>
      </c>
      <c r="K182" s="40" t="s">
        <v>31</v>
      </c>
      <c r="L182" s="1"/>
      <c r="M182" s="1">
        <v>200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42">
        <v>13</v>
      </c>
      <c r="B183" s="40" t="s">
        <v>2595</v>
      </c>
      <c r="C183" s="40" t="s">
        <v>59</v>
      </c>
      <c r="D183" s="40" t="s">
        <v>68</v>
      </c>
      <c r="E183" s="40" t="s">
        <v>96</v>
      </c>
      <c r="F183" s="43" t="s">
        <v>2596</v>
      </c>
      <c r="G183" s="162" t="s">
        <v>29</v>
      </c>
      <c r="H183" s="415">
        <v>800</v>
      </c>
      <c r="I183" s="41">
        <v>160</v>
      </c>
      <c r="J183" s="40" t="s">
        <v>30</v>
      </c>
      <c r="K183" s="40" t="s">
        <v>31</v>
      </c>
      <c r="L183" s="1"/>
      <c r="M183" s="1">
        <v>200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42">
        <v>13</v>
      </c>
      <c r="B184" s="40" t="s">
        <v>2597</v>
      </c>
      <c r="C184" s="40" t="s">
        <v>25</v>
      </c>
      <c r="D184" s="40" t="s">
        <v>2598</v>
      </c>
      <c r="E184" s="40" t="s">
        <v>249</v>
      </c>
      <c r="F184" s="43" t="s">
        <v>2599</v>
      </c>
      <c r="G184" s="162" t="s">
        <v>29</v>
      </c>
      <c r="H184" s="415">
        <v>500</v>
      </c>
      <c r="I184" s="41">
        <v>100</v>
      </c>
      <c r="J184" s="40" t="s">
        <v>30</v>
      </c>
      <c r="K184" s="40" t="s">
        <v>31</v>
      </c>
      <c r="L184" s="1"/>
      <c r="M184" s="1">
        <v>30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42">
        <v>13</v>
      </c>
      <c r="B185" s="40" t="s">
        <v>2600</v>
      </c>
      <c r="C185" s="40" t="s">
        <v>25</v>
      </c>
      <c r="D185" s="40" t="s">
        <v>1262</v>
      </c>
      <c r="E185" s="40" t="s">
        <v>60</v>
      </c>
      <c r="F185" s="43" t="s">
        <v>2601</v>
      </c>
      <c r="G185" s="162" t="s">
        <v>29</v>
      </c>
      <c r="H185" s="415">
        <v>500</v>
      </c>
      <c r="I185" s="41">
        <v>100</v>
      </c>
      <c r="J185" s="40" t="s">
        <v>30</v>
      </c>
      <c r="K185" s="40" t="s">
        <v>31</v>
      </c>
      <c r="L185" s="1"/>
      <c r="M185" s="1">
        <v>100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42">
        <v>13</v>
      </c>
      <c r="B186" s="40" t="s">
        <v>2602</v>
      </c>
      <c r="C186" s="40" t="s">
        <v>59</v>
      </c>
      <c r="D186" s="40" t="s">
        <v>200</v>
      </c>
      <c r="E186" s="40" t="s">
        <v>60</v>
      </c>
      <c r="F186" s="43" t="s">
        <v>2603</v>
      </c>
      <c r="G186" s="162" t="s">
        <v>29</v>
      </c>
      <c r="H186" s="415">
        <v>500</v>
      </c>
      <c r="I186" s="41">
        <v>100</v>
      </c>
      <c r="J186" s="40" t="s">
        <v>30</v>
      </c>
      <c r="K186" s="40" t="s">
        <v>31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42">
        <v>13</v>
      </c>
      <c r="B187" s="40" t="s">
        <v>2604</v>
      </c>
      <c r="C187" s="40" t="s">
        <v>25</v>
      </c>
      <c r="D187" s="40" t="s">
        <v>792</v>
      </c>
      <c r="E187" s="40" t="s">
        <v>60</v>
      </c>
      <c r="F187" s="40"/>
      <c r="G187" s="162" t="s">
        <v>29</v>
      </c>
      <c r="H187" s="415">
        <v>500</v>
      </c>
      <c r="I187" s="41">
        <v>100</v>
      </c>
      <c r="J187" s="40" t="s">
        <v>30</v>
      </c>
      <c r="K187" s="40" t="s">
        <v>31</v>
      </c>
      <c r="L187" s="1"/>
      <c r="M187" s="1">
        <v>150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42">
        <v>14</v>
      </c>
      <c r="B188" s="40" t="s">
        <v>2605</v>
      </c>
      <c r="C188" s="40" t="s">
        <v>25</v>
      </c>
      <c r="D188" s="40" t="s">
        <v>1143</v>
      </c>
      <c r="E188" s="40" t="s">
        <v>258</v>
      </c>
      <c r="F188" s="43" t="s">
        <v>2606</v>
      </c>
      <c r="G188" s="162" t="s">
        <v>29</v>
      </c>
      <c r="H188" s="415">
        <v>500</v>
      </c>
      <c r="I188" s="41">
        <v>100</v>
      </c>
      <c r="J188" s="40" t="s">
        <v>30</v>
      </c>
      <c r="K188" s="40" t="s">
        <v>31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42">
        <v>14</v>
      </c>
      <c r="B189" s="40" t="s">
        <v>2607</v>
      </c>
      <c r="C189" s="40" t="s">
        <v>25</v>
      </c>
      <c r="D189" s="40" t="s">
        <v>204</v>
      </c>
      <c r="E189" s="40" t="s">
        <v>50</v>
      </c>
      <c r="F189" s="40"/>
      <c r="G189" s="162" t="s">
        <v>29</v>
      </c>
      <c r="H189" s="415">
        <v>500</v>
      </c>
      <c r="I189" s="41">
        <v>100</v>
      </c>
      <c r="J189" s="40" t="s">
        <v>30</v>
      </c>
      <c r="K189" s="40" t="s">
        <v>31</v>
      </c>
      <c r="L189" s="1"/>
      <c r="M189" s="1">
        <v>150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42">
        <v>14</v>
      </c>
      <c r="B190" s="40" t="s">
        <v>2608</v>
      </c>
      <c r="C190" s="40" t="s">
        <v>25</v>
      </c>
      <c r="D190" s="40" t="s">
        <v>2021</v>
      </c>
      <c r="E190" s="40" t="s">
        <v>34</v>
      </c>
      <c r="F190" s="43" t="s">
        <v>2609</v>
      </c>
      <c r="G190" s="162" t="s">
        <v>29</v>
      </c>
      <c r="H190" s="415">
        <v>500</v>
      </c>
      <c r="I190" s="41">
        <v>100</v>
      </c>
      <c r="J190" s="40" t="s">
        <v>30</v>
      </c>
      <c r="K190" s="40" t="s">
        <v>31</v>
      </c>
      <c r="L190" s="1"/>
      <c r="M190" s="1">
        <v>100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42">
        <v>14</v>
      </c>
      <c r="B191" s="40" t="s">
        <v>2610</v>
      </c>
      <c r="C191" s="40" t="s">
        <v>25</v>
      </c>
      <c r="D191" s="40" t="s">
        <v>532</v>
      </c>
      <c r="E191" s="40" t="s">
        <v>38</v>
      </c>
      <c r="F191" s="43" t="s">
        <v>2611</v>
      </c>
      <c r="G191" s="162" t="s">
        <v>29</v>
      </c>
      <c r="H191" s="415">
        <v>500</v>
      </c>
      <c r="I191" s="41">
        <v>100</v>
      </c>
      <c r="J191" s="40" t="s">
        <v>30</v>
      </c>
      <c r="K191" s="40" t="s">
        <v>31</v>
      </c>
      <c r="L191" s="1"/>
      <c r="M191" s="1">
        <v>180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42">
        <v>14</v>
      </c>
      <c r="B192" s="40" t="s">
        <v>2612</v>
      </c>
      <c r="C192" s="40" t="s">
        <v>25</v>
      </c>
      <c r="D192" s="40" t="s">
        <v>206</v>
      </c>
      <c r="E192" s="40" t="s">
        <v>96</v>
      </c>
      <c r="F192" s="43" t="s">
        <v>2613</v>
      </c>
      <c r="G192" s="162" t="s">
        <v>29</v>
      </c>
      <c r="H192" s="415">
        <v>500</v>
      </c>
      <c r="I192" s="41">
        <v>100</v>
      </c>
      <c r="J192" s="40" t="s">
        <v>30</v>
      </c>
      <c r="K192" s="40" t="s">
        <v>31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42">
        <v>14</v>
      </c>
      <c r="B193" s="40" t="s">
        <v>2089</v>
      </c>
      <c r="C193" s="40" t="s">
        <v>25</v>
      </c>
      <c r="D193" s="40" t="s">
        <v>2090</v>
      </c>
      <c r="E193" s="40" t="s">
        <v>96</v>
      </c>
      <c r="F193" s="43" t="s">
        <v>2091</v>
      </c>
      <c r="G193" s="162" t="s">
        <v>29</v>
      </c>
      <c r="H193" s="415">
        <v>500</v>
      </c>
      <c r="I193" s="41">
        <v>100</v>
      </c>
      <c r="J193" s="40" t="s">
        <v>30</v>
      </c>
      <c r="K193" s="40" t="s">
        <v>31</v>
      </c>
      <c r="L193" s="1"/>
      <c r="M193" s="1">
        <v>100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42">
        <v>14</v>
      </c>
      <c r="B194" s="40" t="s">
        <v>2614</v>
      </c>
      <c r="C194" s="40" t="s">
        <v>25</v>
      </c>
      <c r="D194" s="40" t="s">
        <v>593</v>
      </c>
      <c r="E194" s="40" t="s">
        <v>50</v>
      </c>
      <c r="F194" s="43" t="s">
        <v>2615</v>
      </c>
      <c r="G194" s="162" t="s">
        <v>29</v>
      </c>
      <c r="H194" s="415">
        <v>500</v>
      </c>
      <c r="I194" s="41">
        <v>100</v>
      </c>
      <c r="J194" s="40" t="s">
        <v>30</v>
      </c>
      <c r="K194" s="40" t="s">
        <v>31</v>
      </c>
      <c r="L194" s="1"/>
      <c r="M194" s="1">
        <v>200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42">
        <v>14</v>
      </c>
      <c r="B195" s="40" t="s">
        <v>2616</v>
      </c>
      <c r="C195" s="40" t="s">
        <v>25</v>
      </c>
      <c r="D195" s="40" t="s">
        <v>593</v>
      </c>
      <c r="E195" s="40" t="s">
        <v>50</v>
      </c>
      <c r="F195" s="43" t="s">
        <v>2617</v>
      </c>
      <c r="G195" s="162" t="s">
        <v>29</v>
      </c>
      <c r="H195" s="415">
        <v>500</v>
      </c>
      <c r="I195" s="41">
        <v>100</v>
      </c>
      <c r="J195" s="40" t="s">
        <v>30</v>
      </c>
      <c r="K195" s="40" t="s">
        <v>31</v>
      </c>
      <c r="L195" s="1"/>
      <c r="M195" s="1">
        <v>150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42">
        <v>15</v>
      </c>
      <c r="B196" s="40" t="s">
        <v>2618</v>
      </c>
      <c r="C196" s="40" t="s">
        <v>59</v>
      </c>
      <c r="D196" s="40" t="s">
        <v>2619</v>
      </c>
      <c r="E196" s="40" t="s">
        <v>319</v>
      </c>
      <c r="F196" s="43" t="s">
        <v>2620</v>
      </c>
      <c r="G196" s="40" t="s">
        <v>542</v>
      </c>
      <c r="H196" s="44">
        <v>12</v>
      </c>
      <c r="I196" s="41">
        <v>60</v>
      </c>
      <c r="J196" s="40" t="s">
        <v>30</v>
      </c>
      <c r="K196" s="40" t="s">
        <v>31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42">
        <v>15</v>
      </c>
      <c r="B197" s="40" t="s">
        <v>2618</v>
      </c>
      <c r="C197" s="40" t="s">
        <v>59</v>
      </c>
      <c r="D197" s="40" t="s">
        <v>2619</v>
      </c>
      <c r="E197" s="40" t="s">
        <v>319</v>
      </c>
      <c r="F197" s="40"/>
      <c r="G197" s="40" t="s">
        <v>321</v>
      </c>
      <c r="H197" s="44">
        <v>55</v>
      </c>
      <c r="I197" s="41">
        <v>165</v>
      </c>
      <c r="J197" s="40" t="s">
        <v>30</v>
      </c>
      <c r="K197" s="40" t="s">
        <v>31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42">
        <v>15</v>
      </c>
      <c r="B198" s="40" t="s">
        <v>2621</v>
      </c>
      <c r="C198" s="40" t="s">
        <v>59</v>
      </c>
      <c r="D198" s="40" t="s">
        <v>792</v>
      </c>
      <c r="E198" s="40" t="s">
        <v>34</v>
      </c>
      <c r="F198" s="43" t="s">
        <v>2622</v>
      </c>
      <c r="G198" s="162" t="s">
        <v>29</v>
      </c>
      <c r="H198" s="415">
        <v>5000</v>
      </c>
      <c r="I198" s="41">
        <v>1000</v>
      </c>
      <c r="J198" s="40" t="s">
        <v>30</v>
      </c>
      <c r="K198" s="40" t="s">
        <v>31</v>
      </c>
      <c r="L198" s="1"/>
      <c r="M198" s="1">
        <v>1000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42">
        <v>15</v>
      </c>
      <c r="B199" s="40" t="s">
        <v>2623</v>
      </c>
      <c r="C199" s="40" t="s">
        <v>25</v>
      </c>
      <c r="D199" s="40" t="s">
        <v>2624</v>
      </c>
      <c r="E199" s="40" t="s">
        <v>1461</v>
      </c>
      <c r="F199" s="43" t="s">
        <v>2625</v>
      </c>
      <c r="G199" s="162" t="s">
        <v>29</v>
      </c>
      <c r="H199" s="415">
        <v>500</v>
      </c>
      <c r="I199" s="41">
        <v>100</v>
      </c>
      <c r="J199" s="40" t="s">
        <v>30</v>
      </c>
      <c r="K199" s="40" t="s">
        <v>31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42">
        <v>15</v>
      </c>
      <c r="B200" s="40" t="s">
        <v>2626</v>
      </c>
      <c r="C200" s="40" t="s">
        <v>25</v>
      </c>
      <c r="D200" s="40" t="s">
        <v>2627</v>
      </c>
      <c r="E200" s="40" t="s">
        <v>103</v>
      </c>
      <c r="F200" s="40"/>
      <c r="G200" s="162" t="s">
        <v>29</v>
      </c>
      <c r="H200" s="415">
        <v>500</v>
      </c>
      <c r="I200" s="41">
        <v>100</v>
      </c>
      <c r="J200" s="40" t="s">
        <v>30</v>
      </c>
      <c r="K200" s="40" t="s">
        <v>31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42">
        <v>15</v>
      </c>
      <c r="B201" s="40" t="s">
        <v>2461</v>
      </c>
      <c r="C201" s="40" t="s">
        <v>25</v>
      </c>
      <c r="D201" s="40" t="s">
        <v>55</v>
      </c>
      <c r="E201" s="40" t="s">
        <v>96</v>
      </c>
      <c r="F201" s="43" t="s">
        <v>2628</v>
      </c>
      <c r="G201" s="162" t="s">
        <v>29</v>
      </c>
      <c r="H201" s="415">
        <v>1000</v>
      </c>
      <c r="I201" s="41">
        <v>200</v>
      </c>
      <c r="J201" s="40" t="s">
        <v>30</v>
      </c>
      <c r="K201" s="40" t="s">
        <v>31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42">
        <v>15</v>
      </c>
      <c r="B202" s="40" t="s">
        <v>2629</v>
      </c>
      <c r="C202" s="40" t="s">
        <v>25</v>
      </c>
      <c r="D202" s="40" t="s">
        <v>1377</v>
      </c>
      <c r="E202" s="40" t="s">
        <v>50</v>
      </c>
      <c r="F202" s="40"/>
      <c r="G202" s="162" t="s">
        <v>29</v>
      </c>
      <c r="H202" s="415">
        <v>500</v>
      </c>
      <c r="I202" s="41">
        <v>100</v>
      </c>
      <c r="J202" s="40" t="s">
        <v>30</v>
      </c>
      <c r="K202" s="40" t="s">
        <v>31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42">
        <v>15</v>
      </c>
      <c r="B203" s="40" t="s">
        <v>2630</v>
      </c>
      <c r="C203" s="40" t="s">
        <v>25</v>
      </c>
      <c r="D203" s="40" t="s">
        <v>1678</v>
      </c>
      <c r="E203" s="40" t="s">
        <v>96</v>
      </c>
      <c r="F203" s="43" t="s">
        <v>2631</v>
      </c>
      <c r="G203" s="162" t="s">
        <v>29</v>
      </c>
      <c r="H203" s="415">
        <v>1000</v>
      </c>
      <c r="I203" s="41">
        <v>200</v>
      </c>
      <c r="J203" s="40" t="s">
        <v>30</v>
      </c>
      <c r="K203" s="40" t="s">
        <v>31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42">
        <v>15</v>
      </c>
      <c r="B204" s="40" t="s">
        <v>2632</v>
      </c>
      <c r="C204" s="40" t="s">
        <v>25</v>
      </c>
      <c r="D204" s="40" t="s">
        <v>2627</v>
      </c>
      <c r="E204" s="40" t="s">
        <v>103</v>
      </c>
      <c r="F204" s="40"/>
      <c r="G204" s="162" t="s">
        <v>29</v>
      </c>
      <c r="H204" s="415">
        <v>500</v>
      </c>
      <c r="I204" s="41">
        <v>100</v>
      </c>
      <c r="J204" s="40" t="s">
        <v>30</v>
      </c>
      <c r="K204" s="40" t="s">
        <v>31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42">
        <v>15</v>
      </c>
      <c r="B205" s="40" t="s">
        <v>2633</v>
      </c>
      <c r="C205" s="40" t="s">
        <v>25</v>
      </c>
      <c r="D205" s="40" t="s">
        <v>55</v>
      </c>
      <c r="E205" s="40" t="s">
        <v>96</v>
      </c>
      <c r="F205" s="43" t="s">
        <v>2634</v>
      </c>
      <c r="G205" s="162" t="s">
        <v>29</v>
      </c>
      <c r="H205" s="415">
        <v>500</v>
      </c>
      <c r="I205" s="41">
        <v>100</v>
      </c>
      <c r="J205" s="40" t="s">
        <v>30</v>
      </c>
      <c r="K205" s="40" t="s">
        <v>31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42">
        <v>15</v>
      </c>
      <c r="B206" s="40" t="s">
        <v>2635</v>
      </c>
      <c r="C206" s="40" t="s">
        <v>25</v>
      </c>
      <c r="D206" s="40" t="s">
        <v>826</v>
      </c>
      <c r="E206" s="40" t="s">
        <v>96</v>
      </c>
      <c r="F206" s="43" t="s">
        <v>2636</v>
      </c>
      <c r="G206" s="162" t="s">
        <v>29</v>
      </c>
      <c r="H206" s="415">
        <v>500</v>
      </c>
      <c r="I206" s="41">
        <v>100</v>
      </c>
      <c r="J206" s="40" t="s">
        <v>30</v>
      </c>
      <c r="K206" s="40" t="s">
        <v>31</v>
      </c>
      <c r="L206" s="1"/>
      <c r="M206" s="1">
        <v>300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42">
        <v>16</v>
      </c>
      <c r="B207" s="40" t="s">
        <v>2637</v>
      </c>
      <c r="C207" s="40" t="s">
        <v>59</v>
      </c>
      <c r="D207" s="40" t="s">
        <v>176</v>
      </c>
      <c r="E207" s="40" t="s">
        <v>38</v>
      </c>
      <c r="F207" s="43" t="s">
        <v>2638</v>
      </c>
      <c r="G207" s="162" t="s">
        <v>29</v>
      </c>
      <c r="H207" s="415">
        <v>500</v>
      </c>
      <c r="I207" s="41">
        <v>100</v>
      </c>
      <c r="J207" s="40" t="s">
        <v>30</v>
      </c>
      <c r="K207" s="40" t="s">
        <v>31</v>
      </c>
      <c r="L207" s="1"/>
      <c r="M207" s="1">
        <v>100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42">
        <v>16</v>
      </c>
      <c r="B208" s="40" t="s">
        <v>2637</v>
      </c>
      <c r="C208" s="40" t="s">
        <v>59</v>
      </c>
      <c r="D208" s="40" t="s">
        <v>176</v>
      </c>
      <c r="E208" s="40" t="s">
        <v>38</v>
      </c>
      <c r="F208" s="40"/>
      <c r="G208" s="40" t="s">
        <v>2313</v>
      </c>
      <c r="H208" s="44">
        <v>100</v>
      </c>
      <c r="I208" s="41">
        <v>60</v>
      </c>
      <c r="J208" s="40" t="s">
        <v>30</v>
      </c>
      <c r="K208" s="40" t="s">
        <v>31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42">
        <v>16</v>
      </c>
      <c r="B209" s="40" t="s">
        <v>2370</v>
      </c>
      <c r="C209" s="40" t="s">
        <v>25</v>
      </c>
      <c r="D209" s="40" t="s">
        <v>144</v>
      </c>
      <c r="E209" s="40" t="s">
        <v>50</v>
      </c>
      <c r="F209" s="43" t="s">
        <v>2639</v>
      </c>
      <c r="G209" s="40" t="s">
        <v>2313</v>
      </c>
      <c r="H209" s="44">
        <v>350</v>
      </c>
      <c r="I209" s="41">
        <v>210</v>
      </c>
      <c r="J209" s="40" t="s">
        <v>30</v>
      </c>
      <c r="K209" s="40" t="s">
        <v>31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42">
        <v>16</v>
      </c>
      <c r="B210" s="40" t="s">
        <v>2640</v>
      </c>
      <c r="C210" s="40" t="s">
        <v>25</v>
      </c>
      <c r="D210" s="40" t="s">
        <v>63</v>
      </c>
      <c r="E210" s="40" t="s">
        <v>96</v>
      </c>
      <c r="F210" s="43" t="s">
        <v>2641</v>
      </c>
      <c r="G210" s="162" t="s">
        <v>29</v>
      </c>
      <c r="H210" s="415">
        <v>600</v>
      </c>
      <c r="I210" s="41">
        <v>120</v>
      </c>
      <c r="J210" s="40" t="s">
        <v>30</v>
      </c>
      <c r="K210" s="40" t="s">
        <v>31</v>
      </c>
      <c r="M210" s="157">
        <v>400</v>
      </c>
    </row>
    <row r="211" spans="1:26" ht="15.75" customHeight="1">
      <c r="A211" s="42">
        <v>16</v>
      </c>
      <c r="B211" s="40" t="s">
        <v>2642</v>
      </c>
      <c r="C211" s="40" t="s">
        <v>25</v>
      </c>
      <c r="D211" s="40" t="s">
        <v>593</v>
      </c>
      <c r="E211" s="40" t="s">
        <v>50</v>
      </c>
      <c r="F211" s="43" t="s">
        <v>2643</v>
      </c>
      <c r="G211" s="162" t="s">
        <v>29</v>
      </c>
      <c r="H211" s="415">
        <v>1000</v>
      </c>
      <c r="I211" s="41">
        <v>200</v>
      </c>
      <c r="J211" s="40" t="s">
        <v>30</v>
      </c>
      <c r="K211" s="40" t="s">
        <v>31</v>
      </c>
      <c r="M211" s="157">
        <v>200</v>
      </c>
    </row>
    <row r="212" spans="1:26" ht="15.75" customHeight="1">
      <c r="A212" s="42">
        <v>16</v>
      </c>
      <c r="B212" s="40" t="s">
        <v>2644</v>
      </c>
      <c r="C212" s="40" t="s">
        <v>25</v>
      </c>
      <c r="D212" s="40" t="s">
        <v>600</v>
      </c>
      <c r="E212" s="40" t="s">
        <v>60</v>
      </c>
      <c r="F212" s="43" t="s">
        <v>2645</v>
      </c>
      <c r="G212" s="162" t="s">
        <v>29</v>
      </c>
      <c r="H212" s="415">
        <v>1000</v>
      </c>
      <c r="I212" s="41">
        <v>200</v>
      </c>
      <c r="J212" s="40" t="s">
        <v>30</v>
      </c>
      <c r="K212" s="40" t="s">
        <v>31</v>
      </c>
      <c r="M212" s="157">
        <v>250</v>
      </c>
    </row>
    <row r="213" spans="1:26" ht="15.75" customHeight="1">
      <c r="A213" s="42">
        <v>16</v>
      </c>
      <c r="B213" s="40" t="s">
        <v>1076</v>
      </c>
      <c r="C213" s="40" t="s">
        <v>25</v>
      </c>
      <c r="D213" s="40" t="s">
        <v>2646</v>
      </c>
      <c r="E213" s="40" t="s">
        <v>561</v>
      </c>
      <c r="F213" s="43" t="s">
        <v>2647</v>
      </c>
      <c r="G213" s="162" t="s">
        <v>29</v>
      </c>
      <c r="H213" s="415">
        <v>6000</v>
      </c>
      <c r="I213" s="41">
        <v>1800</v>
      </c>
      <c r="J213" s="40" t="s">
        <v>30</v>
      </c>
      <c r="K213" s="40" t="s">
        <v>31</v>
      </c>
    </row>
    <row r="214" spans="1:26" ht="15.75" customHeight="1">
      <c r="A214" s="42">
        <v>16</v>
      </c>
      <c r="B214" s="40" t="s">
        <v>2648</v>
      </c>
      <c r="C214" s="40" t="s">
        <v>25</v>
      </c>
      <c r="D214" s="40" t="s">
        <v>95</v>
      </c>
      <c r="E214" s="40" t="s">
        <v>96</v>
      </c>
      <c r="F214" s="43" t="s">
        <v>2649</v>
      </c>
      <c r="G214" s="162" t="s">
        <v>29</v>
      </c>
      <c r="H214" s="415">
        <v>500</v>
      </c>
      <c r="I214" s="416" t="s">
        <v>101</v>
      </c>
      <c r="J214" s="40" t="s">
        <v>30</v>
      </c>
      <c r="K214" s="40" t="s">
        <v>31</v>
      </c>
    </row>
    <row r="215" spans="1:26" ht="15.75" customHeight="1">
      <c r="A215" s="42">
        <v>16</v>
      </c>
      <c r="B215" s="40" t="s">
        <v>2648</v>
      </c>
      <c r="C215" s="40" t="s">
        <v>25</v>
      </c>
      <c r="D215" s="40" t="s">
        <v>95</v>
      </c>
      <c r="E215" s="40" t="s">
        <v>96</v>
      </c>
      <c r="F215" s="40"/>
      <c r="G215" s="162" t="s">
        <v>29</v>
      </c>
      <c r="H215" s="415">
        <v>500</v>
      </c>
      <c r="I215" s="41">
        <v>100</v>
      </c>
      <c r="J215" s="40" t="s">
        <v>30</v>
      </c>
      <c r="K215" s="40" t="s">
        <v>31</v>
      </c>
    </row>
    <row r="216" spans="1:26" ht="15.75" customHeight="1">
      <c r="A216" s="42">
        <v>16</v>
      </c>
      <c r="B216" s="40" t="s">
        <v>2650</v>
      </c>
      <c r="C216" s="40" t="s">
        <v>25</v>
      </c>
      <c r="D216" s="40" t="s">
        <v>2651</v>
      </c>
      <c r="E216" s="40" t="s">
        <v>46</v>
      </c>
      <c r="F216" s="43" t="s">
        <v>2652</v>
      </c>
      <c r="G216" s="162" t="s">
        <v>29</v>
      </c>
      <c r="H216" s="415">
        <v>1000</v>
      </c>
      <c r="I216" s="41">
        <v>200</v>
      </c>
      <c r="J216" s="40" t="s">
        <v>30</v>
      </c>
      <c r="K216" s="40" t="s">
        <v>31</v>
      </c>
    </row>
    <row r="217" spans="1:26" ht="15.75" customHeight="1">
      <c r="A217" s="42">
        <v>16</v>
      </c>
      <c r="B217" s="40" t="s">
        <v>2653</v>
      </c>
      <c r="C217" s="40" t="s">
        <v>59</v>
      </c>
      <c r="D217" s="40" t="s">
        <v>1165</v>
      </c>
      <c r="E217" s="40" t="s">
        <v>96</v>
      </c>
      <c r="F217" s="43" t="s">
        <v>2654</v>
      </c>
      <c r="G217" s="162" t="s">
        <v>29</v>
      </c>
      <c r="H217" s="415">
        <v>500</v>
      </c>
      <c r="I217" s="41" t="s">
        <v>101</v>
      </c>
      <c r="J217" s="40" t="s">
        <v>30</v>
      </c>
      <c r="K217" s="40" t="s">
        <v>31</v>
      </c>
      <c r="M217" s="157">
        <v>400</v>
      </c>
    </row>
    <row r="218" spans="1:26" ht="15.75" customHeight="1">
      <c r="A218" s="42">
        <v>16</v>
      </c>
      <c r="B218" s="40" t="s">
        <v>2653</v>
      </c>
      <c r="C218" s="40" t="s">
        <v>59</v>
      </c>
      <c r="D218" s="40" t="s">
        <v>1165</v>
      </c>
      <c r="E218" s="40" t="s">
        <v>96</v>
      </c>
      <c r="F218" s="40"/>
      <c r="G218" s="162" t="s">
        <v>29</v>
      </c>
      <c r="H218" s="415">
        <v>500</v>
      </c>
      <c r="I218" s="41">
        <v>100</v>
      </c>
      <c r="J218" s="40" t="s">
        <v>30</v>
      </c>
      <c r="K218" s="40" t="s">
        <v>31</v>
      </c>
    </row>
    <row r="219" spans="1:26" ht="15.75" customHeight="1">
      <c r="A219" s="47">
        <v>16</v>
      </c>
      <c r="B219" s="48" t="s">
        <v>2655</v>
      </c>
      <c r="C219" s="48" t="s">
        <v>25</v>
      </c>
      <c r="D219" s="48" t="s">
        <v>103</v>
      </c>
      <c r="E219" s="48" t="s">
        <v>150</v>
      </c>
      <c r="F219" s="48"/>
      <c r="G219" s="417" t="s">
        <v>29</v>
      </c>
      <c r="H219" s="418">
        <v>750</v>
      </c>
      <c r="I219" s="51">
        <v>150</v>
      </c>
      <c r="J219" s="48" t="s">
        <v>30</v>
      </c>
      <c r="K219" s="48" t="s">
        <v>31</v>
      </c>
      <c r="M219" s="157">
        <v>450</v>
      </c>
    </row>
    <row r="220" spans="1:26" ht="15.75" customHeight="1">
      <c r="A220" s="52">
        <v>19</v>
      </c>
      <c r="B220" s="53" t="s">
        <v>2656</v>
      </c>
      <c r="C220" s="53" t="s">
        <v>59</v>
      </c>
      <c r="D220" s="53" t="s">
        <v>149</v>
      </c>
      <c r="E220" s="53" t="s">
        <v>150</v>
      </c>
      <c r="F220" s="60" t="s">
        <v>2657</v>
      </c>
      <c r="G220" s="419" t="s">
        <v>29</v>
      </c>
      <c r="H220" s="420">
        <v>2000</v>
      </c>
      <c r="I220" s="55">
        <v>400</v>
      </c>
      <c r="J220" s="53" t="s">
        <v>30</v>
      </c>
      <c r="K220" s="53" t="s">
        <v>31</v>
      </c>
    </row>
    <row r="221" spans="1:26" ht="15.75" customHeight="1">
      <c r="A221" s="42">
        <v>19</v>
      </c>
      <c r="B221" s="40" t="s">
        <v>2658</v>
      </c>
      <c r="C221" s="40" t="s">
        <v>25</v>
      </c>
      <c r="D221" s="40" t="s">
        <v>2659</v>
      </c>
      <c r="E221" s="40" t="s">
        <v>311</v>
      </c>
      <c r="F221" s="43" t="s">
        <v>2660</v>
      </c>
      <c r="G221" s="421" t="s">
        <v>29</v>
      </c>
      <c r="H221" s="422">
        <v>1000</v>
      </c>
      <c r="I221" s="41">
        <v>200</v>
      </c>
      <c r="J221" s="40" t="s">
        <v>30</v>
      </c>
      <c r="K221" s="40" t="s">
        <v>31</v>
      </c>
    </row>
    <row r="222" spans="1:26" ht="15.75" customHeight="1">
      <c r="A222" s="42">
        <v>19</v>
      </c>
      <c r="B222" s="40" t="s">
        <v>2661</v>
      </c>
      <c r="C222" s="40" t="s">
        <v>25</v>
      </c>
      <c r="D222" s="40" t="s">
        <v>176</v>
      </c>
      <c r="E222" s="40" t="s">
        <v>27</v>
      </c>
      <c r="F222" s="43" t="s">
        <v>2662</v>
      </c>
      <c r="G222" s="421" t="s">
        <v>29</v>
      </c>
      <c r="H222" s="422">
        <v>1000</v>
      </c>
      <c r="I222" s="41">
        <v>200</v>
      </c>
      <c r="J222" s="40" t="s">
        <v>30</v>
      </c>
      <c r="K222" s="40" t="s">
        <v>31</v>
      </c>
    </row>
    <row r="223" spans="1:26" ht="15.75" customHeight="1">
      <c r="A223" s="42">
        <v>19</v>
      </c>
      <c r="B223" s="40" t="s">
        <v>2663</v>
      </c>
      <c r="C223" s="40" t="s">
        <v>25</v>
      </c>
      <c r="D223" s="40" t="s">
        <v>947</v>
      </c>
      <c r="E223" s="40" t="s">
        <v>42</v>
      </c>
      <c r="F223" s="40"/>
      <c r="G223" s="421" t="s">
        <v>29</v>
      </c>
      <c r="H223" s="422">
        <v>800</v>
      </c>
      <c r="I223" s="41">
        <v>160</v>
      </c>
      <c r="J223" s="40" t="s">
        <v>30</v>
      </c>
      <c r="K223" s="40" t="s">
        <v>31</v>
      </c>
      <c r="M223" s="157">
        <v>150</v>
      </c>
    </row>
    <row r="224" spans="1:26" ht="15.75" customHeight="1">
      <c r="A224" s="42">
        <v>19</v>
      </c>
      <c r="B224" s="40" t="s">
        <v>2623</v>
      </c>
      <c r="C224" s="40" t="s">
        <v>25</v>
      </c>
      <c r="D224" s="40" t="s">
        <v>2664</v>
      </c>
      <c r="E224" s="40" t="s">
        <v>1461</v>
      </c>
      <c r="F224" s="43" t="s">
        <v>2625</v>
      </c>
      <c r="G224" s="421" t="s">
        <v>29</v>
      </c>
      <c r="H224" s="422">
        <v>1000</v>
      </c>
      <c r="I224" s="41">
        <v>200</v>
      </c>
      <c r="J224" s="40" t="s">
        <v>30</v>
      </c>
      <c r="K224" s="40" t="s">
        <v>31</v>
      </c>
    </row>
    <row r="225" spans="1:13" ht="15.75" customHeight="1">
      <c r="A225" s="42">
        <v>19</v>
      </c>
      <c r="B225" s="40" t="s">
        <v>1006</v>
      </c>
      <c r="C225" s="40" t="s">
        <v>25</v>
      </c>
      <c r="D225" s="40" t="s">
        <v>1007</v>
      </c>
      <c r="E225" s="40" t="s">
        <v>258</v>
      </c>
      <c r="F225" s="43" t="s">
        <v>1008</v>
      </c>
      <c r="G225" s="421" t="s">
        <v>29</v>
      </c>
      <c r="H225" s="422">
        <v>1000</v>
      </c>
      <c r="I225" s="41">
        <v>200</v>
      </c>
      <c r="J225" s="40" t="s">
        <v>30</v>
      </c>
      <c r="K225" s="40" t="s">
        <v>31</v>
      </c>
      <c r="M225" s="157">
        <v>300</v>
      </c>
    </row>
    <row r="226" spans="1:13" ht="15.75" customHeight="1">
      <c r="A226" s="42">
        <v>19</v>
      </c>
      <c r="B226" s="40" t="s">
        <v>2665</v>
      </c>
      <c r="C226" s="40" t="s">
        <v>25</v>
      </c>
      <c r="D226" s="40" t="s">
        <v>1490</v>
      </c>
      <c r="E226" s="40" t="s">
        <v>38</v>
      </c>
      <c r="F226" s="43" t="s">
        <v>2666</v>
      </c>
      <c r="G226" s="421" t="s">
        <v>29</v>
      </c>
      <c r="H226" s="422">
        <v>1000</v>
      </c>
      <c r="I226" s="41">
        <v>200</v>
      </c>
      <c r="J226" s="40" t="s">
        <v>30</v>
      </c>
      <c r="K226" s="40" t="s">
        <v>31</v>
      </c>
      <c r="M226" s="157">
        <v>300</v>
      </c>
    </row>
    <row r="227" spans="1:13" ht="15.75" customHeight="1">
      <c r="A227" s="42">
        <v>19</v>
      </c>
      <c r="B227" s="40" t="s">
        <v>2667</v>
      </c>
      <c r="C227" s="40" t="s">
        <v>25</v>
      </c>
      <c r="D227" s="40" t="s">
        <v>664</v>
      </c>
      <c r="E227" s="40" t="s">
        <v>46</v>
      </c>
      <c r="F227" s="43" t="s">
        <v>2668</v>
      </c>
      <c r="G227" s="421" t="s">
        <v>29</v>
      </c>
      <c r="H227" s="422">
        <v>100</v>
      </c>
      <c r="I227" s="41">
        <v>20</v>
      </c>
      <c r="J227" s="40" t="s">
        <v>30</v>
      </c>
      <c r="K227" s="40" t="s">
        <v>31</v>
      </c>
      <c r="M227" s="157">
        <v>400</v>
      </c>
    </row>
    <row r="228" spans="1:13" ht="15.75" customHeight="1">
      <c r="A228" s="42">
        <v>19</v>
      </c>
      <c r="B228" s="40" t="s">
        <v>1889</v>
      </c>
      <c r="C228" s="40" t="s">
        <v>59</v>
      </c>
      <c r="D228" s="40" t="s">
        <v>63</v>
      </c>
      <c r="E228" s="40" t="s">
        <v>27</v>
      </c>
      <c r="F228" s="43" t="s">
        <v>1890</v>
      </c>
      <c r="G228" s="421" t="s">
        <v>29</v>
      </c>
      <c r="H228" s="422">
        <v>100</v>
      </c>
      <c r="I228" s="41">
        <v>20</v>
      </c>
      <c r="J228" s="40" t="s">
        <v>30</v>
      </c>
      <c r="K228" s="40" t="s">
        <v>31</v>
      </c>
    </row>
    <row r="229" spans="1:13" ht="15.75" customHeight="1">
      <c r="A229" s="42">
        <v>19</v>
      </c>
      <c r="B229" s="40" t="s">
        <v>2669</v>
      </c>
      <c r="C229" s="40" t="s">
        <v>25</v>
      </c>
      <c r="D229" s="40" t="s">
        <v>63</v>
      </c>
      <c r="E229" s="40" t="s">
        <v>60</v>
      </c>
      <c r="F229" s="43" t="s">
        <v>2670</v>
      </c>
      <c r="G229" s="421" t="s">
        <v>29</v>
      </c>
      <c r="H229" s="422">
        <v>700</v>
      </c>
      <c r="I229" s="41">
        <v>140</v>
      </c>
      <c r="J229" s="40" t="s">
        <v>30</v>
      </c>
      <c r="K229" s="40" t="s">
        <v>31</v>
      </c>
      <c r="M229" s="157">
        <v>150</v>
      </c>
    </row>
    <row r="230" spans="1:13" ht="15.75" customHeight="1">
      <c r="A230" s="42">
        <v>20</v>
      </c>
      <c r="B230" s="40" t="s">
        <v>2671</v>
      </c>
      <c r="C230" s="40" t="s">
        <v>25</v>
      </c>
      <c r="D230" s="40" t="s">
        <v>2672</v>
      </c>
      <c r="E230" s="40" t="s">
        <v>50</v>
      </c>
      <c r="F230" s="43" t="s">
        <v>2673</v>
      </c>
      <c r="G230" s="421" t="s">
        <v>29</v>
      </c>
      <c r="H230" s="422">
        <v>1000</v>
      </c>
      <c r="I230" s="41">
        <v>200</v>
      </c>
      <c r="J230" s="40" t="s">
        <v>30</v>
      </c>
      <c r="K230" s="40" t="s">
        <v>31</v>
      </c>
    </row>
    <row r="231" spans="1:13" ht="15.75" customHeight="1">
      <c r="A231" s="42">
        <v>20</v>
      </c>
      <c r="B231" s="40" t="s">
        <v>2674</v>
      </c>
      <c r="C231" s="40" t="s">
        <v>25</v>
      </c>
      <c r="D231" s="40" t="s">
        <v>593</v>
      </c>
      <c r="E231" s="40" t="s">
        <v>96</v>
      </c>
      <c r="F231" s="43" t="s">
        <v>2675</v>
      </c>
      <c r="G231" s="421" t="s">
        <v>29</v>
      </c>
      <c r="H231" s="422">
        <v>1000</v>
      </c>
      <c r="I231" s="41">
        <v>200</v>
      </c>
      <c r="J231" s="40" t="s">
        <v>30</v>
      </c>
      <c r="K231" s="40" t="s">
        <v>31</v>
      </c>
      <c r="M231" s="157">
        <v>300</v>
      </c>
    </row>
    <row r="232" spans="1:13" ht="15.75" customHeight="1">
      <c r="A232" s="42">
        <v>20</v>
      </c>
      <c r="B232" s="40" t="s">
        <v>2676</v>
      </c>
      <c r="C232" s="40" t="s">
        <v>25</v>
      </c>
      <c r="D232" s="40" t="s">
        <v>41</v>
      </c>
      <c r="E232" s="40" t="s">
        <v>42</v>
      </c>
      <c r="F232" s="40"/>
      <c r="G232" s="421" t="s">
        <v>29</v>
      </c>
      <c r="H232" s="422">
        <v>1000</v>
      </c>
      <c r="I232" s="41">
        <v>200</v>
      </c>
      <c r="J232" s="40" t="s">
        <v>30</v>
      </c>
      <c r="K232" s="40" t="s">
        <v>31</v>
      </c>
    </row>
    <row r="233" spans="1:13" ht="15.75" customHeight="1">
      <c r="A233" s="42">
        <v>20</v>
      </c>
      <c r="B233" s="40" t="s">
        <v>2677</v>
      </c>
      <c r="C233" s="40" t="s">
        <v>25</v>
      </c>
      <c r="D233" s="40" t="s">
        <v>192</v>
      </c>
      <c r="E233" s="40" t="s">
        <v>78</v>
      </c>
      <c r="F233" s="43" t="s">
        <v>2678</v>
      </c>
      <c r="G233" s="421" t="s">
        <v>29</v>
      </c>
      <c r="H233" s="422">
        <v>1000</v>
      </c>
      <c r="I233" s="41">
        <v>200</v>
      </c>
      <c r="J233" s="40" t="s">
        <v>30</v>
      </c>
      <c r="K233" s="40" t="s">
        <v>31</v>
      </c>
    </row>
    <row r="234" spans="1:13" ht="15.75" customHeight="1">
      <c r="A234" s="42">
        <v>20</v>
      </c>
      <c r="B234" s="40" t="s">
        <v>2679</v>
      </c>
      <c r="C234" s="40" t="s">
        <v>25</v>
      </c>
      <c r="D234" s="40" t="s">
        <v>593</v>
      </c>
      <c r="E234" s="40" t="s">
        <v>50</v>
      </c>
      <c r="F234" s="43" t="s">
        <v>2680</v>
      </c>
      <c r="G234" s="421" t="s">
        <v>29</v>
      </c>
      <c r="H234" s="422">
        <v>1000</v>
      </c>
      <c r="I234" s="41">
        <v>200</v>
      </c>
      <c r="J234" s="40" t="s">
        <v>30</v>
      </c>
      <c r="K234" s="40" t="s">
        <v>31</v>
      </c>
    </row>
    <row r="235" spans="1:13" ht="15.75" customHeight="1">
      <c r="A235" s="42">
        <v>20</v>
      </c>
      <c r="B235" s="40" t="s">
        <v>2324</v>
      </c>
      <c r="C235" s="40" t="s">
        <v>25</v>
      </c>
      <c r="D235" s="40" t="s">
        <v>600</v>
      </c>
      <c r="E235" s="40" t="s">
        <v>60</v>
      </c>
      <c r="F235" s="43" t="s">
        <v>2681</v>
      </c>
      <c r="G235" s="421" t="s">
        <v>29</v>
      </c>
      <c r="H235" s="422">
        <v>1000</v>
      </c>
      <c r="I235" s="41">
        <v>200</v>
      </c>
      <c r="J235" s="40" t="s">
        <v>30</v>
      </c>
      <c r="K235" s="40" t="s">
        <v>31</v>
      </c>
      <c r="M235" s="157">
        <v>198</v>
      </c>
    </row>
    <row r="236" spans="1:13" ht="15.75" customHeight="1">
      <c r="A236" s="42">
        <v>20</v>
      </c>
      <c r="B236" s="40" t="s">
        <v>2682</v>
      </c>
      <c r="C236" s="40" t="s">
        <v>59</v>
      </c>
      <c r="D236" s="40" t="s">
        <v>103</v>
      </c>
      <c r="E236" s="40" t="s">
        <v>38</v>
      </c>
      <c r="F236" s="43" t="s">
        <v>2683</v>
      </c>
      <c r="G236" s="421" t="s">
        <v>29</v>
      </c>
      <c r="H236" s="422">
        <v>1000</v>
      </c>
      <c r="I236" s="41">
        <v>200</v>
      </c>
      <c r="J236" s="40" t="s">
        <v>30</v>
      </c>
      <c r="K236" s="40" t="s">
        <v>31</v>
      </c>
      <c r="M236" s="157">
        <v>300</v>
      </c>
    </row>
    <row r="237" spans="1:13" ht="15.75" customHeight="1">
      <c r="A237" s="42">
        <v>20</v>
      </c>
      <c r="B237" s="40" t="s">
        <v>878</v>
      </c>
      <c r="C237" s="40" t="s">
        <v>25</v>
      </c>
      <c r="D237" s="40" t="s">
        <v>99</v>
      </c>
      <c r="E237" s="40" t="s">
        <v>42</v>
      </c>
      <c r="F237" s="43" t="s">
        <v>2684</v>
      </c>
      <c r="G237" s="421" t="s">
        <v>29</v>
      </c>
      <c r="H237" s="422">
        <v>6000</v>
      </c>
      <c r="I237" s="41">
        <v>1200</v>
      </c>
      <c r="J237" s="40" t="s">
        <v>30</v>
      </c>
      <c r="K237" s="40" t="s">
        <v>31</v>
      </c>
      <c r="M237" s="157">
        <v>450</v>
      </c>
    </row>
    <row r="238" spans="1:13" ht="15.75" customHeight="1">
      <c r="A238" s="42">
        <v>20</v>
      </c>
      <c r="B238" s="40" t="s">
        <v>2685</v>
      </c>
      <c r="C238" s="40" t="s">
        <v>25</v>
      </c>
      <c r="D238" s="40" t="s">
        <v>195</v>
      </c>
      <c r="E238" s="40" t="s">
        <v>96</v>
      </c>
      <c r="F238" s="43" t="s">
        <v>326</v>
      </c>
      <c r="G238" s="421" t="s">
        <v>29</v>
      </c>
      <c r="H238" s="422">
        <v>5000</v>
      </c>
      <c r="I238" s="41">
        <v>1000</v>
      </c>
      <c r="J238" s="40" t="s">
        <v>30</v>
      </c>
      <c r="K238" s="40" t="s">
        <v>31</v>
      </c>
    </row>
    <row r="239" spans="1:13" ht="15.75" customHeight="1">
      <c r="A239" s="42">
        <v>20</v>
      </c>
      <c r="B239" s="40" t="s">
        <v>1402</v>
      </c>
      <c r="C239" s="40" t="s">
        <v>25</v>
      </c>
      <c r="D239" s="40" t="s">
        <v>1403</v>
      </c>
      <c r="E239" s="40" t="s">
        <v>46</v>
      </c>
      <c r="F239" s="43" t="s">
        <v>2686</v>
      </c>
      <c r="G239" s="421" t="s">
        <v>29</v>
      </c>
      <c r="H239" s="422">
        <v>1000</v>
      </c>
      <c r="I239" s="41">
        <v>400</v>
      </c>
      <c r="J239" s="40" t="s">
        <v>30</v>
      </c>
      <c r="K239" s="40" t="s">
        <v>31</v>
      </c>
    </row>
    <row r="240" spans="1:13" ht="15.75" customHeight="1">
      <c r="A240" s="42">
        <v>20</v>
      </c>
      <c r="B240" s="40" t="s">
        <v>2687</v>
      </c>
      <c r="C240" s="40" t="s">
        <v>25</v>
      </c>
      <c r="D240" s="40" t="s">
        <v>86</v>
      </c>
      <c r="E240" s="40" t="s">
        <v>42</v>
      </c>
      <c r="F240" s="43" t="s">
        <v>2688</v>
      </c>
      <c r="G240" s="421" t="s">
        <v>29</v>
      </c>
      <c r="H240" s="422">
        <v>3500</v>
      </c>
      <c r="I240" s="41">
        <v>700</v>
      </c>
      <c r="J240" s="40" t="s">
        <v>30</v>
      </c>
      <c r="K240" s="40" t="s">
        <v>31</v>
      </c>
      <c r="M240" s="157">
        <v>500</v>
      </c>
    </row>
    <row r="241" spans="1:13" ht="15.75" customHeight="1">
      <c r="A241" s="42">
        <v>20</v>
      </c>
      <c r="B241" s="40" t="s">
        <v>2689</v>
      </c>
      <c r="C241" s="40" t="s">
        <v>25</v>
      </c>
      <c r="D241" s="40" t="s">
        <v>206</v>
      </c>
      <c r="E241" s="40" t="s">
        <v>96</v>
      </c>
      <c r="F241" s="43" t="s">
        <v>2690</v>
      </c>
      <c r="G241" s="285" t="s">
        <v>29</v>
      </c>
      <c r="H241" s="287">
        <v>500</v>
      </c>
      <c r="I241" s="288" t="s">
        <v>101</v>
      </c>
      <c r="J241" s="40" t="s">
        <v>30</v>
      </c>
      <c r="K241" s="40" t="s">
        <v>31</v>
      </c>
      <c r="M241" s="157">
        <v>900</v>
      </c>
    </row>
    <row r="242" spans="1:13" ht="15.75" customHeight="1">
      <c r="A242" s="42">
        <v>20</v>
      </c>
      <c r="B242" s="40" t="s">
        <v>2689</v>
      </c>
      <c r="C242" s="40" t="s">
        <v>25</v>
      </c>
      <c r="D242" s="40" t="s">
        <v>206</v>
      </c>
      <c r="E242" s="40" t="s">
        <v>96</v>
      </c>
      <c r="F242" s="40"/>
      <c r="G242" s="421" t="s">
        <v>29</v>
      </c>
      <c r="H242" s="422">
        <v>500</v>
      </c>
      <c r="I242" s="41">
        <v>100</v>
      </c>
      <c r="J242" s="40" t="s">
        <v>30</v>
      </c>
      <c r="K242" s="40" t="s">
        <v>31</v>
      </c>
    </row>
    <row r="243" spans="1:13" ht="15.75" customHeight="1">
      <c r="A243" s="42">
        <v>20</v>
      </c>
      <c r="B243" s="40" t="s">
        <v>2691</v>
      </c>
      <c r="C243" s="40" t="s">
        <v>25</v>
      </c>
      <c r="D243" s="40" t="s">
        <v>2454</v>
      </c>
      <c r="E243" s="40" t="s">
        <v>96</v>
      </c>
      <c r="F243" s="43" t="s">
        <v>2692</v>
      </c>
      <c r="G243" s="285" t="s">
        <v>29</v>
      </c>
      <c r="H243" s="287">
        <v>500</v>
      </c>
      <c r="I243" s="288" t="s">
        <v>101</v>
      </c>
      <c r="J243" s="40" t="s">
        <v>30</v>
      </c>
      <c r="K243" s="40" t="s">
        <v>31</v>
      </c>
      <c r="M243" s="157">
        <v>500</v>
      </c>
    </row>
    <row r="244" spans="1:13" ht="15.75" customHeight="1">
      <c r="A244" s="42">
        <v>20</v>
      </c>
      <c r="B244" s="40" t="s">
        <v>2691</v>
      </c>
      <c r="C244" s="40" t="s">
        <v>25</v>
      </c>
      <c r="D244" s="40" t="s">
        <v>2454</v>
      </c>
      <c r="E244" s="40" t="s">
        <v>96</v>
      </c>
      <c r="F244" s="40"/>
      <c r="G244" s="421" t="s">
        <v>29</v>
      </c>
      <c r="H244" s="422">
        <v>500</v>
      </c>
      <c r="I244" s="41">
        <v>100</v>
      </c>
      <c r="J244" s="40" t="s">
        <v>30</v>
      </c>
      <c r="K244" s="40" t="s">
        <v>31</v>
      </c>
    </row>
    <row r="245" spans="1:13" ht="15.75" customHeight="1">
      <c r="A245" s="42">
        <v>20</v>
      </c>
      <c r="B245" s="40" t="s">
        <v>576</v>
      </c>
      <c r="C245" s="40" t="s">
        <v>25</v>
      </c>
      <c r="D245" s="40" t="s">
        <v>55</v>
      </c>
      <c r="E245" s="40" t="s">
        <v>96</v>
      </c>
      <c r="F245" s="43" t="s">
        <v>2693</v>
      </c>
      <c r="G245" s="421" t="s">
        <v>29</v>
      </c>
      <c r="H245" s="422">
        <v>500</v>
      </c>
      <c r="I245" s="41">
        <v>100</v>
      </c>
      <c r="J245" s="40" t="s">
        <v>30</v>
      </c>
      <c r="K245" s="40" t="s">
        <v>31</v>
      </c>
      <c r="M245" s="157">
        <v>100</v>
      </c>
    </row>
    <row r="246" spans="1:13" ht="15.75" customHeight="1">
      <c r="A246" s="42">
        <v>20</v>
      </c>
      <c r="B246" s="40" t="s">
        <v>2694</v>
      </c>
      <c r="C246" s="40" t="s">
        <v>25</v>
      </c>
      <c r="D246" s="40" t="s">
        <v>2695</v>
      </c>
      <c r="E246" s="40" t="s">
        <v>1927</v>
      </c>
      <c r="F246" s="43" t="s">
        <v>2696</v>
      </c>
      <c r="G246" s="421" t="s">
        <v>29</v>
      </c>
      <c r="H246" s="422">
        <v>600</v>
      </c>
      <c r="I246" s="41">
        <v>120</v>
      </c>
      <c r="J246" s="40" t="s">
        <v>30</v>
      </c>
      <c r="K246" s="40" t="s">
        <v>31</v>
      </c>
      <c r="M246" s="157">
        <v>40</v>
      </c>
    </row>
    <row r="247" spans="1:13" ht="15.75" customHeight="1">
      <c r="A247" s="42">
        <v>20</v>
      </c>
      <c r="B247" s="40" t="s">
        <v>2697</v>
      </c>
      <c r="C247" s="40" t="s">
        <v>25</v>
      </c>
      <c r="D247" s="40" t="s">
        <v>63</v>
      </c>
      <c r="E247" s="40" t="s">
        <v>46</v>
      </c>
      <c r="F247" s="43" t="s">
        <v>2698</v>
      </c>
      <c r="G247" s="285" t="s">
        <v>321</v>
      </c>
      <c r="H247" s="287">
        <v>20</v>
      </c>
      <c r="I247" s="41">
        <v>60</v>
      </c>
      <c r="J247" s="40" t="s">
        <v>30</v>
      </c>
      <c r="K247" s="40" t="s">
        <v>31</v>
      </c>
    </row>
    <row r="248" spans="1:13" ht="15.75" customHeight="1">
      <c r="A248" s="42">
        <v>20</v>
      </c>
      <c r="B248" s="40" t="s">
        <v>2699</v>
      </c>
      <c r="C248" s="40" t="s">
        <v>59</v>
      </c>
      <c r="D248" s="40" t="s">
        <v>176</v>
      </c>
      <c r="E248" s="40" t="s">
        <v>38</v>
      </c>
      <c r="F248" s="43" t="s">
        <v>2700</v>
      </c>
      <c r="G248" s="421" t="s">
        <v>29</v>
      </c>
      <c r="H248" s="422">
        <v>300</v>
      </c>
      <c r="I248" s="41">
        <v>60</v>
      </c>
      <c r="J248" s="40" t="s">
        <v>30</v>
      </c>
      <c r="K248" s="40" t="s">
        <v>31</v>
      </c>
    </row>
    <row r="249" spans="1:13" ht="15.75" customHeight="1">
      <c r="A249" s="42">
        <v>20</v>
      </c>
      <c r="B249" s="40" t="s">
        <v>2701</v>
      </c>
      <c r="C249" s="40" t="s">
        <v>25</v>
      </c>
      <c r="D249" s="40" t="s">
        <v>2098</v>
      </c>
      <c r="E249" s="40" t="s">
        <v>78</v>
      </c>
      <c r="F249" s="43" t="s">
        <v>2702</v>
      </c>
      <c r="G249" s="421" t="s">
        <v>29</v>
      </c>
      <c r="H249" s="422">
        <v>300</v>
      </c>
      <c r="I249" s="41">
        <v>60</v>
      </c>
      <c r="J249" s="40" t="s">
        <v>30</v>
      </c>
      <c r="K249" s="40" t="s">
        <v>31</v>
      </c>
    </row>
    <row r="250" spans="1:13" ht="15.75" customHeight="1">
      <c r="A250" s="42">
        <v>20</v>
      </c>
      <c r="B250" s="40" t="s">
        <v>2703</v>
      </c>
      <c r="C250" s="40" t="s">
        <v>25</v>
      </c>
      <c r="D250" s="40" t="s">
        <v>2704</v>
      </c>
      <c r="E250" s="40" t="s">
        <v>249</v>
      </c>
      <c r="F250" s="43" t="s">
        <v>2705</v>
      </c>
      <c r="G250" s="421" t="s">
        <v>29</v>
      </c>
      <c r="H250" s="422">
        <v>200</v>
      </c>
      <c r="I250" s="41">
        <v>40</v>
      </c>
      <c r="J250" s="40" t="s">
        <v>30</v>
      </c>
      <c r="K250" s="40" t="s">
        <v>31</v>
      </c>
    </row>
    <row r="251" spans="1:13" ht="15.75" customHeight="1">
      <c r="A251" s="42">
        <v>21</v>
      </c>
      <c r="B251" s="40" t="s">
        <v>2706</v>
      </c>
      <c r="C251" s="40" t="s">
        <v>59</v>
      </c>
      <c r="D251" s="40" t="s">
        <v>171</v>
      </c>
      <c r="E251" s="40" t="s">
        <v>60</v>
      </c>
      <c r="F251" s="43" t="s">
        <v>2707</v>
      </c>
      <c r="G251" s="421" t="s">
        <v>29</v>
      </c>
      <c r="H251" s="422">
        <v>1000</v>
      </c>
      <c r="I251" s="41">
        <v>200</v>
      </c>
      <c r="J251" s="40" t="s">
        <v>30</v>
      </c>
      <c r="K251" s="40" t="s">
        <v>31</v>
      </c>
    </row>
    <row r="252" spans="1:13" ht="15.75" customHeight="1">
      <c r="A252" s="42">
        <v>21</v>
      </c>
      <c r="B252" s="40" t="s">
        <v>2708</v>
      </c>
      <c r="C252" s="40" t="s">
        <v>25</v>
      </c>
      <c r="D252" s="40" t="s">
        <v>171</v>
      </c>
      <c r="E252" s="40" t="s">
        <v>60</v>
      </c>
      <c r="F252" s="43" t="s">
        <v>2709</v>
      </c>
      <c r="G252" s="421" t="s">
        <v>29</v>
      </c>
      <c r="H252" s="422">
        <v>1000</v>
      </c>
      <c r="I252" s="41">
        <v>200</v>
      </c>
      <c r="J252" s="40" t="s">
        <v>30</v>
      </c>
      <c r="K252" s="40" t="s">
        <v>31</v>
      </c>
    </row>
    <row r="253" spans="1:13" ht="15.75" customHeight="1">
      <c r="A253" s="42">
        <v>21</v>
      </c>
      <c r="B253" s="40" t="s">
        <v>2710</v>
      </c>
      <c r="C253" s="40" t="s">
        <v>59</v>
      </c>
      <c r="D253" s="40" t="s">
        <v>2454</v>
      </c>
      <c r="E253" s="40" t="s">
        <v>96</v>
      </c>
      <c r="F253" s="43" t="s">
        <v>2711</v>
      </c>
      <c r="G253" s="421" t="s">
        <v>29</v>
      </c>
      <c r="H253" s="422">
        <v>1000</v>
      </c>
      <c r="I253" s="41">
        <v>200</v>
      </c>
      <c r="J253" s="40" t="s">
        <v>30</v>
      </c>
      <c r="K253" s="40" t="s">
        <v>31</v>
      </c>
    </row>
    <row r="254" spans="1:13" ht="15.75" customHeight="1">
      <c r="A254" s="42">
        <v>21</v>
      </c>
      <c r="B254" s="40" t="s">
        <v>2712</v>
      </c>
      <c r="C254" s="40" t="s">
        <v>25</v>
      </c>
      <c r="D254" s="40" t="s">
        <v>2713</v>
      </c>
      <c r="E254" s="40" t="s">
        <v>38</v>
      </c>
      <c r="F254" s="43" t="s">
        <v>2714</v>
      </c>
      <c r="G254" s="421" t="s">
        <v>29</v>
      </c>
      <c r="H254" s="422">
        <v>1000</v>
      </c>
      <c r="I254" s="41">
        <v>200</v>
      </c>
      <c r="J254" s="40" t="s">
        <v>30</v>
      </c>
      <c r="K254" s="40" t="s">
        <v>31</v>
      </c>
    </row>
    <row r="255" spans="1:13" ht="15.75" customHeight="1">
      <c r="A255" s="42">
        <v>21</v>
      </c>
      <c r="B255" s="40" t="s">
        <v>2715</v>
      </c>
      <c r="C255" s="40" t="s">
        <v>25</v>
      </c>
      <c r="D255" s="40" t="s">
        <v>1961</v>
      </c>
      <c r="E255" s="40" t="s">
        <v>311</v>
      </c>
      <c r="F255" s="43" t="s">
        <v>2716</v>
      </c>
      <c r="G255" s="421" t="s">
        <v>29</v>
      </c>
      <c r="H255" s="422">
        <v>1000</v>
      </c>
      <c r="I255" s="41">
        <v>200</v>
      </c>
      <c r="J255" s="40" t="s">
        <v>30</v>
      </c>
      <c r="K255" s="40" t="s">
        <v>31</v>
      </c>
    </row>
    <row r="256" spans="1:13" ht="15.75" customHeight="1">
      <c r="A256" s="42">
        <v>21</v>
      </c>
      <c r="B256" s="40" t="s">
        <v>2717</v>
      </c>
      <c r="C256" s="40" t="s">
        <v>25</v>
      </c>
      <c r="D256" s="40" t="s">
        <v>1911</v>
      </c>
      <c r="E256" s="40" t="s">
        <v>533</v>
      </c>
      <c r="F256" s="43" t="s">
        <v>2718</v>
      </c>
      <c r="G256" s="421" t="s">
        <v>29</v>
      </c>
      <c r="H256" s="422">
        <v>4000</v>
      </c>
      <c r="I256" s="41">
        <v>800</v>
      </c>
      <c r="J256" s="40" t="s">
        <v>30</v>
      </c>
      <c r="K256" s="40" t="s">
        <v>31</v>
      </c>
    </row>
    <row r="257" spans="1:13" ht="15.75" customHeight="1">
      <c r="A257" s="42">
        <v>21</v>
      </c>
      <c r="B257" s="40" t="s">
        <v>2719</v>
      </c>
      <c r="C257" s="40" t="s">
        <v>25</v>
      </c>
      <c r="D257" s="40" t="s">
        <v>1377</v>
      </c>
      <c r="E257" s="40" t="s">
        <v>50</v>
      </c>
      <c r="F257" s="43" t="s">
        <v>2720</v>
      </c>
      <c r="G257" s="421" t="s">
        <v>29</v>
      </c>
      <c r="H257" s="422">
        <v>200</v>
      </c>
      <c r="I257" s="41">
        <v>40</v>
      </c>
      <c r="J257" s="40" t="s">
        <v>30</v>
      </c>
      <c r="K257" s="40" t="s">
        <v>31</v>
      </c>
    </row>
    <row r="258" spans="1:13" ht="15.75" customHeight="1">
      <c r="A258" s="42">
        <v>21</v>
      </c>
      <c r="B258" s="40" t="s">
        <v>2721</v>
      </c>
      <c r="C258" s="40" t="s">
        <v>25</v>
      </c>
      <c r="D258" s="40" t="s">
        <v>1190</v>
      </c>
      <c r="E258" s="40" t="s">
        <v>42</v>
      </c>
      <c r="F258" s="43" t="s">
        <v>2722</v>
      </c>
      <c r="G258" s="421" t="s">
        <v>29</v>
      </c>
      <c r="H258" s="422">
        <v>1300</v>
      </c>
      <c r="I258" s="41">
        <v>260</v>
      </c>
      <c r="J258" s="40" t="s">
        <v>30</v>
      </c>
      <c r="K258" s="40" t="s">
        <v>31</v>
      </c>
    </row>
    <row r="259" spans="1:13" ht="15.75" customHeight="1">
      <c r="A259" s="42">
        <v>21</v>
      </c>
      <c r="B259" s="40" t="s">
        <v>1344</v>
      </c>
      <c r="C259" s="40" t="s">
        <v>25</v>
      </c>
      <c r="D259" s="40" t="s">
        <v>63</v>
      </c>
      <c r="E259" s="40" t="s">
        <v>96</v>
      </c>
      <c r="F259" s="43" t="s">
        <v>1345</v>
      </c>
      <c r="G259" s="421" t="s">
        <v>29</v>
      </c>
      <c r="H259" s="422">
        <v>100</v>
      </c>
      <c r="I259" s="41">
        <v>20</v>
      </c>
      <c r="J259" s="40" t="s">
        <v>30</v>
      </c>
      <c r="K259" s="40" t="s">
        <v>31</v>
      </c>
    </row>
    <row r="260" spans="1:13" ht="15.75" customHeight="1">
      <c r="A260" s="42">
        <v>21</v>
      </c>
      <c r="B260" s="40" t="s">
        <v>2723</v>
      </c>
      <c r="C260" s="40" t="s">
        <v>59</v>
      </c>
      <c r="D260" s="40" t="s">
        <v>800</v>
      </c>
      <c r="E260" s="40" t="s">
        <v>46</v>
      </c>
      <c r="F260" s="43" t="s">
        <v>2724</v>
      </c>
      <c r="G260" s="421" t="s">
        <v>29</v>
      </c>
      <c r="H260" s="422">
        <v>1000</v>
      </c>
      <c r="I260" s="41">
        <v>200</v>
      </c>
      <c r="J260" s="40" t="s">
        <v>30</v>
      </c>
      <c r="K260" s="40" t="s">
        <v>31</v>
      </c>
    </row>
    <row r="261" spans="1:13" ht="15.75" customHeight="1">
      <c r="A261" s="42">
        <v>22</v>
      </c>
      <c r="B261" s="40" t="s">
        <v>2725</v>
      </c>
      <c r="C261" s="40" t="s">
        <v>59</v>
      </c>
      <c r="D261" s="40" t="s">
        <v>63</v>
      </c>
      <c r="E261" s="40" t="s">
        <v>56</v>
      </c>
      <c r="F261" s="43" t="s">
        <v>2726</v>
      </c>
      <c r="G261" s="421" t="s">
        <v>29</v>
      </c>
      <c r="H261" s="422">
        <v>8000</v>
      </c>
      <c r="I261" s="41">
        <v>1600</v>
      </c>
      <c r="J261" s="40" t="s">
        <v>30</v>
      </c>
      <c r="K261" s="40" t="s">
        <v>31</v>
      </c>
    </row>
    <row r="262" spans="1:13" ht="15.75" customHeight="1">
      <c r="A262" s="42">
        <v>22</v>
      </c>
      <c r="B262" s="40" t="s">
        <v>2727</v>
      </c>
      <c r="C262" s="40" t="s">
        <v>25</v>
      </c>
      <c r="D262" s="40" t="s">
        <v>532</v>
      </c>
      <c r="E262" s="40" t="s">
        <v>38</v>
      </c>
      <c r="F262" s="43" t="s">
        <v>2728</v>
      </c>
      <c r="G262" s="421" t="s">
        <v>29</v>
      </c>
      <c r="H262" s="422">
        <v>1000</v>
      </c>
      <c r="I262" s="41">
        <v>200</v>
      </c>
      <c r="J262" s="40" t="s">
        <v>30</v>
      </c>
      <c r="K262" s="40" t="s">
        <v>31</v>
      </c>
    </row>
    <row r="263" spans="1:13" ht="15.75" customHeight="1">
      <c r="A263" s="42">
        <v>22</v>
      </c>
      <c r="B263" s="40" t="s">
        <v>2729</v>
      </c>
      <c r="C263" s="40" t="s">
        <v>25</v>
      </c>
      <c r="D263" s="40" t="s">
        <v>1336</v>
      </c>
      <c r="E263" s="40" t="s">
        <v>38</v>
      </c>
      <c r="F263" s="43" t="s">
        <v>2730</v>
      </c>
      <c r="G263" s="421" t="s">
        <v>29</v>
      </c>
      <c r="H263" s="422">
        <v>1000</v>
      </c>
      <c r="I263" s="41">
        <v>200</v>
      </c>
      <c r="J263" s="40" t="s">
        <v>30</v>
      </c>
      <c r="K263" s="40" t="s">
        <v>31</v>
      </c>
    </row>
    <row r="264" spans="1:13" ht="15.75" customHeight="1">
      <c r="A264" s="42">
        <v>22</v>
      </c>
      <c r="B264" s="40" t="s">
        <v>2731</v>
      </c>
      <c r="C264" s="40" t="s">
        <v>25</v>
      </c>
      <c r="D264" s="40" t="s">
        <v>103</v>
      </c>
      <c r="E264" s="40" t="s">
        <v>2502</v>
      </c>
      <c r="F264" s="43" t="s">
        <v>2732</v>
      </c>
      <c r="G264" s="421" t="s">
        <v>29</v>
      </c>
      <c r="H264" s="422">
        <v>1000</v>
      </c>
      <c r="I264" s="41">
        <v>200</v>
      </c>
      <c r="J264" s="40" t="s">
        <v>30</v>
      </c>
      <c r="K264" s="40" t="s">
        <v>31</v>
      </c>
    </row>
    <row r="265" spans="1:13" ht="15.75" customHeight="1">
      <c r="A265" s="42">
        <v>22</v>
      </c>
      <c r="B265" s="40" t="s">
        <v>2733</v>
      </c>
      <c r="C265" s="40" t="s">
        <v>25</v>
      </c>
      <c r="D265" s="40" t="s">
        <v>328</v>
      </c>
      <c r="E265" s="40" t="s">
        <v>141</v>
      </c>
      <c r="F265" s="43" t="s">
        <v>2734</v>
      </c>
      <c r="G265" s="421" t="s">
        <v>29</v>
      </c>
      <c r="H265" s="422">
        <v>500</v>
      </c>
      <c r="I265" s="41">
        <v>100</v>
      </c>
      <c r="J265" s="40" t="s">
        <v>30</v>
      </c>
      <c r="K265" s="40" t="s">
        <v>31</v>
      </c>
      <c r="M265" s="157">
        <v>200</v>
      </c>
    </row>
    <row r="266" spans="1:13" ht="15.75" customHeight="1">
      <c r="A266" s="42">
        <v>22</v>
      </c>
      <c r="B266" s="40" t="s">
        <v>2735</v>
      </c>
      <c r="C266" s="40" t="s">
        <v>25</v>
      </c>
      <c r="D266" s="40" t="s">
        <v>1007</v>
      </c>
      <c r="E266" s="40" t="s">
        <v>258</v>
      </c>
      <c r="F266" s="43" t="s">
        <v>2736</v>
      </c>
      <c r="G266" s="421" t="s">
        <v>29</v>
      </c>
      <c r="H266" s="422">
        <v>500</v>
      </c>
      <c r="I266" s="41">
        <v>100</v>
      </c>
      <c r="J266" s="40" t="s">
        <v>30</v>
      </c>
      <c r="K266" s="40" t="s">
        <v>31</v>
      </c>
    </row>
    <row r="267" spans="1:13" ht="15.75" customHeight="1">
      <c r="A267" s="42">
        <v>22</v>
      </c>
      <c r="B267" s="40" t="s">
        <v>2737</v>
      </c>
      <c r="C267" s="40" t="s">
        <v>25</v>
      </c>
      <c r="D267" s="40" t="s">
        <v>185</v>
      </c>
      <c r="E267" s="40" t="s">
        <v>42</v>
      </c>
      <c r="F267" s="43" t="s">
        <v>2738</v>
      </c>
      <c r="G267" s="421" t="s">
        <v>29</v>
      </c>
      <c r="H267" s="422">
        <v>500</v>
      </c>
      <c r="I267" s="41">
        <v>100</v>
      </c>
      <c r="J267" s="40" t="s">
        <v>30</v>
      </c>
      <c r="K267" s="40" t="s">
        <v>31</v>
      </c>
    </row>
    <row r="268" spans="1:13" ht="15.75" customHeight="1">
      <c r="A268" s="42">
        <v>22</v>
      </c>
      <c r="B268" s="40" t="s">
        <v>2739</v>
      </c>
      <c r="C268" s="40" t="s">
        <v>25</v>
      </c>
      <c r="D268" s="40" t="s">
        <v>1511</v>
      </c>
      <c r="E268" s="40" t="s">
        <v>111</v>
      </c>
      <c r="F268" s="43" t="s">
        <v>2740</v>
      </c>
      <c r="G268" s="421" t="s">
        <v>29</v>
      </c>
      <c r="H268" s="422">
        <v>500</v>
      </c>
      <c r="I268" s="41">
        <v>100</v>
      </c>
      <c r="J268" s="40" t="s">
        <v>30</v>
      </c>
      <c r="K268" s="40" t="s">
        <v>31</v>
      </c>
    </row>
    <row r="269" spans="1:13" ht="15.75" customHeight="1">
      <c r="A269" s="42">
        <v>22</v>
      </c>
      <c r="B269" s="40" t="s">
        <v>2741</v>
      </c>
      <c r="C269" s="40" t="s">
        <v>25</v>
      </c>
      <c r="D269" s="40" t="s">
        <v>63</v>
      </c>
      <c r="E269" s="40" t="s">
        <v>2502</v>
      </c>
      <c r="F269" s="43" t="s">
        <v>2742</v>
      </c>
      <c r="G269" s="285" t="s">
        <v>29</v>
      </c>
      <c r="H269" s="287">
        <v>500</v>
      </c>
      <c r="I269" s="288" t="s">
        <v>101</v>
      </c>
      <c r="J269" s="40" t="s">
        <v>30</v>
      </c>
      <c r="K269" s="40" t="s">
        <v>31</v>
      </c>
    </row>
    <row r="270" spans="1:13" ht="15.75" customHeight="1">
      <c r="A270" s="42">
        <v>22</v>
      </c>
      <c r="B270" s="40" t="s">
        <v>2741</v>
      </c>
      <c r="C270" s="40" t="s">
        <v>25</v>
      </c>
      <c r="D270" s="40" t="s">
        <v>63</v>
      </c>
      <c r="E270" s="40" t="s">
        <v>2502</v>
      </c>
      <c r="F270" s="40"/>
      <c r="G270" s="421" t="s">
        <v>29</v>
      </c>
      <c r="H270" s="422">
        <v>500</v>
      </c>
      <c r="I270" s="41">
        <v>100</v>
      </c>
      <c r="J270" s="40" t="s">
        <v>30</v>
      </c>
      <c r="K270" s="40" t="s">
        <v>31</v>
      </c>
    </row>
    <row r="271" spans="1:13" ht="15.75" customHeight="1">
      <c r="A271" s="42">
        <v>22</v>
      </c>
      <c r="B271" s="40" t="s">
        <v>2743</v>
      </c>
      <c r="C271" s="40" t="s">
        <v>25</v>
      </c>
      <c r="D271" s="40" t="s">
        <v>2744</v>
      </c>
      <c r="E271" s="40" t="s">
        <v>78</v>
      </c>
      <c r="F271" s="43" t="s">
        <v>2745</v>
      </c>
      <c r="G271" s="421" t="s">
        <v>29</v>
      </c>
      <c r="H271" s="422">
        <v>500</v>
      </c>
      <c r="I271" s="41">
        <v>100</v>
      </c>
      <c r="J271" s="40" t="s">
        <v>30</v>
      </c>
      <c r="K271" s="40" t="s">
        <v>31</v>
      </c>
    </row>
    <row r="272" spans="1:13" ht="15.75" customHeight="1">
      <c r="A272" s="42">
        <v>22</v>
      </c>
      <c r="B272" s="40" t="s">
        <v>2746</v>
      </c>
      <c r="C272" s="40" t="s">
        <v>25</v>
      </c>
      <c r="D272" s="40" t="s">
        <v>63</v>
      </c>
      <c r="E272" s="40" t="s">
        <v>38</v>
      </c>
      <c r="F272" s="43" t="s">
        <v>2747</v>
      </c>
      <c r="G272" s="421" t="s">
        <v>29</v>
      </c>
      <c r="H272" s="422">
        <v>500</v>
      </c>
      <c r="I272" s="41">
        <v>100</v>
      </c>
      <c r="J272" s="40" t="s">
        <v>30</v>
      </c>
      <c r="K272" s="40" t="s">
        <v>31</v>
      </c>
    </row>
    <row r="273" spans="1:13" ht="15.75" customHeight="1">
      <c r="A273" s="42">
        <v>22</v>
      </c>
      <c r="B273" s="40" t="s">
        <v>2748</v>
      </c>
      <c r="C273" s="40" t="s">
        <v>25</v>
      </c>
      <c r="D273" s="40" t="s">
        <v>700</v>
      </c>
      <c r="E273" s="40" t="s">
        <v>46</v>
      </c>
      <c r="F273" s="43" t="s">
        <v>2359</v>
      </c>
      <c r="G273" s="421" t="s">
        <v>29</v>
      </c>
      <c r="H273" s="422">
        <v>500</v>
      </c>
      <c r="I273" s="41">
        <v>100</v>
      </c>
      <c r="J273" s="40" t="s">
        <v>30</v>
      </c>
      <c r="K273" s="40" t="s">
        <v>31</v>
      </c>
    </row>
    <row r="274" spans="1:13" ht="15.75" customHeight="1">
      <c r="A274" s="42">
        <v>22</v>
      </c>
      <c r="B274" s="40" t="s">
        <v>2749</v>
      </c>
      <c r="C274" s="40" t="s">
        <v>25</v>
      </c>
      <c r="D274" s="40" t="s">
        <v>669</v>
      </c>
      <c r="E274" s="40" t="s">
        <v>50</v>
      </c>
      <c r="F274" s="43" t="s">
        <v>2750</v>
      </c>
      <c r="G274" s="421" t="s">
        <v>29</v>
      </c>
      <c r="H274" s="422">
        <v>500</v>
      </c>
      <c r="I274" s="41">
        <v>100</v>
      </c>
      <c r="J274" s="40" t="s">
        <v>30</v>
      </c>
      <c r="K274" s="40" t="s">
        <v>31</v>
      </c>
      <c r="M274" s="157">
        <v>150</v>
      </c>
    </row>
    <row r="275" spans="1:13" ht="15.75" customHeight="1">
      <c r="A275" s="42">
        <v>22</v>
      </c>
      <c r="B275" s="40" t="s">
        <v>2751</v>
      </c>
      <c r="C275" s="40" t="s">
        <v>59</v>
      </c>
      <c r="D275" s="40" t="s">
        <v>2744</v>
      </c>
      <c r="E275" s="40" t="s">
        <v>78</v>
      </c>
      <c r="F275" s="43" t="s">
        <v>2752</v>
      </c>
      <c r="G275" s="421" t="s">
        <v>29</v>
      </c>
      <c r="H275" s="422">
        <v>500</v>
      </c>
      <c r="I275" s="41">
        <v>100</v>
      </c>
      <c r="J275" s="40" t="s">
        <v>30</v>
      </c>
      <c r="K275" s="40" t="s">
        <v>31</v>
      </c>
      <c r="M275" s="157">
        <v>150</v>
      </c>
    </row>
    <row r="276" spans="1:13" ht="15.75" customHeight="1">
      <c r="A276" s="42">
        <v>22</v>
      </c>
      <c r="B276" s="40" t="s">
        <v>654</v>
      </c>
      <c r="C276" s="40" t="s">
        <v>25</v>
      </c>
      <c r="D276" s="40" t="s">
        <v>655</v>
      </c>
      <c r="E276" s="40" t="s">
        <v>42</v>
      </c>
      <c r="F276" s="43" t="s">
        <v>2753</v>
      </c>
      <c r="G276" s="421" t="s">
        <v>29</v>
      </c>
      <c r="H276" s="422">
        <v>500</v>
      </c>
      <c r="I276" s="41">
        <v>100</v>
      </c>
      <c r="J276" s="40" t="s">
        <v>30</v>
      </c>
      <c r="K276" s="40" t="s">
        <v>31</v>
      </c>
      <c r="M276" s="157">
        <v>150</v>
      </c>
    </row>
    <row r="277" spans="1:13" ht="15.75" customHeight="1">
      <c r="A277" s="42">
        <v>22</v>
      </c>
      <c r="B277" s="40" t="s">
        <v>2754</v>
      </c>
      <c r="C277" s="40" t="s">
        <v>59</v>
      </c>
      <c r="D277" s="40" t="s">
        <v>83</v>
      </c>
      <c r="E277" s="40" t="s">
        <v>46</v>
      </c>
      <c r="F277" s="40"/>
      <c r="G277" s="421" t="s">
        <v>29</v>
      </c>
      <c r="H277" s="422">
        <v>500</v>
      </c>
      <c r="I277" s="41">
        <v>100</v>
      </c>
      <c r="J277" s="40" t="s">
        <v>30</v>
      </c>
      <c r="K277" s="40" t="s">
        <v>31</v>
      </c>
      <c r="M277" s="157">
        <v>100</v>
      </c>
    </row>
    <row r="278" spans="1:13" ht="15.75" customHeight="1">
      <c r="A278" s="42">
        <v>22</v>
      </c>
      <c r="B278" s="40" t="s">
        <v>2755</v>
      </c>
      <c r="C278" s="40" t="s">
        <v>25</v>
      </c>
      <c r="D278" s="40" t="s">
        <v>548</v>
      </c>
      <c r="E278" s="40" t="s">
        <v>42</v>
      </c>
      <c r="F278" s="43" t="s">
        <v>2756</v>
      </c>
      <c r="G278" s="421" t="s">
        <v>29</v>
      </c>
      <c r="H278" s="422">
        <v>500</v>
      </c>
      <c r="I278" s="41">
        <v>100</v>
      </c>
      <c r="J278" s="40" t="s">
        <v>30</v>
      </c>
      <c r="K278" s="40" t="s">
        <v>31</v>
      </c>
      <c r="M278" s="157">
        <v>150</v>
      </c>
    </row>
    <row r="279" spans="1:13" ht="15.75" customHeight="1">
      <c r="A279" s="42">
        <v>22</v>
      </c>
      <c r="B279" s="40" t="s">
        <v>2757</v>
      </c>
      <c r="C279" s="40" t="s">
        <v>25</v>
      </c>
      <c r="D279" s="40" t="s">
        <v>33</v>
      </c>
      <c r="E279" s="40" t="s">
        <v>38</v>
      </c>
      <c r="F279" s="43" t="s">
        <v>2758</v>
      </c>
      <c r="G279" s="421" t="s">
        <v>29</v>
      </c>
      <c r="H279" s="422">
        <v>500</v>
      </c>
      <c r="I279" s="41">
        <v>100</v>
      </c>
      <c r="J279" s="40" t="s">
        <v>30</v>
      </c>
      <c r="K279" s="40" t="s">
        <v>31</v>
      </c>
      <c r="M279" s="157">
        <v>150</v>
      </c>
    </row>
    <row r="280" spans="1:13" ht="15.75" customHeight="1">
      <c r="A280" s="42">
        <v>22</v>
      </c>
      <c r="B280" s="40" t="s">
        <v>2759</v>
      </c>
      <c r="C280" s="40" t="s">
        <v>59</v>
      </c>
      <c r="D280" s="40" t="s">
        <v>55</v>
      </c>
      <c r="E280" s="40" t="s">
        <v>96</v>
      </c>
      <c r="F280" s="43" t="s">
        <v>2760</v>
      </c>
      <c r="G280" s="421" t="s">
        <v>29</v>
      </c>
      <c r="H280" s="422">
        <v>500</v>
      </c>
      <c r="I280" s="41">
        <v>100</v>
      </c>
      <c r="J280" s="40" t="s">
        <v>30</v>
      </c>
      <c r="K280" s="40" t="s">
        <v>31</v>
      </c>
    </row>
    <row r="281" spans="1:13" ht="15.75" customHeight="1">
      <c r="A281" s="47">
        <v>22</v>
      </c>
      <c r="B281" s="48" t="s">
        <v>2761</v>
      </c>
      <c r="C281" s="48" t="s">
        <v>25</v>
      </c>
      <c r="D281" s="48" t="s">
        <v>63</v>
      </c>
      <c r="E281" s="48" t="s">
        <v>60</v>
      </c>
      <c r="F281" s="49" t="s">
        <v>2762</v>
      </c>
      <c r="G281" s="423" t="s">
        <v>29</v>
      </c>
      <c r="H281" s="424">
        <v>500</v>
      </c>
      <c r="I281" s="51">
        <v>100</v>
      </c>
      <c r="J281" s="48" t="s">
        <v>30</v>
      </c>
      <c r="K281" s="48" t="s">
        <v>31</v>
      </c>
      <c r="M281" s="157">
        <v>400</v>
      </c>
    </row>
    <row r="282" spans="1:13" ht="15.75" customHeight="1">
      <c r="A282" s="52">
        <v>23</v>
      </c>
      <c r="B282" s="53" t="s">
        <v>1559</v>
      </c>
      <c r="C282" s="53" t="s">
        <v>59</v>
      </c>
      <c r="D282" s="53" t="s">
        <v>1511</v>
      </c>
      <c r="E282" s="53" t="s">
        <v>111</v>
      </c>
      <c r="F282" s="60" t="s">
        <v>1560</v>
      </c>
      <c r="G282" s="53" t="s">
        <v>29</v>
      </c>
      <c r="H282" s="54">
        <v>4000</v>
      </c>
      <c r="I282" s="55">
        <v>800</v>
      </c>
      <c r="J282" s="53" t="s">
        <v>30</v>
      </c>
      <c r="K282" s="53" t="s">
        <v>31</v>
      </c>
    </row>
    <row r="283" spans="1:13" ht="15.75" customHeight="1">
      <c r="A283" s="42">
        <v>23</v>
      </c>
      <c r="B283" s="40" t="s">
        <v>2763</v>
      </c>
      <c r="C283" s="40" t="s">
        <v>25</v>
      </c>
      <c r="D283" s="40" t="s">
        <v>1511</v>
      </c>
      <c r="E283" s="40" t="s">
        <v>111</v>
      </c>
      <c r="F283" s="40"/>
      <c r="G283" s="40" t="s">
        <v>29</v>
      </c>
      <c r="H283" s="44">
        <v>5000</v>
      </c>
      <c r="I283" s="41">
        <v>1000</v>
      </c>
      <c r="J283" s="40" t="s">
        <v>30</v>
      </c>
      <c r="K283" s="40" t="s">
        <v>31</v>
      </c>
    </row>
    <row r="284" spans="1:13" ht="15.75" customHeight="1">
      <c r="A284" s="42">
        <v>23</v>
      </c>
      <c r="B284" s="40" t="s">
        <v>2764</v>
      </c>
      <c r="C284" s="40" t="s">
        <v>25</v>
      </c>
      <c r="D284" s="40" t="s">
        <v>144</v>
      </c>
      <c r="E284" s="40" t="s">
        <v>50</v>
      </c>
      <c r="F284" s="43" t="s">
        <v>2765</v>
      </c>
      <c r="G284" s="40" t="s">
        <v>29</v>
      </c>
      <c r="H284" s="44">
        <v>1000</v>
      </c>
      <c r="I284" s="41">
        <v>200</v>
      </c>
      <c r="J284" s="40" t="s">
        <v>30</v>
      </c>
      <c r="K284" s="40" t="s">
        <v>31</v>
      </c>
    </row>
    <row r="285" spans="1:13" ht="15.75" customHeight="1">
      <c r="A285" s="42">
        <v>23</v>
      </c>
      <c r="B285" s="40" t="s">
        <v>2766</v>
      </c>
      <c r="C285" s="40" t="s">
        <v>25</v>
      </c>
      <c r="D285" s="40" t="s">
        <v>2767</v>
      </c>
      <c r="E285" s="40" t="s">
        <v>50</v>
      </c>
      <c r="F285" s="43" t="s">
        <v>2768</v>
      </c>
      <c r="G285" s="40" t="s">
        <v>29</v>
      </c>
      <c r="H285" s="44">
        <v>1500</v>
      </c>
      <c r="I285" s="41">
        <v>300</v>
      </c>
      <c r="J285" s="40" t="s">
        <v>30</v>
      </c>
      <c r="K285" s="40" t="s">
        <v>31</v>
      </c>
    </row>
    <row r="286" spans="1:13" ht="15.75" customHeight="1">
      <c r="A286" s="42">
        <v>23</v>
      </c>
      <c r="B286" s="40" t="s">
        <v>2769</v>
      </c>
      <c r="C286" s="40" t="s">
        <v>59</v>
      </c>
      <c r="D286" s="40" t="s">
        <v>63</v>
      </c>
      <c r="E286" s="40" t="s">
        <v>42</v>
      </c>
      <c r="F286" s="43" t="s">
        <v>2770</v>
      </c>
      <c r="G286" s="40" t="s">
        <v>29</v>
      </c>
      <c r="H286" s="44">
        <v>50</v>
      </c>
      <c r="I286" s="41">
        <v>10</v>
      </c>
      <c r="J286" s="40" t="s">
        <v>30</v>
      </c>
      <c r="K286" s="40" t="s">
        <v>31</v>
      </c>
    </row>
    <row r="287" spans="1:13" ht="15.75" customHeight="1">
      <c r="A287" s="42">
        <v>23</v>
      </c>
      <c r="B287" s="40" t="s">
        <v>2771</v>
      </c>
      <c r="C287" s="40" t="s">
        <v>25</v>
      </c>
      <c r="D287" s="40" t="s">
        <v>2772</v>
      </c>
      <c r="E287" s="40" t="s">
        <v>249</v>
      </c>
      <c r="F287" s="43" t="s">
        <v>2773</v>
      </c>
      <c r="G287" s="40" t="s">
        <v>29</v>
      </c>
      <c r="H287" s="44">
        <v>500</v>
      </c>
      <c r="I287" s="41">
        <v>100</v>
      </c>
      <c r="J287" s="40" t="s">
        <v>30</v>
      </c>
      <c r="K287" s="40" t="s">
        <v>31</v>
      </c>
      <c r="M287" s="157">
        <v>100</v>
      </c>
    </row>
    <row r="288" spans="1:13" ht="15.75" customHeight="1">
      <c r="A288" s="42">
        <v>23</v>
      </c>
      <c r="B288" s="40" t="s">
        <v>2774</v>
      </c>
      <c r="C288" s="40" t="s">
        <v>25</v>
      </c>
      <c r="D288" s="40" t="s">
        <v>2482</v>
      </c>
      <c r="E288" s="40" t="s">
        <v>27</v>
      </c>
      <c r="F288" s="43" t="s">
        <v>2775</v>
      </c>
      <c r="G288" s="40" t="s">
        <v>29</v>
      </c>
      <c r="H288" s="44">
        <v>1000</v>
      </c>
      <c r="I288" s="41">
        <v>200</v>
      </c>
      <c r="J288" s="40" t="s">
        <v>30</v>
      </c>
      <c r="K288" s="40" t="s">
        <v>31</v>
      </c>
    </row>
    <row r="289" spans="1:13" ht="15.75" customHeight="1">
      <c r="A289" s="42">
        <v>23</v>
      </c>
      <c r="B289" s="40" t="s">
        <v>2776</v>
      </c>
      <c r="C289" s="40" t="s">
        <v>59</v>
      </c>
      <c r="D289" s="40" t="s">
        <v>254</v>
      </c>
      <c r="E289" s="40" t="s">
        <v>111</v>
      </c>
      <c r="F289" s="43" t="s">
        <v>2777</v>
      </c>
      <c r="G289" s="40" t="s">
        <v>29</v>
      </c>
      <c r="H289" s="44">
        <v>100000</v>
      </c>
      <c r="I289" s="41">
        <v>20000</v>
      </c>
      <c r="J289" s="40" t="s">
        <v>30</v>
      </c>
      <c r="K289" s="40" t="s">
        <v>31</v>
      </c>
    </row>
    <row r="290" spans="1:13" ht="15.75" customHeight="1">
      <c r="A290" s="42">
        <v>23</v>
      </c>
      <c r="B290" s="40" t="s">
        <v>2778</v>
      </c>
      <c r="C290" s="40" t="s">
        <v>25</v>
      </c>
      <c r="D290" s="40" t="s">
        <v>129</v>
      </c>
      <c r="E290" s="40" t="s">
        <v>130</v>
      </c>
      <c r="F290" s="43" t="s">
        <v>2779</v>
      </c>
      <c r="G290" s="40" t="s">
        <v>29</v>
      </c>
      <c r="H290" s="44">
        <v>4200</v>
      </c>
      <c r="I290" s="41">
        <v>1680</v>
      </c>
      <c r="J290" s="40" t="s">
        <v>30</v>
      </c>
      <c r="K290" s="40" t="s">
        <v>31</v>
      </c>
    </row>
    <row r="291" spans="1:13" ht="15.75" customHeight="1">
      <c r="A291" s="42">
        <v>23</v>
      </c>
      <c r="B291" s="40" t="s">
        <v>2778</v>
      </c>
      <c r="C291" s="40" t="s">
        <v>25</v>
      </c>
      <c r="D291" s="40" t="s">
        <v>129</v>
      </c>
      <c r="E291" s="40" t="s">
        <v>130</v>
      </c>
      <c r="F291" s="40"/>
      <c r="G291" s="40" t="s">
        <v>29</v>
      </c>
      <c r="H291" s="44">
        <v>5000</v>
      </c>
      <c r="I291" s="41">
        <v>1500</v>
      </c>
      <c r="J291" s="40" t="s">
        <v>30</v>
      </c>
      <c r="K291" s="40" t="s">
        <v>31</v>
      </c>
    </row>
    <row r="292" spans="1:13" ht="15.75" customHeight="1">
      <c r="A292" s="42">
        <v>26</v>
      </c>
      <c r="B292" s="40" t="s">
        <v>2780</v>
      </c>
      <c r="C292" s="40" t="s">
        <v>59</v>
      </c>
      <c r="D292" s="40" t="s">
        <v>2646</v>
      </c>
      <c r="E292" s="40" t="s">
        <v>561</v>
      </c>
      <c r="F292" s="43" t="s">
        <v>2781</v>
      </c>
      <c r="G292" s="40" t="s">
        <v>29</v>
      </c>
      <c r="H292" s="44">
        <v>20000</v>
      </c>
      <c r="I292" s="41">
        <v>4000</v>
      </c>
      <c r="J292" s="40" t="s">
        <v>30</v>
      </c>
      <c r="K292" s="40" t="s">
        <v>31</v>
      </c>
    </row>
    <row r="293" spans="1:13" ht="15.75" customHeight="1">
      <c r="A293" s="42">
        <v>26</v>
      </c>
      <c r="B293" s="40" t="s">
        <v>1409</v>
      </c>
      <c r="C293" s="40" t="s">
        <v>25</v>
      </c>
      <c r="D293" s="40" t="s">
        <v>328</v>
      </c>
      <c r="E293" s="40" t="s">
        <v>34</v>
      </c>
      <c r="F293" s="43" t="s">
        <v>1410</v>
      </c>
      <c r="G293" s="40" t="s">
        <v>29</v>
      </c>
      <c r="H293" s="44">
        <v>25000</v>
      </c>
      <c r="I293" s="41">
        <v>5000</v>
      </c>
      <c r="J293" s="40" t="s">
        <v>30</v>
      </c>
      <c r="K293" s="40" t="s">
        <v>31</v>
      </c>
      <c r="M293" s="157">
        <v>1624</v>
      </c>
    </row>
    <row r="294" spans="1:13" ht="15.75" customHeight="1">
      <c r="A294" s="42">
        <v>26</v>
      </c>
      <c r="B294" s="40" t="s">
        <v>2782</v>
      </c>
      <c r="C294" s="40" t="s">
        <v>59</v>
      </c>
      <c r="D294" s="40" t="s">
        <v>195</v>
      </c>
      <c r="E294" s="40" t="s">
        <v>96</v>
      </c>
      <c r="F294" s="43" t="s">
        <v>2783</v>
      </c>
      <c r="G294" s="40" t="s">
        <v>29</v>
      </c>
      <c r="H294" s="44">
        <v>5000</v>
      </c>
      <c r="I294" s="41">
        <v>1000</v>
      </c>
      <c r="J294" s="40" t="s">
        <v>30</v>
      </c>
      <c r="K294" s="40" t="s">
        <v>31</v>
      </c>
      <c r="M294" s="157">
        <v>1200</v>
      </c>
    </row>
    <row r="295" spans="1:13" ht="15.75" customHeight="1">
      <c r="A295" s="42">
        <v>26</v>
      </c>
      <c r="B295" s="40" t="s">
        <v>2784</v>
      </c>
      <c r="C295" s="40" t="s">
        <v>59</v>
      </c>
      <c r="D295" s="40" t="s">
        <v>209</v>
      </c>
      <c r="E295" s="40" t="s">
        <v>96</v>
      </c>
      <c r="F295" s="43" t="s">
        <v>2785</v>
      </c>
      <c r="G295" s="40" t="s">
        <v>29</v>
      </c>
      <c r="H295" s="44">
        <v>3700</v>
      </c>
      <c r="I295" s="41">
        <v>740</v>
      </c>
      <c r="J295" s="40" t="s">
        <v>30</v>
      </c>
      <c r="K295" s="40" t="s">
        <v>31</v>
      </c>
      <c r="M295" s="157">
        <v>1000</v>
      </c>
    </row>
    <row r="296" spans="1:13" ht="15.75" customHeight="1">
      <c r="A296" s="42">
        <v>26</v>
      </c>
      <c r="B296" s="40" t="s">
        <v>2786</v>
      </c>
      <c r="C296" s="40" t="s">
        <v>25</v>
      </c>
      <c r="D296" s="40" t="s">
        <v>55</v>
      </c>
      <c r="E296" s="40" t="s">
        <v>38</v>
      </c>
      <c r="F296" s="43" t="s">
        <v>2787</v>
      </c>
      <c r="G296" s="40" t="s">
        <v>29</v>
      </c>
      <c r="H296" s="44">
        <v>10000</v>
      </c>
      <c r="I296" s="41">
        <v>2000</v>
      </c>
      <c r="J296" s="40" t="s">
        <v>30</v>
      </c>
      <c r="K296" s="40" t="s">
        <v>31</v>
      </c>
      <c r="M296" s="157">
        <v>2500</v>
      </c>
    </row>
    <row r="297" spans="1:13" ht="15.75" customHeight="1">
      <c r="A297" s="42">
        <v>26</v>
      </c>
      <c r="B297" s="40" t="s">
        <v>2788</v>
      </c>
      <c r="C297" s="40" t="s">
        <v>25</v>
      </c>
      <c r="D297" s="40" t="s">
        <v>2789</v>
      </c>
      <c r="E297" s="40" t="s">
        <v>216</v>
      </c>
      <c r="F297" s="43" t="s">
        <v>2790</v>
      </c>
      <c r="G297" s="40" t="s">
        <v>29</v>
      </c>
      <c r="H297" s="44">
        <v>10000</v>
      </c>
      <c r="I297" s="41">
        <v>2000</v>
      </c>
      <c r="J297" s="40" t="s">
        <v>30</v>
      </c>
      <c r="K297" s="40" t="s">
        <v>31</v>
      </c>
      <c r="M297" s="157">
        <v>5000</v>
      </c>
    </row>
    <row r="298" spans="1:13" ht="15.75" customHeight="1">
      <c r="A298" s="42">
        <v>26</v>
      </c>
      <c r="B298" s="40" t="s">
        <v>2791</v>
      </c>
      <c r="C298" s="40" t="s">
        <v>25</v>
      </c>
      <c r="D298" s="40" t="s">
        <v>2792</v>
      </c>
      <c r="E298" s="40" t="s">
        <v>96</v>
      </c>
      <c r="F298" s="43" t="s">
        <v>2793</v>
      </c>
      <c r="G298" s="40" t="s">
        <v>29</v>
      </c>
      <c r="H298" s="44">
        <v>7000</v>
      </c>
      <c r="I298" s="41">
        <v>1400</v>
      </c>
      <c r="J298" s="40" t="s">
        <v>30</v>
      </c>
      <c r="K298" s="40" t="s">
        <v>31</v>
      </c>
      <c r="M298" s="157">
        <v>1200</v>
      </c>
    </row>
    <row r="299" spans="1:13" ht="15.75" customHeight="1">
      <c r="A299" s="42">
        <v>26</v>
      </c>
      <c r="B299" s="40" t="s">
        <v>2794</v>
      </c>
      <c r="C299" s="40" t="s">
        <v>25</v>
      </c>
      <c r="D299" s="40" t="s">
        <v>2090</v>
      </c>
      <c r="E299" s="40" t="s">
        <v>96</v>
      </c>
      <c r="F299" s="40"/>
      <c r="G299" s="40" t="s">
        <v>29</v>
      </c>
      <c r="H299" s="44">
        <v>1000</v>
      </c>
      <c r="I299" s="41">
        <v>200</v>
      </c>
      <c r="J299" s="40" t="s">
        <v>30</v>
      </c>
      <c r="K299" s="40" t="s">
        <v>31</v>
      </c>
    </row>
    <row r="300" spans="1:13" ht="15.75" customHeight="1">
      <c r="A300" s="42">
        <v>26</v>
      </c>
      <c r="B300" s="40" t="s">
        <v>2795</v>
      </c>
      <c r="C300" s="40" t="s">
        <v>25</v>
      </c>
      <c r="D300" s="40" t="s">
        <v>548</v>
      </c>
      <c r="E300" s="40" t="s">
        <v>42</v>
      </c>
      <c r="F300" s="40"/>
      <c r="G300" s="40" t="s">
        <v>29</v>
      </c>
      <c r="H300" s="44">
        <v>1000</v>
      </c>
      <c r="I300" s="41">
        <v>200</v>
      </c>
      <c r="J300" s="40" t="s">
        <v>30</v>
      </c>
      <c r="K300" s="40" t="s">
        <v>31</v>
      </c>
    </row>
    <row r="301" spans="1:13" ht="15.75" customHeight="1">
      <c r="A301" s="42">
        <v>26</v>
      </c>
      <c r="B301" s="40" t="s">
        <v>2796</v>
      </c>
      <c r="C301" s="40" t="s">
        <v>25</v>
      </c>
      <c r="D301" s="40" t="s">
        <v>950</v>
      </c>
      <c r="E301" s="40" t="s">
        <v>96</v>
      </c>
      <c r="F301" s="43" t="s">
        <v>2797</v>
      </c>
      <c r="G301" s="40" t="s">
        <v>29</v>
      </c>
      <c r="H301" s="44">
        <v>1000</v>
      </c>
      <c r="I301" s="41">
        <v>200</v>
      </c>
      <c r="J301" s="40" t="s">
        <v>30</v>
      </c>
      <c r="K301" s="40" t="s">
        <v>31</v>
      </c>
    </row>
    <row r="302" spans="1:13" ht="15.75" customHeight="1">
      <c r="A302" s="42">
        <v>26</v>
      </c>
      <c r="B302" s="40" t="s">
        <v>2798</v>
      </c>
      <c r="C302" s="40" t="s">
        <v>25</v>
      </c>
      <c r="D302" s="40" t="s">
        <v>323</v>
      </c>
      <c r="E302" s="40" t="s">
        <v>42</v>
      </c>
      <c r="F302" s="40"/>
      <c r="G302" s="40" t="s">
        <v>29</v>
      </c>
      <c r="H302" s="44">
        <v>500</v>
      </c>
      <c r="I302" s="41">
        <v>100</v>
      </c>
      <c r="J302" s="40" t="s">
        <v>30</v>
      </c>
      <c r="K302" s="40" t="s">
        <v>31</v>
      </c>
    </row>
    <row r="303" spans="1:13" ht="15.75" customHeight="1">
      <c r="A303" s="42">
        <v>26</v>
      </c>
      <c r="B303" s="40" t="s">
        <v>2799</v>
      </c>
      <c r="C303" s="40" t="s">
        <v>25</v>
      </c>
      <c r="D303" s="40" t="s">
        <v>55</v>
      </c>
      <c r="E303" s="40" t="s">
        <v>96</v>
      </c>
      <c r="F303" s="43" t="s">
        <v>2800</v>
      </c>
      <c r="G303" s="40" t="s">
        <v>29</v>
      </c>
      <c r="H303" s="44">
        <v>1000</v>
      </c>
      <c r="I303" s="41">
        <v>200</v>
      </c>
      <c r="J303" s="40" t="s">
        <v>30</v>
      </c>
      <c r="K303" s="40" t="s">
        <v>31</v>
      </c>
      <c r="M303" s="157">
        <v>400</v>
      </c>
    </row>
    <row r="304" spans="1:13" ht="15.75" customHeight="1">
      <c r="A304" s="42">
        <v>26</v>
      </c>
      <c r="B304" s="40" t="s">
        <v>2801</v>
      </c>
      <c r="C304" s="40" t="s">
        <v>25</v>
      </c>
      <c r="D304" s="40" t="s">
        <v>2802</v>
      </c>
      <c r="E304" s="40" t="s">
        <v>533</v>
      </c>
      <c r="F304" s="43" t="s">
        <v>2803</v>
      </c>
      <c r="G304" s="40" t="s">
        <v>29</v>
      </c>
      <c r="H304" s="44">
        <v>12000</v>
      </c>
      <c r="I304" s="41">
        <v>2400</v>
      </c>
      <c r="J304" s="40" t="s">
        <v>30</v>
      </c>
      <c r="K304" s="40" t="s">
        <v>31</v>
      </c>
      <c r="M304" s="157">
        <v>2500</v>
      </c>
    </row>
    <row r="305" spans="1:13" ht="15.75" customHeight="1">
      <c r="A305" s="42">
        <v>26</v>
      </c>
      <c r="B305" s="40" t="s">
        <v>2804</v>
      </c>
      <c r="C305" s="40" t="s">
        <v>25</v>
      </c>
      <c r="D305" s="40" t="s">
        <v>171</v>
      </c>
      <c r="E305" s="40" t="s">
        <v>60</v>
      </c>
      <c r="F305" s="43" t="s">
        <v>2805</v>
      </c>
      <c r="G305" s="40" t="s">
        <v>29</v>
      </c>
      <c r="H305" s="44">
        <v>500</v>
      </c>
      <c r="I305" s="41">
        <v>100</v>
      </c>
      <c r="J305" s="40" t="s">
        <v>30</v>
      </c>
      <c r="K305" s="40" t="s">
        <v>31</v>
      </c>
      <c r="M305" s="157">
        <v>150</v>
      </c>
    </row>
    <row r="306" spans="1:13" ht="15.75" customHeight="1">
      <c r="A306" s="42">
        <v>26</v>
      </c>
      <c r="B306" s="40" t="s">
        <v>2806</v>
      </c>
      <c r="C306" s="40" t="s">
        <v>25</v>
      </c>
      <c r="D306" s="40" t="s">
        <v>910</v>
      </c>
      <c r="E306" s="40" t="s">
        <v>60</v>
      </c>
      <c r="F306" s="43" t="s">
        <v>2807</v>
      </c>
      <c r="G306" s="40" t="s">
        <v>29</v>
      </c>
      <c r="H306" s="44">
        <v>500</v>
      </c>
      <c r="I306" s="41">
        <v>100</v>
      </c>
      <c r="J306" s="40" t="s">
        <v>30</v>
      </c>
      <c r="K306" s="40" t="s">
        <v>31</v>
      </c>
      <c r="M306" s="157">
        <v>200</v>
      </c>
    </row>
    <row r="307" spans="1:13" ht="15.75" customHeight="1">
      <c r="A307" s="42">
        <v>26</v>
      </c>
      <c r="B307" s="40" t="s">
        <v>2808</v>
      </c>
      <c r="C307" s="40" t="s">
        <v>25</v>
      </c>
      <c r="D307" s="40" t="s">
        <v>171</v>
      </c>
      <c r="E307" s="40" t="s">
        <v>60</v>
      </c>
      <c r="F307" s="40"/>
      <c r="G307" s="40" t="s">
        <v>29</v>
      </c>
      <c r="H307" s="44">
        <v>1000</v>
      </c>
      <c r="I307" s="41">
        <v>200</v>
      </c>
      <c r="J307" s="40" t="s">
        <v>30</v>
      </c>
      <c r="K307" s="40" t="s">
        <v>31</v>
      </c>
      <c r="M307" s="157">
        <v>300</v>
      </c>
    </row>
    <row r="308" spans="1:13" ht="15.75" customHeight="1">
      <c r="A308" s="42">
        <v>26</v>
      </c>
      <c r="B308" s="40" t="s">
        <v>2809</v>
      </c>
      <c r="C308" s="40" t="s">
        <v>25</v>
      </c>
      <c r="D308" s="40" t="s">
        <v>907</v>
      </c>
      <c r="E308" s="40" t="s">
        <v>130</v>
      </c>
      <c r="F308" s="43" t="s">
        <v>2810</v>
      </c>
      <c r="G308" s="40" t="s">
        <v>29</v>
      </c>
      <c r="H308" s="44">
        <v>1000</v>
      </c>
      <c r="I308" s="41">
        <v>200</v>
      </c>
      <c r="J308" s="40" t="s">
        <v>30</v>
      </c>
      <c r="K308" s="40" t="s">
        <v>31</v>
      </c>
    </row>
    <row r="309" spans="1:13" ht="15.75" customHeight="1">
      <c r="A309" s="42">
        <v>26</v>
      </c>
      <c r="B309" s="40" t="s">
        <v>2811</v>
      </c>
      <c r="C309" s="40" t="s">
        <v>25</v>
      </c>
      <c r="D309" s="40" t="s">
        <v>185</v>
      </c>
      <c r="E309" s="40" t="s">
        <v>42</v>
      </c>
      <c r="F309" s="43" t="s">
        <v>2812</v>
      </c>
      <c r="G309" s="40" t="s">
        <v>29</v>
      </c>
      <c r="H309" s="44">
        <v>600</v>
      </c>
      <c r="I309" s="41">
        <v>120</v>
      </c>
      <c r="J309" s="40" t="s">
        <v>30</v>
      </c>
      <c r="K309" s="40" t="s">
        <v>31</v>
      </c>
    </row>
    <row r="310" spans="1:13" ht="15.75" customHeight="1">
      <c r="A310" s="42">
        <v>26</v>
      </c>
      <c r="B310" s="40" t="s">
        <v>2813</v>
      </c>
      <c r="C310" s="40" t="s">
        <v>25</v>
      </c>
      <c r="D310" s="40" t="s">
        <v>332</v>
      </c>
      <c r="E310" s="40" t="s">
        <v>46</v>
      </c>
      <c r="F310" s="43" t="s">
        <v>2814</v>
      </c>
      <c r="G310" s="40" t="s">
        <v>29</v>
      </c>
      <c r="H310" s="44">
        <v>150</v>
      </c>
      <c r="I310" s="41">
        <v>30</v>
      </c>
      <c r="J310" s="40" t="s">
        <v>30</v>
      </c>
      <c r="K310" s="40" t="s">
        <v>31</v>
      </c>
      <c r="M310" s="157">
        <v>32</v>
      </c>
    </row>
    <row r="311" spans="1:13" ht="15.75" customHeight="1">
      <c r="A311" s="42">
        <v>26</v>
      </c>
      <c r="B311" s="40" t="s">
        <v>2815</v>
      </c>
      <c r="C311" s="40" t="s">
        <v>25</v>
      </c>
      <c r="D311" s="40" t="s">
        <v>63</v>
      </c>
      <c r="E311" s="40" t="s">
        <v>42</v>
      </c>
      <c r="F311" s="43" t="s">
        <v>2816</v>
      </c>
      <c r="G311" s="251" t="s">
        <v>29</v>
      </c>
      <c r="H311" s="252">
        <v>3000</v>
      </c>
      <c r="I311" s="253" t="s">
        <v>101</v>
      </c>
      <c r="J311" s="40" t="s">
        <v>30</v>
      </c>
      <c r="K311" s="40" t="s">
        <v>31</v>
      </c>
      <c r="M311" s="157">
        <v>600</v>
      </c>
    </row>
    <row r="312" spans="1:13" ht="15.75" customHeight="1">
      <c r="A312" s="42">
        <v>27</v>
      </c>
      <c r="B312" s="40" t="s">
        <v>2817</v>
      </c>
      <c r="C312" s="40" t="s">
        <v>59</v>
      </c>
      <c r="D312" s="40" t="s">
        <v>77</v>
      </c>
      <c r="E312" s="40" t="s">
        <v>96</v>
      </c>
      <c r="F312" s="43" t="s">
        <v>2818</v>
      </c>
      <c r="G312" s="251" t="s">
        <v>29</v>
      </c>
      <c r="H312" s="252">
        <v>500</v>
      </c>
      <c r="I312" s="253" t="s">
        <v>101</v>
      </c>
      <c r="J312" s="40" t="s">
        <v>30</v>
      </c>
      <c r="K312" s="40" t="s">
        <v>31</v>
      </c>
      <c r="M312" s="157">
        <v>200</v>
      </c>
    </row>
    <row r="313" spans="1:13" ht="15.75" customHeight="1">
      <c r="A313" s="42">
        <v>27</v>
      </c>
      <c r="B313" s="40" t="s">
        <v>2817</v>
      </c>
      <c r="C313" s="40" t="s">
        <v>59</v>
      </c>
      <c r="D313" s="40" t="s">
        <v>77</v>
      </c>
      <c r="E313" s="40" t="s">
        <v>96</v>
      </c>
      <c r="F313" s="40"/>
      <c r="G313" s="40" t="s">
        <v>29</v>
      </c>
      <c r="H313" s="44">
        <v>500</v>
      </c>
      <c r="I313" s="41">
        <v>100</v>
      </c>
      <c r="J313" s="40" t="s">
        <v>30</v>
      </c>
      <c r="K313" s="40" t="s">
        <v>31</v>
      </c>
    </row>
    <row r="314" spans="1:13" ht="15.75" customHeight="1">
      <c r="A314" s="42">
        <v>27</v>
      </c>
      <c r="B314" s="40" t="s">
        <v>2819</v>
      </c>
      <c r="C314" s="40" t="s">
        <v>59</v>
      </c>
      <c r="D314" s="40" t="s">
        <v>2820</v>
      </c>
      <c r="E314" s="40" t="s">
        <v>1197</v>
      </c>
      <c r="F314" s="43" t="s">
        <v>2821</v>
      </c>
      <c r="G314" s="40" t="s">
        <v>29</v>
      </c>
      <c r="H314" s="44">
        <v>1000</v>
      </c>
      <c r="I314" s="41">
        <v>200</v>
      </c>
      <c r="J314" s="40" t="s">
        <v>30</v>
      </c>
      <c r="K314" s="40" t="s">
        <v>31</v>
      </c>
    </row>
    <row r="315" spans="1:13" ht="15.75" customHeight="1">
      <c r="A315" s="42">
        <v>27</v>
      </c>
      <c r="B315" s="40" t="s">
        <v>2822</v>
      </c>
      <c r="C315" s="40" t="s">
        <v>25</v>
      </c>
      <c r="D315" s="40" t="s">
        <v>2823</v>
      </c>
      <c r="E315" s="40" t="s">
        <v>284</v>
      </c>
      <c r="F315" s="43" t="s">
        <v>2824</v>
      </c>
      <c r="G315" s="40" t="s">
        <v>29</v>
      </c>
      <c r="H315" s="44">
        <v>300</v>
      </c>
      <c r="I315" s="41">
        <v>60</v>
      </c>
      <c r="J315" s="40" t="s">
        <v>30</v>
      </c>
      <c r="K315" s="40" t="s">
        <v>31</v>
      </c>
      <c r="M315" s="157">
        <v>100</v>
      </c>
    </row>
    <row r="316" spans="1:13" ht="15.75" customHeight="1">
      <c r="A316" s="42">
        <v>27</v>
      </c>
      <c r="B316" s="40" t="s">
        <v>2825</v>
      </c>
      <c r="C316" s="40" t="s">
        <v>25</v>
      </c>
      <c r="D316" s="40" t="s">
        <v>2826</v>
      </c>
      <c r="E316" s="40" t="s">
        <v>103</v>
      </c>
      <c r="F316" s="43" t="s">
        <v>2827</v>
      </c>
      <c r="G316" s="40" t="s">
        <v>29</v>
      </c>
      <c r="H316" s="44">
        <v>300</v>
      </c>
      <c r="I316" s="41">
        <v>60</v>
      </c>
      <c r="J316" s="40" t="s">
        <v>30</v>
      </c>
      <c r="K316" s="40" t="s">
        <v>31</v>
      </c>
      <c r="M316" s="157">
        <v>100</v>
      </c>
    </row>
    <row r="317" spans="1:13" ht="15.75" customHeight="1">
      <c r="A317" s="42">
        <v>27</v>
      </c>
      <c r="B317" s="40" t="s">
        <v>2828</v>
      </c>
      <c r="C317" s="40" t="s">
        <v>59</v>
      </c>
      <c r="D317" s="40" t="s">
        <v>63</v>
      </c>
      <c r="E317" s="40" t="s">
        <v>318</v>
      </c>
      <c r="F317" s="40"/>
      <c r="G317" s="40" t="s">
        <v>29</v>
      </c>
      <c r="H317" s="44">
        <v>1000</v>
      </c>
      <c r="I317" s="41">
        <v>200</v>
      </c>
      <c r="J317" s="40" t="s">
        <v>30</v>
      </c>
      <c r="K317" s="40" t="s">
        <v>31</v>
      </c>
      <c r="M317" s="157">
        <v>400</v>
      </c>
    </row>
    <row r="318" spans="1:13" ht="15.75" customHeight="1">
      <c r="A318" s="42">
        <v>27</v>
      </c>
      <c r="B318" s="40" t="s">
        <v>2829</v>
      </c>
      <c r="C318" s="40" t="s">
        <v>25</v>
      </c>
      <c r="D318" s="40" t="s">
        <v>593</v>
      </c>
      <c r="E318" s="40" t="s">
        <v>50</v>
      </c>
      <c r="F318" s="43" t="s">
        <v>2830</v>
      </c>
      <c r="G318" s="40" t="s">
        <v>29</v>
      </c>
      <c r="H318" s="44">
        <v>1000</v>
      </c>
      <c r="I318" s="41">
        <v>200</v>
      </c>
      <c r="J318" s="40" t="s">
        <v>30</v>
      </c>
      <c r="K318" s="40" t="s">
        <v>31</v>
      </c>
      <c r="M318" s="157">
        <v>300</v>
      </c>
    </row>
    <row r="319" spans="1:13" ht="15.75" customHeight="1">
      <c r="A319" s="42">
        <v>27</v>
      </c>
      <c r="B319" s="40" t="s">
        <v>1891</v>
      </c>
      <c r="C319" s="40" t="s">
        <v>25</v>
      </c>
      <c r="D319" s="40" t="s">
        <v>274</v>
      </c>
      <c r="E319" s="40" t="s">
        <v>130</v>
      </c>
      <c r="F319" s="43" t="s">
        <v>1892</v>
      </c>
      <c r="G319" s="40" t="s">
        <v>29</v>
      </c>
      <c r="H319" s="44">
        <v>13500</v>
      </c>
      <c r="I319" s="41">
        <v>2700</v>
      </c>
      <c r="J319" s="40" t="s">
        <v>30</v>
      </c>
      <c r="K319" s="40" t="s">
        <v>31</v>
      </c>
      <c r="M319" s="157">
        <v>3500</v>
      </c>
    </row>
    <row r="320" spans="1:13" ht="15.75" customHeight="1">
      <c r="A320" s="42">
        <v>27</v>
      </c>
      <c r="B320" s="40" t="s">
        <v>2831</v>
      </c>
      <c r="C320" s="40" t="s">
        <v>25</v>
      </c>
      <c r="D320" s="40" t="s">
        <v>1839</v>
      </c>
      <c r="E320" s="40" t="s">
        <v>38</v>
      </c>
      <c r="F320" s="43" t="s">
        <v>2832</v>
      </c>
      <c r="G320" s="40" t="s">
        <v>29</v>
      </c>
      <c r="H320" s="44">
        <v>2000</v>
      </c>
      <c r="I320" s="41">
        <v>400</v>
      </c>
      <c r="J320" s="40" t="s">
        <v>30</v>
      </c>
      <c r="K320" s="40" t="s">
        <v>31</v>
      </c>
      <c r="M320" s="157">
        <v>400</v>
      </c>
    </row>
    <row r="321" spans="1:15" ht="15.75" customHeight="1">
      <c r="A321" s="42">
        <v>27</v>
      </c>
      <c r="B321" s="40" t="s">
        <v>2833</v>
      </c>
      <c r="C321" s="40" t="s">
        <v>25</v>
      </c>
      <c r="D321" s="40" t="s">
        <v>2627</v>
      </c>
      <c r="E321" s="40" t="s">
        <v>103</v>
      </c>
      <c r="F321" s="43" t="s">
        <v>2834</v>
      </c>
      <c r="G321" s="40" t="s">
        <v>29</v>
      </c>
      <c r="H321" s="44">
        <v>500</v>
      </c>
      <c r="I321" s="41">
        <v>100</v>
      </c>
      <c r="J321" s="40" t="s">
        <v>30</v>
      </c>
      <c r="K321" s="40" t="s">
        <v>31</v>
      </c>
    </row>
    <row r="322" spans="1:15" ht="15.75" customHeight="1">
      <c r="A322" s="42">
        <v>27</v>
      </c>
      <c r="B322" s="40" t="s">
        <v>2835</v>
      </c>
      <c r="C322" s="40" t="s">
        <v>25</v>
      </c>
      <c r="D322" s="40" t="s">
        <v>103</v>
      </c>
      <c r="E322" s="40" t="s">
        <v>249</v>
      </c>
      <c r="F322" s="40"/>
      <c r="G322" s="40" t="s">
        <v>29</v>
      </c>
      <c r="H322" s="44">
        <v>2000</v>
      </c>
      <c r="I322" s="41">
        <v>400</v>
      </c>
      <c r="J322" s="40" t="s">
        <v>30</v>
      </c>
      <c r="K322" s="40" t="s">
        <v>31</v>
      </c>
    </row>
    <row r="323" spans="1:15" ht="15.75" customHeight="1">
      <c r="A323" s="42">
        <v>27</v>
      </c>
      <c r="B323" s="40" t="s">
        <v>2835</v>
      </c>
      <c r="C323" s="40" t="s">
        <v>25</v>
      </c>
      <c r="D323" s="40" t="s">
        <v>103</v>
      </c>
      <c r="E323" s="40" t="s">
        <v>249</v>
      </c>
      <c r="F323" s="40"/>
      <c r="G323" s="425" t="s">
        <v>1972</v>
      </c>
      <c r="H323" s="290">
        <v>80</v>
      </c>
      <c r="I323" s="41" t="s">
        <v>101</v>
      </c>
      <c r="J323" s="40" t="s">
        <v>30</v>
      </c>
      <c r="K323" s="40" t="s">
        <v>31</v>
      </c>
    </row>
    <row r="324" spans="1:15" ht="15.75" customHeight="1">
      <c r="A324" s="42">
        <v>27</v>
      </c>
      <c r="B324" s="40" t="s">
        <v>2836</v>
      </c>
      <c r="C324" s="40" t="s">
        <v>25</v>
      </c>
      <c r="D324" s="40" t="s">
        <v>2627</v>
      </c>
      <c r="E324" s="40" t="s">
        <v>103</v>
      </c>
      <c r="F324" s="43" t="s">
        <v>2837</v>
      </c>
      <c r="G324" s="40" t="s">
        <v>29</v>
      </c>
      <c r="H324" s="44">
        <v>300</v>
      </c>
      <c r="I324" s="41">
        <v>60</v>
      </c>
      <c r="J324" s="40" t="s">
        <v>30</v>
      </c>
      <c r="K324" s="40" t="s">
        <v>31</v>
      </c>
    </row>
    <row r="325" spans="1:15" ht="15.75" customHeight="1">
      <c r="A325" s="42">
        <v>27</v>
      </c>
      <c r="B325" s="40" t="s">
        <v>2838</v>
      </c>
      <c r="C325" s="40" t="s">
        <v>25</v>
      </c>
      <c r="D325" s="40" t="s">
        <v>2839</v>
      </c>
      <c r="E325" s="40" t="s">
        <v>389</v>
      </c>
      <c r="F325" s="43" t="s">
        <v>2840</v>
      </c>
      <c r="G325" s="40" t="s">
        <v>29</v>
      </c>
      <c r="H325" s="44">
        <v>100</v>
      </c>
      <c r="I325" s="41">
        <v>20</v>
      </c>
      <c r="J325" s="40" t="s">
        <v>30</v>
      </c>
      <c r="K325" s="40" t="s">
        <v>31</v>
      </c>
    </row>
    <row r="326" spans="1:15" ht="15.75" customHeight="1">
      <c r="A326" s="42">
        <v>27</v>
      </c>
      <c r="B326" s="40" t="s">
        <v>2838</v>
      </c>
      <c r="C326" s="40" t="s">
        <v>25</v>
      </c>
      <c r="D326" s="40" t="s">
        <v>2839</v>
      </c>
      <c r="E326" s="40" t="s">
        <v>389</v>
      </c>
      <c r="F326" s="40"/>
      <c r="G326" s="285" t="s">
        <v>72</v>
      </c>
      <c r="H326" s="287">
        <v>50</v>
      </c>
      <c r="I326" s="41">
        <v>50</v>
      </c>
      <c r="J326" s="40" t="s">
        <v>30</v>
      </c>
      <c r="K326" s="40" t="s">
        <v>31</v>
      </c>
    </row>
    <row r="327" spans="1:15" ht="15.75" customHeight="1">
      <c r="A327" s="42">
        <v>27</v>
      </c>
      <c r="B327" s="40" t="s">
        <v>2841</v>
      </c>
      <c r="C327" s="40" t="s">
        <v>25</v>
      </c>
      <c r="D327" s="40" t="s">
        <v>63</v>
      </c>
      <c r="E327" s="40" t="s">
        <v>60</v>
      </c>
      <c r="F327" s="43" t="s">
        <v>2842</v>
      </c>
      <c r="G327" s="285" t="s">
        <v>72</v>
      </c>
      <c r="H327" s="287">
        <v>500</v>
      </c>
      <c r="I327" s="41">
        <v>500</v>
      </c>
      <c r="J327" s="40" t="s">
        <v>30</v>
      </c>
      <c r="K327" s="40" t="s">
        <v>31</v>
      </c>
    </row>
    <row r="328" spans="1:15" ht="15.75" customHeight="1">
      <c r="A328" s="42">
        <v>27</v>
      </c>
      <c r="B328" s="40" t="s">
        <v>2843</v>
      </c>
      <c r="C328" s="40" t="s">
        <v>25</v>
      </c>
      <c r="D328" s="40" t="s">
        <v>2844</v>
      </c>
      <c r="E328" s="40" t="s">
        <v>27</v>
      </c>
      <c r="F328" s="40"/>
      <c r="G328" s="285" t="s">
        <v>72</v>
      </c>
      <c r="H328" s="287">
        <v>600</v>
      </c>
      <c r="I328" s="41">
        <v>600</v>
      </c>
      <c r="J328" s="40" t="s">
        <v>30</v>
      </c>
      <c r="K328" s="40" t="s">
        <v>31</v>
      </c>
    </row>
    <row r="329" spans="1:15" ht="15.75" customHeight="1">
      <c r="A329" s="42">
        <v>27</v>
      </c>
      <c r="B329" s="40" t="s">
        <v>2407</v>
      </c>
      <c r="C329" s="40" t="s">
        <v>25</v>
      </c>
      <c r="D329" s="40" t="s">
        <v>2129</v>
      </c>
      <c r="E329" s="40" t="s">
        <v>103</v>
      </c>
      <c r="F329" s="43" t="s">
        <v>2408</v>
      </c>
      <c r="G329" s="40" t="s">
        <v>29</v>
      </c>
      <c r="H329" s="44">
        <v>500</v>
      </c>
      <c r="I329" s="41">
        <v>100</v>
      </c>
      <c r="J329" s="40" t="s">
        <v>30</v>
      </c>
      <c r="K329" s="40" t="s">
        <v>31</v>
      </c>
      <c r="M329" s="157">
        <v>70</v>
      </c>
    </row>
    <row r="330" spans="1:15" ht="15.75" customHeight="1">
      <c r="A330" s="42">
        <v>27</v>
      </c>
      <c r="B330" s="40" t="s">
        <v>2845</v>
      </c>
      <c r="C330" s="40" t="s">
        <v>25</v>
      </c>
      <c r="D330" s="40" t="s">
        <v>2846</v>
      </c>
      <c r="E330" s="40" t="s">
        <v>1308</v>
      </c>
      <c r="F330" s="43" t="s">
        <v>2847</v>
      </c>
      <c r="G330" s="40" t="s">
        <v>29</v>
      </c>
      <c r="H330" s="44">
        <v>500</v>
      </c>
      <c r="I330" s="41">
        <v>100</v>
      </c>
      <c r="J330" s="40" t="s">
        <v>30</v>
      </c>
      <c r="K330" s="40" t="s">
        <v>31</v>
      </c>
    </row>
    <row r="331" spans="1:15" ht="15.75" customHeight="1">
      <c r="A331" s="42">
        <v>27</v>
      </c>
      <c r="B331" s="40" t="s">
        <v>2848</v>
      </c>
      <c r="C331" s="40" t="s">
        <v>25</v>
      </c>
      <c r="D331" s="40" t="s">
        <v>1377</v>
      </c>
      <c r="E331" s="40" t="s">
        <v>50</v>
      </c>
      <c r="F331" s="43" t="s">
        <v>2849</v>
      </c>
      <c r="G331" s="40" t="s">
        <v>29</v>
      </c>
      <c r="H331" s="44">
        <v>500</v>
      </c>
      <c r="I331" s="41">
        <v>100</v>
      </c>
      <c r="J331" s="40" t="s">
        <v>30</v>
      </c>
      <c r="K331" s="40" t="s">
        <v>31</v>
      </c>
    </row>
    <row r="332" spans="1:15" ht="15.75" customHeight="1">
      <c r="A332" s="42">
        <v>27</v>
      </c>
      <c r="B332" s="40" t="s">
        <v>2719</v>
      </c>
      <c r="C332" s="40" t="s">
        <v>25</v>
      </c>
      <c r="D332" s="40" t="s">
        <v>1377</v>
      </c>
      <c r="E332" s="40" t="s">
        <v>50</v>
      </c>
      <c r="F332" s="43" t="s">
        <v>2850</v>
      </c>
      <c r="G332" s="40" t="s">
        <v>29</v>
      </c>
      <c r="H332" s="44">
        <v>500</v>
      </c>
      <c r="I332" s="41">
        <v>100</v>
      </c>
      <c r="J332" s="40" t="s">
        <v>30</v>
      </c>
      <c r="K332" s="40" t="s">
        <v>31</v>
      </c>
      <c r="M332" s="157">
        <v>100</v>
      </c>
      <c r="O332" s="45"/>
    </row>
    <row r="333" spans="1:15" ht="15.75" customHeight="1">
      <c r="A333" s="42">
        <v>27</v>
      </c>
      <c r="B333" s="40" t="s">
        <v>2851</v>
      </c>
      <c r="C333" s="40" t="s">
        <v>25</v>
      </c>
      <c r="D333" s="40" t="s">
        <v>1511</v>
      </c>
      <c r="E333" s="40" t="s">
        <v>111</v>
      </c>
      <c r="F333" s="43" t="s">
        <v>2852</v>
      </c>
      <c r="G333" s="40" t="s">
        <v>29</v>
      </c>
      <c r="H333" s="44">
        <v>10000</v>
      </c>
      <c r="I333" s="41">
        <v>2000</v>
      </c>
      <c r="J333" s="40" t="s">
        <v>30</v>
      </c>
      <c r="K333" s="40" t="s">
        <v>31</v>
      </c>
    </row>
    <row r="334" spans="1:15" ht="15.75" customHeight="1">
      <c r="A334" s="47">
        <v>27</v>
      </c>
      <c r="B334" s="48" t="s">
        <v>2853</v>
      </c>
      <c r="C334" s="48" t="s">
        <v>25</v>
      </c>
      <c r="D334" s="48" t="s">
        <v>258</v>
      </c>
      <c r="E334" s="48" t="s">
        <v>96</v>
      </c>
      <c r="F334" s="49" t="s">
        <v>2854</v>
      </c>
      <c r="G334" s="48" t="s">
        <v>29</v>
      </c>
      <c r="H334" s="50">
        <v>8000</v>
      </c>
      <c r="I334" s="51">
        <v>1600</v>
      </c>
      <c r="J334" s="48" t="s">
        <v>30</v>
      </c>
      <c r="K334" s="48" t="s">
        <v>31</v>
      </c>
    </row>
    <row r="335" spans="1:15" ht="15.75" customHeight="1">
      <c r="A335" s="52">
        <v>28</v>
      </c>
      <c r="B335" s="53" t="s">
        <v>2855</v>
      </c>
      <c r="C335" s="53" t="s">
        <v>25</v>
      </c>
      <c r="D335" s="53" t="s">
        <v>548</v>
      </c>
      <c r="E335" s="53" t="s">
        <v>42</v>
      </c>
      <c r="F335" s="53"/>
      <c r="G335" s="53" t="s">
        <v>29</v>
      </c>
      <c r="H335" s="54">
        <v>3000</v>
      </c>
      <c r="I335" s="55">
        <v>600</v>
      </c>
      <c r="J335" s="53" t="s">
        <v>30</v>
      </c>
      <c r="K335" s="53" t="s">
        <v>31</v>
      </c>
    </row>
    <row r="336" spans="1:15" ht="15.75" customHeight="1">
      <c r="A336" s="42">
        <v>28</v>
      </c>
      <c r="B336" s="40" t="s">
        <v>2856</v>
      </c>
      <c r="C336" s="40" t="s">
        <v>25</v>
      </c>
      <c r="D336" s="40" t="s">
        <v>103</v>
      </c>
      <c r="E336" s="40" t="s">
        <v>219</v>
      </c>
      <c r="F336" s="43" t="s">
        <v>2857</v>
      </c>
      <c r="G336" s="40" t="s">
        <v>29</v>
      </c>
      <c r="H336" s="287">
        <v>500</v>
      </c>
      <c r="I336" s="41" t="s">
        <v>101</v>
      </c>
      <c r="J336" s="40" t="s">
        <v>30</v>
      </c>
      <c r="K336" s="40" t="s">
        <v>31</v>
      </c>
    </row>
    <row r="337" spans="1:15" ht="15.75" customHeight="1">
      <c r="A337" s="42">
        <v>28</v>
      </c>
      <c r="B337" s="40" t="s">
        <v>2856</v>
      </c>
      <c r="C337" s="40" t="s">
        <v>25</v>
      </c>
      <c r="D337" s="40" t="s">
        <v>103</v>
      </c>
      <c r="E337" s="40" t="s">
        <v>219</v>
      </c>
      <c r="F337" s="40"/>
      <c r="G337" s="40" t="s">
        <v>29</v>
      </c>
      <c r="H337" s="44">
        <v>500</v>
      </c>
      <c r="I337" s="41">
        <v>100</v>
      </c>
      <c r="J337" s="40" t="s">
        <v>30</v>
      </c>
      <c r="K337" s="40" t="s">
        <v>31</v>
      </c>
    </row>
    <row r="338" spans="1:15" ht="15.75" customHeight="1">
      <c r="A338" s="42">
        <v>28</v>
      </c>
      <c r="B338" s="40" t="s">
        <v>2858</v>
      </c>
      <c r="C338" s="40" t="s">
        <v>25</v>
      </c>
      <c r="D338" s="40" t="s">
        <v>735</v>
      </c>
      <c r="E338" s="40" t="s">
        <v>50</v>
      </c>
      <c r="F338" s="40"/>
      <c r="G338" s="40" t="s">
        <v>29</v>
      </c>
      <c r="H338" s="44">
        <v>500</v>
      </c>
      <c r="I338" s="41">
        <v>100</v>
      </c>
      <c r="J338" s="40" t="s">
        <v>30</v>
      </c>
      <c r="K338" s="40" t="s">
        <v>31</v>
      </c>
      <c r="M338" s="157">
        <v>150</v>
      </c>
    </row>
    <row r="339" spans="1:15" ht="15.75" customHeight="1">
      <c r="A339" s="42">
        <v>28</v>
      </c>
      <c r="B339" s="40" t="s">
        <v>2859</v>
      </c>
      <c r="C339" s="40" t="s">
        <v>25</v>
      </c>
      <c r="D339" s="40" t="s">
        <v>706</v>
      </c>
      <c r="E339" s="40" t="s">
        <v>141</v>
      </c>
      <c r="F339" s="43" t="s">
        <v>2860</v>
      </c>
      <c r="G339" s="40" t="s">
        <v>29</v>
      </c>
      <c r="H339" s="287">
        <v>2000</v>
      </c>
      <c r="I339" s="41" t="s">
        <v>101</v>
      </c>
      <c r="J339" s="40" t="s">
        <v>30</v>
      </c>
      <c r="K339" s="40" t="s">
        <v>31</v>
      </c>
      <c r="O339" s="157">
        <v>32000</v>
      </c>
    </row>
    <row r="340" spans="1:15" ht="15.75" customHeight="1">
      <c r="A340" s="42">
        <v>28</v>
      </c>
      <c r="B340" s="40" t="s">
        <v>2859</v>
      </c>
      <c r="C340" s="40" t="s">
        <v>25</v>
      </c>
      <c r="D340" s="40" t="s">
        <v>706</v>
      </c>
      <c r="E340" s="40" t="s">
        <v>141</v>
      </c>
      <c r="F340" s="40"/>
      <c r="G340" s="40" t="s">
        <v>29</v>
      </c>
      <c r="H340" s="44">
        <v>5000</v>
      </c>
      <c r="I340" s="41">
        <v>1000</v>
      </c>
      <c r="J340" s="40" t="s">
        <v>30</v>
      </c>
      <c r="K340" s="40" t="s">
        <v>31</v>
      </c>
      <c r="O340" s="45">
        <f>SUM(H335,H337:H338,H340:H343)</f>
        <v>11400</v>
      </c>
    </row>
    <row r="341" spans="1:15" ht="15.75" customHeight="1">
      <c r="A341" s="42">
        <v>28</v>
      </c>
      <c r="B341" s="40" t="s">
        <v>2861</v>
      </c>
      <c r="C341" s="40" t="s">
        <v>25</v>
      </c>
      <c r="D341" s="40" t="s">
        <v>1082</v>
      </c>
      <c r="E341" s="40" t="s">
        <v>96</v>
      </c>
      <c r="F341" s="43" t="s">
        <v>2862</v>
      </c>
      <c r="G341" s="40" t="s">
        <v>29</v>
      </c>
      <c r="H341" s="44">
        <v>1300</v>
      </c>
      <c r="I341" s="41">
        <v>260</v>
      </c>
      <c r="J341" s="40" t="s">
        <v>30</v>
      </c>
      <c r="K341" s="40" t="s">
        <v>31</v>
      </c>
      <c r="O341" s="45">
        <f>SUM(O339:O340)</f>
        <v>43400</v>
      </c>
    </row>
    <row r="342" spans="1:15" ht="15.75" customHeight="1">
      <c r="A342" s="42">
        <v>28</v>
      </c>
      <c r="B342" s="40" t="s">
        <v>2863</v>
      </c>
      <c r="C342" s="40" t="s">
        <v>59</v>
      </c>
      <c r="D342" s="40" t="s">
        <v>655</v>
      </c>
      <c r="E342" s="40" t="s">
        <v>42</v>
      </c>
      <c r="F342" s="43" t="s">
        <v>2864</v>
      </c>
      <c r="G342" s="40" t="s">
        <v>29</v>
      </c>
      <c r="H342" s="44">
        <v>600</v>
      </c>
      <c r="I342" s="41">
        <v>120</v>
      </c>
      <c r="J342" s="40" t="s">
        <v>30</v>
      </c>
      <c r="K342" s="40" t="s">
        <v>31</v>
      </c>
      <c r="O342" s="45"/>
    </row>
    <row r="343" spans="1:15" ht="15.75" customHeight="1">
      <c r="A343" s="42">
        <v>28</v>
      </c>
      <c r="B343" s="40" t="s">
        <v>2865</v>
      </c>
      <c r="C343" s="40" t="s">
        <v>25</v>
      </c>
      <c r="D343" s="40" t="s">
        <v>2100</v>
      </c>
      <c r="E343" s="40" t="s">
        <v>46</v>
      </c>
      <c r="F343" s="43" t="s">
        <v>2866</v>
      </c>
      <c r="G343" s="40" t="s">
        <v>29</v>
      </c>
      <c r="H343" s="44">
        <v>500</v>
      </c>
      <c r="I343" s="41">
        <v>100</v>
      </c>
      <c r="J343" s="40" t="s">
        <v>30</v>
      </c>
      <c r="K343" s="40" t="s">
        <v>31</v>
      </c>
    </row>
    <row r="344" spans="1:15" ht="15.75" customHeight="1">
      <c r="A344" s="42">
        <v>28</v>
      </c>
      <c r="B344" s="40" t="s">
        <v>2867</v>
      </c>
      <c r="C344" s="40" t="s">
        <v>59</v>
      </c>
      <c r="D344" s="40" t="s">
        <v>1082</v>
      </c>
      <c r="E344" s="40" t="s">
        <v>96</v>
      </c>
      <c r="F344" s="43" t="s">
        <v>2868</v>
      </c>
      <c r="G344" s="40" t="s">
        <v>29</v>
      </c>
      <c r="H344" s="287">
        <v>500</v>
      </c>
      <c r="I344" s="41" t="s">
        <v>101</v>
      </c>
      <c r="J344" s="40" t="s">
        <v>30</v>
      </c>
      <c r="K344" s="40" t="s">
        <v>31</v>
      </c>
      <c r="M344" s="157">
        <v>300</v>
      </c>
    </row>
    <row r="345" spans="1:15" ht="15.75" customHeight="1">
      <c r="A345" s="42"/>
      <c r="B345" s="40"/>
      <c r="C345" s="40"/>
      <c r="D345" s="40"/>
      <c r="E345" s="40"/>
      <c r="F345" s="40"/>
      <c r="G345" s="40"/>
      <c r="H345" s="44"/>
      <c r="I345" s="41"/>
      <c r="J345" s="40"/>
      <c r="K345" s="40"/>
    </row>
    <row r="346" spans="1:15" ht="15.75" customHeight="1">
      <c r="A346" s="42"/>
      <c r="B346" s="40"/>
      <c r="C346" s="40"/>
      <c r="D346" s="40"/>
      <c r="E346" s="40"/>
      <c r="F346" s="40"/>
      <c r="G346" s="40"/>
      <c r="H346" s="44"/>
      <c r="I346" s="41"/>
      <c r="J346" s="40"/>
      <c r="K346" s="40"/>
    </row>
    <row r="347" spans="1:15" ht="15.75" customHeight="1">
      <c r="A347" s="2"/>
      <c r="B347" s="1"/>
      <c r="C347" s="1"/>
      <c r="D347" s="1"/>
      <c r="E347" s="1"/>
      <c r="F347" s="1"/>
      <c r="G347" s="1"/>
      <c r="H347" s="1"/>
      <c r="I347" s="61"/>
      <c r="J347" s="1"/>
      <c r="K347" s="1"/>
      <c r="M347" s="157">
        <f>SUM(M13:M346)</f>
        <v>100671</v>
      </c>
    </row>
    <row r="348" spans="1:15" ht="15.75" customHeight="1">
      <c r="A348" s="2"/>
      <c r="B348" s="1"/>
      <c r="C348" s="1"/>
      <c r="D348" s="1"/>
      <c r="E348" s="1"/>
      <c r="F348" s="1"/>
      <c r="G348" s="1"/>
      <c r="H348" s="1"/>
      <c r="I348" s="62" t="s">
        <v>335</v>
      </c>
      <c r="J348" s="63"/>
      <c r="K348" s="1"/>
    </row>
    <row r="349" spans="1:15" ht="16.5" customHeight="1">
      <c r="A349" s="2"/>
      <c r="B349" s="1" t="s">
        <v>336</v>
      </c>
      <c r="C349" s="1"/>
      <c r="D349" s="1"/>
      <c r="E349" s="1" t="s">
        <v>337</v>
      </c>
      <c r="F349" s="1"/>
      <c r="G349" s="1"/>
      <c r="H349" s="1"/>
      <c r="I349" s="6" t="s">
        <v>338</v>
      </c>
      <c r="J349" s="292" t="s">
        <v>2869</v>
      </c>
      <c r="K349" s="1"/>
      <c r="N349" s="45"/>
    </row>
    <row r="350" spans="1:15" ht="15.75" customHeight="1">
      <c r="A350" s="2"/>
      <c r="B350" s="1"/>
      <c r="C350" s="1"/>
      <c r="D350" s="1"/>
      <c r="E350" s="1"/>
      <c r="F350" s="1"/>
      <c r="G350" s="1"/>
      <c r="H350" s="1"/>
      <c r="I350" s="6" t="s">
        <v>340</v>
      </c>
      <c r="J350" s="292" t="s">
        <v>2870</v>
      </c>
      <c r="K350" s="65"/>
    </row>
    <row r="351" spans="1:15" ht="15.75" customHeight="1">
      <c r="A351" s="2"/>
      <c r="B351" s="1"/>
      <c r="C351" s="1"/>
      <c r="D351" s="1"/>
      <c r="E351" s="1"/>
      <c r="F351" s="1"/>
      <c r="G351" s="1"/>
      <c r="H351" s="1"/>
      <c r="I351" s="6"/>
      <c r="J351" s="292" t="s">
        <v>2871</v>
      </c>
      <c r="K351" s="353" t="s">
        <v>1972</v>
      </c>
    </row>
    <row r="352" spans="1:15" ht="15.75" customHeight="1">
      <c r="A352" s="2"/>
      <c r="B352" s="1"/>
      <c r="C352" s="1"/>
      <c r="D352" s="1"/>
      <c r="E352" s="1"/>
      <c r="F352" s="1"/>
      <c r="G352" s="1"/>
      <c r="H352" s="1"/>
      <c r="I352" s="6" t="s">
        <v>342</v>
      </c>
      <c r="J352" s="292" t="s">
        <v>2872</v>
      </c>
      <c r="K352" s="1"/>
    </row>
    <row r="353" spans="1:26" ht="15.75" customHeight="1">
      <c r="A353" s="2"/>
      <c r="B353" s="67" t="s">
        <v>343</v>
      </c>
      <c r="C353" s="1"/>
      <c r="D353" s="1"/>
      <c r="E353" s="554" t="s">
        <v>344</v>
      </c>
      <c r="F353" s="553"/>
      <c r="G353" s="553"/>
      <c r="H353" s="553"/>
      <c r="I353" s="6" t="s">
        <v>345</v>
      </c>
      <c r="J353" s="292" t="s">
        <v>2873</v>
      </c>
      <c r="K353" s="1"/>
    </row>
    <row r="354" spans="1:26" ht="15.75" customHeight="1">
      <c r="A354" s="2"/>
      <c r="B354" s="1" t="s">
        <v>347</v>
      </c>
      <c r="C354" s="1"/>
      <c r="D354" s="1"/>
      <c r="E354" s="552" t="s">
        <v>348</v>
      </c>
      <c r="F354" s="553"/>
      <c r="G354" s="553"/>
      <c r="H354" s="553"/>
      <c r="I354" s="6" t="s">
        <v>349</v>
      </c>
      <c r="J354" s="292" t="s">
        <v>2874</v>
      </c>
      <c r="K354" s="1"/>
    </row>
    <row r="355" spans="1:26" ht="15.75" customHeight="1">
      <c r="A355" s="2"/>
      <c r="B355" s="1"/>
      <c r="C355" s="1"/>
      <c r="D355" s="1"/>
      <c r="E355" s="1"/>
      <c r="F355" s="1"/>
      <c r="G355" s="1"/>
      <c r="H355" s="1"/>
      <c r="I355" s="6" t="s">
        <v>351</v>
      </c>
      <c r="J355" s="292">
        <v>0</v>
      </c>
      <c r="K355" s="1"/>
    </row>
    <row r="356" spans="1:26" ht="15.75" customHeight="1">
      <c r="A356" s="2"/>
      <c r="B356" s="1"/>
      <c r="C356" s="1"/>
      <c r="D356" s="1"/>
      <c r="E356" s="1"/>
      <c r="F356" s="1"/>
      <c r="G356" s="1"/>
      <c r="H356" s="1"/>
      <c r="I356" s="6" t="s">
        <v>353</v>
      </c>
      <c r="J356" s="293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2"/>
      <c r="B357" s="1"/>
      <c r="C357" s="1"/>
      <c r="D357" s="1"/>
      <c r="E357" s="1"/>
      <c r="F357" s="1"/>
      <c r="G357" s="1"/>
      <c r="H357" s="1"/>
      <c r="I357" s="68" t="s">
        <v>354</v>
      </c>
      <c r="J357" s="291" t="s">
        <v>2875</v>
      </c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2"/>
      <c r="B358" s="1"/>
      <c r="C358" s="1"/>
      <c r="D358" s="1"/>
      <c r="E358" s="1"/>
      <c r="F358" s="1"/>
      <c r="G358" s="1"/>
      <c r="H358" s="1"/>
      <c r="I358" s="68" t="s">
        <v>356</v>
      </c>
      <c r="J358" s="69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2"/>
      <c r="B359" s="70"/>
      <c r="C359" s="1"/>
      <c r="D359" s="1"/>
      <c r="E359" s="70"/>
      <c r="F359" s="70"/>
      <c r="G359" s="70"/>
      <c r="H359" s="1"/>
      <c r="I359" s="6"/>
      <c r="J359" s="63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2"/>
      <c r="B360" s="1"/>
      <c r="C360" s="1"/>
      <c r="D360" s="1"/>
      <c r="E360" s="1"/>
      <c r="F360" s="1"/>
      <c r="G360" s="1"/>
      <c r="H360" s="1"/>
      <c r="I360" s="61"/>
      <c r="J360" s="1"/>
      <c r="K360" s="1"/>
    </row>
    <row r="361" spans="1:26" ht="15.75" customHeight="1">
      <c r="A361" s="2"/>
      <c r="B361" s="1"/>
      <c r="C361" s="1"/>
      <c r="D361" s="1"/>
      <c r="E361" s="1"/>
      <c r="F361" s="1"/>
      <c r="G361" s="1"/>
      <c r="H361" s="1"/>
      <c r="I361" s="61"/>
      <c r="J361" s="1"/>
      <c r="K361" s="1"/>
    </row>
    <row r="362" spans="1:26" ht="15.75" customHeight="1">
      <c r="A362" s="2"/>
      <c r="B362" s="1"/>
      <c r="C362" s="1"/>
      <c r="D362" s="1"/>
      <c r="E362" s="1"/>
      <c r="F362" s="1"/>
      <c r="G362" s="1"/>
      <c r="H362" s="1"/>
      <c r="I362" s="61"/>
      <c r="J362" s="1"/>
      <c r="K362" s="1"/>
    </row>
    <row r="363" spans="1:26" ht="15.75" customHeight="1">
      <c r="A363" s="2"/>
      <c r="B363" s="1"/>
      <c r="C363" s="1"/>
      <c r="D363" s="1"/>
      <c r="E363" s="1"/>
      <c r="F363" s="1"/>
      <c r="G363" s="1"/>
      <c r="H363" s="1"/>
      <c r="I363" s="61"/>
      <c r="J363" s="1"/>
      <c r="K363" s="1"/>
    </row>
    <row r="364" spans="1:26" ht="15.75" customHeight="1">
      <c r="A364" s="2"/>
      <c r="B364" s="1"/>
      <c r="C364" s="1"/>
      <c r="D364" s="1"/>
      <c r="E364" s="1"/>
      <c r="F364" s="1"/>
      <c r="G364" s="1"/>
      <c r="H364" s="1"/>
      <c r="I364" s="61"/>
      <c r="J364" s="1"/>
      <c r="K364" s="1"/>
    </row>
    <row r="365" spans="1:26" ht="15.75" customHeight="1">
      <c r="A365" s="2"/>
      <c r="B365" s="1"/>
      <c r="C365" s="1"/>
      <c r="D365" s="1"/>
      <c r="E365" s="1"/>
      <c r="F365" s="1"/>
      <c r="G365" s="1"/>
      <c r="H365" s="1"/>
      <c r="I365" s="61"/>
      <c r="J365" s="1"/>
      <c r="K365" s="1"/>
    </row>
    <row r="366" spans="1:26" ht="15.75" customHeight="1">
      <c r="A366" s="2"/>
      <c r="B366" s="1"/>
      <c r="C366" s="1"/>
      <c r="D366" s="1"/>
      <c r="E366" s="1"/>
      <c r="F366" s="1"/>
      <c r="G366" s="1"/>
      <c r="H366" s="1"/>
      <c r="I366" s="61"/>
      <c r="J366" s="1"/>
      <c r="K366" s="1"/>
    </row>
    <row r="367" spans="1:26" ht="15.75" customHeight="1">
      <c r="A367" s="2"/>
      <c r="B367" s="1"/>
      <c r="C367" s="1"/>
      <c r="D367" s="1"/>
      <c r="E367" s="1"/>
      <c r="F367" s="1"/>
      <c r="G367" s="1"/>
      <c r="H367" s="1"/>
      <c r="I367" s="61"/>
      <c r="J367" s="1"/>
      <c r="K367" s="1"/>
    </row>
    <row r="368" spans="1:26" ht="15.75" customHeight="1">
      <c r="A368" s="2"/>
      <c r="B368" s="1"/>
      <c r="C368" s="1"/>
      <c r="D368" s="1"/>
      <c r="E368" s="1"/>
      <c r="F368" s="1"/>
      <c r="G368" s="1"/>
      <c r="H368" s="1"/>
      <c r="I368" s="61"/>
      <c r="J368" s="1"/>
      <c r="K368" s="1"/>
    </row>
    <row r="369" spans="1:11" ht="15.75" customHeight="1">
      <c r="A369" s="2"/>
      <c r="B369" s="1"/>
      <c r="C369" s="1"/>
      <c r="D369" s="1"/>
      <c r="E369" s="1"/>
      <c r="F369" s="1"/>
      <c r="G369" s="1"/>
      <c r="H369" s="1"/>
      <c r="I369" s="61"/>
      <c r="J369" s="1"/>
      <c r="K369" s="1"/>
    </row>
    <row r="370" spans="1:11" ht="15.75" customHeight="1">
      <c r="A370" s="2"/>
      <c r="B370" s="1"/>
      <c r="C370" s="1"/>
      <c r="D370" s="1"/>
      <c r="E370" s="1"/>
      <c r="F370" s="1"/>
      <c r="G370" s="1"/>
      <c r="H370" s="1"/>
      <c r="I370" s="61"/>
      <c r="J370" s="1"/>
      <c r="K370" s="1"/>
    </row>
    <row r="371" spans="1:11" ht="15.75" customHeight="1">
      <c r="A371" s="2"/>
      <c r="B371" s="1"/>
      <c r="C371" s="1"/>
      <c r="D371" s="1"/>
      <c r="E371" s="1"/>
      <c r="F371" s="1"/>
      <c r="G371" s="1"/>
      <c r="H371" s="1"/>
      <c r="I371" s="61"/>
      <c r="J371" s="1"/>
      <c r="K371" s="1"/>
    </row>
    <row r="372" spans="1:11" ht="15.75" customHeight="1">
      <c r="A372" s="2"/>
      <c r="B372" s="1"/>
      <c r="C372" s="1"/>
      <c r="D372" s="1"/>
      <c r="E372" s="1"/>
      <c r="F372" s="1"/>
      <c r="G372" s="1"/>
      <c r="H372" s="1"/>
      <c r="I372" s="61"/>
      <c r="J372" s="1"/>
      <c r="K372" s="1"/>
    </row>
    <row r="373" spans="1:11" ht="15.75" customHeight="1">
      <c r="A373" s="2"/>
      <c r="B373" s="1"/>
      <c r="C373" s="1"/>
      <c r="D373" s="1"/>
      <c r="E373" s="1"/>
      <c r="F373" s="1"/>
      <c r="G373" s="1"/>
      <c r="H373" s="1"/>
      <c r="I373" s="61"/>
      <c r="J373" s="1"/>
      <c r="K373" s="1"/>
    </row>
    <row r="374" spans="1:11" ht="15.75" customHeight="1">
      <c r="A374" s="2"/>
      <c r="B374" s="1"/>
      <c r="C374" s="1"/>
      <c r="D374" s="1"/>
      <c r="E374" s="1"/>
      <c r="F374" s="1"/>
      <c r="G374" s="1"/>
      <c r="H374" s="1"/>
      <c r="I374" s="61"/>
      <c r="J374" s="1"/>
      <c r="K374" s="1"/>
    </row>
    <row r="375" spans="1:11" ht="15.75" customHeight="1">
      <c r="A375" s="2"/>
      <c r="B375" s="1"/>
      <c r="C375" s="1"/>
      <c r="D375" s="1"/>
      <c r="E375" s="1"/>
      <c r="F375" s="1"/>
      <c r="G375" s="1"/>
      <c r="H375" s="1"/>
      <c r="I375" s="61"/>
      <c r="J375" s="1"/>
      <c r="K375" s="1"/>
    </row>
    <row r="376" spans="1:11" ht="15.75" customHeight="1">
      <c r="A376" s="2"/>
      <c r="B376" s="1"/>
      <c r="C376" s="1"/>
      <c r="D376" s="1"/>
      <c r="E376" s="1"/>
      <c r="F376" s="1"/>
      <c r="G376" s="1"/>
      <c r="H376" s="1"/>
      <c r="I376" s="61"/>
      <c r="J376" s="1"/>
      <c r="K376" s="1"/>
    </row>
    <row r="377" spans="1:11" ht="15.75" customHeight="1">
      <c r="A377" s="2"/>
      <c r="B377" s="1"/>
      <c r="C377" s="1"/>
      <c r="D377" s="1"/>
      <c r="E377" s="1"/>
      <c r="F377" s="1"/>
      <c r="G377" s="1"/>
      <c r="H377" s="1"/>
      <c r="I377" s="61"/>
      <c r="J377" s="1"/>
      <c r="K377" s="1"/>
    </row>
    <row r="378" spans="1:11" ht="15.75" customHeight="1">
      <c r="A378" s="2"/>
      <c r="B378" s="1"/>
      <c r="C378" s="1"/>
      <c r="D378" s="1"/>
      <c r="E378" s="1"/>
      <c r="F378" s="1"/>
      <c r="G378" s="1"/>
      <c r="H378" s="1"/>
      <c r="I378" s="61"/>
      <c r="J378" s="1"/>
      <c r="K378" s="1"/>
    </row>
    <row r="379" spans="1:11" ht="15.75" customHeight="1">
      <c r="A379" s="2"/>
      <c r="B379" s="1"/>
      <c r="C379" s="1"/>
      <c r="D379" s="1"/>
      <c r="E379" s="1"/>
      <c r="F379" s="1"/>
      <c r="G379" s="1"/>
      <c r="H379" s="1"/>
      <c r="I379" s="61"/>
      <c r="J379" s="1"/>
      <c r="K379" s="1"/>
    </row>
    <row r="380" spans="1:11" ht="15.75" customHeight="1">
      <c r="A380" s="2"/>
      <c r="B380" s="1"/>
      <c r="C380" s="1"/>
      <c r="D380" s="1"/>
      <c r="E380" s="1"/>
      <c r="F380" s="1"/>
      <c r="G380" s="1"/>
      <c r="H380" s="1"/>
      <c r="I380" s="61"/>
      <c r="J380" s="1"/>
      <c r="K380" s="1"/>
    </row>
    <row r="381" spans="1:11" ht="15.75" customHeight="1">
      <c r="A381" s="2"/>
      <c r="B381" s="1"/>
      <c r="C381" s="1"/>
      <c r="D381" s="1"/>
      <c r="E381" s="1"/>
      <c r="F381" s="1"/>
      <c r="G381" s="1"/>
      <c r="H381" s="1"/>
      <c r="I381" s="61"/>
      <c r="J381" s="1"/>
      <c r="K381" s="1"/>
    </row>
    <row r="382" spans="1:11" ht="15.75" customHeight="1">
      <c r="A382" s="2"/>
      <c r="B382" s="1"/>
      <c r="C382" s="1"/>
      <c r="D382" s="1"/>
      <c r="E382" s="1"/>
      <c r="F382" s="1"/>
      <c r="G382" s="1"/>
      <c r="H382" s="1"/>
      <c r="I382" s="61"/>
      <c r="J382" s="1"/>
      <c r="K382" s="1"/>
    </row>
    <row r="383" spans="1:11" ht="15.75" customHeight="1">
      <c r="A383" s="2"/>
      <c r="B383" s="1"/>
      <c r="C383" s="1"/>
      <c r="D383" s="1"/>
      <c r="E383" s="1"/>
      <c r="F383" s="1"/>
      <c r="G383" s="1"/>
      <c r="H383" s="1"/>
      <c r="I383" s="61"/>
      <c r="J383" s="1"/>
      <c r="K383" s="1"/>
    </row>
    <row r="384" spans="1:11" ht="15.75" customHeight="1">
      <c r="A384" s="2"/>
      <c r="B384" s="1"/>
      <c r="C384" s="1"/>
      <c r="D384" s="1"/>
      <c r="E384" s="1"/>
      <c r="F384" s="1"/>
      <c r="G384" s="1"/>
      <c r="H384" s="1"/>
      <c r="I384" s="61"/>
      <c r="J384" s="1"/>
      <c r="K384" s="1"/>
    </row>
    <row r="385" spans="1:11" ht="15.75" customHeight="1">
      <c r="A385" s="2"/>
      <c r="B385" s="1"/>
      <c r="C385" s="1"/>
      <c r="D385" s="1"/>
      <c r="E385" s="1"/>
      <c r="F385" s="1"/>
      <c r="G385" s="1"/>
      <c r="H385" s="1"/>
      <c r="I385" s="61"/>
      <c r="J385" s="1"/>
      <c r="K385" s="1"/>
    </row>
    <row r="386" spans="1:11" ht="15.75" customHeight="1">
      <c r="A386" s="2"/>
      <c r="B386" s="1"/>
      <c r="C386" s="1"/>
      <c r="D386" s="1"/>
      <c r="E386" s="1"/>
      <c r="F386" s="1"/>
      <c r="G386" s="1"/>
      <c r="H386" s="1"/>
      <c r="I386" s="61"/>
      <c r="J386" s="1"/>
      <c r="K386" s="1"/>
    </row>
    <row r="387" spans="1:11" ht="15.75" customHeight="1">
      <c r="A387" s="2"/>
      <c r="B387" s="1"/>
      <c r="C387" s="1"/>
      <c r="D387" s="1"/>
      <c r="E387" s="1"/>
      <c r="F387" s="1"/>
      <c r="G387" s="1"/>
      <c r="H387" s="1"/>
      <c r="I387" s="61"/>
      <c r="J387" s="1"/>
      <c r="K387" s="1"/>
    </row>
    <row r="388" spans="1:11" ht="15.75" customHeight="1">
      <c r="A388" s="2"/>
      <c r="B388" s="1"/>
      <c r="C388" s="1"/>
      <c r="D388" s="1"/>
      <c r="E388" s="1"/>
      <c r="F388" s="1"/>
      <c r="G388" s="1"/>
      <c r="H388" s="1"/>
      <c r="I388" s="61"/>
      <c r="J388" s="1"/>
      <c r="K388" s="1"/>
    </row>
    <row r="389" spans="1:11" ht="15.75" customHeight="1">
      <c r="A389" s="2"/>
      <c r="B389" s="1"/>
      <c r="C389" s="1"/>
      <c r="D389" s="1"/>
      <c r="E389" s="1"/>
      <c r="F389" s="1"/>
      <c r="G389" s="1"/>
      <c r="H389" s="1"/>
      <c r="I389" s="61"/>
      <c r="J389" s="1"/>
      <c r="K389" s="1"/>
    </row>
    <row r="390" spans="1:11" ht="15.75" customHeight="1">
      <c r="A390" s="2"/>
      <c r="B390" s="1"/>
      <c r="C390" s="1"/>
      <c r="D390" s="1"/>
      <c r="E390" s="1"/>
      <c r="F390" s="1"/>
      <c r="G390" s="1"/>
      <c r="H390" s="1"/>
      <c r="I390" s="61"/>
      <c r="J390" s="1"/>
      <c r="K390" s="1"/>
    </row>
    <row r="391" spans="1:11" ht="15.75" customHeight="1">
      <c r="A391" s="2"/>
      <c r="B391" s="1"/>
      <c r="C391" s="1"/>
      <c r="D391" s="1"/>
      <c r="E391" s="1"/>
      <c r="F391" s="1"/>
      <c r="G391" s="1"/>
      <c r="H391" s="1"/>
      <c r="I391" s="61"/>
      <c r="J391" s="1"/>
      <c r="K391" s="1"/>
    </row>
    <row r="392" spans="1:11" ht="15.75" customHeight="1">
      <c r="A392" s="2"/>
      <c r="B392" s="1"/>
      <c r="C392" s="1"/>
      <c r="D392" s="1"/>
      <c r="E392" s="1"/>
      <c r="F392" s="1"/>
      <c r="G392" s="1"/>
      <c r="H392" s="1"/>
      <c r="I392" s="61"/>
      <c r="J392" s="1"/>
      <c r="K392" s="1"/>
    </row>
    <row r="393" spans="1:11" ht="15.75" customHeight="1">
      <c r="A393" s="2"/>
      <c r="B393" s="1"/>
      <c r="C393" s="1"/>
      <c r="D393" s="1"/>
      <c r="E393" s="1"/>
      <c r="F393" s="1"/>
      <c r="G393" s="1"/>
      <c r="H393" s="1"/>
      <c r="I393" s="61"/>
      <c r="J393" s="1"/>
      <c r="K393" s="1"/>
    </row>
    <row r="394" spans="1:11" ht="15.75" customHeight="1">
      <c r="A394" s="2"/>
      <c r="B394" s="1"/>
      <c r="C394" s="1"/>
      <c r="D394" s="1"/>
      <c r="E394" s="1"/>
      <c r="F394" s="1"/>
      <c r="G394" s="1"/>
      <c r="H394" s="1"/>
      <c r="I394" s="61"/>
      <c r="J394" s="1"/>
      <c r="K394" s="1"/>
    </row>
    <row r="395" spans="1:11" ht="15.75" customHeight="1">
      <c r="A395" s="2"/>
      <c r="B395" s="1"/>
      <c r="C395" s="1"/>
      <c r="D395" s="1"/>
      <c r="E395" s="1"/>
      <c r="F395" s="1"/>
      <c r="G395" s="1"/>
      <c r="H395" s="1"/>
      <c r="I395" s="61"/>
      <c r="J395" s="1"/>
      <c r="K395" s="1"/>
    </row>
    <row r="396" spans="1:11" ht="15.75" customHeight="1">
      <c r="A396" s="2"/>
      <c r="B396" s="1"/>
      <c r="C396" s="1"/>
      <c r="D396" s="1"/>
      <c r="E396" s="1"/>
      <c r="F396" s="1"/>
      <c r="G396" s="1"/>
      <c r="H396" s="1"/>
      <c r="I396" s="61"/>
      <c r="J396" s="1"/>
      <c r="K396" s="1"/>
    </row>
    <row r="397" spans="1:11" ht="15.75" customHeight="1">
      <c r="A397" s="2"/>
      <c r="B397" s="1"/>
      <c r="C397" s="1"/>
      <c r="D397" s="1"/>
      <c r="E397" s="1"/>
      <c r="F397" s="1"/>
      <c r="G397" s="1"/>
      <c r="H397" s="1"/>
      <c r="I397" s="61"/>
      <c r="J397" s="1"/>
      <c r="K397" s="1"/>
    </row>
    <row r="398" spans="1:11" ht="15.75" customHeight="1">
      <c r="A398" s="2"/>
      <c r="B398" s="1"/>
      <c r="C398" s="1"/>
      <c r="D398" s="1"/>
      <c r="E398" s="1"/>
      <c r="F398" s="1"/>
      <c r="G398" s="1"/>
      <c r="H398" s="1"/>
      <c r="I398" s="61"/>
      <c r="J398" s="1"/>
      <c r="K398" s="1"/>
    </row>
    <row r="399" spans="1:11" ht="15.75" customHeight="1">
      <c r="A399" s="2"/>
      <c r="B399" s="1"/>
      <c r="C399" s="1"/>
      <c r="D399" s="1"/>
      <c r="E399" s="1"/>
      <c r="F399" s="1"/>
      <c r="G399" s="1"/>
      <c r="H399" s="1"/>
      <c r="I399" s="61"/>
      <c r="J399" s="1"/>
      <c r="K399" s="1"/>
    </row>
    <row r="400" spans="1:11" ht="15.75" customHeight="1">
      <c r="A400" s="2"/>
      <c r="B400" s="1"/>
      <c r="C400" s="1"/>
      <c r="D400" s="1"/>
      <c r="E400" s="1"/>
      <c r="F400" s="1"/>
      <c r="G400" s="1"/>
      <c r="H400" s="1"/>
      <c r="I400" s="61"/>
      <c r="J400" s="1"/>
      <c r="K400" s="1"/>
    </row>
    <row r="401" spans="1:11" ht="15.75" customHeight="1">
      <c r="A401" s="2"/>
      <c r="B401" s="1"/>
      <c r="C401" s="1"/>
      <c r="D401" s="1"/>
      <c r="E401" s="1"/>
      <c r="F401" s="1"/>
      <c r="G401" s="1"/>
      <c r="H401" s="1"/>
      <c r="I401" s="61"/>
      <c r="J401" s="1"/>
      <c r="K401" s="1"/>
    </row>
    <row r="402" spans="1:11" ht="15.75" customHeight="1">
      <c r="A402" s="2"/>
      <c r="B402" s="1"/>
      <c r="C402" s="1"/>
      <c r="D402" s="1"/>
      <c r="E402" s="1"/>
      <c r="F402" s="1"/>
      <c r="G402" s="1"/>
      <c r="H402" s="1"/>
      <c r="I402" s="61"/>
      <c r="J402" s="1"/>
      <c r="K402" s="1"/>
    </row>
    <row r="403" spans="1:11" ht="15.75" customHeight="1">
      <c r="A403" s="2"/>
      <c r="B403" s="1"/>
      <c r="C403" s="1"/>
      <c r="D403" s="1"/>
      <c r="E403" s="1"/>
      <c r="F403" s="1"/>
      <c r="G403" s="1"/>
      <c r="H403" s="1"/>
      <c r="I403" s="61"/>
      <c r="J403" s="1"/>
      <c r="K403" s="1"/>
    </row>
    <row r="404" spans="1:11" ht="15.75" customHeight="1">
      <c r="A404" s="2"/>
      <c r="B404" s="1"/>
      <c r="C404" s="1"/>
      <c r="D404" s="1"/>
      <c r="E404" s="1"/>
      <c r="F404" s="1"/>
      <c r="G404" s="1"/>
      <c r="H404" s="1"/>
      <c r="I404" s="61"/>
      <c r="J404" s="1"/>
      <c r="K404" s="1"/>
    </row>
    <row r="405" spans="1:11" ht="15.75" customHeight="1">
      <c r="A405" s="2"/>
      <c r="B405" s="1"/>
      <c r="C405" s="1"/>
      <c r="D405" s="1"/>
      <c r="E405" s="1"/>
      <c r="F405" s="1"/>
      <c r="G405" s="1"/>
      <c r="H405" s="1"/>
      <c r="I405" s="61"/>
      <c r="J405" s="1"/>
      <c r="K405" s="1"/>
    </row>
    <row r="406" spans="1:11" ht="15.75" customHeight="1">
      <c r="A406" s="2"/>
      <c r="B406" s="1"/>
      <c r="C406" s="1"/>
      <c r="D406" s="1"/>
      <c r="E406" s="1"/>
      <c r="F406" s="1"/>
      <c r="G406" s="1"/>
      <c r="H406" s="1"/>
      <c r="I406" s="61"/>
      <c r="J406" s="1"/>
      <c r="K406" s="1"/>
    </row>
    <row r="407" spans="1:11" ht="15.75" customHeight="1">
      <c r="A407" s="2"/>
      <c r="B407" s="1"/>
      <c r="C407" s="1"/>
      <c r="D407" s="1"/>
      <c r="E407" s="1"/>
      <c r="F407" s="1"/>
      <c r="G407" s="1"/>
      <c r="H407" s="1"/>
      <c r="I407" s="61"/>
      <c r="J407" s="1"/>
      <c r="K407" s="1"/>
    </row>
    <row r="408" spans="1:11" ht="15.75" customHeight="1">
      <c r="A408" s="2"/>
      <c r="B408" s="1"/>
      <c r="C408" s="1"/>
      <c r="D408" s="1"/>
      <c r="E408" s="1"/>
      <c r="F408" s="1"/>
      <c r="G408" s="1"/>
      <c r="H408" s="1"/>
      <c r="I408" s="61"/>
      <c r="J408" s="1"/>
      <c r="K408" s="1"/>
    </row>
    <row r="409" spans="1:11" ht="15.75" customHeight="1">
      <c r="A409" s="2"/>
      <c r="B409" s="1"/>
      <c r="C409" s="1"/>
      <c r="D409" s="1"/>
      <c r="E409" s="1"/>
      <c r="F409" s="1"/>
      <c r="G409" s="1"/>
      <c r="H409" s="1"/>
      <c r="I409" s="61"/>
      <c r="J409" s="1"/>
      <c r="K409" s="1"/>
    </row>
    <row r="410" spans="1:11" ht="15.75" customHeight="1">
      <c r="A410" s="2"/>
      <c r="B410" s="1"/>
      <c r="C410" s="1"/>
      <c r="D410" s="1"/>
      <c r="E410" s="1"/>
      <c r="F410" s="1"/>
      <c r="G410" s="1"/>
      <c r="H410" s="1"/>
      <c r="I410" s="61"/>
      <c r="J410" s="1"/>
      <c r="K410" s="1"/>
    </row>
    <row r="411" spans="1:11" ht="15.75" customHeight="1">
      <c r="A411" s="2"/>
      <c r="B411" s="1"/>
      <c r="C411" s="1"/>
      <c r="D411" s="1"/>
      <c r="E411" s="1"/>
      <c r="F411" s="1"/>
      <c r="G411" s="1"/>
      <c r="H411" s="1"/>
      <c r="I411" s="61"/>
      <c r="J411" s="1"/>
      <c r="K411" s="1"/>
    </row>
    <row r="412" spans="1:11" ht="15.75" customHeight="1">
      <c r="A412" s="2"/>
      <c r="B412" s="1"/>
      <c r="C412" s="1"/>
      <c r="D412" s="1"/>
      <c r="E412" s="1"/>
      <c r="F412" s="1"/>
      <c r="G412" s="1"/>
      <c r="H412" s="1"/>
      <c r="I412" s="61"/>
      <c r="J412" s="1"/>
      <c r="K412" s="1"/>
    </row>
    <row r="413" spans="1:11" ht="15.75" customHeight="1">
      <c r="A413" s="2"/>
      <c r="B413" s="1"/>
      <c r="C413" s="1"/>
      <c r="D413" s="1"/>
      <c r="E413" s="1"/>
      <c r="F413" s="1"/>
      <c r="G413" s="1"/>
      <c r="H413" s="1"/>
      <c r="I413" s="61"/>
      <c r="J413" s="1"/>
      <c r="K413" s="1"/>
    </row>
    <row r="414" spans="1:11" ht="15.75" customHeight="1">
      <c r="A414" s="2"/>
      <c r="B414" s="1"/>
      <c r="C414" s="1"/>
      <c r="D414" s="1"/>
      <c r="E414" s="1"/>
      <c r="F414" s="1"/>
      <c r="G414" s="1"/>
      <c r="H414" s="1"/>
      <c r="I414" s="61"/>
      <c r="J414" s="1"/>
      <c r="K414" s="1"/>
    </row>
    <row r="415" spans="1:11" ht="15.75" customHeight="1">
      <c r="A415" s="2"/>
      <c r="B415" s="1"/>
      <c r="C415" s="1"/>
      <c r="D415" s="1"/>
      <c r="E415" s="1"/>
      <c r="F415" s="1"/>
      <c r="G415" s="1"/>
      <c r="H415" s="1"/>
      <c r="I415" s="61"/>
      <c r="J415" s="1"/>
      <c r="K415" s="1"/>
    </row>
    <row r="416" spans="1:11" ht="15.75" customHeight="1">
      <c r="A416" s="2"/>
      <c r="B416" s="1"/>
      <c r="C416" s="1"/>
      <c r="D416" s="1"/>
      <c r="E416" s="1"/>
      <c r="F416" s="1"/>
      <c r="G416" s="1"/>
      <c r="H416" s="1"/>
      <c r="I416" s="61"/>
      <c r="J416" s="1"/>
      <c r="K416" s="1"/>
    </row>
    <row r="417" spans="1:11" ht="15.75" customHeight="1">
      <c r="A417" s="2"/>
      <c r="B417" s="1"/>
      <c r="C417" s="1"/>
      <c r="D417" s="1"/>
      <c r="E417" s="1"/>
      <c r="F417" s="1"/>
      <c r="G417" s="1"/>
      <c r="H417" s="1"/>
      <c r="I417" s="61"/>
      <c r="J417" s="1"/>
      <c r="K417" s="1"/>
    </row>
    <row r="418" spans="1:11" ht="15.75" customHeight="1">
      <c r="A418" s="2"/>
      <c r="B418" s="1"/>
      <c r="C418" s="1"/>
      <c r="D418" s="1"/>
      <c r="E418" s="1"/>
      <c r="F418" s="1"/>
      <c r="G418" s="1"/>
      <c r="H418" s="1"/>
      <c r="I418" s="61"/>
      <c r="J418" s="1"/>
      <c r="K418" s="1"/>
    </row>
    <row r="419" spans="1:11" ht="15.75" customHeight="1">
      <c r="A419" s="2"/>
      <c r="B419" s="1"/>
      <c r="C419" s="1"/>
      <c r="D419" s="1"/>
      <c r="E419" s="1"/>
      <c r="F419" s="1"/>
      <c r="G419" s="1"/>
      <c r="H419" s="1"/>
      <c r="I419" s="61"/>
      <c r="J419" s="1"/>
      <c r="K419" s="1"/>
    </row>
    <row r="420" spans="1:11" ht="15.75" customHeight="1">
      <c r="A420" s="2"/>
      <c r="B420" s="1"/>
      <c r="C420" s="1"/>
      <c r="D420" s="1"/>
      <c r="E420" s="1"/>
      <c r="F420" s="1"/>
      <c r="G420" s="1"/>
      <c r="H420" s="1"/>
      <c r="I420" s="61"/>
      <c r="J420" s="1"/>
      <c r="K420" s="1"/>
    </row>
    <row r="421" spans="1:11" ht="15.75" customHeight="1">
      <c r="A421" s="2"/>
      <c r="B421" s="1"/>
      <c r="C421" s="1"/>
      <c r="D421" s="1"/>
      <c r="E421" s="1"/>
      <c r="F421" s="1"/>
      <c r="G421" s="1"/>
      <c r="H421" s="1"/>
      <c r="I421" s="61"/>
      <c r="J421" s="1"/>
      <c r="K421" s="1"/>
    </row>
    <row r="422" spans="1:11" ht="15.75" customHeight="1">
      <c r="A422" s="2"/>
      <c r="B422" s="1"/>
      <c r="C422" s="1"/>
      <c r="D422" s="1"/>
      <c r="E422" s="1"/>
      <c r="F422" s="1"/>
      <c r="G422" s="1"/>
      <c r="H422" s="1"/>
      <c r="I422" s="61"/>
      <c r="J422" s="1"/>
      <c r="K422" s="1"/>
    </row>
    <row r="423" spans="1:11" ht="15.75" customHeight="1">
      <c r="A423" s="2"/>
      <c r="B423" s="1"/>
      <c r="C423" s="1"/>
      <c r="D423" s="1"/>
      <c r="E423" s="1"/>
      <c r="F423" s="1"/>
      <c r="G423" s="1"/>
      <c r="H423" s="1"/>
      <c r="I423" s="61"/>
      <c r="J423" s="1"/>
      <c r="K423" s="1"/>
    </row>
    <row r="424" spans="1:11" ht="15.75" customHeight="1">
      <c r="A424" s="2"/>
      <c r="B424" s="1"/>
      <c r="C424" s="1"/>
      <c r="D424" s="1"/>
      <c r="E424" s="1"/>
      <c r="F424" s="1"/>
      <c r="G424" s="1"/>
      <c r="H424" s="1"/>
      <c r="I424" s="61"/>
      <c r="J424" s="1"/>
      <c r="K424" s="1"/>
    </row>
    <row r="425" spans="1:11" ht="15.75" customHeight="1">
      <c r="A425" s="2"/>
      <c r="B425" s="1"/>
      <c r="C425" s="1"/>
      <c r="D425" s="1"/>
      <c r="E425" s="1"/>
      <c r="F425" s="1"/>
      <c r="G425" s="1"/>
      <c r="H425" s="1"/>
      <c r="I425" s="61"/>
      <c r="J425" s="1"/>
      <c r="K425" s="1"/>
    </row>
    <row r="426" spans="1:11" ht="15.75" customHeight="1">
      <c r="A426" s="2"/>
      <c r="B426" s="1"/>
      <c r="C426" s="1"/>
      <c r="D426" s="1"/>
      <c r="E426" s="1"/>
      <c r="F426" s="1"/>
      <c r="G426" s="1"/>
      <c r="H426" s="1"/>
      <c r="I426" s="61"/>
      <c r="J426" s="1"/>
      <c r="K426" s="1"/>
    </row>
    <row r="427" spans="1:11" ht="15.75" customHeight="1">
      <c r="A427" s="2"/>
      <c r="B427" s="1"/>
      <c r="C427" s="1"/>
      <c r="D427" s="1"/>
      <c r="E427" s="1"/>
      <c r="F427" s="1"/>
      <c r="G427" s="1"/>
      <c r="H427" s="1"/>
      <c r="I427" s="61"/>
      <c r="J427" s="1"/>
      <c r="K427" s="1"/>
    </row>
    <row r="428" spans="1:11" ht="15.75" customHeight="1">
      <c r="A428" s="2"/>
      <c r="B428" s="1"/>
      <c r="C428" s="1"/>
      <c r="D428" s="1"/>
      <c r="E428" s="1"/>
      <c r="F428" s="1"/>
      <c r="G428" s="1"/>
      <c r="H428" s="1"/>
      <c r="I428" s="61"/>
      <c r="J428" s="1"/>
      <c r="K428" s="1"/>
    </row>
    <row r="429" spans="1:11" ht="15.75" customHeight="1">
      <c r="A429" s="2"/>
      <c r="B429" s="1"/>
      <c r="C429" s="1"/>
      <c r="D429" s="1"/>
      <c r="E429" s="1"/>
      <c r="F429" s="1"/>
      <c r="G429" s="1"/>
      <c r="H429" s="1"/>
      <c r="I429" s="61"/>
      <c r="J429" s="1"/>
      <c r="K429" s="1"/>
    </row>
    <row r="430" spans="1:11" ht="15.75" customHeight="1">
      <c r="A430" s="2"/>
      <c r="B430" s="1"/>
      <c r="C430" s="1"/>
      <c r="D430" s="1"/>
      <c r="E430" s="1"/>
      <c r="F430" s="1"/>
      <c r="G430" s="1"/>
      <c r="H430" s="1"/>
      <c r="I430" s="61"/>
      <c r="J430" s="1"/>
      <c r="K430" s="1"/>
    </row>
    <row r="431" spans="1:11" ht="15.75" customHeight="1">
      <c r="A431" s="2"/>
      <c r="B431" s="1"/>
      <c r="C431" s="1"/>
      <c r="D431" s="1"/>
      <c r="E431" s="1"/>
      <c r="F431" s="1"/>
      <c r="G431" s="1"/>
      <c r="H431" s="1"/>
      <c r="I431" s="61"/>
      <c r="J431" s="1"/>
      <c r="K431" s="1"/>
    </row>
    <row r="432" spans="1:11" ht="15.75" customHeight="1">
      <c r="A432" s="2"/>
      <c r="B432" s="1"/>
      <c r="C432" s="1"/>
      <c r="D432" s="1"/>
      <c r="E432" s="1"/>
      <c r="F432" s="1"/>
      <c r="G432" s="1"/>
      <c r="H432" s="1"/>
      <c r="I432" s="61"/>
      <c r="J432" s="1"/>
      <c r="K432" s="1"/>
    </row>
    <row r="433" spans="1:11" ht="15.75" customHeight="1">
      <c r="A433" s="2"/>
      <c r="B433" s="1"/>
      <c r="C433" s="1"/>
      <c r="D433" s="1"/>
      <c r="E433" s="1"/>
      <c r="F433" s="1"/>
      <c r="G433" s="1"/>
      <c r="H433" s="1"/>
      <c r="I433" s="61"/>
      <c r="J433" s="1"/>
      <c r="K433" s="1"/>
    </row>
    <row r="434" spans="1:11" ht="15.75" customHeight="1">
      <c r="A434" s="2"/>
      <c r="B434" s="1"/>
      <c r="C434" s="1"/>
      <c r="D434" s="1"/>
      <c r="E434" s="1"/>
      <c r="F434" s="1"/>
      <c r="G434" s="1"/>
      <c r="H434" s="1"/>
      <c r="I434" s="61"/>
      <c r="J434" s="1"/>
      <c r="K434" s="1"/>
    </row>
    <row r="435" spans="1:11" ht="15.75" customHeight="1">
      <c r="A435" s="2"/>
      <c r="B435" s="1"/>
      <c r="C435" s="1"/>
      <c r="D435" s="1"/>
      <c r="E435" s="1"/>
      <c r="F435" s="1"/>
      <c r="G435" s="1"/>
      <c r="H435" s="1"/>
      <c r="I435" s="61"/>
      <c r="J435" s="1"/>
      <c r="K435" s="1"/>
    </row>
    <row r="436" spans="1:11" ht="15.75" customHeight="1">
      <c r="A436" s="2"/>
      <c r="B436" s="1"/>
      <c r="C436" s="1"/>
      <c r="D436" s="1"/>
      <c r="E436" s="1"/>
      <c r="F436" s="1"/>
      <c r="G436" s="1"/>
      <c r="H436" s="1"/>
      <c r="I436" s="61"/>
      <c r="J436" s="1"/>
      <c r="K436" s="1"/>
    </row>
    <row r="437" spans="1:11" ht="15.75" customHeight="1">
      <c r="A437" s="2"/>
      <c r="B437" s="1"/>
      <c r="C437" s="1"/>
      <c r="D437" s="1"/>
      <c r="E437" s="1"/>
      <c r="F437" s="1"/>
      <c r="G437" s="1"/>
      <c r="H437" s="1"/>
      <c r="I437" s="61"/>
      <c r="J437" s="1"/>
      <c r="K437" s="1"/>
    </row>
    <row r="438" spans="1:11" ht="15.75" customHeight="1">
      <c r="A438" s="2"/>
      <c r="B438" s="1"/>
      <c r="C438" s="1"/>
      <c r="D438" s="1"/>
      <c r="E438" s="1"/>
      <c r="F438" s="1"/>
      <c r="G438" s="1"/>
      <c r="H438" s="1"/>
      <c r="I438" s="61"/>
      <c r="J438" s="1"/>
      <c r="K438" s="1"/>
    </row>
    <row r="439" spans="1:11" ht="15.75" customHeight="1">
      <c r="A439" s="2"/>
      <c r="B439" s="1"/>
      <c r="C439" s="1"/>
      <c r="D439" s="1"/>
      <c r="E439" s="1"/>
      <c r="F439" s="1"/>
      <c r="G439" s="1"/>
      <c r="H439" s="1"/>
      <c r="I439" s="61"/>
      <c r="J439" s="1"/>
      <c r="K439" s="1"/>
    </row>
    <row r="440" spans="1:11" ht="15.75" customHeight="1">
      <c r="A440" s="2"/>
      <c r="B440" s="1"/>
      <c r="C440" s="1"/>
      <c r="D440" s="1"/>
      <c r="E440" s="1"/>
      <c r="F440" s="1"/>
      <c r="G440" s="1"/>
      <c r="H440" s="1"/>
      <c r="I440" s="61"/>
      <c r="J440" s="1"/>
      <c r="K440" s="1"/>
    </row>
    <row r="441" spans="1:11" ht="15.75" customHeight="1">
      <c r="A441" s="2"/>
      <c r="B441" s="1"/>
      <c r="C441" s="1"/>
      <c r="D441" s="1"/>
      <c r="E441" s="1"/>
      <c r="F441" s="1"/>
      <c r="G441" s="1"/>
      <c r="H441" s="1"/>
      <c r="I441" s="61"/>
      <c r="J441" s="1"/>
      <c r="K441" s="1"/>
    </row>
    <row r="442" spans="1:11" ht="15.75" customHeight="1">
      <c r="A442" s="2"/>
      <c r="B442" s="1"/>
      <c r="C442" s="1"/>
      <c r="D442" s="1"/>
      <c r="E442" s="1"/>
      <c r="F442" s="1"/>
      <c r="G442" s="1"/>
      <c r="H442" s="1"/>
      <c r="I442" s="61"/>
      <c r="J442" s="1"/>
      <c r="K442" s="1"/>
    </row>
    <row r="443" spans="1:11" ht="15.75" customHeight="1">
      <c r="A443" s="2"/>
      <c r="B443" s="1"/>
      <c r="C443" s="1"/>
      <c r="D443" s="1"/>
      <c r="E443" s="1"/>
      <c r="F443" s="1"/>
      <c r="G443" s="1"/>
      <c r="H443" s="1"/>
      <c r="I443" s="61"/>
      <c r="J443" s="1"/>
      <c r="K443" s="1"/>
    </row>
    <row r="444" spans="1:11" ht="15.75" customHeight="1">
      <c r="A444" s="2"/>
      <c r="B444" s="1"/>
      <c r="C444" s="1"/>
      <c r="D444" s="1"/>
      <c r="E444" s="1"/>
      <c r="F444" s="1"/>
      <c r="G444" s="1"/>
      <c r="H444" s="1"/>
      <c r="I444" s="61"/>
      <c r="J444" s="1"/>
      <c r="K444" s="1"/>
    </row>
    <row r="445" spans="1:11" ht="15.75" customHeight="1">
      <c r="A445" s="2"/>
      <c r="B445" s="1"/>
      <c r="C445" s="1"/>
      <c r="D445" s="1"/>
      <c r="E445" s="1"/>
      <c r="F445" s="1"/>
      <c r="G445" s="1"/>
      <c r="H445" s="1"/>
      <c r="I445" s="61"/>
      <c r="J445" s="1"/>
      <c r="K445" s="1"/>
    </row>
    <row r="446" spans="1:11" ht="15.75" customHeight="1">
      <c r="A446" s="2"/>
      <c r="B446" s="1"/>
      <c r="C446" s="1"/>
      <c r="D446" s="1"/>
      <c r="E446" s="1"/>
      <c r="F446" s="1"/>
      <c r="G446" s="1"/>
      <c r="H446" s="1"/>
      <c r="I446" s="61"/>
      <c r="J446" s="1"/>
      <c r="K446" s="1"/>
    </row>
    <row r="447" spans="1:11" ht="15.75" customHeight="1">
      <c r="A447" s="2"/>
      <c r="B447" s="1"/>
      <c r="C447" s="1"/>
      <c r="D447" s="1"/>
      <c r="E447" s="1"/>
      <c r="F447" s="1"/>
      <c r="G447" s="1"/>
      <c r="H447" s="1"/>
      <c r="I447" s="61"/>
      <c r="J447" s="1"/>
      <c r="K447" s="1"/>
    </row>
    <row r="448" spans="1:11" ht="15.75" customHeight="1">
      <c r="A448" s="2"/>
      <c r="B448" s="1"/>
      <c r="C448" s="1"/>
      <c r="D448" s="1"/>
      <c r="E448" s="1"/>
      <c r="F448" s="1"/>
      <c r="G448" s="1"/>
      <c r="H448" s="1"/>
      <c r="I448" s="61"/>
      <c r="J448" s="1"/>
      <c r="K448" s="1"/>
    </row>
    <row r="449" spans="1:11" ht="15.75" customHeight="1">
      <c r="A449" s="2"/>
      <c r="B449" s="1"/>
      <c r="C449" s="1"/>
      <c r="D449" s="1"/>
      <c r="E449" s="1"/>
      <c r="F449" s="1"/>
      <c r="G449" s="1"/>
      <c r="H449" s="1"/>
      <c r="I449" s="61"/>
      <c r="J449" s="1"/>
      <c r="K449" s="1"/>
    </row>
    <row r="450" spans="1:11" ht="15.75" customHeight="1">
      <c r="A450" s="2"/>
      <c r="B450" s="1"/>
      <c r="C450" s="1"/>
      <c r="D450" s="1"/>
      <c r="E450" s="1"/>
      <c r="F450" s="1"/>
      <c r="G450" s="1"/>
      <c r="H450" s="1"/>
      <c r="I450" s="61"/>
      <c r="J450" s="1"/>
      <c r="K450" s="1"/>
    </row>
    <row r="451" spans="1:11" ht="15.75" customHeight="1">
      <c r="A451" s="2"/>
      <c r="B451" s="1"/>
      <c r="C451" s="1"/>
      <c r="D451" s="1"/>
      <c r="E451" s="1"/>
      <c r="F451" s="1"/>
      <c r="G451" s="1"/>
      <c r="H451" s="1"/>
      <c r="I451" s="61"/>
      <c r="J451" s="1"/>
      <c r="K451" s="1"/>
    </row>
    <row r="452" spans="1:11" ht="15.75" customHeight="1">
      <c r="A452" s="2"/>
      <c r="B452" s="1"/>
      <c r="C452" s="1"/>
      <c r="D452" s="1"/>
      <c r="E452" s="1"/>
      <c r="F452" s="1"/>
      <c r="G452" s="1"/>
      <c r="H452" s="1"/>
      <c r="I452" s="61"/>
      <c r="J452" s="1"/>
      <c r="K452" s="1"/>
    </row>
    <row r="453" spans="1:11" ht="15.75" customHeight="1">
      <c r="A453" s="2"/>
      <c r="B453" s="1"/>
      <c r="C453" s="1"/>
      <c r="D453" s="1"/>
      <c r="E453" s="1"/>
      <c r="F453" s="1"/>
      <c r="G453" s="1"/>
      <c r="H453" s="1"/>
      <c r="I453" s="61"/>
      <c r="J453" s="1"/>
      <c r="K453" s="1"/>
    </row>
    <row r="454" spans="1:11" ht="15.75" customHeight="1">
      <c r="A454" s="2"/>
      <c r="B454" s="1"/>
      <c r="C454" s="1"/>
      <c r="D454" s="1"/>
      <c r="E454" s="1"/>
      <c r="F454" s="1"/>
      <c r="G454" s="1"/>
      <c r="H454" s="1"/>
      <c r="I454" s="61"/>
      <c r="J454" s="1"/>
      <c r="K454" s="1"/>
    </row>
    <row r="455" spans="1:11" ht="15.75" customHeight="1">
      <c r="A455" s="2"/>
      <c r="B455" s="1"/>
      <c r="C455" s="1"/>
      <c r="D455" s="1"/>
      <c r="E455" s="1"/>
      <c r="F455" s="1"/>
      <c r="G455" s="1"/>
      <c r="H455" s="1"/>
      <c r="I455" s="61"/>
      <c r="J455" s="1"/>
      <c r="K455" s="1"/>
    </row>
    <row r="456" spans="1:11" ht="15.75" customHeight="1">
      <c r="A456" s="2"/>
      <c r="B456" s="1"/>
      <c r="C456" s="1"/>
      <c r="D456" s="1"/>
      <c r="E456" s="1"/>
      <c r="F456" s="1"/>
      <c r="G456" s="1"/>
      <c r="H456" s="1"/>
      <c r="I456" s="61"/>
      <c r="J456" s="1"/>
      <c r="K456" s="1"/>
    </row>
    <row r="457" spans="1:11" ht="15.75" customHeight="1">
      <c r="A457" s="2"/>
      <c r="B457" s="1"/>
      <c r="C457" s="1"/>
      <c r="D457" s="1"/>
      <c r="E457" s="1"/>
      <c r="F457" s="1"/>
      <c r="G457" s="1"/>
      <c r="H457" s="1"/>
      <c r="I457" s="61"/>
      <c r="J457" s="1"/>
      <c r="K457" s="1"/>
    </row>
    <row r="458" spans="1:11" ht="15.75" customHeight="1">
      <c r="A458" s="2"/>
      <c r="B458" s="1"/>
      <c r="C458" s="1"/>
      <c r="D458" s="1"/>
      <c r="E458" s="1"/>
      <c r="F458" s="1"/>
      <c r="G458" s="1"/>
      <c r="H458" s="1"/>
      <c r="I458" s="61"/>
      <c r="J458" s="1"/>
      <c r="K458" s="1"/>
    </row>
    <row r="459" spans="1:11" ht="15.75" customHeight="1">
      <c r="A459" s="2"/>
      <c r="B459" s="1"/>
      <c r="C459" s="1"/>
      <c r="D459" s="1"/>
      <c r="E459" s="1"/>
      <c r="F459" s="1"/>
      <c r="G459" s="1"/>
      <c r="H459" s="1"/>
      <c r="I459" s="61"/>
      <c r="J459" s="1"/>
      <c r="K459" s="1"/>
    </row>
    <row r="460" spans="1:11" ht="15.75" customHeight="1">
      <c r="A460" s="2"/>
      <c r="B460" s="1"/>
      <c r="C460" s="1"/>
      <c r="D460" s="1"/>
      <c r="E460" s="1"/>
      <c r="F460" s="1"/>
      <c r="G460" s="1"/>
      <c r="H460" s="1"/>
      <c r="I460" s="61"/>
      <c r="J460" s="1"/>
      <c r="K460" s="1"/>
    </row>
    <row r="461" spans="1:11" ht="15.75" customHeight="1">
      <c r="A461" s="2"/>
      <c r="B461" s="1"/>
      <c r="C461" s="1"/>
      <c r="D461" s="1"/>
      <c r="E461" s="1"/>
      <c r="F461" s="1"/>
      <c r="G461" s="1"/>
      <c r="H461" s="1"/>
      <c r="I461" s="61"/>
      <c r="J461" s="1"/>
      <c r="K461" s="1"/>
    </row>
    <row r="462" spans="1:11" ht="15.75" customHeight="1">
      <c r="A462" s="2"/>
      <c r="B462" s="1"/>
      <c r="C462" s="1"/>
      <c r="D462" s="1"/>
      <c r="E462" s="1"/>
      <c r="F462" s="1"/>
      <c r="G462" s="1"/>
      <c r="H462" s="1"/>
      <c r="I462" s="61"/>
      <c r="J462" s="1"/>
      <c r="K462" s="1"/>
    </row>
    <row r="463" spans="1:11" ht="15.75" customHeight="1">
      <c r="A463" s="2"/>
      <c r="B463" s="1"/>
      <c r="C463" s="1"/>
      <c r="D463" s="1"/>
      <c r="E463" s="1"/>
      <c r="F463" s="1"/>
      <c r="G463" s="1"/>
      <c r="H463" s="1"/>
      <c r="I463" s="61"/>
      <c r="J463" s="1"/>
      <c r="K463" s="1"/>
    </row>
    <row r="464" spans="1:11" ht="15.75" customHeight="1">
      <c r="A464" s="2"/>
      <c r="B464" s="1"/>
      <c r="C464" s="1"/>
      <c r="D464" s="1"/>
      <c r="E464" s="1"/>
      <c r="F464" s="1"/>
      <c r="G464" s="1"/>
      <c r="H464" s="1"/>
      <c r="I464" s="61"/>
      <c r="J464" s="1"/>
      <c r="K464" s="1"/>
    </row>
    <row r="465" spans="1:11" ht="15.75" customHeight="1">
      <c r="A465" s="2"/>
      <c r="B465" s="1"/>
      <c r="C465" s="1"/>
      <c r="D465" s="1"/>
      <c r="E465" s="1"/>
      <c r="F465" s="1"/>
      <c r="G465" s="1"/>
      <c r="H465" s="1"/>
      <c r="I465" s="61"/>
      <c r="J465" s="1"/>
      <c r="K465" s="1"/>
    </row>
    <row r="466" spans="1:11" ht="15.75" customHeight="1">
      <c r="A466" s="2"/>
      <c r="B466" s="1"/>
      <c r="C466" s="1"/>
      <c r="D466" s="1"/>
      <c r="E466" s="1"/>
      <c r="F466" s="1"/>
      <c r="G466" s="1"/>
      <c r="H466" s="1"/>
      <c r="I466" s="61"/>
      <c r="J466" s="1"/>
      <c r="K466" s="1"/>
    </row>
    <row r="467" spans="1:11" ht="15.75" customHeight="1">
      <c r="A467" s="2"/>
      <c r="B467" s="1"/>
      <c r="C467" s="1"/>
      <c r="D467" s="1"/>
      <c r="E467" s="1"/>
      <c r="F467" s="1"/>
      <c r="G467" s="1"/>
      <c r="H467" s="1"/>
      <c r="I467" s="61"/>
      <c r="J467" s="1"/>
      <c r="K467" s="1"/>
    </row>
    <row r="468" spans="1:11" ht="15.75" customHeight="1">
      <c r="A468" s="2"/>
      <c r="B468" s="1"/>
      <c r="C468" s="1"/>
      <c r="D468" s="1"/>
      <c r="E468" s="1"/>
      <c r="F468" s="1"/>
      <c r="G468" s="1"/>
      <c r="H468" s="1"/>
      <c r="I468" s="61"/>
      <c r="J468" s="1"/>
      <c r="K468" s="1"/>
    </row>
    <row r="469" spans="1:11" ht="15.75" customHeight="1">
      <c r="A469" s="2"/>
      <c r="B469" s="1"/>
      <c r="C469" s="1"/>
      <c r="D469" s="1"/>
      <c r="E469" s="1"/>
      <c r="F469" s="1"/>
      <c r="G469" s="1"/>
      <c r="H469" s="1"/>
      <c r="I469" s="61"/>
      <c r="J469" s="1"/>
      <c r="K469" s="1"/>
    </row>
    <row r="470" spans="1:11" ht="15.75" customHeight="1">
      <c r="A470" s="2"/>
      <c r="B470" s="1"/>
      <c r="C470" s="1"/>
      <c r="D470" s="1"/>
      <c r="E470" s="1"/>
      <c r="F470" s="1"/>
      <c r="G470" s="1"/>
      <c r="H470" s="1"/>
      <c r="I470" s="61"/>
      <c r="J470" s="1"/>
      <c r="K470" s="1"/>
    </row>
    <row r="471" spans="1:11" ht="15.75" customHeight="1">
      <c r="A471" s="2"/>
      <c r="B471" s="1"/>
      <c r="C471" s="1"/>
      <c r="D471" s="1"/>
      <c r="E471" s="1"/>
      <c r="F471" s="1"/>
      <c r="G471" s="1"/>
      <c r="H471" s="1"/>
      <c r="I471" s="61"/>
      <c r="J471" s="1"/>
      <c r="K471" s="1"/>
    </row>
    <row r="472" spans="1:11" ht="15.75" customHeight="1">
      <c r="A472" s="2"/>
      <c r="B472" s="1"/>
      <c r="C472" s="1"/>
      <c r="D472" s="1"/>
      <c r="E472" s="1"/>
      <c r="F472" s="1"/>
      <c r="G472" s="1"/>
      <c r="H472" s="1"/>
      <c r="I472" s="61"/>
      <c r="J472" s="1"/>
      <c r="K472" s="1"/>
    </row>
    <row r="473" spans="1:11" ht="15.75" customHeight="1">
      <c r="A473" s="2"/>
      <c r="B473" s="1"/>
      <c r="C473" s="1"/>
      <c r="D473" s="1"/>
      <c r="E473" s="1"/>
      <c r="F473" s="1"/>
      <c r="G473" s="1"/>
      <c r="H473" s="1"/>
      <c r="I473" s="61"/>
      <c r="J473" s="1"/>
      <c r="K473" s="1"/>
    </row>
    <row r="474" spans="1:11" ht="15.75" customHeight="1">
      <c r="A474" s="2"/>
      <c r="B474" s="1"/>
      <c r="C474" s="1"/>
      <c r="D474" s="1"/>
      <c r="E474" s="1"/>
      <c r="F474" s="1"/>
      <c r="G474" s="1"/>
      <c r="H474" s="1"/>
      <c r="I474" s="61"/>
      <c r="J474" s="1"/>
      <c r="K474" s="1"/>
    </row>
    <row r="475" spans="1:11" ht="15.75" customHeight="1">
      <c r="A475" s="2"/>
      <c r="B475" s="1"/>
      <c r="C475" s="1"/>
      <c r="D475" s="1"/>
      <c r="E475" s="1"/>
      <c r="F475" s="1"/>
      <c r="G475" s="1"/>
      <c r="H475" s="1"/>
      <c r="I475" s="61"/>
      <c r="J475" s="1"/>
      <c r="K475" s="1"/>
    </row>
    <row r="476" spans="1:11" ht="15.75" customHeight="1">
      <c r="A476" s="2"/>
      <c r="B476" s="1"/>
      <c r="C476" s="1"/>
      <c r="D476" s="1"/>
      <c r="E476" s="1"/>
      <c r="F476" s="1"/>
      <c r="G476" s="1"/>
      <c r="H476" s="1"/>
      <c r="I476" s="61"/>
      <c r="J476" s="1"/>
      <c r="K476" s="1"/>
    </row>
    <row r="477" spans="1:11" ht="15.75" customHeight="1">
      <c r="A477" s="2"/>
      <c r="B477" s="1"/>
      <c r="C477" s="1"/>
      <c r="D477" s="1"/>
      <c r="E477" s="1"/>
      <c r="F477" s="1"/>
      <c r="G477" s="1"/>
      <c r="H477" s="1"/>
      <c r="I477" s="61"/>
      <c r="J477" s="1"/>
      <c r="K477" s="1"/>
    </row>
    <row r="478" spans="1:11" ht="15.75" customHeight="1">
      <c r="A478" s="2"/>
      <c r="B478" s="1"/>
      <c r="C478" s="1"/>
      <c r="D478" s="1"/>
      <c r="E478" s="1"/>
      <c r="F478" s="1"/>
      <c r="G478" s="1"/>
      <c r="H478" s="1"/>
      <c r="I478" s="61"/>
      <c r="J478" s="1"/>
      <c r="K478" s="1"/>
    </row>
    <row r="479" spans="1:11" ht="15.75" customHeight="1">
      <c r="A479" s="2"/>
      <c r="B479" s="1"/>
      <c r="C479" s="1"/>
      <c r="D479" s="1"/>
      <c r="E479" s="1"/>
      <c r="F479" s="1"/>
      <c r="G479" s="1"/>
      <c r="H479" s="1"/>
      <c r="I479" s="61"/>
      <c r="J479" s="1"/>
      <c r="K479" s="1"/>
    </row>
    <row r="480" spans="1:11" ht="15.75" customHeight="1">
      <c r="A480" s="2"/>
      <c r="B480" s="1"/>
      <c r="C480" s="1"/>
      <c r="D480" s="1"/>
      <c r="E480" s="1"/>
      <c r="F480" s="1"/>
      <c r="G480" s="1"/>
      <c r="H480" s="1"/>
      <c r="I480" s="61"/>
      <c r="J480" s="1"/>
      <c r="K480" s="1"/>
    </row>
    <row r="481" spans="1:11" ht="15.75" customHeight="1">
      <c r="A481" s="2"/>
      <c r="B481" s="1"/>
      <c r="C481" s="1"/>
      <c r="D481" s="1"/>
      <c r="E481" s="1"/>
      <c r="F481" s="1"/>
      <c r="G481" s="1"/>
      <c r="H481" s="1"/>
      <c r="I481" s="61"/>
      <c r="J481" s="1"/>
      <c r="K481" s="1"/>
    </row>
    <row r="482" spans="1:11" ht="15.75" customHeight="1">
      <c r="A482" s="2"/>
      <c r="B482" s="1"/>
      <c r="C482" s="1"/>
      <c r="D482" s="1"/>
      <c r="E482" s="1"/>
      <c r="F482" s="1"/>
      <c r="G482" s="1"/>
      <c r="H482" s="1"/>
      <c r="I482" s="61"/>
      <c r="J482" s="1"/>
      <c r="K482" s="1"/>
    </row>
    <row r="483" spans="1:11" ht="15.75" customHeight="1">
      <c r="A483" s="2"/>
      <c r="B483" s="1"/>
      <c r="C483" s="1"/>
      <c r="D483" s="1"/>
      <c r="E483" s="1"/>
      <c r="F483" s="1"/>
      <c r="G483" s="1"/>
      <c r="H483" s="1"/>
      <c r="I483" s="61"/>
      <c r="J483" s="1"/>
      <c r="K483" s="1"/>
    </row>
    <row r="484" spans="1:11" ht="15.75" customHeight="1">
      <c r="A484" s="2"/>
      <c r="B484" s="1"/>
      <c r="C484" s="1"/>
      <c r="D484" s="1"/>
      <c r="E484" s="1"/>
      <c r="F484" s="1"/>
      <c r="G484" s="1"/>
      <c r="H484" s="1"/>
      <c r="I484" s="61"/>
      <c r="J484" s="1"/>
      <c r="K484" s="1"/>
    </row>
    <row r="485" spans="1:11" ht="15.75" customHeight="1">
      <c r="A485" s="2"/>
      <c r="B485" s="1"/>
      <c r="C485" s="1"/>
      <c r="D485" s="1"/>
      <c r="E485" s="1"/>
      <c r="F485" s="1"/>
      <c r="G485" s="1"/>
      <c r="H485" s="1"/>
      <c r="I485" s="61"/>
      <c r="J485" s="1"/>
      <c r="K485" s="1"/>
    </row>
    <row r="486" spans="1:11" ht="15.75" customHeight="1">
      <c r="A486" s="2"/>
      <c r="B486" s="1"/>
      <c r="C486" s="1"/>
      <c r="D486" s="1"/>
      <c r="E486" s="1"/>
      <c r="F486" s="1"/>
      <c r="G486" s="1"/>
      <c r="H486" s="1"/>
      <c r="I486" s="61"/>
      <c r="J486" s="1"/>
      <c r="K486" s="1"/>
    </row>
    <row r="487" spans="1:11" ht="15.75" customHeight="1">
      <c r="A487" s="2"/>
      <c r="B487" s="1"/>
      <c r="C487" s="1"/>
      <c r="D487" s="1"/>
      <c r="E487" s="1"/>
      <c r="F487" s="1"/>
      <c r="G487" s="1"/>
      <c r="H487" s="1"/>
      <c r="I487" s="61"/>
      <c r="J487" s="1"/>
      <c r="K487" s="1"/>
    </row>
    <row r="488" spans="1:11" ht="15.75" customHeight="1">
      <c r="A488" s="2"/>
      <c r="B488" s="1"/>
      <c r="C488" s="1"/>
      <c r="D488" s="1"/>
      <c r="E488" s="1"/>
      <c r="F488" s="1"/>
      <c r="G488" s="1"/>
      <c r="H488" s="1"/>
      <c r="I488" s="61"/>
      <c r="J488" s="1"/>
      <c r="K488" s="1"/>
    </row>
    <row r="489" spans="1:11" ht="15.75" customHeight="1">
      <c r="A489" s="2"/>
      <c r="B489" s="1"/>
      <c r="C489" s="1"/>
      <c r="D489" s="1"/>
      <c r="E489" s="1"/>
      <c r="F489" s="1"/>
      <c r="G489" s="1"/>
      <c r="H489" s="1"/>
      <c r="I489" s="61"/>
      <c r="J489" s="1"/>
      <c r="K489" s="1"/>
    </row>
    <row r="490" spans="1:11" ht="15.75" customHeight="1">
      <c r="A490" s="2"/>
      <c r="B490" s="1"/>
      <c r="C490" s="1"/>
      <c r="D490" s="1"/>
      <c r="E490" s="1"/>
      <c r="F490" s="1"/>
      <c r="G490" s="1"/>
      <c r="H490" s="1"/>
      <c r="I490" s="61"/>
      <c r="J490" s="1"/>
      <c r="K490" s="1"/>
    </row>
    <row r="491" spans="1:11" ht="15.75" customHeight="1">
      <c r="A491" s="2"/>
      <c r="B491" s="1"/>
      <c r="C491" s="1"/>
      <c r="D491" s="1"/>
      <c r="E491" s="1"/>
      <c r="F491" s="1"/>
      <c r="G491" s="1"/>
      <c r="H491" s="1"/>
      <c r="I491" s="61"/>
      <c r="J491" s="1"/>
      <c r="K491" s="1"/>
    </row>
    <row r="492" spans="1:11" ht="15.75" customHeight="1">
      <c r="A492" s="2"/>
      <c r="B492" s="1"/>
      <c r="C492" s="1"/>
      <c r="D492" s="1"/>
      <c r="E492" s="1"/>
      <c r="F492" s="1"/>
      <c r="G492" s="1"/>
      <c r="H492" s="1"/>
      <c r="I492" s="61"/>
      <c r="J492" s="1"/>
      <c r="K492" s="1"/>
    </row>
    <row r="493" spans="1:11" ht="15.75" customHeight="1">
      <c r="A493" s="2"/>
      <c r="B493" s="1"/>
      <c r="C493" s="1"/>
      <c r="D493" s="1"/>
      <c r="E493" s="1"/>
      <c r="F493" s="1"/>
      <c r="G493" s="1"/>
      <c r="H493" s="1"/>
      <c r="I493" s="61"/>
      <c r="J493" s="1"/>
      <c r="K493" s="1"/>
    </row>
    <row r="494" spans="1:11" ht="15.75" customHeight="1">
      <c r="A494" s="2"/>
      <c r="B494" s="1"/>
      <c r="C494" s="1"/>
      <c r="D494" s="1"/>
      <c r="E494" s="1"/>
      <c r="F494" s="1"/>
      <c r="G494" s="1"/>
      <c r="H494" s="1"/>
      <c r="I494" s="61"/>
      <c r="J494" s="1"/>
      <c r="K494" s="1"/>
    </row>
    <row r="495" spans="1:11" ht="15.75" customHeight="1">
      <c r="A495" s="2"/>
      <c r="B495" s="1"/>
      <c r="C495" s="1"/>
      <c r="D495" s="1"/>
      <c r="E495" s="1"/>
      <c r="F495" s="1"/>
      <c r="G495" s="1"/>
      <c r="H495" s="1"/>
      <c r="I495" s="61"/>
      <c r="J495" s="1"/>
      <c r="K495" s="1"/>
    </row>
    <row r="496" spans="1:11" ht="15.75" customHeight="1">
      <c r="A496" s="2"/>
      <c r="B496" s="1"/>
      <c r="C496" s="1"/>
      <c r="D496" s="1"/>
      <c r="E496" s="1"/>
      <c r="F496" s="1"/>
      <c r="G496" s="1"/>
      <c r="H496" s="1"/>
      <c r="I496" s="61"/>
      <c r="J496" s="1"/>
      <c r="K496" s="1"/>
    </row>
    <row r="497" spans="1:11" ht="15.75" customHeight="1">
      <c r="A497" s="2"/>
      <c r="B497" s="1"/>
      <c r="C497" s="1"/>
      <c r="D497" s="1"/>
      <c r="E497" s="1"/>
      <c r="F497" s="1"/>
      <c r="G497" s="1"/>
      <c r="H497" s="1"/>
      <c r="I497" s="61"/>
      <c r="J497" s="1"/>
      <c r="K497" s="1"/>
    </row>
    <row r="498" spans="1:11" ht="15.75" customHeight="1">
      <c r="A498" s="2"/>
      <c r="B498" s="1"/>
      <c r="C498" s="1"/>
      <c r="D498" s="1"/>
      <c r="E498" s="1"/>
      <c r="F498" s="1"/>
      <c r="G498" s="1"/>
      <c r="H498" s="1"/>
      <c r="I498" s="61"/>
      <c r="J498" s="1"/>
      <c r="K498" s="1"/>
    </row>
    <row r="499" spans="1:11" ht="15.75" customHeight="1">
      <c r="A499" s="2"/>
      <c r="B499" s="1"/>
      <c r="C499" s="1"/>
      <c r="D499" s="1"/>
      <c r="E499" s="1"/>
      <c r="F499" s="1"/>
      <c r="G499" s="1"/>
      <c r="H499" s="1"/>
      <c r="I499" s="61"/>
      <c r="J499" s="1"/>
      <c r="K499" s="1"/>
    </row>
    <row r="500" spans="1:11" ht="15.75" customHeight="1">
      <c r="A500" s="2"/>
      <c r="B500" s="1"/>
      <c r="C500" s="1"/>
      <c r="D500" s="1"/>
      <c r="E500" s="1"/>
      <c r="F500" s="1"/>
      <c r="G500" s="1"/>
      <c r="H500" s="1"/>
      <c r="I500" s="61"/>
      <c r="J500" s="1"/>
      <c r="K500" s="1"/>
    </row>
    <row r="501" spans="1:11" ht="15.75" customHeight="1">
      <c r="A501" s="2"/>
      <c r="B501" s="1"/>
      <c r="C501" s="1"/>
      <c r="D501" s="1"/>
      <c r="E501" s="1"/>
      <c r="F501" s="1"/>
      <c r="G501" s="1"/>
      <c r="H501" s="1"/>
      <c r="I501" s="61"/>
      <c r="J501" s="1"/>
      <c r="K501" s="1"/>
    </row>
    <row r="502" spans="1:11" ht="15.75" customHeight="1">
      <c r="A502" s="2"/>
      <c r="B502" s="1"/>
      <c r="C502" s="1"/>
      <c r="D502" s="1"/>
      <c r="E502" s="1"/>
      <c r="F502" s="1"/>
      <c r="G502" s="1"/>
      <c r="H502" s="1"/>
      <c r="I502" s="61"/>
      <c r="J502" s="1"/>
      <c r="K502" s="1"/>
    </row>
    <row r="503" spans="1:11" ht="15.75" customHeight="1">
      <c r="A503" s="2"/>
      <c r="B503" s="1"/>
      <c r="C503" s="1"/>
      <c r="D503" s="1"/>
      <c r="E503" s="1"/>
      <c r="F503" s="1"/>
      <c r="G503" s="1"/>
      <c r="H503" s="1"/>
      <c r="I503" s="61"/>
      <c r="J503" s="1"/>
      <c r="K503" s="1"/>
    </row>
    <row r="504" spans="1:11" ht="15.75" customHeight="1">
      <c r="A504" s="2"/>
      <c r="B504" s="1"/>
      <c r="C504" s="1"/>
      <c r="D504" s="1"/>
      <c r="E504" s="1"/>
      <c r="F504" s="1"/>
      <c r="G504" s="1"/>
      <c r="H504" s="1"/>
      <c r="I504" s="61"/>
      <c r="J504" s="1"/>
      <c r="K504" s="1"/>
    </row>
    <row r="505" spans="1:11" ht="15.75" customHeight="1">
      <c r="A505" s="2"/>
      <c r="B505" s="1"/>
      <c r="C505" s="1"/>
      <c r="D505" s="1"/>
      <c r="E505" s="1"/>
      <c r="F505" s="1"/>
      <c r="G505" s="1"/>
      <c r="H505" s="1"/>
      <c r="I505" s="61"/>
      <c r="J505" s="1"/>
      <c r="K505" s="1"/>
    </row>
    <row r="506" spans="1:11" ht="15.75" customHeight="1">
      <c r="A506" s="2"/>
      <c r="B506" s="1"/>
      <c r="C506" s="1"/>
      <c r="D506" s="1"/>
      <c r="E506" s="1"/>
      <c r="F506" s="1"/>
      <c r="G506" s="1"/>
      <c r="H506" s="1"/>
      <c r="I506" s="61"/>
      <c r="J506" s="1"/>
      <c r="K506" s="1"/>
    </row>
    <row r="507" spans="1:11" ht="15.75" customHeight="1">
      <c r="A507" s="2"/>
      <c r="B507" s="1"/>
      <c r="C507" s="1"/>
      <c r="D507" s="1"/>
      <c r="E507" s="1"/>
      <c r="F507" s="1"/>
      <c r="G507" s="1"/>
      <c r="H507" s="1"/>
      <c r="I507" s="61"/>
      <c r="J507" s="1"/>
      <c r="K507" s="1"/>
    </row>
    <row r="508" spans="1:11" ht="15.75" customHeight="1">
      <c r="A508" s="2"/>
      <c r="B508" s="1"/>
      <c r="C508" s="1"/>
      <c r="D508" s="1"/>
      <c r="E508" s="1"/>
      <c r="F508" s="1"/>
      <c r="G508" s="1"/>
      <c r="H508" s="1"/>
      <c r="I508" s="61"/>
      <c r="J508" s="1"/>
      <c r="K508" s="1"/>
    </row>
    <row r="509" spans="1:11" ht="15.75" customHeight="1">
      <c r="A509" s="2"/>
      <c r="B509" s="1"/>
      <c r="C509" s="1"/>
      <c r="D509" s="1"/>
      <c r="E509" s="1"/>
      <c r="F509" s="1"/>
      <c r="G509" s="1"/>
      <c r="H509" s="1"/>
      <c r="I509" s="61"/>
      <c r="J509" s="1"/>
      <c r="K509" s="1"/>
    </row>
    <row r="510" spans="1:11" ht="15.75" customHeight="1">
      <c r="A510" s="2"/>
      <c r="B510" s="1"/>
      <c r="C510" s="1"/>
      <c r="D510" s="1"/>
      <c r="E510" s="1"/>
      <c r="F510" s="1"/>
      <c r="G510" s="1"/>
      <c r="H510" s="1"/>
      <c r="I510" s="61"/>
      <c r="J510" s="1"/>
      <c r="K510" s="1"/>
    </row>
    <row r="511" spans="1:11" ht="15.75" customHeight="1">
      <c r="A511" s="2"/>
      <c r="B511" s="1"/>
      <c r="C511" s="1"/>
      <c r="D511" s="1"/>
      <c r="E511" s="1"/>
      <c r="F511" s="1"/>
      <c r="G511" s="1"/>
      <c r="H511" s="1"/>
      <c r="I511" s="61"/>
      <c r="J511" s="1"/>
      <c r="K511" s="1"/>
    </row>
    <row r="512" spans="1:11" ht="15.75" customHeight="1">
      <c r="A512" s="2"/>
      <c r="B512" s="1"/>
      <c r="C512" s="1"/>
      <c r="D512" s="1"/>
      <c r="E512" s="1"/>
      <c r="F512" s="1"/>
      <c r="G512" s="1"/>
      <c r="H512" s="1"/>
      <c r="I512" s="61"/>
      <c r="J512" s="1"/>
      <c r="K512" s="1"/>
    </row>
    <row r="513" spans="1:11" ht="15.75" customHeight="1">
      <c r="A513" s="2"/>
      <c r="B513" s="1"/>
      <c r="C513" s="1"/>
      <c r="D513" s="1"/>
      <c r="E513" s="1"/>
      <c r="F513" s="1"/>
      <c r="G513" s="1"/>
      <c r="H513" s="1"/>
      <c r="I513" s="61"/>
      <c r="J513" s="1"/>
      <c r="K513" s="1"/>
    </row>
    <row r="514" spans="1:11" ht="15.75" customHeight="1">
      <c r="A514" s="2"/>
      <c r="B514" s="1"/>
      <c r="C514" s="1"/>
      <c r="D514" s="1"/>
      <c r="E514" s="1"/>
      <c r="F514" s="1"/>
      <c r="G514" s="1"/>
      <c r="H514" s="1"/>
      <c r="I514" s="61"/>
      <c r="J514" s="1"/>
      <c r="K514" s="1"/>
    </row>
    <row r="515" spans="1:11" ht="15.75" customHeight="1">
      <c r="A515" s="2"/>
      <c r="B515" s="1"/>
      <c r="C515" s="1"/>
      <c r="D515" s="1"/>
      <c r="E515" s="1"/>
      <c r="F515" s="1"/>
      <c r="G515" s="1"/>
      <c r="H515" s="1"/>
      <c r="I515" s="61"/>
      <c r="J515" s="1"/>
      <c r="K515" s="1"/>
    </row>
    <row r="516" spans="1:11" ht="15.75" customHeight="1">
      <c r="A516" s="2"/>
      <c r="B516" s="1"/>
      <c r="C516" s="1"/>
      <c r="D516" s="1"/>
      <c r="E516" s="1"/>
      <c r="F516" s="1"/>
      <c r="G516" s="1"/>
      <c r="H516" s="1"/>
      <c r="I516" s="61"/>
      <c r="J516" s="1"/>
      <c r="K516" s="1"/>
    </row>
    <row r="517" spans="1:11" ht="15.75" customHeight="1">
      <c r="A517" s="2"/>
      <c r="B517" s="1"/>
      <c r="C517" s="1"/>
      <c r="D517" s="1"/>
      <c r="E517" s="1"/>
      <c r="F517" s="1"/>
      <c r="G517" s="1"/>
      <c r="H517" s="1"/>
      <c r="I517" s="61"/>
      <c r="J517" s="1"/>
      <c r="K517" s="1"/>
    </row>
    <row r="518" spans="1:11" ht="15.75" customHeight="1">
      <c r="A518" s="2"/>
      <c r="B518" s="1"/>
      <c r="C518" s="1"/>
      <c r="D518" s="1"/>
      <c r="E518" s="1"/>
      <c r="F518" s="1"/>
      <c r="G518" s="1"/>
      <c r="H518" s="1"/>
      <c r="I518" s="61"/>
      <c r="J518" s="1"/>
      <c r="K518" s="1"/>
    </row>
    <row r="519" spans="1:11" ht="15.75" customHeight="1">
      <c r="A519" s="2"/>
      <c r="B519" s="1"/>
      <c r="C519" s="1"/>
      <c r="D519" s="1"/>
      <c r="E519" s="1"/>
      <c r="F519" s="1"/>
      <c r="G519" s="1"/>
      <c r="H519" s="1"/>
      <c r="I519" s="61"/>
      <c r="J519" s="1"/>
      <c r="K519" s="1"/>
    </row>
    <row r="520" spans="1:11" ht="15.75" customHeight="1">
      <c r="A520" s="2"/>
      <c r="B520" s="1"/>
      <c r="C520" s="1"/>
      <c r="D520" s="1"/>
      <c r="E520" s="1"/>
      <c r="F520" s="1"/>
      <c r="G520" s="1"/>
      <c r="H520" s="1"/>
      <c r="I520" s="61"/>
      <c r="J520" s="1"/>
      <c r="K520" s="1"/>
    </row>
    <row r="521" spans="1:11" ht="15.75" customHeight="1">
      <c r="A521" s="2"/>
      <c r="B521" s="1"/>
      <c r="C521" s="1"/>
      <c r="D521" s="1"/>
      <c r="E521" s="1"/>
      <c r="F521" s="1"/>
      <c r="G521" s="1"/>
      <c r="H521" s="1"/>
      <c r="I521" s="61"/>
      <c r="J521" s="1"/>
      <c r="K521" s="1"/>
    </row>
    <row r="522" spans="1:11" ht="15.75" customHeight="1">
      <c r="A522" s="2"/>
      <c r="B522" s="1"/>
      <c r="C522" s="1"/>
      <c r="D522" s="1"/>
      <c r="E522" s="1"/>
      <c r="F522" s="1"/>
      <c r="G522" s="1"/>
      <c r="H522" s="1"/>
      <c r="I522" s="61"/>
      <c r="J522" s="1"/>
      <c r="K522" s="1"/>
    </row>
    <row r="523" spans="1:11" ht="15.75" customHeight="1">
      <c r="A523" s="2"/>
      <c r="B523" s="1"/>
      <c r="C523" s="1"/>
      <c r="D523" s="1"/>
      <c r="E523" s="1"/>
      <c r="F523" s="1"/>
      <c r="G523" s="1"/>
      <c r="H523" s="1"/>
      <c r="I523" s="61"/>
      <c r="J523" s="1"/>
      <c r="K523" s="1"/>
    </row>
    <row r="524" spans="1:11" ht="15.75" customHeight="1">
      <c r="A524" s="2"/>
      <c r="B524" s="1"/>
      <c r="C524" s="1"/>
      <c r="D524" s="1"/>
      <c r="E524" s="1"/>
      <c r="F524" s="1"/>
      <c r="G524" s="1"/>
      <c r="H524" s="1"/>
      <c r="I524" s="61"/>
      <c r="J524" s="1"/>
      <c r="K524" s="1"/>
    </row>
    <row r="525" spans="1:11" ht="15.75" customHeight="1">
      <c r="A525" s="2"/>
      <c r="B525" s="1"/>
      <c r="C525" s="1"/>
      <c r="D525" s="1"/>
      <c r="E525" s="1"/>
      <c r="F525" s="1"/>
      <c r="G525" s="1"/>
      <c r="H525" s="1"/>
      <c r="I525" s="61"/>
      <c r="J525" s="1"/>
      <c r="K525" s="1"/>
    </row>
    <row r="526" spans="1:11" ht="15.75" customHeight="1">
      <c r="A526" s="2"/>
      <c r="B526" s="1"/>
      <c r="C526" s="1"/>
      <c r="D526" s="1"/>
      <c r="E526" s="1"/>
      <c r="F526" s="1"/>
      <c r="G526" s="1"/>
      <c r="H526" s="1"/>
      <c r="I526" s="61"/>
      <c r="J526" s="1"/>
      <c r="K526" s="1"/>
    </row>
    <row r="527" spans="1:11" ht="15.75" customHeight="1">
      <c r="A527" s="2"/>
      <c r="B527" s="1"/>
      <c r="C527" s="1"/>
      <c r="D527" s="1"/>
      <c r="E527" s="1"/>
      <c r="F527" s="1"/>
      <c r="G527" s="1"/>
      <c r="H527" s="1"/>
      <c r="I527" s="61"/>
      <c r="J527" s="1"/>
      <c r="K527" s="1"/>
    </row>
    <row r="528" spans="1:11" ht="15.75" customHeight="1">
      <c r="A528" s="2"/>
      <c r="B528" s="1"/>
      <c r="C528" s="1"/>
      <c r="D528" s="1"/>
      <c r="E528" s="1"/>
      <c r="F528" s="1"/>
      <c r="G528" s="1"/>
      <c r="H528" s="1"/>
      <c r="I528" s="61"/>
      <c r="J528" s="1"/>
      <c r="K528" s="1"/>
    </row>
    <row r="529" spans="1:11" ht="15.75" customHeight="1">
      <c r="A529" s="2"/>
      <c r="B529" s="1"/>
      <c r="C529" s="1"/>
      <c r="D529" s="1"/>
      <c r="E529" s="1"/>
      <c r="F529" s="1"/>
      <c r="G529" s="1"/>
      <c r="H529" s="1"/>
      <c r="I529" s="61"/>
      <c r="J529" s="1"/>
      <c r="K529" s="1"/>
    </row>
    <row r="530" spans="1:11" ht="15.75" customHeight="1">
      <c r="A530" s="2"/>
      <c r="B530" s="1"/>
      <c r="C530" s="1"/>
      <c r="D530" s="1"/>
      <c r="E530" s="1"/>
      <c r="F530" s="1"/>
      <c r="G530" s="1"/>
      <c r="H530" s="1"/>
      <c r="I530" s="61"/>
      <c r="J530" s="1"/>
      <c r="K530" s="1"/>
    </row>
    <row r="531" spans="1:11" ht="15.75" customHeight="1">
      <c r="A531" s="2"/>
      <c r="B531" s="1"/>
      <c r="C531" s="1"/>
      <c r="D531" s="1"/>
      <c r="E531" s="1"/>
      <c r="F531" s="1"/>
      <c r="G531" s="1"/>
      <c r="H531" s="1"/>
      <c r="I531" s="61"/>
      <c r="J531" s="1"/>
      <c r="K531" s="1"/>
    </row>
    <row r="532" spans="1:11" ht="15.75" customHeight="1">
      <c r="A532" s="2"/>
      <c r="B532" s="1"/>
      <c r="C532" s="1"/>
      <c r="D532" s="1"/>
      <c r="E532" s="1"/>
      <c r="F532" s="1"/>
      <c r="G532" s="1"/>
      <c r="H532" s="1"/>
      <c r="I532" s="61"/>
      <c r="J532" s="1"/>
      <c r="K532" s="1"/>
    </row>
    <row r="533" spans="1:11" ht="15.75" customHeight="1">
      <c r="A533" s="2"/>
      <c r="B533" s="1"/>
      <c r="C533" s="1"/>
      <c r="D533" s="1"/>
      <c r="E533" s="1"/>
      <c r="F533" s="1"/>
      <c r="G533" s="1"/>
      <c r="H533" s="1"/>
      <c r="I533" s="61"/>
      <c r="J533" s="1"/>
      <c r="K533" s="1"/>
    </row>
    <row r="534" spans="1:11" ht="15.75" customHeight="1">
      <c r="A534" s="2"/>
      <c r="B534" s="1"/>
      <c r="C534" s="1"/>
      <c r="D534" s="1"/>
      <c r="E534" s="1"/>
      <c r="F534" s="1"/>
      <c r="G534" s="1"/>
      <c r="H534" s="1"/>
      <c r="I534" s="61"/>
      <c r="J534" s="1"/>
      <c r="K534" s="1"/>
    </row>
    <row r="535" spans="1:11" ht="15.75" customHeight="1">
      <c r="A535" s="2"/>
      <c r="B535" s="1"/>
      <c r="C535" s="1"/>
      <c r="D535" s="1"/>
      <c r="E535" s="1"/>
      <c r="F535" s="1"/>
      <c r="G535" s="1"/>
      <c r="H535" s="1"/>
      <c r="I535" s="61"/>
      <c r="J535" s="1"/>
      <c r="K535" s="1"/>
    </row>
    <row r="536" spans="1:11" ht="15.75" customHeight="1">
      <c r="A536" s="2"/>
      <c r="B536" s="1"/>
      <c r="C536" s="1"/>
      <c r="D536" s="1"/>
      <c r="E536" s="1"/>
      <c r="F536" s="1"/>
      <c r="G536" s="1"/>
      <c r="H536" s="1"/>
      <c r="I536" s="61"/>
      <c r="J536" s="1"/>
      <c r="K536" s="1"/>
    </row>
    <row r="537" spans="1:11" ht="15.75" customHeight="1">
      <c r="A537" s="2"/>
      <c r="B537" s="1"/>
      <c r="C537" s="1"/>
      <c r="D537" s="1"/>
      <c r="E537" s="1"/>
      <c r="F537" s="1"/>
      <c r="G537" s="1"/>
      <c r="H537" s="1"/>
      <c r="I537" s="61"/>
      <c r="J537" s="1"/>
      <c r="K537" s="1"/>
    </row>
    <row r="538" spans="1:11" ht="15.75" customHeight="1">
      <c r="A538" s="2"/>
      <c r="B538" s="1"/>
      <c r="C538" s="1"/>
      <c r="D538" s="1"/>
      <c r="E538" s="1"/>
      <c r="F538" s="1"/>
      <c r="G538" s="1"/>
      <c r="H538" s="1"/>
      <c r="I538" s="61"/>
      <c r="J538" s="1"/>
      <c r="K538" s="1"/>
    </row>
    <row r="539" spans="1:11" ht="15.75" customHeight="1">
      <c r="A539" s="2"/>
      <c r="B539" s="1"/>
      <c r="C539" s="1"/>
      <c r="D539" s="1"/>
      <c r="E539" s="1"/>
      <c r="F539" s="1"/>
      <c r="G539" s="1"/>
      <c r="H539" s="1"/>
      <c r="I539" s="61"/>
      <c r="J539" s="1"/>
      <c r="K539" s="1"/>
    </row>
    <row r="540" spans="1:11" ht="15.75" customHeight="1">
      <c r="A540" s="2"/>
      <c r="B540" s="1"/>
      <c r="C540" s="1"/>
      <c r="D540" s="1"/>
      <c r="E540" s="1"/>
      <c r="F540" s="1"/>
      <c r="G540" s="1"/>
      <c r="H540" s="1"/>
      <c r="I540" s="61"/>
      <c r="J540" s="1"/>
      <c r="K540" s="1"/>
    </row>
    <row r="541" spans="1:11" ht="15.75" customHeight="1">
      <c r="A541" s="2"/>
      <c r="B541" s="1"/>
      <c r="C541" s="1"/>
      <c r="D541" s="1"/>
      <c r="E541" s="1"/>
      <c r="F541" s="1"/>
      <c r="G541" s="1"/>
      <c r="H541" s="1"/>
      <c r="I541" s="61"/>
      <c r="J541" s="1"/>
      <c r="K541" s="1"/>
    </row>
    <row r="542" spans="1:11" ht="15.75" customHeight="1">
      <c r="A542" s="2"/>
      <c r="B542" s="1"/>
      <c r="C542" s="1"/>
      <c r="D542" s="1"/>
      <c r="E542" s="1"/>
      <c r="F542" s="1"/>
      <c r="G542" s="1"/>
      <c r="H542" s="1"/>
      <c r="I542" s="61"/>
      <c r="J542" s="1"/>
      <c r="K542" s="1"/>
    </row>
    <row r="543" spans="1:11" ht="15.75" customHeight="1">
      <c r="A543" s="2"/>
      <c r="B543" s="1"/>
      <c r="C543" s="1"/>
      <c r="D543" s="1"/>
      <c r="E543" s="1"/>
      <c r="F543" s="1"/>
      <c r="G543" s="1"/>
      <c r="H543" s="1"/>
      <c r="I543" s="61"/>
      <c r="J543" s="1"/>
      <c r="K543" s="1"/>
    </row>
    <row r="544" spans="1:11" ht="15.75" customHeight="1">
      <c r="A544" s="2"/>
      <c r="B544" s="1"/>
      <c r="C544" s="1"/>
      <c r="D544" s="1"/>
      <c r="E544" s="1"/>
      <c r="F544" s="1"/>
      <c r="G544" s="1"/>
      <c r="H544" s="1"/>
      <c r="I544" s="61"/>
      <c r="J544" s="1"/>
      <c r="K544" s="1"/>
    </row>
    <row r="545" spans="1:11" ht="15.75" customHeight="1">
      <c r="A545" s="2"/>
      <c r="B545" s="1"/>
      <c r="C545" s="1"/>
      <c r="D545" s="1"/>
      <c r="E545" s="1"/>
      <c r="F545" s="1"/>
      <c r="G545" s="1"/>
      <c r="H545" s="1"/>
      <c r="I545" s="61"/>
      <c r="J545" s="1"/>
      <c r="K545" s="1"/>
    </row>
    <row r="546" spans="1:11" ht="15.75" customHeight="1">
      <c r="A546" s="2"/>
      <c r="B546" s="1"/>
      <c r="C546" s="1"/>
      <c r="D546" s="1"/>
      <c r="E546" s="1"/>
      <c r="F546" s="1"/>
      <c r="G546" s="1"/>
      <c r="H546" s="1"/>
      <c r="I546" s="61"/>
      <c r="J546" s="1"/>
      <c r="K546" s="1"/>
    </row>
    <row r="547" spans="1:11" ht="15.75" customHeight="1">
      <c r="A547" s="2"/>
      <c r="B547" s="1"/>
      <c r="C547" s="1"/>
      <c r="D547" s="1"/>
      <c r="E547" s="1"/>
      <c r="F547" s="1"/>
      <c r="G547" s="1"/>
      <c r="H547" s="1"/>
      <c r="I547" s="61"/>
      <c r="J547" s="1"/>
      <c r="K547" s="1"/>
    </row>
    <row r="548" spans="1:11" ht="15.75" customHeight="1">
      <c r="A548" s="2"/>
      <c r="B548" s="1"/>
      <c r="C548" s="1"/>
      <c r="D548" s="1"/>
      <c r="E548" s="1"/>
      <c r="F548" s="1"/>
      <c r="G548" s="1"/>
      <c r="H548" s="1"/>
      <c r="I548" s="61"/>
      <c r="J548" s="1"/>
      <c r="K548" s="1"/>
    </row>
    <row r="549" spans="1:11" ht="15.75" customHeight="1">
      <c r="A549" s="2"/>
      <c r="B549" s="1"/>
      <c r="C549" s="1"/>
      <c r="D549" s="1"/>
      <c r="E549" s="1"/>
      <c r="F549" s="1"/>
      <c r="G549" s="1"/>
      <c r="H549" s="1"/>
      <c r="I549" s="61"/>
      <c r="J549" s="1"/>
      <c r="K549" s="1"/>
    </row>
    <row r="550" spans="1:11" ht="15.75" customHeight="1">
      <c r="A550" s="2"/>
      <c r="B550" s="1"/>
      <c r="C550" s="1"/>
      <c r="D550" s="1"/>
      <c r="E550" s="1"/>
      <c r="F550" s="1"/>
      <c r="G550" s="1"/>
      <c r="H550" s="1"/>
      <c r="I550" s="61"/>
      <c r="J550" s="1"/>
      <c r="K550" s="1"/>
    </row>
    <row r="551" spans="1:11" ht="15.75" customHeight="1">
      <c r="A551" s="2"/>
      <c r="B551" s="1"/>
      <c r="C551" s="1"/>
      <c r="D551" s="1"/>
      <c r="E551" s="1"/>
      <c r="F551" s="1"/>
      <c r="G551" s="1"/>
      <c r="H551" s="1"/>
      <c r="I551" s="61"/>
      <c r="J551" s="1"/>
      <c r="K551" s="1"/>
    </row>
    <row r="552" spans="1:11" ht="15.75" customHeight="1">
      <c r="A552" s="2"/>
      <c r="B552" s="1"/>
      <c r="C552" s="1"/>
      <c r="D552" s="1"/>
      <c r="E552" s="1"/>
      <c r="F552" s="1"/>
      <c r="G552" s="1"/>
      <c r="H552" s="1"/>
      <c r="I552" s="61"/>
      <c r="J552" s="1"/>
      <c r="K552" s="1"/>
    </row>
    <row r="553" spans="1:11" ht="15.75" customHeight="1">
      <c r="A553" s="2"/>
      <c r="B553" s="1"/>
      <c r="C553" s="1"/>
      <c r="D553" s="1"/>
      <c r="E553" s="1"/>
      <c r="F553" s="1"/>
      <c r="G553" s="1"/>
      <c r="H553" s="1"/>
      <c r="I553" s="61"/>
      <c r="J553" s="1"/>
      <c r="K553" s="1"/>
    </row>
    <row r="554" spans="1:11" ht="15.75" customHeight="1">
      <c r="A554" s="2"/>
      <c r="B554" s="1"/>
      <c r="C554" s="1"/>
      <c r="D554" s="1"/>
      <c r="E554" s="1"/>
      <c r="F554" s="1"/>
      <c r="G554" s="1"/>
      <c r="H554" s="1"/>
      <c r="I554" s="61"/>
      <c r="J554" s="1"/>
      <c r="K554" s="1"/>
    </row>
    <row r="555" spans="1:11" ht="15.75" customHeight="1">
      <c r="A555" s="2"/>
      <c r="B555" s="1"/>
      <c r="C555" s="1"/>
      <c r="D555" s="1"/>
      <c r="E555" s="1"/>
      <c r="F555" s="1"/>
      <c r="G555" s="1"/>
      <c r="H555" s="1"/>
      <c r="I555" s="61"/>
      <c r="J555" s="1"/>
      <c r="K555" s="1"/>
    </row>
    <row r="556" spans="1:11" ht="15.75" customHeight="1">
      <c r="A556" s="2"/>
      <c r="B556" s="1"/>
      <c r="C556" s="1"/>
      <c r="D556" s="1"/>
      <c r="E556" s="1"/>
      <c r="F556" s="1"/>
      <c r="G556" s="1"/>
      <c r="H556" s="1"/>
      <c r="I556" s="61"/>
      <c r="J556" s="1"/>
      <c r="K556" s="1"/>
    </row>
    <row r="557" spans="1:11" ht="15.75" customHeight="1">
      <c r="A557" s="2"/>
      <c r="B557" s="1"/>
      <c r="C557" s="1"/>
      <c r="D557" s="1"/>
      <c r="E557" s="1"/>
      <c r="F557" s="1"/>
      <c r="G557" s="1"/>
      <c r="H557" s="1"/>
      <c r="I557" s="61"/>
      <c r="J557" s="1"/>
      <c r="K557" s="1"/>
    </row>
    <row r="558" spans="1:11" ht="15.75" customHeight="1">
      <c r="A558" s="2"/>
      <c r="B558" s="1"/>
      <c r="C558" s="1"/>
      <c r="D558" s="1"/>
      <c r="E558" s="1"/>
      <c r="F558" s="1"/>
      <c r="G558" s="1"/>
      <c r="H558" s="1"/>
      <c r="I558" s="61"/>
      <c r="J558" s="1"/>
      <c r="K558" s="1"/>
    </row>
    <row r="559" spans="1:11" ht="15.75" customHeight="1">
      <c r="A559" s="2"/>
      <c r="B559" s="1"/>
      <c r="C559" s="1"/>
      <c r="D559" s="1"/>
      <c r="E559" s="1"/>
      <c r="F559" s="1"/>
      <c r="G559" s="1"/>
      <c r="H559" s="1"/>
      <c r="I559" s="61"/>
      <c r="J559" s="1"/>
      <c r="K559" s="1"/>
    </row>
    <row r="560" spans="1:11" ht="15.75" customHeight="1">
      <c r="A560" s="2"/>
      <c r="B560" s="1"/>
      <c r="C560" s="1"/>
      <c r="D560" s="1"/>
      <c r="E560" s="1"/>
      <c r="F560" s="1"/>
      <c r="G560" s="1"/>
      <c r="H560" s="1"/>
      <c r="I560" s="61"/>
      <c r="J560" s="1"/>
      <c r="K560" s="1"/>
    </row>
    <row r="561" spans="1:11" ht="15.75" customHeight="1">
      <c r="A561" s="2"/>
      <c r="B561" s="1"/>
      <c r="C561" s="1"/>
      <c r="D561" s="1"/>
      <c r="E561" s="1"/>
      <c r="F561" s="1"/>
      <c r="G561" s="1"/>
      <c r="H561" s="1"/>
      <c r="I561" s="61"/>
      <c r="J561" s="1"/>
      <c r="K561" s="1"/>
    </row>
    <row r="562" spans="1:11" ht="15.75" customHeight="1">
      <c r="A562" s="2"/>
      <c r="B562" s="1"/>
      <c r="C562" s="1"/>
      <c r="D562" s="1"/>
      <c r="E562" s="1"/>
      <c r="F562" s="1"/>
      <c r="G562" s="1"/>
      <c r="H562" s="1"/>
      <c r="I562" s="61"/>
      <c r="J562" s="1"/>
      <c r="K562" s="1"/>
    </row>
    <row r="563" spans="1:11" ht="15.75" customHeight="1">
      <c r="A563" s="2"/>
      <c r="B563" s="1"/>
      <c r="C563" s="1"/>
      <c r="D563" s="1"/>
      <c r="E563" s="1"/>
      <c r="F563" s="1"/>
      <c r="G563" s="1"/>
      <c r="H563" s="1"/>
      <c r="I563" s="61"/>
      <c r="J563" s="1"/>
      <c r="K563" s="1"/>
    </row>
    <row r="564" spans="1:11" ht="15.75" customHeight="1">
      <c r="A564" s="2"/>
      <c r="B564" s="1"/>
      <c r="C564" s="1"/>
      <c r="D564" s="1"/>
      <c r="E564" s="1"/>
      <c r="F564" s="1"/>
      <c r="G564" s="1"/>
      <c r="H564" s="1"/>
      <c r="I564" s="61"/>
      <c r="J564" s="1"/>
      <c r="K564" s="1"/>
    </row>
    <row r="565" spans="1:11" ht="15.75" customHeight="1">
      <c r="A565" s="2"/>
      <c r="B565" s="1"/>
      <c r="C565" s="1"/>
      <c r="D565" s="1"/>
      <c r="E565" s="1"/>
      <c r="F565" s="1"/>
      <c r="G565" s="1"/>
      <c r="H565" s="1"/>
      <c r="I565" s="61"/>
      <c r="J565" s="1"/>
      <c r="K565" s="1"/>
    </row>
    <row r="566" spans="1:11" ht="15.75" customHeight="1">
      <c r="A566" s="2"/>
      <c r="B566" s="1"/>
      <c r="C566" s="1"/>
      <c r="D566" s="1"/>
      <c r="E566" s="1"/>
      <c r="F566" s="1"/>
      <c r="G566" s="1"/>
      <c r="H566" s="1"/>
      <c r="I566" s="61"/>
      <c r="J566" s="1"/>
      <c r="K566" s="1"/>
    </row>
    <row r="567" spans="1:11" ht="15.75" customHeight="1">
      <c r="A567" s="2"/>
      <c r="B567" s="1"/>
      <c r="C567" s="1"/>
      <c r="D567" s="1"/>
      <c r="E567" s="1"/>
      <c r="F567" s="1"/>
      <c r="G567" s="1"/>
      <c r="H567" s="1"/>
      <c r="I567" s="61"/>
      <c r="J567" s="1"/>
      <c r="K567" s="1"/>
    </row>
    <row r="568" spans="1:11" ht="15.75" customHeight="1">
      <c r="A568" s="2"/>
      <c r="B568" s="1"/>
      <c r="C568" s="1"/>
      <c r="D568" s="1"/>
      <c r="E568" s="1"/>
      <c r="F568" s="1"/>
      <c r="G568" s="1"/>
      <c r="H568" s="1"/>
      <c r="I568" s="61"/>
      <c r="J568" s="1"/>
      <c r="K568" s="1"/>
    </row>
    <row r="569" spans="1:11" ht="15.75" customHeight="1">
      <c r="A569" s="2"/>
      <c r="B569" s="1"/>
      <c r="C569" s="1"/>
      <c r="D569" s="1"/>
      <c r="E569" s="1"/>
      <c r="F569" s="1"/>
      <c r="G569" s="1"/>
      <c r="H569" s="1"/>
      <c r="I569" s="61"/>
      <c r="J569" s="1"/>
      <c r="K569" s="1"/>
    </row>
    <row r="570" spans="1:11" ht="15.75" customHeight="1">
      <c r="A570" s="2"/>
      <c r="B570" s="1"/>
      <c r="C570" s="1"/>
      <c r="D570" s="1"/>
      <c r="E570" s="1"/>
      <c r="F570" s="1"/>
      <c r="G570" s="1"/>
      <c r="H570" s="1"/>
      <c r="I570" s="61"/>
      <c r="J570" s="1"/>
      <c r="K570" s="1"/>
    </row>
    <row r="571" spans="1:11" ht="15.75" customHeight="1">
      <c r="A571" s="2"/>
      <c r="B571" s="1"/>
      <c r="C571" s="1"/>
      <c r="D571" s="1"/>
      <c r="E571" s="1"/>
      <c r="F571" s="1"/>
      <c r="G571" s="1"/>
      <c r="H571" s="1"/>
      <c r="I571" s="61"/>
      <c r="J571" s="1"/>
      <c r="K571" s="1"/>
    </row>
    <row r="572" spans="1:11" ht="15.75" customHeight="1">
      <c r="A572" s="2"/>
      <c r="B572" s="1"/>
      <c r="C572" s="1"/>
      <c r="D572" s="1"/>
      <c r="E572" s="1"/>
      <c r="F572" s="1"/>
      <c r="G572" s="1"/>
      <c r="H572" s="1"/>
      <c r="I572" s="61"/>
      <c r="J572" s="1"/>
      <c r="K572" s="1"/>
    </row>
    <row r="573" spans="1:11" ht="15.75" customHeight="1">
      <c r="A573" s="2"/>
      <c r="B573" s="1"/>
      <c r="C573" s="1"/>
      <c r="D573" s="1"/>
      <c r="E573" s="1"/>
      <c r="F573" s="1"/>
      <c r="G573" s="1"/>
      <c r="H573" s="1"/>
      <c r="I573" s="61"/>
      <c r="J573" s="1"/>
      <c r="K573" s="1"/>
    </row>
    <row r="574" spans="1:11" ht="15.75" customHeight="1">
      <c r="A574" s="2"/>
      <c r="B574" s="1"/>
      <c r="C574" s="1"/>
      <c r="D574" s="1"/>
      <c r="E574" s="1"/>
      <c r="F574" s="1"/>
      <c r="G574" s="1"/>
      <c r="H574" s="1"/>
      <c r="I574" s="61"/>
      <c r="J574" s="1"/>
      <c r="K574" s="1"/>
    </row>
    <row r="575" spans="1:11" ht="15.75" customHeight="1">
      <c r="A575" s="2"/>
      <c r="B575" s="1"/>
      <c r="C575" s="1"/>
      <c r="D575" s="1"/>
      <c r="E575" s="1"/>
      <c r="F575" s="1"/>
      <c r="G575" s="1"/>
      <c r="H575" s="1"/>
      <c r="I575" s="61"/>
      <c r="J575" s="1"/>
      <c r="K575" s="1"/>
    </row>
    <row r="576" spans="1:11" ht="15.75" customHeight="1">
      <c r="A576" s="2"/>
      <c r="B576" s="1"/>
      <c r="C576" s="1"/>
      <c r="D576" s="1"/>
      <c r="E576" s="1"/>
      <c r="F576" s="1"/>
      <c r="G576" s="1"/>
      <c r="H576" s="1"/>
      <c r="I576" s="61"/>
      <c r="J576" s="1"/>
      <c r="K576" s="1"/>
    </row>
    <row r="577" spans="1:11" ht="15.75" customHeight="1">
      <c r="A577" s="2"/>
      <c r="B577" s="1"/>
      <c r="C577" s="1"/>
      <c r="D577" s="1"/>
      <c r="E577" s="1"/>
      <c r="F577" s="1"/>
      <c r="G577" s="1"/>
      <c r="H577" s="1"/>
      <c r="I577" s="61"/>
      <c r="J577" s="1"/>
      <c r="K577" s="1"/>
    </row>
    <row r="578" spans="1:11" ht="15.75" customHeight="1">
      <c r="A578" s="2"/>
      <c r="B578" s="1"/>
      <c r="C578" s="1"/>
      <c r="D578" s="1"/>
      <c r="E578" s="1"/>
      <c r="F578" s="1"/>
      <c r="G578" s="1"/>
      <c r="H578" s="1"/>
      <c r="I578" s="61"/>
      <c r="J578" s="1"/>
      <c r="K578" s="1"/>
    </row>
    <row r="579" spans="1:11" ht="15.75" customHeight="1">
      <c r="A579" s="2"/>
      <c r="B579" s="1"/>
      <c r="C579" s="1"/>
      <c r="D579" s="1"/>
      <c r="E579" s="1"/>
      <c r="F579" s="1"/>
      <c r="G579" s="1"/>
      <c r="H579" s="1"/>
      <c r="I579" s="61"/>
      <c r="J579" s="1"/>
      <c r="K579" s="1"/>
    </row>
    <row r="580" spans="1:11" ht="15.75" customHeight="1">
      <c r="A580" s="2"/>
      <c r="B580" s="1"/>
      <c r="C580" s="1"/>
      <c r="D580" s="1"/>
      <c r="E580" s="1"/>
      <c r="F580" s="1"/>
      <c r="G580" s="1"/>
      <c r="H580" s="1"/>
      <c r="I580" s="61"/>
      <c r="J580" s="1"/>
      <c r="K580" s="1"/>
    </row>
    <row r="581" spans="1:11" ht="15.75" customHeight="1">
      <c r="A581" s="2"/>
      <c r="B581" s="1"/>
      <c r="C581" s="1"/>
      <c r="D581" s="1"/>
      <c r="E581" s="1"/>
      <c r="F581" s="1"/>
      <c r="G581" s="1"/>
      <c r="H581" s="1"/>
      <c r="I581" s="61"/>
      <c r="J581" s="1"/>
      <c r="K581" s="1"/>
    </row>
    <row r="582" spans="1:11" ht="15.75" customHeight="1">
      <c r="A582" s="2"/>
      <c r="B582" s="1"/>
      <c r="C582" s="1"/>
      <c r="D582" s="1"/>
      <c r="E582" s="1"/>
      <c r="F582" s="1"/>
      <c r="G582" s="1"/>
      <c r="H582" s="1"/>
      <c r="I582" s="61"/>
      <c r="J582" s="1"/>
      <c r="K582" s="1"/>
    </row>
    <row r="583" spans="1:11" ht="15.75" customHeight="1">
      <c r="A583" s="2"/>
      <c r="B583" s="1"/>
      <c r="C583" s="1"/>
      <c r="D583" s="1"/>
      <c r="E583" s="1"/>
      <c r="F583" s="1"/>
      <c r="G583" s="1"/>
      <c r="H583" s="1"/>
      <c r="I583" s="61"/>
      <c r="J583" s="1"/>
      <c r="K583" s="1"/>
    </row>
    <row r="584" spans="1:11" ht="15.75" customHeight="1">
      <c r="A584" s="2"/>
      <c r="B584" s="1"/>
      <c r="C584" s="1"/>
      <c r="D584" s="1"/>
      <c r="E584" s="1"/>
      <c r="F584" s="1"/>
      <c r="G584" s="1"/>
      <c r="H584" s="1"/>
      <c r="I584" s="61"/>
      <c r="J584" s="1"/>
      <c r="K584" s="1"/>
    </row>
    <row r="585" spans="1:11" ht="15.75" customHeight="1">
      <c r="A585" s="2"/>
      <c r="B585" s="1"/>
      <c r="C585" s="1"/>
      <c r="D585" s="1"/>
      <c r="E585" s="1"/>
      <c r="F585" s="1"/>
      <c r="G585" s="1"/>
      <c r="H585" s="1"/>
      <c r="I585" s="61"/>
      <c r="J585" s="1"/>
      <c r="K585" s="1"/>
    </row>
    <row r="586" spans="1:11" ht="15.75" customHeight="1">
      <c r="A586" s="2"/>
      <c r="B586" s="1"/>
      <c r="C586" s="1"/>
      <c r="D586" s="1"/>
      <c r="E586" s="1"/>
      <c r="F586" s="1"/>
      <c r="G586" s="1"/>
      <c r="H586" s="1"/>
      <c r="I586" s="61"/>
      <c r="J586" s="1"/>
      <c r="K586" s="1"/>
    </row>
    <row r="587" spans="1:11" ht="15.75" customHeight="1">
      <c r="A587" s="2"/>
      <c r="B587" s="1"/>
      <c r="C587" s="1"/>
      <c r="D587" s="1"/>
      <c r="E587" s="1"/>
      <c r="F587" s="1"/>
      <c r="G587" s="1"/>
      <c r="H587" s="1"/>
      <c r="I587" s="61"/>
      <c r="J587" s="1"/>
      <c r="K587" s="1"/>
    </row>
    <row r="588" spans="1:11" ht="15.75" customHeight="1">
      <c r="A588" s="2"/>
      <c r="B588" s="1"/>
      <c r="C588" s="1"/>
      <c r="D588" s="1"/>
      <c r="E588" s="1"/>
      <c r="F588" s="1"/>
      <c r="G588" s="1"/>
      <c r="H588" s="1"/>
      <c r="I588" s="61"/>
      <c r="J588" s="1"/>
      <c r="K588" s="1"/>
    </row>
    <row r="589" spans="1:11" ht="15.75" customHeight="1">
      <c r="A589" s="2"/>
      <c r="B589" s="1"/>
      <c r="C589" s="1"/>
      <c r="D589" s="1"/>
      <c r="E589" s="1"/>
      <c r="F589" s="1"/>
      <c r="G589" s="1"/>
      <c r="H589" s="1"/>
      <c r="I589" s="61"/>
      <c r="J589" s="1"/>
      <c r="K589" s="1"/>
    </row>
    <row r="590" spans="1:11" ht="15.75" customHeight="1">
      <c r="A590" s="2"/>
      <c r="B590" s="1"/>
      <c r="C590" s="1"/>
      <c r="D590" s="1"/>
      <c r="E590" s="1"/>
      <c r="F590" s="1"/>
      <c r="G590" s="1"/>
      <c r="H590" s="1"/>
      <c r="I590" s="61"/>
      <c r="J590" s="1"/>
      <c r="K590" s="1"/>
    </row>
    <row r="591" spans="1:11" ht="15.75" customHeight="1">
      <c r="A591" s="2"/>
      <c r="B591" s="1"/>
      <c r="C591" s="1"/>
      <c r="D591" s="1"/>
      <c r="E591" s="1"/>
      <c r="F591" s="1"/>
      <c r="G591" s="1"/>
      <c r="H591" s="1"/>
      <c r="I591" s="61"/>
      <c r="J591" s="1"/>
      <c r="K591" s="1"/>
    </row>
    <row r="592" spans="1:11" ht="15.75" customHeight="1">
      <c r="A592" s="2"/>
      <c r="B592" s="1"/>
      <c r="C592" s="1"/>
      <c r="D592" s="1"/>
      <c r="E592" s="1"/>
      <c r="F592" s="1"/>
      <c r="G592" s="1"/>
      <c r="H592" s="1"/>
      <c r="I592" s="61"/>
      <c r="J592" s="1"/>
      <c r="K592" s="1"/>
    </row>
    <row r="593" spans="1:11" ht="15.75" customHeight="1">
      <c r="A593" s="2"/>
      <c r="B593" s="1"/>
      <c r="C593" s="1"/>
      <c r="D593" s="1"/>
      <c r="E593" s="1"/>
      <c r="F593" s="1"/>
      <c r="G593" s="1"/>
      <c r="H593" s="1"/>
      <c r="I593" s="61"/>
      <c r="J593" s="1"/>
      <c r="K593" s="1"/>
    </row>
    <row r="594" spans="1:11" ht="15.75" customHeight="1">
      <c r="A594" s="2"/>
      <c r="B594" s="1"/>
      <c r="C594" s="1"/>
      <c r="D594" s="1"/>
      <c r="E594" s="1"/>
      <c r="F594" s="1"/>
      <c r="G594" s="1"/>
      <c r="H594" s="1"/>
      <c r="I594" s="61"/>
      <c r="J594" s="1"/>
      <c r="K594" s="1"/>
    </row>
    <row r="595" spans="1:11" ht="15.75" customHeight="1">
      <c r="A595" s="2"/>
      <c r="B595" s="1"/>
      <c r="C595" s="1"/>
      <c r="D595" s="1"/>
      <c r="E595" s="1"/>
      <c r="F595" s="1"/>
      <c r="G595" s="1"/>
      <c r="H595" s="1"/>
      <c r="I595" s="61"/>
      <c r="J595" s="1"/>
      <c r="K595" s="1"/>
    </row>
    <row r="596" spans="1:11" ht="15.75" customHeight="1">
      <c r="A596" s="2"/>
      <c r="B596" s="1"/>
      <c r="C596" s="1"/>
      <c r="D596" s="1"/>
      <c r="E596" s="1"/>
      <c r="F596" s="1"/>
      <c r="G596" s="1"/>
      <c r="H596" s="1"/>
      <c r="I596" s="61"/>
      <c r="J596" s="1"/>
      <c r="K596" s="1"/>
    </row>
    <row r="597" spans="1:11" ht="15.75" customHeight="1">
      <c r="A597" s="2"/>
      <c r="B597" s="1"/>
      <c r="C597" s="1"/>
      <c r="D597" s="1"/>
      <c r="E597" s="1"/>
      <c r="F597" s="1"/>
      <c r="G597" s="1"/>
      <c r="H597" s="1"/>
      <c r="I597" s="61"/>
      <c r="J597" s="1"/>
      <c r="K597" s="1"/>
    </row>
    <row r="598" spans="1:11" ht="15.75" customHeight="1">
      <c r="A598" s="2"/>
      <c r="B598" s="1"/>
      <c r="C598" s="1"/>
      <c r="D598" s="1"/>
      <c r="E598" s="1"/>
      <c r="F598" s="1"/>
      <c r="G598" s="1"/>
      <c r="H598" s="1"/>
      <c r="I598" s="61"/>
      <c r="J598" s="1"/>
      <c r="K598" s="1"/>
    </row>
    <row r="599" spans="1:11" ht="15.75" customHeight="1">
      <c r="A599" s="2"/>
      <c r="B599" s="1"/>
      <c r="C599" s="1"/>
      <c r="D599" s="1"/>
      <c r="E599" s="1"/>
      <c r="F599" s="1"/>
      <c r="G599" s="1"/>
      <c r="H599" s="1"/>
      <c r="I599" s="61"/>
      <c r="J599" s="1"/>
      <c r="K599" s="1"/>
    </row>
    <row r="600" spans="1:11" ht="15.75" customHeight="1">
      <c r="A600" s="2"/>
      <c r="B600" s="1"/>
      <c r="C600" s="1"/>
      <c r="D600" s="1"/>
      <c r="E600" s="1"/>
      <c r="F600" s="1"/>
      <c r="G600" s="1"/>
      <c r="H600" s="1"/>
      <c r="I600" s="61"/>
      <c r="J600" s="1"/>
      <c r="K600" s="1"/>
    </row>
    <row r="601" spans="1:11" ht="15.75" customHeight="1">
      <c r="A601" s="2"/>
      <c r="B601" s="1"/>
      <c r="C601" s="1"/>
      <c r="D601" s="1"/>
      <c r="E601" s="1"/>
      <c r="F601" s="1"/>
      <c r="G601" s="1"/>
      <c r="H601" s="1"/>
      <c r="I601" s="61"/>
      <c r="J601" s="1"/>
      <c r="K601" s="1"/>
    </row>
    <row r="602" spans="1:11" ht="15.75" customHeight="1">
      <c r="A602" s="2"/>
      <c r="B602" s="1"/>
      <c r="C602" s="1"/>
      <c r="D602" s="1"/>
      <c r="E602" s="1"/>
      <c r="F602" s="1"/>
      <c r="G602" s="1"/>
      <c r="H602" s="1"/>
      <c r="I602" s="61"/>
      <c r="J602" s="1"/>
      <c r="K602" s="1"/>
    </row>
    <row r="603" spans="1:11" ht="15.75" customHeight="1">
      <c r="A603" s="2"/>
      <c r="B603" s="1"/>
      <c r="C603" s="1"/>
      <c r="D603" s="1"/>
      <c r="E603" s="1"/>
      <c r="F603" s="1"/>
      <c r="G603" s="1"/>
      <c r="H603" s="1"/>
      <c r="I603" s="61"/>
      <c r="J603" s="1"/>
      <c r="K603" s="1"/>
    </row>
    <row r="604" spans="1:11" ht="15.75" customHeight="1">
      <c r="A604" s="2"/>
      <c r="B604" s="1"/>
      <c r="C604" s="1"/>
      <c r="D604" s="1"/>
      <c r="E604" s="1"/>
      <c r="F604" s="1"/>
      <c r="G604" s="1"/>
      <c r="H604" s="1"/>
      <c r="I604" s="61"/>
      <c r="J604" s="1"/>
      <c r="K604" s="1"/>
    </row>
    <row r="605" spans="1:11" ht="15.75" customHeight="1">
      <c r="A605" s="2"/>
      <c r="B605" s="1"/>
      <c r="C605" s="1"/>
      <c r="D605" s="1"/>
      <c r="E605" s="1"/>
      <c r="F605" s="1"/>
      <c r="G605" s="1"/>
      <c r="H605" s="1"/>
      <c r="I605" s="61"/>
      <c r="J605" s="1"/>
      <c r="K605" s="1"/>
    </row>
    <row r="606" spans="1:11" ht="15.75" customHeight="1">
      <c r="A606" s="2"/>
      <c r="B606" s="1"/>
      <c r="C606" s="1"/>
      <c r="D606" s="1"/>
      <c r="E606" s="1"/>
      <c r="F606" s="1"/>
      <c r="G606" s="1"/>
      <c r="H606" s="1"/>
      <c r="I606" s="61"/>
      <c r="J606" s="1"/>
      <c r="K606" s="1"/>
    </row>
    <row r="607" spans="1:11" ht="15.75" customHeight="1">
      <c r="A607" s="2"/>
      <c r="B607" s="1"/>
      <c r="C607" s="1"/>
      <c r="D607" s="1"/>
      <c r="E607" s="1"/>
      <c r="F607" s="1"/>
      <c r="G607" s="1"/>
      <c r="H607" s="1"/>
      <c r="I607" s="61"/>
      <c r="J607" s="1"/>
      <c r="K607" s="1"/>
    </row>
    <row r="608" spans="1:11" ht="15.75" customHeight="1">
      <c r="A608" s="2"/>
      <c r="B608" s="1"/>
      <c r="C608" s="1"/>
      <c r="D608" s="1"/>
      <c r="E608" s="1"/>
      <c r="F608" s="1"/>
      <c r="G608" s="1"/>
      <c r="H608" s="1"/>
      <c r="I608" s="61"/>
      <c r="J608" s="1"/>
      <c r="K608" s="1"/>
    </row>
    <row r="609" spans="1:11" ht="15.75" customHeight="1">
      <c r="A609" s="2"/>
      <c r="B609" s="1"/>
      <c r="C609" s="1"/>
      <c r="D609" s="1"/>
      <c r="E609" s="1"/>
      <c r="F609" s="1"/>
      <c r="G609" s="1"/>
      <c r="H609" s="1"/>
      <c r="I609" s="61"/>
      <c r="J609" s="1"/>
      <c r="K609" s="1"/>
    </row>
    <row r="610" spans="1:11" ht="15.75" customHeight="1">
      <c r="A610" s="2"/>
      <c r="B610" s="1"/>
      <c r="C610" s="1"/>
      <c r="D610" s="1"/>
      <c r="E610" s="1"/>
      <c r="F610" s="1"/>
      <c r="G610" s="1"/>
      <c r="H610" s="1"/>
      <c r="I610" s="61"/>
      <c r="J610" s="1"/>
      <c r="K610" s="1"/>
    </row>
    <row r="611" spans="1:11" ht="15.75" customHeight="1">
      <c r="A611" s="2"/>
      <c r="B611" s="1"/>
      <c r="C611" s="1"/>
      <c r="D611" s="1"/>
      <c r="E611" s="1"/>
      <c r="F611" s="1"/>
      <c r="G611" s="1"/>
      <c r="H611" s="1"/>
      <c r="I611" s="61"/>
      <c r="J611" s="1"/>
      <c r="K611" s="1"/>
    </row>
    <row r="612" spans="1:11" ht="15.75" customHeight="1">
      <c r="A612" s="2"/>
      <c r="B612" s="1"/>
      <c r="C612" s="1"/>
      <c r="D612" s="1"/>
      <c r="E612" s="1"/>
      <c r="F612" s="1"/>
      <c r="G612" s="1"/>
      <c r="H612" s="1"/>
      <c r="I612" s="61"/>
      <c r="J612" s="1"/>
      <c r="K612" s="1"/>
    </row>
    <row r="613" spans="1:11" ht="15.75" customHeight="1">
      <c r="A613" s="2"/>
      <c r="B613" s="1"/>
      <c r="C613" s="1"/>
      <c r="D613" s="1"/>
      <c r="E613" s="1"/>
      <c r="F613" s="1"/>
      <c r="G613" s="1"/>
      <c r="H613" s="1"/>
      <c r="I613" s="61"/>
      <c r="J613" s="1"/>
      <c r="K613" s="1"/>
    </row>
    <row r="614" spans="1:11" ht="15.75" customHeight="1">
      <c r="A614" s="2"/>
      <c r="B614" s="1"/>
      <c r="C614" s="1"/>
      <c r="D614" s="1"/>
      <c r="E614" s="1"/>
      <c r="F614" s="1"/>
      <c r="G614" s="1"/>
      <c r="H614" s="1"/>
      <c r="I614" s="61"/>
      <c r="J614" s="1"/>
      <c r="K614" s="1"/>
    </row>
    <row r="615" spans="1:11" ht="15.75" customHeight="1">
      <c r="A615" s="2"/>
      <c r="B615" s="1"/>
      <c r="C615" s="1"/>
      <c r="D615" s="1"/>
      <c r="E615" s="1"/>
      <c r="F615" s="1"/>
      <c r="G615" s="1"/>
      <c r="H615" s="1"/>
      <c r="I615" s="61"/>
      <c r="J615" s="1"/>
      <c r="K615" s="1"/>
    </row>
    <row r="616" spans="1:11" ht="15.75" customHeight="1">
      <c r="A616" s="2"/>
      <c r="B616" s="1"/>
      <c r="C616" s="1"/>
      <c r="D616" s="1"/>
      <c r="E616" s="1"/>
      <c r="F616" s="1"/>
      <c r="G616" s="1"/>
      <c r="H616" s="1"/>
      <c r="I616" s="61"/>
      <c r="J616" s="1"/>
      <c r="K616" s="1"/>
    </row>
    <row r="617" spans="1:11" ht="15.75" customHeight="1">
      <c r="A617" s="2"/>
      <c r="B617" s="1"/>
      <c r="C617" s="1"/>
      <c r="D617" s="1"/>
      <c r="E617" s="1"/>
      <c r="F617" s="1"/>
      <c r="G617" s="1"/>
      <c r="H617" s="1"/>
      <c r="I617" s="61"/>
      <c r="J617" s="1"/>
      <c r="K617" s="1"/>
    </row>
    <row r="618" spans="1:11" ht="15.75" customHeight="1">
      <c r="A618" s="2"/>
      <c r="B618" s="1"/>
      <c r="C618" s="1"/>
      <c r="D618" s="1"/>
      <c r="E618" s="1"/>
      <c r="F618" s="1"/>
      <c r="G618" s="1"/>
      <c r="H618" s="1"/>
      <c r="I618" s="61"/>
      <c r="J618" s="1"/>
      <c r="K618" s="1"/>
    </row>
    <row r="619" spans="1:11" ht="15.75" customHeight="1">
      <c r="A619" s="2"/>
      <c r="B619" s="1"/>
      <c r="C619" s="1"/>
      <c r="D619" s="1"/>
      <c r="E619" s="1"/>
      <c r="F619" s="1"/>
      <c r="G619" s="1"/>
      <c r="H619" s="1"/>
      <c r="I619" s="61"/>
      <c r="J619" s="1"/>
      <c r="K619" s="1"/>
    </row>
    <row r="620" spans="1:11" ht="15.75" customHeight="1">
      <c r="A620" s="2"/>
      <c r="B620" s="1"/>
      <c r="C620" s="1"/>
      <c r="D620" s="1"/>
      <c r="E620" s="1"/>
      <c r="F620" s="1"/>
      <c r="G620" s="1"/>
      <c r="H620" s="1"/>
      <c r="I620" s="61"/>
      <c r="J620" s="1"/>
      <c r="K620" s="1"/>
    </row>
    <row r="621" spans="1:11" ht="15.75" customHeight="1">
      <c r="A621" s="2"/>
      <c r="B621" s="1"/>
      <c r="C621" s="1"/>
      <c r="D621" s="1"/>
      <c r="E621" s="1"/>
      <c r="F621" s="1"/>
      <c r="G621" s="1"/>
      <c r="H621" s="1"/>
      <c r="I621" s="61"/>
      <c r="J621" s="1"/>
      <c r="K621" s="1"/>
    </row>
    <row r="622" spans="1:11" ht="15.75" customHeight="1">
      <c r="A622" s="2"/>
      <c r="B622" s="1"/>
      <c r="C622" s="1"/>
      <c r="D622" s="1"/>
      <c r="E622" s="1"/>
      <c r="F622" s="1"/>
      <c r="G622" s="1"/>
      <c r="H622" s="1"/>
      <c r="I622" s="61"/>
      <c r="J622" s="1"/>
      <c r="K622" s="1"/>
    </row>
    <row r="623" spans="1:11" ht="15.75" customHeight="1">
      <c r="A623" s="2"/>
      <c r="B623" s="1"/>
      <c r="C623" s="1"/>
      <c r="D623" s="1"/>
      <c r="E623" s="1"/>
      <c r="F623" s="1"/>
      <c r="G623" s="1"/>
      <c r="H623" s="1"/>
      <c r="I623" s="61"/>
      <c r="J623" s="1"/>
      <c r="K623" s="1"/>
    </row>
    <row r="624" spans="1:11" ht="15.75" customHeight="1">
      <c r="A624" s="2"/>
      <c r="B624" s="1"/>
      <c r="C624" s="1"/>
      <c r="D624" s="1"/>
      <c r="E624" s="1"/>
      <c r="F624" s="1"/>
      <c r="G624" s="1"/>
      <c r="H624" s="1"/>
      <c r="I624" s="61"/>
      <c r="J624" s="1"/>
      <c r="K624" s="1"/>
    </row>
    <row r="625" spans="1:11" ht="15.75" customHeight="1">
      <c r="A625" s="2"/>
      <c r="B625" s="1"/>
      <c r="C625" s="1"/>
      <c r="D625" s="1"/>
      <c r="E625" s="1"/>
      <c r="F625" s="1"/>
      <c r="G625" s="1"/>
      <c r="H625" s="1"/>
      <c r="I625" s="61"/>
      <c r="J625" s="1"/>
      <c r="K625" s="1"/>
    </row>
    <row r="626" spans="1:11" ht="15.75" customHeight="1">
      <c r="A626" s="2"/>
      <c r="B626" s="1"/>
      <c r="C626" s="1"/>
      <c r="D626" s="1"/>
      <c r="E626" s="1"/>
      <c r="F626" s="1"/>
      <c r="G626" s="1"/>
      <c r="H626" s="1"/>
      <c r="I626" s="61"/>
      <c r="J626" s="1"/>
      <c r="K626" s="1"/>
    </row>
    <row r="627" spans="1:11" ht="15.75" customHeight="1">
      <c r="A627" s="2"/>
      <c r="B627" s="1"/>
      <c r="C627" s="1"/>
      <c r="D627" s="1"/>
      <c r="E627" s="1"/>
      <c r="F627" s="1"/>
      <c r="G627" s="1"/>
      <c r="H627" s="1"/>
      <c r="I627" s="61"/>
      <c r="J627" s="1"/>
      <c r="K627" s="1"/>
    </row>
    <row r="628" spans="1:11" ht="15.75" customHeight="1">
      <c r="A628" s="2"/>
      <c r="B628" s="1"/>
      <c r="C628" s="1"/>
      <c r="D628" s="1"/>
      <c r="E628" s="1"/>
      <c r="F628" s="1"/>
      <c r="G628" s="1"/>
      <c r="H628" s="1"/>
      <c r="I628" s="61"/>
      <c r="J628" s="1"/>
      <c r="K628" s="1"/>
    </row>
    <row r="629" spans="1:11" ht="15.75" customHeight="1">
      <c r="A629" s="2"/>
      <c r="B629" s="1"/>
      <c r="C629" s="1"/>
      <c r="D629" s="1"/>
      <c r="E629" s="1"/>
      <c r="F629" s="1"/>
      <c r="G629" s="1"/>
      <c r="H629" s="1"/>
      <c r="I629" s="61"/>
      <c r="J629" s="1"/>
      <c r="K629" s="1"/>
    </row>
    <row r="630" spans="1:11" ht="15.75" customHeight="1">
      <c r="A630" s="2"/>
      <c r="B630" s="1"/>
      <c r="C630" s="1"/>
      <c r="D630" s="1"/>
      <c r="E630" s="1"/>
      <c r="F630" s="1"/>
      <c r="G630" s="1"/>
      <c r="H630" s="1"/>
      <c r="I630" s="61"/>
      <c r="J630" s="1"/>
      <c r="K630" s="1"/>
    </row>
    <row r="631" spans="1:11" ht="15.75" customHeight="1">
      <c r="A631" s="2"/>
      <c r="B631" s="1"/>
      <c r="C631" s="1"/>
      <c r="D631" s="1"/>
      <c r="E631" s="1"/>
      <c r="F631" s="1"/>
      <c r="G631" s="1"/>
      <c r="H631" s="1"/>
      <c r="I631" s="61"/>
      <c r="J631" s="1"/>
      <c r="K631" s="1"/>
    </row>
    <row r="632" spans="1:11" ht="15.75" customHeight="1">
      <c r="A632" s="2"/>
      <c r="B632" s="1"/>
      <c r="C632" s="1"/>
      <c r="D632" s="1"/>
      <c r="E632" s="1"/>
      <c r="F632" s="1"/>
      <c r="G632" s="1"/>
      <c r="H632" s="1"/>
      <c r="I632" s="61"/>
      <c r="J632" s="1"/>
      <c r="K632" s="1"/>
    </row>
    <row r="633" spans="1:11" ht="15.75" customHeight="1">
      <c r="A633" s="2"/>
      <c r="B633" s="1"/>
      <c r="C633" s="1"/>
      <c r="D633" s="1"/>
      <c r="E633" s="1"/>
      <c r="F633" s="1"/>
      <c r="G633" s="1"/>
      <c r="H633" s="1"/>
      <c r="I633" s="61"/>
      <c r="J633" s="1"/>
      <c r="K633" s="1"/>
    </row>
    <row r="634" spans="1:11" ht="15.75" customHeight="1">
      <c r="A634" s="2"/>
      <c r="B634" s="1"/>
      <c r="C634" s="1"/>
      <c r="D634" s="1"/>
      <c r="E634" s="1"/>
      <c r="F634" s="1"/>
      <c r="G634" s="1"/>
      <c r="H634" s="1"/>
      <c r="I634" s="61"/>
      <c r="J634" s="1"/>
      <c r="K634" s="1"/>
    </row>
    <row r="635" spans="1:11" ht="15.75" customHeight="1">
      <c r="A635" s="2"/>
      <c r="B635" s="1"/>
      <c r="C635" s="1"/>
      <c r="D635" s="1"/>
      <c r="E635" s="1"/>
      <c r="F635" s="1"/>
      <c r="G635" s="1"/>
      <c r="H635" s="1"/>
      <c r="I635" s="61"/>
      <c r="J635" s="1"/>
      <c r="K635" s="1"/>
    </row>
    <row r="636" spans="1:11" ht="15.75" customHeight="1">
      <c r="A636" s="2"/>
      <c r="B636" s="1"/>
      <c r="C636" s="1"/>
      <c r="D636" s="1"/>
      <c r="E636" s="1"/>
      <c r="F636" s="1"/>
      <c r="G636" s="1"/>
      <c r="H636" s="1"/>
      <c r="I636" s="61"/>
      <c r="J636" s="1"/>
      <c r="K636" s="1"/>
    </row>
    <row r="637" spans="1:11" ht="15.75" customHeight="1">
      <c r="A637" s="2"/>
      <c r="B637" s="1"/>
      <c r="C637" s="1"/>
      <c r="D637" s="1"/>
      <c r="E637" s="1"/>
      <c r="F637" s="1"/>
      <c r="G637" s="1"/>
      <c r="H637" s="1"/>
      <c r="I637" s="61"/>
      <c r="J637" s="1"/>
      <c r="K637" s="1"/>
    </row>
    <row r="638" spans="1:11" ht="15.75" customHeight="1">
      <c r="A638" s="2"/>
      <c r="B638" s="1"/>
      <c r="C638" s="1"/>
      <c r="D638" s="1"/>
      <c r="E638" s="1"/>
      <c r="F638" s="1"/>
      <c r="G638" s="1"/>
      <c r="H638" s="1"/>
      <c r="I638" s="61"/>
      <c r="J638" s="1"/>
      <c r="K638" s="1"/>
    </row>
    <row r="639" spans="1:11" ht="15.75" customHeight="1">
      <c r="A639" s="2"/>
      <c r="B639" s="1"/>
      <c r="C639" s="1"/>
      <c r="D639" s="1"/>
      <c r="E639" s="1"/>
      <c r="F639" s="1"/>
      <c r="G639" s="1"/>
      <c r="H639" s="1"/>
      <c r="I639" s="61"/>
      <c r="J639" s="1"/>
      <c r="K639" s="1"/>
    </row>
    <row r="640" spans="1:11" ht="15.75" customHeight="1">
      <c r="A640" s="2"/>
      <c r="B640" s="1"/>
      <c r="C640" s="1"/>
      <c r="D640" s="1"/>
      <c r="E640" s="1"/>
      <c r="F640" s="1"/>
      <c r="G640" s="1"/>
      <c r="H640" s="1"/>
      <c r="I640" s="61"/>
      <c r="J640" s="1"/>
      <c r="K640" s="1"/>
    </row>
    <row r="641" spans="1:11" ht="15.75" customHeight="1">
      <c r="A641" s="2"/>
      <c r="B641" s="1"/>
      <c r="C641" s="1"/>
      <c r="D641" s="1"/>
      <c r="E641" s="1"/>
      <c r="F641" s="1"/>
      <c r="G641" s="1"/>
      <c r="H641" s="1"/>
      <c r="I641" s="61"/>
      <c r="J641" s="1"/>
      <c r="K641" s="1"/>
    </row>
    <row r="642" spans="1:11" ht="15.75" customHeight="1">
      <c r="A642" s="2"/>
      <c r="B642" s="1"/>
      <c r="C642" s="1"/>
      <c r="D642" s="1"/>
      <c r="E642" s="1"/>
      <c r="F642" s="1"/>
      <c r="G642" s="1"/>
      <c r="H642" s="1"/>
      <c r="I642" s="61"/>
      <c r="J642" s="1"/>
      <c r="K642" s="1"/>
    </row>
    <row r="643" spans="1:11" ht="15.75" customHeight="1">
      <c r="A643" s="2"/>
      <c r="B643" s="1"/>
      <c r="C643" s="1"/>
      <c r="D643" s="1"/>
      <c r="E643" s="1"/>
      <c r="F643" s="1"/>
      <c r="G643" s="1"/>
      <c r="H643" s="1"/>
      <c r="I643" s="61"/>
      <c r="J643" s="1"/>
      <c r="K643" s="1"/>
    </row>
    <row r="644" spans="1:11" ht="15.75" customHeight="1">
      <c r="A644" s="2"/>
      <c r="B644" s="1"/>
      <c r="C644" s="1"/>
      <c r="D644" s="1"/>
      <c r="E644" s="1"/>
      <c r="F644" s="1"/>
      <c r="G644" s="1"/>
      <c r="H644" s="1"/>
      <c r="I644" s="61"/>
      <c r="J644" s="1"/>
      <c r="K644" s="1"/>
    </row>
    <row r="645" spans="1:11" ht="15.75" customHeight="1">
      <c r="A645" s="2"/>
      <c r="B645" s="1"/>
      <c r="C645" s="1"/>
      <c r="D645" s="1"/>
      <c r="E645" s="1"/>
      <c r="F645" s="1"/>
      <c r="G645" s="1"/>
      <c r="H645" s="1"/>
      <c r="I645" s="61"/>
      <c r="J645" s="1"/>
      <c r="K645" s="1"/>
    </row>
    <row r="646" spans="1:11" ht="15.75" customHeight="1">
      <c r="A646" s="2"/>
      <c r="B646" s="1"/>
      <c r="C646" s="1"/>
      <c r="D646" s="1"/>
      <c r="E646" s="1"/>
      <c r="F646" s="1"/>
      <c r="G646" s="1"/>
      <c r="H646" s="1"/>
      <c r="I646" s="61"/>
      <c r="J646" s="1"/>
      <c r="K646" s="1"/>
    </row>
    <row r="647" spans="1:11" ht="15.75" customHeight="1">
      <c r="A647" s="2"/>
      <c r="B647" s="1"/>
      <c r="C647" s="1"/>
      <c r="D647" s="1"/>
      <c r="E647" s="1"/>
      <c r="F647" s="1"/>
      <c r="G647" s="1"/>
      <c r="H647" s="1"/>
      <c r="I647" s="61"/>
      <c r="J647" s="1"/>
      <c r="K647" s="1"/>
    </row>
    <row r="648" spans="1:11" ht="15.75" customHeight="1">
      <c r="A648" s="2"/>
      <c r="B648" s="1"/>
      <c r="C648" s="1"/>
      <c r="D648" s="1"/>
      <c r="E648" s="1"/>
      <c r="F648" s="1"/>
      <c r="G648" s="1"/>
      <c r="H648" s="1"/>
      <c r="I648" s="61"/>
      <c r="J648" s="1"/>
      <c r="K648" s="1"/>
    </row>
    <row r="649" spans="1:11" ht="15.75" customHeight="1">
      <c r="A649" s="2"/>
      <c r="B649" s="1"/>
      <c r="C649" s="1"/>
      <c r="D649" s="1"/>
      <c r="E649" s="1"/>
      <c r="F649" s="1"/>
      <c r="G649" s="1"/>
      <c r="H649" s="1"/>
      <c r="I649" s="61"/>
      <c r="J649" s="1"/>
      <c r="K649" s="1"/>
    </row>
    <row r="650" spans="1:11" ht="15.75" customHeight="1">
      <c r="A650" s="2"/>
      <c r="B650" s="1"/>
      <c r="C650" s="1"/>
      <c r="D650" s="1"/>
      <c r="E650" s="1"/>
      <c r="F650" s="1"/>
      <c r="G650" s="1"/>
      <c r="H650" s="1"/>
      <c r="I650" s="61"/>
      <c r="J650" s="1"/>
      <c r="K650" s="1"/>
    </row>
    <row r="651" spans="1:11" ht="15.75" customHeight="1">
      <c r="A651" s="2"/>
      <c r="B651" s="1"/>
      <c r="C651" s="1"/>
      <c r="D651" s="1"/>
      <c r="E651" s="1"/>
      <c r="F651" s="1"/>
      <c r="G651" s="1"/>
      <c r="H651" s="1"/>
      <c r="I651" s="61"/>
      <c r="J651" s="1"/>
      <c r="K651" s="1"/>
    </row>
    <row r="652" spans="1:11" ht="15.75" customHeight="1">
      <c r="A652" s="2"/>
      <c r="B652" s="1"/>
      <c r="C652" s="1"/>
      <c r="D652" s="1"/>
      <c r="E652" s="1"/>
      <c r="F652" s="1"/>
      <c r="G652" s="1"/>
      <c r="H652" s="1"/>
      <c r="I652" s="61"/>
      <c r="J652" s="1"/>
      <c r="K652" s="1"/>
    </row>
    <row r="653" spans="1:11" ht="15.75" customHeight="1">
      <c r="A653" s="2"/>
      <c r="B653" s="1"/>
      <c r="C653" s="1"/>
      <c r="D653" s="1"/>
      <c r="E653" s="1"/>
      <c r="F653" s="1"/>
      <c r="G653" s="1"/>
      <c r="H653" s="1"/>
      <c r="I653" s="61"/>
      <c r="J653" s="1"/>
      <c r="K653" s="1"/>
    </row>
    <row r="654" spans="1:11" ht="15.75" customHeight="1">
      <c r="A654" s="2"/>
      <c r="B654" s="1"/>
      <c r="C654" s="1"/>
      <c r="D654" s="1"/>
      <c r="E654" s="1"/>
      <c r="F654" s="1"/>
      <c r="G654" s="1"/>
      <c r="H654" s="1"/>
      <c r="I654" s="61"/>
      <c r="J654" s="1"/>
      <c r="K654" s="1"/>
    </row>
    <row r="655" spans="1:11" ht="15.75" customHeight="1">
      <c r="A655" s="2"/>
      <c r="B655" s="1"/>
      <c r="C655" s="1"/>
      <c r="D655" s="1"/>
      <c r="E655" s="1"/>
      <c r="F655" s="1"/>
      <c r="G655" s="1"/>
      <c r="H655" s="1"/>
      <c r="I655" s="61"/>
      <c r="J655" s="1"/>
      <c r="K655" s="1"/>
    </row>
    <row r="656" spans="1:11" ht="15.75" customHeight="1">
      <c r="A656" s="2"/>
      <c r="B656" s="1"/>
      <c r="C656" s="1"/>
      <c r="D656" s="1"/>
      <c r="E656" s="1"/>
      <c r="F656" s="1"/>
      <c r="G656" s="1"/>
      <c r="H656" s="1"/>
      <c r="I656" s="61"/>
      <c r="J656" s="1"/>
      <c r="K656" s="1"/>
    </row>
    <row r="657" spans="1:11" ht="15.75" customHeight="1">
      <c r="A657" s="2"/>
      <c r="B657" s="1"/>
      <c r="C657" s="1"/>
      <c r="D657" s="1"/>
      <c r="E657" s="1"/>
      <c r="F657" s="1"/>
      <c r="G657" s="1"/>
      <c r="H657" s="1"/>
      <c r="I657" s="61"/>
      <c r="J657" s="1"/>
      <c r="K657" s="1"/>
    </row>
    <row r="658" spans="1:11" ht="15.75" customHeight="1">
      <c r="A658" s="2"/>
      <c r="B658" s="1"/>
      <c r="C658" s="1"/>
      <c r="D658" s="1"/>
      <c r="E658" s="1"/>
      <c r="F658" s="1"/>
      <c r="G658" s="1"/>
      <c r="H658" s="1"/>
      <c r="I658" s="61"/>
      <c r="J658" s="1"/>
      <c r="K658" s="1"/>
    </row>
    <row r="659" spans="1:11" ht="15.75" customHeight="1">
      <c r="A659" s="2"/>
      <c r="B659" s="1"/>
      <c r="C659" s="1"/>
      <c r="D659" s="1"/>
      <c r="E659" s="1"/>
      <c r="F659" s="1"/>
      <c r="G659" s="1"/>
      <c r="H659" s="1"/>
      <c r="I659" s="61"/>
      <c r="J659" s="1"/>
      <c r="K659" s="1"/>
    </row>
    <row r="660" spans="1:11" ht="15.75" customHeight="1">
      <c r="A660" s="2"/>
      <c r="B660" s="1"/>
      <c r="C660" s="1"/>
      <c r="D660" s="1"/>
      <c r="E660" s="1"/>
      <c r="F660" s="1"/>
      <c r="G660" s="1"/>
      <c r="H660" s="1"/>
      <c r="I660" s="61"/>
      <c r="J660" s="1"/>
      <c r="K660" s="1"/>
    </row>
    <row r="661" spans="1:11" ht="15.75" customHeight="1">
      <c r="A661" s="2"/>
      <c r="B661" s="1"/>
      <c r="C661" s="1"/>
      <c r="D661" s="1"/>
      <c r="E661" s="1"/>
      <c r="F661" s="1"/>
      <c r="G661" s="1"/>
      <c r="H661" s="1"/>
      <c r="I661" s="61"/>
      <c r="J661" s="1"/>
      <c r="K661" s="1"/>
    </row>
    <row r="662" spans="1:11" ht="15.75" customHeight="1">
      <c r="A662" s="2"/>
      <c r="B662" s="1"/>
      <c r="C662" s="1"/>
      <c r="D662" s="1"/>
      <c r="E662" s="1"/>
      <c r="F662" s="1"/>
      <c r="G662" s="1"/>
      <c r="H662" s="1"/>
      <c r="I662" s="61"/>
      <c r="J662" s="1"/>
      <c r="K662" s="1"/>
    </row>
    <row r="663" spans="1:11" ht="15.75" customHeight="1">
      <c r="A663" s="2"/>
      <c r="B663" s="1"/>
      <c r="C663" s="1"/>
      <c r="D663" s="1"/>
      <c r="E663" s="1"/>
      <c r="F663" s="1"/>
      <c r="G663" s="1"/>
      <c r="H663" s="1"/>
      <c r="I663" s="61"/>
      <c r="J663" s="1"/>
      <c r="K663" s="1"/>
    </row>
    <row r="664" spans="1:11" ht="15.75" customHeight="1">
      <c r="A664" s="2"/>
      <c r="B664" s="1"/>
      <c r="C664" s="1"/>
      <c r="D664" s="1"/>
      <c r="E664" s="1"/>
      <c r="F664" s="1"/>
      <c r="G664" s="1"/>
      <c r="H664" s="1"/>
      <c r="I664" s="61"/>
      <c r="J664" s="1"/>
      <c r="K664" s="1"/>
    </row>
    <row r="665" spans="1:11" ht="15.75" customHeight="1">
      <c r="A665" s="2"/>
      <c r="B665" s="1"/>
      <c r="C665" s="1"/>
      <c r="D665" s="1"/>
      <c r="E665" s="1"/>
      <c r="F665" s="1"/>
      <c r="G665" s="1"/>
      <c r="H665" s="1"/>
      <c r="I665" s="61"/>
      <c r="J665" s="1"/>
      <c r="K665" s="1"/>
    </row>
    <row r="666" spans="1:11" ht="15.75" customHeight="1">
      <c r="A666" s="2"/>
      <c r="B666" s="1"/>
      <c r="C666" s="1"/>
      <c r="D666" s="1"/>
      <c r="E666" s="1"/>
      <c r="F666" s="1"/>
      <c r="G666" s="1"/>
      <c r="H666" s="1"/>
      <c r="I666" s="61"/>
      <c r="J666" s="1"/>
      <c r="K666" s="1"/>
    </row>
    <row r="667" spans="1:11" ht="15.75" customHeight="1">
      <c r="A667" s="2"/>
      <c r="B667" s="1"/>
      <c r="C667" s="1"/>
      <c r="D667" s="1"/>
      <c r="E667" s="1"/>
      <c r="F667" s="1"/>
      <c r="G667" s="1"/>
      <c r="H667" s="1"/>
      <c r="I667" s="61"/>
      <c r="J667" s="1"/>
      <c r="K667" s="1"/>
    </row>
    <row r="668" spans="1:11" ht="15.75" customHeight="1">
      <c r="A668" s="2"/>
      <c r="B668" s="1"/>
      <c r="C668" s="1"/>
      <c r="D668" s="1"/>
      <c r="E668" s="1"/>
      <c r="F668" s="1"/>
      <c r="G668" s="1"/>
      <c r="H668" s="1"/>
      <c r="I668" s="61"/>
      <c r="J668" s="1"/>
      <c r="K668" s="1"/>
    </row>
    <row r="669" spans="1:11" ht="15.75" customHeight="1">
      <c r="A669" s="2"/>
      <c r="B669" s="1"/>
      <c r="C669" s="1"/>
      <c r="D669" s="1"/>
      <c r="E669" s="1"/>
      <c r="F669" s="1"/>
      <c r="G669" s="1"/>
      <c r="H669" s="1"/>
      <c r="I669" s="61"/>
      <c r="J669" s="1"/>
      <c r="K669" s="1"/>
    </row>
    <row r="670" spans="1:11" ht="15.75" customHeight="1">
      <c r="A670" s="2"/>
      <c r="B670" s="1"/>
      <c r="C670" s="1"/>
      <c r="D670" s="1"/>
      <c r="E670" s="1"/>
      <c r="F670" s="1"/>
      <c r="G670" s="1"/>
      <c r="H670" s="1"/>
      <c r="I670" s="61"/>
      <c r="J670" s="1"/>
      <c r="K670" s="1"/>
    </row>
    <row r="671" spans="1:11" ht="15.75" customHeight="1">
      <c r="A671" s="2"/>
      <c r="B671" s="1"/>
      <c r="C671" s="1"/>
      <c r="D671" s="1"/>
      <c r="E671" s="1"/>
      <c r="F671" s="1"/>
      <c r="G671" s="1"/>
      <c r="H671" s="1"/>
      <c r="I671" s="61"/>
      <c r="J671" s="1"/>
      <c r="K671" s="1"/>
    </row>
    <row r="672" spans="1:11" ht="15.75" customHeight="1">
      <c r="A672" s="2"/>
      <c r="B672" s="1"/>
      <c r="C672" s="1"/>
      <c r="D672" s="1"/>
      <c r="E672" s="1"/>
      <c r="F672" s="1"/>
      <c r="G672" s="1"/>
      <c r="H672" s="1"/>
      <c r="I672" s="61"/>
      <c r="J672" s="1"/>
      <c r="K672" s="1"/>
    </row>
    <row r="673" spans="1:11" ht="15.75" customHeight="1">
      <c r="A673" s="2"/>
      <c r="B673" s="1"/>
      <c r="C673" s="1"/>
      <c r="D673" s="1"/>
      <c r="E673" s="1"/>
      <c r="F673" s="1"/>
      <c r="G673" s="1"/>
      <c r="H673" s="1"/>
      <c r="I673" s="61"/>
      <c r="J673" s="1"/>
      <c r="K673" s="1"/>
    </row>
    <row r="674" spans="1:11" ht="15.75" customHeight="1">
      <c r="A674" s="2"/>
      <c r="B674" s="1"/>
      <c r="C674" s="1"/>
      <c r="D674" s="1"/>
      <c r="E674" s="1"/>
      <c r="F674" s="1"/>
      <c r="G674" s="1"/>
      <c r="H674" s="1"/>
      <c r="I674" s="61"/>
      <c r="J674" s="1"/>
      <c r="K674" s="1"/>
    </row>
    <row r="675" spans="1:11" ht="15.75" customHeight="1">
      <c r="A675" s="2"/>
      <c r="B675" s="1"/>
      <c r="C675" s="1"/>
      <c r="D675" s="1"/>
      <c r="E675" s="1"/>
      <c r="F675" s="1"/>
      <c r="G675" s="1"/>
      <c r="H675" s="1"/>
      <c r="I675" s="61"/>
      <c r="J675" s="1"/>
      <c r="K675" s="1"/>
    </row>
    <row r="676" spans="1:11" ht="15.75" customHeight="1">
      <c r="A676" s="2"/>
      <c r="B676" s="1"/>
      <c r="C676" s="1"/>
      <c r="D676" s="1"/>
      <c r="E676" s="1"/>
      <c r="F676" s="1"/>
      <c r="G676" s="1"/>
      <c r="H676" s="1"/>
      <c r="I676" s="61"/>
      <c r="J676" s="1"/>
      <c r="K676" s="1"/>
    </row>
    <row r="677" spans="1:11" ht="15.75" customHeight="1">
      <c r="A677" s="2"/>
      <c r="B677" s="1"/>
      <c r="C677" s="1"/>
      <c r="D677" s="1"/>
      <c r="E677" s="1"/>
      <c r="F677" s="1"/>
      <c r="G677" s="1"/>
      <c r="H677" s="1"/>
      <c r="I677" s="61"/>
      <c r="J677" s="1"/>
      <c r="K677" s="1"/>
    </row>
    <row r="678" spans="1:11" ht="15.75" customHeight="1">
      <c r="A678" s="2"/>
      <c r="B678" s="1"/>
      <c r="C678" s="1"/>
      <c r="D678" s="1"/>
      <c r="E678" s="1"/>
      <c r="F678" s="1"/>
      <c r="G678" s="1"/>
      <c r="H678" s="1"/>
      <c r="I678" s="61"/>
      <c r="J678" s="1"/>
      <c r="K678" s="1"/>
    </row>
    <row r="679" spans="1:11" ht="15.75" customHeight="1">
      <c r="A679" s="2"/>
      <c r="B679" s="1"/>
      <c r="C679" s="1"/>
      <c r="D679" s="1"/>
      <c r="E679" s="1"/>
      <c r="F679" s="1"/>
      <c r="G679" s="1"/>
      <c r="H679" s="1"/>
      <c r="I679" s="61"/>
      <c r="J679" s="1"/>
      <c r="K679" s="1"/>
    </row>
    <row r="680" spans="1:11" ht="15.75" customHeight="1">
      <c r="A680" s="2"/>
      <c r="B680" s="1"/>
      <c r="C680" s="1"/>
      <c r="D680" s="1"/>
      <c r="E680" s="1"/>
      <c r="F680" s="1"/>
      <c r="G680" s="1"/>
      <c r="H680" s="1"/>
      <c r="I680" s="61"/>
      <c r="J680" s="1"/>
      <c r="K680" s="1"/>
    </row>
    <row r="681" spans="1:11" ht="15.75" customHeight="1">
      <c r="A681" s="2"/>
      <c r="B681" s="1"/>
      <c r="C681" s="1"/>
      <c r="D681" s="1"/>
      <c r="E681" s="1"/>
      <c r="F681" s="1"/>
      <c r="G681" s="1"/>
      <c r="H681" s="1"/>
      <c r="I681" s="61"/>
      <c r="J681" s="1"/>
      <c r="K681" s="1"/>
    </row>
    <row r="682" spans="1:11" ht="15.75" customHeight="1">
      <c r="A682" s="2"/>
      <c r="B682" s="1"/>
      <c r="C682" s="1"/>
      <c r="D682" s="1"/>
      <c r="E682" s="1"/>
      <c r="F682" s="1"/>
      <c r="G682" s="1"/>
      <c r="H682" s="1"/>
      <c r="I682" s="61"/>
      <c r="J682" s="1"/>
      <c r="K682" s="1"/>
    </row>
    <row r="683" spans="1:11" ht="15.75" customHeight="1">
      <c r="A683" s="2"/>
      <c r="B683" s="1"/>
      <c r="C683" s="1"/>
      <c r="D683" s="1"/>
      <c r="E683" s="1"/>
      <c r="F683" s="1"/>
      <c r="G683" s="1"/>
      <c r="H683" s="1"/>
      <c r="I683" s="61"/>
      <c r="J683" s="1"/>
      <c r="K683" s="1"/>
    </row>
    <row r="684" spans="1:11" ht="15.75" customHeight="1">
      <c r="A684" s="2"/>
      <c r="B684" s="1"/>
      <c r="C684" s="1"/>
      <c r="D684" s="1"/>
      <c r="E684" s="1"/>
      <c r="F684" s="1"/>
      <c r="G684" s="1"/>
      <c r="H684" s="1"/>
      <c r="I684" s="61"/>
      <c r="J684" s="1"/>
      <c r="K684" s="1"/>
    </row>
    <row r="685" spans="1:11" ht="15.75" customHeight="1">
      <c r="A685" s="2"/>
      <c r="B685" s="1"/>
      <c r="C685" s="1"/>
      <c r="D685" s="1"/>
      <c r="E685" s="1"/>
      <c r="F685" s="1"/>
      <c r="G685" s="1"/>
      <c r="H685" s="1"/>
      <c r="I685" s="61"/>
      <c r="J685" s="1"/>
      <c r="K685" s="1"/>
    </row>
    <row r="686" spans="1:11" ht="15.75" customHeight="1">
      <c r="A686" s="2"/>
      <c r="B686" s="1"/>
      <c r="C686" s="1"/>
      <c r="D686" s="1"/>
      <c r="E686" s="1"/>
      <c r="F686" s="1"/>
      <c r="G686" s="1"/>
      <c r="H686" s="1"/>
      <c r="I686" s="61"/>
      <c r="J686" s="1"/>
      <c r="K686" s="1"/>
    </row>
    <row r="687" spans="1:11" ht="15.75" customHeight="1">
      <c r="A687" s="2"/>
      <c r="B687" s="1"/>
      <c r="C687" s="1"/>
      <c r="D687" s="1"/>
      <c r="E687" s="1"/>
      <c r="F687" s="1"/>
      <c r="G687" s="1"/>
      <c r="H687" s="1"/>
      <c r="I687" s="61"/>
      <c r="J687" s="1"/>
      <c r="K687" s="1"/>
    </row>
    <row r="688" spans="1:11" ht="15.75" customHeight="1">
      <c r="A688" s="2"/>
      <c r="B688" s="1"/>
      <c r="C688" s="1"/>
      <c r="D688" s="1"/>
      <c r="E688" s="1"/>
      <c r="F688" s="1"/>
      <c r="G688" s="1"/>
      <c r="H688" s="1"/>
      <c r="I688" s="61"/>
      <c r="J688" s="1"/>
      <c r="K688" s="1"/>
    </row>
    <row r="689" spans="1:11" ht="15.75" customHeight="1">
      <c r="A689" s="2"/>
      <c r="B689" s="1"/>
      <c r="C689" s="1"/>
      <c r="D689" s="1"/>
      <c r="E689" s="1"/>
      <c r="F689" s="1"/>
      <c r="G689" s="1"/>
      <c r="H689" s="1"/>
      <c r="I689" s="61"/>
      <c r="J689" s="1"/>
      <c r="K689" s="1"/>
    </row>
    <row r="690" spans="1:11" ht="15.75" customHeight="1">
      <c r="A690" s="2"/>
      <c r="B690" s="1"/>
      <c r="C690" s="1"/>
      <c r="D690" s="1"/>
      <c r="E690" s="1"/>
      <c r="F690" s="1"/>
      <c r="G690" s="1"/>
      <c r="H690" s="1"/>
      <c r="I690" s="61"/>
      <c r="J690" s="1"/>
      <c r="K690" s="1"/>
    </row>
    <row r="691" spans="1:11" ht="15.75" customHeight="1">
      <c r="A691" s="2"/>
      <c r="B691" s="1"/>
      <c r="C691" s="1"/>
      <c r="D691" s="1"/>
      <c r="E691" s="1"/>
      <c r="F691" s="1"/>
      <c r="G691" s="1"/>
      <c r="H691" s="1"/>
      <c r="I691" s="61"/>
      <c r="J691" s="1"/>
      <c r="K691" s="1"/>
    </row>
    <row r="692" spans="1:11" ht="15.75" customHeight="1">
      <c r="A692" s="2"/>
      <c r="B692" s="1"/>
      <c r="C692" s="1"/>
      <c r="D692" s="1"/>
      <c r="E692" s="1"/>
      <c r="F692" s="1"/>
      <c r="G692" s="1"/>
      <c r="H692" s="1"/>
      <c r="I692" s="61"/>
      <c r="J692" s="1"/>
      <c r="K692" s="1"/>
    </row>
    <row r="693" spans="1:11" ht="15.75" customHeight="1">
      <c r="A693" s="2"/>
      <c r="B693" s="1"/>
      <c r="C693" s="1"/>
      <c r="D693" s="1"/>
      <c r="E693" s="1"/>
      <c r="F693" s="1"/>
      <c r="G693" s="1"/>
      <c r="H693" s="1"/>
      <c r="I693" s="61"/>
      <c r="J693" s="1"/>
      <c r="K693" s="1"/>
    </row>
    <row r="694" spans="1:11" ht="15.75" customHeight="1">
      <c r="A694" s="2"/>
      <c r="B694" s="1"/>
      <c r="C694" s="1"/>
      <c r="D694" s="1"/>
      <c r="E694" s="1"/>
      <c r="F694" s="1"/>
      <c r="G694" s="1"/>
      <c r="H694" s="1"/>
      <c r="I694" s="61"/>
      <c r="J694" s="1"/>
      <c r="K694" s="1"/>
    </row>
    <row r="695" spans="1:11" ht="15.75" customHeight="1">
      <c r="A695" s="2"/>
      <c r="B695" s="1"/>
      <c r="C695" s="1"/>
      <c r="D695" s="1"/>
      <c r="E695" s="1"/>
      <c r="F695" s="1"/>
      <c r="G695" s="1"/>
      <c r="H695" s="1"/>
      <c r="I695" s="61"/>
      <c r="J695" s="1"/>
      <c r="K695" s="1"/>
    </row>
    <row r="696" spans="1:11" ht="15.75" customHeight="1">
      <c r="A696" s="2"/>
      <c r="B696" s="1"/>
      <c r="C696" s="1"/>
      <c r="D696" s="1"/>
      <c r="E696" s="1"/>
      <c r="F696" s="1"/>
      <c r="G696" s="1"/>
      <c r="H696" s="1"/>
      <c r="I696" s="61"/>
      <c r="J696" s="1"/>
      <c r="K696" s="1"/>
    </row>
    <row r="697" spans="1:11" ht="15.75" customHeight="1">
      <c r="A697" s="2"/>
      <c r="B697" s="1"/>
      <c r="C697" s="1"/>
      <c r="D697" s="1"/>
      <c r="E697" s="1"/>
      <c r="F697" s="1"/>
      <c r="G697" s="1"/>
      <c r="H697" s="1"/>
      <c r="I697" s="61"/>
      <c r="J697" s="1"/>
      <c r="K697" s="1"/>
    </row>
    <row r="698" spans="1:11" ht="15.75" customHeight="1">
      <c r="A698" s="2"/>
      <c r="B698" s="1"/>
      <c r="C698" s="1"/>
      <c r="D698" s="1"/>
      <c r="E698" s="1"/>
      <c r="F698" s="1"/>
      <c r="G698" s="1"/>
      <c r="H698" s="1"/>
      <c r="I698" s="61"/>
      <c r="J698" s="1"/>
      <c r="K698" s="1"/>
    </row>
    <row r="699" spans="1:11" ht="15.75" customHeight="1">
      <c r="A699" s="2"/>
      <c r="B699" s="1"/>
      <c r="C699" s="1"/>
      <c r="D699" s="1"/>
      <c r="E699" s="1"/>
      <c r="F699" s="1"/>
      <c r="G699" s="1"/>
      <c r="H699" s="1"/>
      <c r="I699" s="61"/>
      <c r="J699" s="1"/>
      <c r="K699" s="1"/>
    </row>
    <row r="700" spans="1:11" ht="15.75" customHeight="1">
      <c r="A700" s="2"/>
      <c r="B700" s="1"/>
      <c r="C700" s="1"/>
      <c r="D700" s="1"/>
      <c r="E700" s="1"/>
      <c r="F700" s="1"/>
      <c r="G700" s="1"/>
      <c r="H700" s="1"/>
      <c r="I700" s="61"/>
      <c r="J700" s="1"/>
      <c r="K700" s="1"/>
    </row>
    <row r="701" spans="1:11" ht="15.75" customHeight="1">
      <c r="A701" s="2"/>
      <c r="B701" s="1"/>
      <c r="C701" s="1"/>
      <c r="D701" s="1"/>
      <c r="E701" s="1"/>
      <c r="F701" s="1"/>
      <c r="G701" s="1"/>
      <c r="H701" s="1"/>
      <c r="I701" s="61"/>
      <c r="J701" s="1"/>
      <c r="K701" s="1"/>
    </row>
    <row r="702" spans="1:11" ht="15.75" customHeight="1">
      <c r="A702" s="2"/>
      <c r="B702" s="1"/>
      <c r="C702" s="1"/>
      <c r="D702" s="1"/>
      <c r="E702" s="1"/>
      <c r="F702" s="1"/>
      <c r="G702" s="1"/>
      <c r="H702" s="1"/>
      <c r="I702" s="61"/>
      <c r="J702" s="1"/>
      <c r="K702" s="1"/>
    </row>
    <row r="703" spans="1:11" ht="15.75" customHeight="1">
      <c r="A703" s="2"/>
      <c r="B703" s="1"/>
      <c r="C703" s="1"/>
      <c r="D703" s="1"/>
      <c r="E703" s="1"/>
      <c r="F703" s="1"/>
      <c r="G703" s="1"/>
      <c r="H703" s="1"/>
      <c r="I703" s="61"/>
      <c r="J703" s="1"/>
      <c r="K703" s="1"/>
    </row>
    <row r="704" spans="1:11" ht="15.75" customHeight="1">
      <c r="A704" s="2"/>
      <c r="B704" s="1"/>
      <c r="C704" s="1"/>
      <c r="D704" s="1"/>
      <c r="E704" s="1"/>
      <c r="F704" s="1"/>
      <c r="G704" s="1"/>
      <c r="H704" s="1"/>
      <c r="I704" s="61"/>
      <c r="J704" s="1"/>
      <c r="K704" s="1"/>
    </row>
    <row r="705" spans="1:11" ht="15.75" customHeight="1">
      <c r="A705" s="2"/>
      <c r="B705" s="1"/>
      <c r="C705" s="1"/>
      <c r="D705" s="1"/>
      <c r="E705" s="1"/>
      <c r="F705" s="1"/>
      <c r="G705" s="1"/>
      <c r="H705" s="1"/>
      <c r="I705" s="61"/>
      <c r="J705" s="1"/>
      <c r="K705" s="1"/>
    </row>
    <row r="706" spans="1:11" ht="15.75" customHeight="1">
      <c r="A706" s="2"/>
      <c r="B706" s="1"/>
      <c r="C706" s="1"/>
      <c r="D706" s="1"/>
      <c r="E706" s="1"/>
      <c r="F706" s="1"/>
      <c r="G706" s="1"/>
      <c r="H706" s="1"/>
      <c r="I706" s="61"/>
      <c r="J706" s="1"/>
      <c r="K706" s="1"/>
    </row>
    <row r="707" spans="1:11" ht="15.75" customHeight="1">
      <c r="A707" s="2"/>
      <c r="B707" s="1"/>
      <c r="C707" s="1"/>
      <c r="D707" s="1"/>
      <c r="E707" s="1"/>
      <c r="F707" s="1"/>
      <c r="G707" s="1"/>
      <c r="H707" s="1"/>
      <c r="I707" s="61"/>
      <c r="J707" s="1"/>
      <c r="K707" s="1"/>
    </row>
    <row r="708" spans="1:11" ht="15.75" customHeight="1">
      <c r="A708" s="2"/>
      <c r="B708" s="1"/>
      <c r="C708" s="1"/>
      <c r="D708" s="1"/>
      <c r="E708" s="1"/>
      <c r="F708" s="1"/>
      <c r="G708" s="1"/>
      <c r="H708" s="1"/>
      <c r="I708" s="61"/>
      <c r="J708" s="1"/>
      <c r="K708" s="1"/>
    </row>
    <row r="709" spans="1:11" ht="15.75" customHeight="1">
      <c r="A709" s="2"/>
      <c r="B709" s="1"/>
      <c r="C709" s="1"/>
      <c r="D709" s="1"/>
      <c r="E709" s="1"/>
      <c r="F709" s="1"/>
      <c r="G709" s="1"/>
      <c r="H709" s="1"/>
      <c r="I709" s="61"/>
      <c r="J709" s="1"/>
      <c r="K709" s="1"/>
    </row>
    <row r="710" spans="1:11" ht="15.75" customHeight="1">
      <c r="A710" s="2"/>
      <c r="B710" s="1"/>
      <c r="C710" s="1"/>
      <c r="D710" s="1"/>
      <c r="E710" s="1"/>
      <c r="F710" s="1"/>
      <c r="G710" s="1"/>
      <c r="H710" s="1"/>
      <c r="I710" s="61"/>
      <c r="J710" s="1"/>
      <c r="K710" s="1"/>
    </row>
    <row r="711" spans="1:11" ht="15.75" customHeight="1">
      <c r="A711" s="2"/>
      <c r="B711" s="1"/>
      <c r="C711" s="1"/>
      <c r="D711" s="1"/>
      <c r="E711" s="1"/>
      <c r="F711" s="1"/>
      <c r="G711" s="1"/>
      <c r="H711" s="1"/>
      <c r="I711" s="61"/>
      <c r="J711" s="1"/>
      <c r="K711" s="1"/>
    </row>
    <row r="712" spans="1:11" ht="15.75" customHeight="1">
      <c r="A712" s="2"/>
      <c r="B712" s="1"/>
      <c r="C712" s="1"/>
      <c r="D712" s="1"/>
      <c r="E712" s="1"/>
      <c r="F712" s="1"/>
      <c r="G712" s="1"/>
      <c r="H712" s="1"/>
      <c r="I712" s="61"/>
      <c r="J712" s="1"/>
      <c r="K712" s="1"/>
    </row>
    <row r="713" spans="1:11" ht="15.75" customHeight="1">
      <c r="A713" s="2"/>
      <c r="B713" s="1"/>
      <c r="C713" s="1"/>
      <c r="D713" s="1"/>
      <c r="E713" s="1"/>
      <c r="F713" s="1"/>
      <c r="G713" s="1"/>
      <c r="H713" s="1"/>
      <c r="I713" s="61"/>
      <c r="J713" s="1"/>
      <c r="K713" s="1"/>
    </row>
    <row r="714" spans="1:11" ht="15.75" customHeight="1">
      <c r="A714" s="2"/>
      <c r="B714" s="1"/>
      <c r="C714" s="1"/>
      <c r="D714" s="1"/>
      <c r="E714" s="1"/>
      <c r="F714" s="1"/>
      <c r="G714" s="1"/>
      <c r="H714" s="1"/>
      <c r="I714" s="61"/>
      <c r="J714" s="1"/>
      <c r="K714" s="1"/>
    </row>
    <row r="715" spans="1:11" ht="15.75" customHeight="1">
      <c r="A715" s="2"/>
      <c r="B715" s="1"/>
      <c r="C715" s="1"/>
      <c r="D715" s="1"/>
      <c r="E715" s="1"/>
      <c r="F715" s="1"/>
      <c r="G715" s="1"/>
      <c r="H715" s="1"/>
      <c r="I715" s="61"/>
      <c r="J715" s="1"/>
      <c r="K715" s="1"/>
    </row>
    <row r="716" spans="1:11" ht="15.75" customHeight="1">
      <c r="A716" s="2"/>
      <c r="B716" s="1"/>
      <c r="C716" s="1"/>
      <c r="D716" s="1"/>
      <c r="E716" s="1"/>
      <c r="F716" s="1"/>
      <c r="G716" s="1"/>
      <c r="H716" s="1"/>
      <c r="I716" s="61"/>
      <c r="J716" s="1"/>
      <c r="K716" s="1"/>
    </row>
    <row r="717" spans="1:11" ht="15.75" customHeight="1">
      <c r="A717" s="2"/>
      <c r="B717" s="1"/>
      <c r="C717" s="1"/>
      <c r="D717" s="1"/>
      <c r="E717" s="1"/>
      <c r="F717" s="1"/>
      <c r="G717" s="1"/>
      <c r="H717" s="1"/>
      <c r="I717" s="61"/>
      <c r="J717" s="1"/>
      <c r="K717" s="1"/>
    </row>
    <row r="718" spans="1:11" ht="15.75" customHeight="1">
      <c r="A718" s="2"/>
      <c r="B718" s="1"/>
      <c r="C718" s="1"/>
      <c r="D718" s="1"/>
      <c r="E718" s="1"/>
      <c r="F718" s="1"/>
      <c r="G718" s="1"/>
      <c r="H718" s="1"/>
      <c r="I718" s="61"/>
      <c r="J718" s="1"/>
      <c r="K718" s="1"/>
    </row>
    <row r="719" spans="1:11" ht="15.75" customHeight="1">
      <c r="A719" s="2"/>
      <c r="B719" s="1"/>
      <c r="C719" s="1"/>
      <c r="D719" s="1"/>
      <c r="E719" s="1"/>
      <c r="F719" s="1"/>
      <c r="G719" s="1"/>
      <c r="H719" s="1"/>
      <c r="I719" s="61"/>
      <c r="J719" s="1"/>
      <c r="K719" s="1"/>
    </row>
    <row r="720" spans="1:11" ht="15.75" customHeight="1">
      <c r="A720" s="2"/>
      <c r="B720" s="1"/>
      <c r="C720" s="1"/>
      <c r="D720" s="1"/>
      <c r="E720" s="1"/>
      <c r="F720" s="1"/>
      <c r="G720" s="1"/>
      <c r="H720" s="1"/>
      <c r="I720" s="61"/>
      <c r="J720" s="1"/>
      <c r="K720" s="1"/>
    </row>
    <row r="721" spans="1:11" ht="15.75" customHeight="1">
      <c r="A721" s="2"/>
      <c r="B721" s="1"/>
      <c r="C721" s="1"/>
      <c r="D721" s="1"/>
      <c r="E721" s="1"/>
      <c r="F721" s="1"/>
      <c r="G721" s="1"/>
      <c r="H721" s="1"/>
      <c r="I721" s="61"/>
      <c r="J721" s="1"/>
      <c r="K721" s="1"/>
    </row>
    <row r="722" spans="1:11" ht="15.75" customHeight="1">
      <c r="A722" s="2"/>
      <c r="B722" s="1"/>
      <c r="C722" s="1"/>
      <c r="D722" s="1"/>
      <c r="E722" s="1"/>
      <c r="F722" s="1"/>
      <c r="G722" s="1"/>
      <c r="H722" s="1"/>
      <c r="I722" s="61"/>
      <c r="J722" s="1"/>
      <c r="K722" s="1"/>
    </row>
    <row r="723" spans="1:11" ht="15.75" customHeight="1">
      <c r="A723" s="2"/>
      <c r="B723" s="1"/>
      <c r="C723" s="1"/>
      <c r="D723" s="1"/>
      <c r="E723" s="1"/>
      <c r="F723" s="1"/>
      <c r="G723" s="1"/>
      <c r="H723" s="1"/>
      <c r="I723" s="61"/>
      <c r="J723" s="1"/>
      <c r="K723" s="1"/>
    </row>
    <row r="724" spans="1:11" ht="15.75" customHeight="1">
      <c r="A724" s="2"/>
      <c r="B724" s="1"/>
      <c r="C724" s="1"/>
      <c r="D724" s="1"/>
      <c r="E724" s="1"/>
      <c r="F724" s="1"/>
      <c r="G724" s="1"/>
      <c r="H724" s="1"/>
      <c r="I724" s="61"/>
      <c r="J724" s="1"/>
      <c r="K724" s="1"/>
    </row>
    <row r="725" spans="1:11" ht="15.75" customHeight="1">
      <c r="A725" s="2"/>
      <c r="B725" s="1"/>
      <c r="C725" s="1"/>
      <c r="D725" s="1"/>
      <c r="E725" s="1"/>
      <c r="F725" s="1"/>
      <c r="G725" s="1"/>
      <c r="H725" s="1"/>
      <c r="I725" s="61"/>
      <c r="J725" s="1"/>
      <c r="K725" s="1"/>
    </row>
    <row r="726" spans="1:11" ht="15.75" customHeight="1">
      <c r="A726" s="2"/>
      <c r="B726" s="1"/>
      <c r="C726" s="1"/>
      <c r="D726" s="1"/>
      <c r="E726" s="1"/>
      <c r="F726" s="1"/>
      <c r="G726" s="1"/>
      <c r="H726" s="1"/>
      <c r="I726" s="61"/>
      <c r="J726" s="1"/>
      <c r="K726" s="1"/>
    </row>
    <row r="727" spans="1:11" ht="15.75" customHeight="1">
      <c r="A727" s="2"/>
      <c r="B727" s="1"/>
      <c r="C727" s="1"/>
      <c r="D727" s="1"/>
      <c r="E727" s="1"/>
      <c r="F727" s="1"/>
      <c r="G727" s="1"/>
      <c r="H727" s="1"/>
      <c r="I727" s="61"/>
      <c r="J727" s="1"/>
      <c r="K727" s="1"/>
    </row>
    <row r="728" spans="1:11" ht="15.75" customHeight="1">
      <c r="A728" s="2"/>
      <c r="B728" s="1"/>
      <c r="C728" s="1"/>
      <c r="D728" s="1"/>
      <c r="E728" s="1"/>
      <c r="F728" s="1"/>
      <c r="G728" s="1"/>
      <c r="H728" s="1"/>
      <c r="I728" s="61"/>
      <c r="J728" s="1"/>
      <c r="K728" s="1"/>
    </row>
    <row r="729" spans="1:11" ht="15.75" customHeight="1">
      <c r="A729" s="2"/>
      <c r="B729" s="1"/>
      <c r="C729" s="1"/>
      <c r="D729" s="1"/>
      <c r="E729" s="1"/>
      <c r="F729" s="1"/>
      <c r="G729" s="1"/>
      <c r="H729" s="1"/>
      <c r="I729" s="61"/>
      <c r="J729" s="1"/>
      <c r="K729" s="1"/>
    </row>
    <row r="730" spans="1:11" ht="15.75" customHeight="1">
      <c r="A730" s="2"/>
      <c r="B730" s="1"/>
      <c r="C730" s="1"/>
      <c r="D730" s="1"/>
      <c r="E730" s="1"/>
      <c r="F730" s="1"/>
      <c r="G730" s="1"/>
      <c r="H730" s="1"/>
      <c r="I730" s="61"/>
      <c r="J730" s="1"/>
      <c r="K730" s="1"/>
    </row>
    <row r="731" spans="1:11" ht="15.75" customHeight="1">
      <c r="A731" s="2"/>
      <c r="B731" s="1"/>
      <c r="C731" s="1"/>
      <c r="D731" s="1"/>
      <c r="E731" s="1"/>
      <c r="F731" s="1"/>
      <c r="G731" s="1"/>
      <c r="H731" s="1"/>
      <c r="I731" s="61"/>
      <c r="J731" s="1"/>
      <c r="K731" s="1"/>
    </row>
    <row r="732" spans="1:11" ht="15.75" customHeight="1">
      <c r="A732" s="2"/>
      <c r="B732" s="1"/>
      <c r="C732" s="1"/>
      <c r="D732" s="1"/>
      <c r="E732" s="1"/>
      <c r="F732" s="1"/>
      <c r="G732" s="1"/>
      <c r="H732" s="1"/>
      <c r="I732" s="61"/>
      <c r="J732" s="1"/>
      <c r="K732" s="1"/>
    </row>
    <row r="733" spans="1:11" ht="15.75" customHeight="1">
      <c r="A733" s="2"/>
      <c r="B733" s="1"/>
      <c r="C733" s="1"/>
      <c r="D733" s="1"/>
      <c r="E733" s="1"/>
      <c r="F733" s="1"/>
      <c r="G733" s="1"/>
      <c r="H733" s="1"/>
      <c r="I733" s="61"/>
      <c r="J733" s="1"/>
      <c r="K733" s="1"/>
    </row>
    <row r="734" spans="1:11" ht="15.75" customHeight="1">
      <c r="A734" s="2"/>
      <c r="B734" s="1"/>
      <c r="C734" s="1"/>
      <c r="D734" s="1"/>
      <c r="E734" s="1"/>
      <c r="F734" s="1"/>
      <c r="G734" s="1"/>
      <c r="H734" s="1"/>
      <c r="I734" s="61"/>
      <c r="J734" s="1"/>
      <c r="K734" s="1"/>
    </row>
    <row r="735" spans="1:11" ht="15.75" customHeight="1">
      <c r="A735" s="2"/>
      <c r="B735" s="1"/>
      <c r="C735" s="1"/>
      <c r="D735" s="1"/>
      <c r="E735" s="1"/>
      <c r="F735" s="1"/>
      <c r="G735" s="1"/>
      <c r="H735" s="1"/>
      <c r="I735" s="61"/>
      <c r="J735" s="1"/>
      <c r="K735" s="1"/>
    </row>
    <row r="736" spans="1:11" ht="15.75" customHeight="1">
      <c r="A736" s="2"/>
      <c r="B736" s="1"/>
      <c r="C736" s="1"/>
      <c r="D736" s="1"/>
      <c r="E736" s="1"/>
      <c r="F736" s="1"/>
      <c r="G736" s="1"/>
      <c r="H736" s="1"/>
      <c r="I736" s="61"/>
      <c r="J736" s="1"/>
      <c r="K736" s="1"/>
    </row>
    <row r="737" spans="1:11" ht="15.75" customHeight="1">
      <c r="A737" s="2"/>
      <c r="B737" s="1"/>
      <c r="C737" s="1"/>
      <c r="D737" s="1"/>
      <c r="E737" s="1"/>
      <c r="F737" s="1"/>
      <c r="G737" s="1"/>
      <c r="H737" s="1"/>
      <c r="I737" s="61"/>
      <c r="J737" s="1"/>
      <c r="K737" s="1"/>
    </row>
    <row r="738" spans="1:11" ht="15.75" customHeight="1">
      <c r="A738" s="2"/>
      <c r="B738" s="1"/>
      <c r="C738" s="1"/>
      <c r="D738" s="1"/>
      <c r="E738" s="1"/>
      <c r="F738" s="1"/>
      <c r="G738" s="1"/>
      <c r="H738" s="1"/>
      <c r="I738" s="61"/>
      <c r="J738" s="1"/>
      <c r="K738" s="1"/>
    </row>
    <row r="739" spans="1:11" ht="15.75" customHeight="1">
      <c r="A739" s="2"/>
      <c r="B739" s="1"/>
      <c r="C739" s="1"/>
      <c r="D739" s="1"/>
      <c r="E739" s="1"/>
      <c r="F739" s="1"/>
      <c r="G739" s="1"/>
      <c r="H739" s="1"/>
      <c r="I739" s="61"/>
      <c r="J739" s="1"/>
      <c r="K739" s="1"/>
    </row>
    <row r="740" spans="1:11" ht="15.75" customHeight="1">
      <c r="A740" s="2"/>
      <c r="B740" s="1"/>
      <c r="C740" s="1"/>
      <c r="D740" s="1"/>
      <c r="E740" s="1"/>
      <c r="F740" s="1"/>
      <c r="G740" s="1"/>
      <c r="H740" s="1"/>
      <c r="I740" s="61"/>
      <c r="J740" s="1"/>
      <c r="K740" s="1"/>
    </row>
    <row r="741" spans="1:11" ht="15.75" customHeight="1">
      <c r="A741" s="2"/>
      <c r="B741" s="1"/>
      <c r="C741" s="1"/>
      <c r="D741" s="1"/>
      <c r="E741" s="1"/>
      <c r="F741" s="1"/>
      <c r="G741" s="1"/>
      <c r="H741" s="1"/>
      <c r="I741" s="61"/>
      <c r="J741" s="1"/>
      <c r="K741" s="1"/>
    </row>
    <row r="742" spans="1:11" ht="15.75" customHeight="1">
      <c r="A742" s="2"/>
      <c r="B742" s="1"/>
      <c r="C742" s="1"/>
      <c r="D742" s="1"/>
      <c r="E742" s="1"/>
      <c r="F742" s="1"/>
      <c r="G742" s="1"/>
      <c r="H742" s="1"/>
      <c r="I742" s="61"/>
      <c r="J742" s="1"/>
      <c r="K742" s="1"/>
    </row>
    <row r="743" spans="1:11" ht="15.75" customHeight="1">
      <c r="A743" s="2"/>
      <c r="B743" s="1"/>
      <c r="C743" s="1"/>
      <c r="D743" s="1"/>
      <c r="E743" s="1"/>
      <c r="F743" s="1"/>
      <c r="G743" s="1"/>
      <c r="H743" s="1"/>
      <c r="I743" s="61"/>
      <c r="J743" s="1"/>
      <c r="K743" s="1"/>
    </row>
    <row r="744" spans="1:11" ht="15.75" customHeight="1">
      <c r="A744" s="2"/>
      <c r="B744" s="1"/>
      <c r="C744" s="1"/>
      <c r="D744" s="1"/>
      <c r="E744" s="1"/>
      <c r="F744" s="1"/>
      <c r="G744" s="1"/>
      <c r="H744" s="1"/>
      <c r="I744" s="61"/>
      <c r="J744" s="1"/>
      <c r="K744" s="1"/>
    </row>
    <row r="745" spans="1:11" ht="15.75" customHeight="1">
      <c r="A745" s="2"/>
      <c r="B745" s="1"/>
      <c r="C745" s="1"/>
      <c r="D745" s="1"/>
      <c r="E745" s="1"/>
      <c r="F745" s="1"/>
      <c r="G745" s="1"/>
      <c r="H745" s="1"/>
      <c r="I745" s="61"/>
      <c r="J745" s="1"/>
      <c r="K745" s="1"/>
    </row>
    <row r="746" spans="1:11" ht="15.75" customHeight="1">
      <c r="A746" s="2"/>
      <c r="B746" s="1"/>
      <c r="C746" s="1"/>
      <c r="D746" s="1"/>
      <c r="E746" s="1"/>
      <c r="F746" s="1"/>
      <c r="G746" s="1"/>
      <c r="H746" s="1"/>
      <c r="I746" s="61"/>
      <c r="J746" s="1"/>
      <c r="K746" s="1"/>
    </row>
    <row r="747" spans="1:11" ht="15.75" customHeight="1">
      <c r="A747" s="2"/>
      <c r="B747" s="1"/>
      <c r="C747" s="1"/>
      <c r="D747" s="1"/>
      <c r="E747" s="1"/>
      <c r="F747" s="1"/>
      <c r="G747" s="1"/>
      <c r="H747" s="1"/>
      <c r="I747" s="61"/>
      <c r="J747" s="1"/>
      <c r="K747" s="1"/>
    </row>
    <row r="748" spans="1:11" ht="15.75" customHeight="1">
      <c r="A748" s="2"/>
      <c r="B748" s="1"/>
      <c r="C748" s="1"/>
      <c r="D748" s="1"/>
      <c r="E748" s="1"/>
      <c r="F748" s="1"/>
      <c r="G748" s="1"/>
      <c r="H748" s="1"/>
      <c r="I748" s="61"/>
      <c r="J748" s="1"/>
      <c r="K748" s="1"/>
    </row>
    <row r="749" spans="1:11" ht="15.75" customHeight="1">
      <c r="A749" s="2"/>
      <c r="B749" s="1"/>
      <c r="C749" s="1"/>
      <c r="D749" s="1"/>
      <c r="E749" s="1"/>
      <c r="F749" s="1"/>
      <c r="G749" s="1"/>
      <c r="H749" s="1"/>
      <c r="I749" s="61"/>
      <c r="J749" s="1"/>
      <c r="K749" s="1"/>
    </row>
    <row r="750" spans="1:11" ht="15.75" customHeight="1">
      <c r="A750" s="2"/>
      <c r="B750" s="1"/>
      <c r="C750" s="1"/>
      <c r="D750" s="1"/>
      <c r="E750" s="1"/>
      <c r="F750" s="1"/>
      <c r="G750" s="1"/>
      <c r="H750" s="1"/>
      <c r="I750" s="61"/>
      <c r="J750" s="1"/>
      <c r="K750" s="1"/>
    </row>
    <row r="751" spans="1:11" ht="15.75" customHeight="1">
      <c r="A751" s="2"/>
      <c r="B751" s="1"/>
      <c r="C751" s="1"/>
      <c r="D751" s="1"/>
      <c r="E751" s="1"/>
      <c r="F751" s="1"/>
      <c r="G751" s="1"/>
      <c r="H751" s="1"/>
      <c r="I751" s="61"/>
      <c r="J751" s="1"/>
      <c r="K751" s="1"/>
    </row>
    <row r="752" spans="1:11" ht="15.75" customHeight="1">
      <c r="A752" s="2"/>
      <c r="B752" s="1"/>
      <c r="C752" s="1"/>
      <c r="D752" s="1"/>
      <c r="E752" s="1"/>
      <c r="F752" s="1"/>
      <c r="G752" s="1"/>
      <c r="H752" s="1"/>
      <c r="I752" s="61"/>
      <c r="J752" s="1"/>
      <c r="K752" s="1"/>
    </row>
    <row r="753" spans="1:11" ht="15.75" customHeight="1">
      <c r="A753" s="2"/>
      <c r="B753" s="1"/>
      <c r="C753" s="1"/>
      <c r="D753" s="1"/>
      <c r="E753" s="1"/>
      <c r="F753" s="1"/>
      <c r="G753" s="1"/>
      <c r="H753" s="1"/>
      <c r="I753" s="61"/>
      <c r="J753" s="1"/>
      <c r="K753" s="1"/>
    </row>
    <row r="754" spans="1:11" ht="15.75" customHeight="1">
      <c r="A754" s="2"/>
      <c r="B754" s="1"/>
      <c r="C754" s="1"/>
      <c r="D754" s="1"/>
      <c r="E754" s="1"/>
      <c r="F754" s="1"/>
      <c r="G754" s="1"/>
      <c r="H754" s="1"/>
      <c r="I754" s="61"/>
      <c r="J754" s="1"/>
      <c r="K754" s="1"/>
    </row>
    <row r="755" spans="1:11" ht="15.75" customHeight="1">
      <c r="A755" s="2"/>
      <c r="B755" s="1"/>
      <c r="C755" s="1"/>
      <c r="D755" s="1"/>
      <c r="E755" s="1"/>
      <c r="F755" s="1"/>
      <c r="G755" s="1"/>
      <c r="H755" s="1"/>
      <c r="I755" s="61"/>
      <c r="J755" s="1"/>
      <c r="K755" s="1"/>
    </row>
    <row r="756" spans="1:11" ht="15.75" customHeight="1">
      <c r="A756" s="2"/>
      <c r="B756" s="1"/>
      <c r="C756" s="1"/>
      <c r="D756" s="1"/>
      <c r="E756" s="1"/>
      <c r="F756" s="1"/>
      <c r="G756" s="1"/>
      <c r="H756" s="1"/>
      <c r="I756" s="61"/>
      <c r="J756" s="1"/>
      <c r="K756" s="1"/>
    </row>
    <row r="757" spans="1:11" ht="15.75" customHeight="1">
      <c r="A757" s="2"/>
      <c r="B757" s="1"/>
      <c r="C757" s="1"/>
      <c r="D757" s="1"/>
      <c r="E757" s="1"/>
      <c r="F757" s="1"/>
      <c r="G757" s="1"/>
      <c r="H757" s="1"/>
      <c r="I757" s="61"/>
      <c r="J757" s="1"/>
      <c r="K757" s="1"/>
    </row>
    <row r="758" spans="1:11" ht="15.75" customHeight="1">
      <c r="A758" s="2"/>
      <c r="B758" s="1"/>
      <c r="C758" s="1"/>
      <c r="D758" s="1"/>
      <c r="E758" s="1"/>
      <c r="F758" s="1"/>
      <c r="G758" s="1"/>
      <c r="H758" s="1"/>
      <c r="I758" s="61"/>
      <c r="J758" s="1"/>
      <c r="K758" s="1"/>
    </row>
    <row r="759" spans="1:11" ht="15.75" customHeight="1">
      <c r="A759" s="2"/>
      <c r="B759" s="1"/>
      <c r="C759" s="1"/>
      <c r="D759" s="1"/>
      <c r="E759" s="1"/>
      <c r="F759" s="1"/>
      <c r="G759" s="1"/>
      <c r="H759" s="1"/>
      <c r="I759" s="61"/>
      <c r="J759" s="1"/>
      <c r="K759" s="1"/>
    </row>
    <row r="760" spans="1:11" ht="15.75" customHeight="1">
      <c r="A760" s="2"/>
      <c r="B760" s="1"/>
      <c r="C760" s="1"/>
      <c r="D760" s="1"/>
      <c r="E760" s="1"/>
      <c r="F760" s="1"/>
      <c r="G760" s="1"/>
      <c r="H760" s="1"/>
      <c r="I760" s="61"/>
      <c r="J760" s="1"/>
      <c r="K760" s="1"/>
    </row>
    <row r="761" spans="1:11" ht="15.75" customHeight="1">
      <c r="A761" s="2"/>
      <c r="B761" s="1"/>
      <c r="C761" s="1"/>
      <c r="D761" s="1"/>
      <c r="E761" s="1"/>
      <c r="F761" s="1"/>
      <c r="G761" s="1"/>
      <c r="H761" s="1"/>
      <c r="I761" s="61"/>
      <c r="J761" s="1"/>
      <c r="K761" s="1"/>
    </row>
    <row r="762" spans="1:11" ht="15.75" customHeight="1">
      <c r="A762" s="2"/>
      <c r="B762" s="1"/>
      <c r="C762" s="1"/>
      <c r="D762" s="1"/>
      <c r="E762" s="1"/>
      <c r="F762" s="1"/>
      <c r="G762" s="1"/>
      <c r="H762" s="1"/>
      <c r="I762" s="61"/>
      <c r="J762" s="1"/>
      <c r="K762" s="1"/>
    </row>
    <row r="763" spans="1:11" ht="15.75" customHeight="1">
      <c r="A763" s="2"/>
      <c r="B763" s="1"/>
      <c r="C763" s="1"/>
      <c r="D763" s="1"/>
      <c r="E763" s="1"/>
      <c r="F763" s="1"/>
      <c r="G763" s="1"/>
      <c r="H763" s="1"/>
      <c r="I763" s="61"/>
      <c r="J763" s="1"/>
      <c r="K763" s="1"/>
    </row>
    <row r="764" spans="1:11" ht="15.75" customHeight="1">
      <c r="A764" s="2"/>
      <c r="B764" s="1"/>
      <c r="C764" s="1"/>
      <c r="D764" s="1"/>
      <c r="E764" s="1"/>
      <c r="F764" s="1"/>
      <c r="G764" s="1"/>
      <c r="H764" s="1"/>
      <c r="I764" s="61"/>
      <c r="J764" s="1"/>
      <c r="K764" s="1"/>
    </row>
    <row r="765" spans="1:11" ht="15.75" customHeight="1">
      <c r="A765" s="2"/>
      <c r="B765" s="1"/>
      <c r="C765" s="1"/>
      <c r="D765" s="1"/>
      <c r="E765" s="1"/>
      <c r="F765" s="1"/>
      <c r="G765" s="1"/>
      <c r="H765" s="1"/>
      <c r="I765" s="61"/>
      <c r="J765" s="1"/>
      <c r="K765" s="1"/>
    </row>
    <row r="766" spans="1:11" ht="15.75" customHeight="1">
      <c r="A766" s="2"/>
      <c r="B766" s="1"/>
      <c r="C766" s="1"/>
      <c r="D766" s="1"/>
      <c r="E766" s="1"/>
      <c r="F766" s="1"/>
      <c r="G766" s="1"/>
      <c r="H766" s="1"/>
      <c r="I766" s="61"/>
      <c r="J766" s="1"/>
      <c r="K766" s="1"/>
    </row>
    <row r="767" spans="1:11" ht="15.75" customHeight="1">
      <c r="A767" s="2"/>
      <c r="B767" s="1"/>
      <c r="C767" s="1"/>
      <c r="D767" s="1"/>
      <c r="E767" s="1"/>
      <c r="F767" s="1"/>
      <c r="G767" s="1"/>
      <c r="H767" s="1"/>
      <c r="I767" s="61"/>
      <c r="J767" s="1"/>
      <c r="K767" s="1"/>
    </row>
    <row r="768" spans="1:11" ht="15.75" customHeight="1">
      <c r="A768" s="2"/>
      <c r="B768" s="1"/>
      <c r="C768" s="1"/>
      <c r="D768" s="1"/>
      <c r="E768" s="1"/>
      <c r="F768" s="1"/>
      <c r="G768" s="1"/>
      <c r="H768" s="1"/>
      <c r="I768" s="61"/>
      <c r="J768" s="1"/>
      <c r="K768" s="1"/>
    </row>
    <row r="769" spans="1:11" ht="15.75" customHeight="1">
      <c r="A769" s="2"/>
      <c r="B769" s="1"/>
      <c r="C769" s="1"/>
      <c r="D769" s="1"/>
      <c r="E769" s="1"/>
      <c r="F769" s="1"/>
      <c r="G769" s="1"/>
      <c r="H769" s="1"/>
      <c r="I769" s="61"/>
      <c r="J769" s="1"/>
      <c r="K769" s="1"/>
    </row>
    <row r="770" spans="1:11" ht="15.75" customHeight="1">
      <c r="A770" s="2"/>
      <c r="B770" s="1"/>
      <c r="C770" s="1"/>
      <c r="D770" s="1"/>
      <c r="E770" s="1"/>
      <c r="F770" s="1"/>
      <c r="G770" s="1"/>
      <c r="H770" s="1"/>
      <c r="I770" s="61"/>
      <c r="J770" s="1"/>
      <c r="K770" s="1"/>
    </row>
    <row r="771" spans="1:11" ht="15.75" customHeight="1">
      <c r="A771" s="2"/>
      <c r="B771" s="1"/>
      <c r="C771" s="1"/>
      <c r="D771" s="1"/>
      <c r="E771" s="1"/>
      <c r="F771" s="1"/>
      <c r="G771" s="1"/>
      <c r="H771" s="1"/>
      <c r="I771" s="61"/>
      <c r="J771" s="1"/>
      <c r="K771" s="1"/>
    </row>
    <row r="772" spans="1:11" ht="15.75" customHeight="1">
      <c r="A772" s="2"/>
      <c r="B772" s="1"/>
      <c r="C772" s="1"/>
      <c r="D772" s="1"/>
      <c r="E772" s="1"/>
      <c r="F772" s="1"/>
      <c r="G772" s="1"/>
      <c r="H772" s="1"/>
      <c r="I772" s="61"/>
      <c r="J772" s="1"/>
      <c r="K772" s="1"/>
    </row>
    <row r="773" spans="1:11" ht="15.75" customHeight="1">
      <c r="A773" s="2"/>
      <c r="B773" s="1"/>
      <c r="C773" s="1"/>
      <c r="D773" s="1"/>
      <c r="E773" s="1"/>
      <c r="F773" s="1"/>
      <c r="G773" s="1"/>
      <c r="H773" s="1"/>
      <c r="I773" s="61"/>
      <c r="J773" s="1"/>
      <c r="K773" s="1"/>
    </row>
    <row r="774" spans="1:11" ht="15.75" customHeight="1">
      <c r="A774" s="2"/>
      <c r="B774" s="1"/>
      <c r="C774" s="1"/>
      <c r="D774" s="1"/>
      <c r="E774" s="1"/>
      <c r="F774" s="1"/>
      <c r="G774" s="1"/>
      <c r="H774" s="1"/>
      <c r="I774" s="61"/>
      <c r="J774" s="1"/>
      <c r="K774" s="1"/>
    </row>
    <row r="775" spans="1:11" ht="15.75" customHeight="1">
      <c r="A775" s="2"/>
      <c r="B775" s="1"/>
      <c r="C775" s="1"/>
      <c r="D775" s="1"/>
      <c r="E775" s="1"/>
      <c r="F775" s="1"/>
      <c r="G775" s="1"/>
      <c r="H775" s="1"/>
      <c r="I775" s="61"/>
      <c r="J775" s="1"/>
      <c r="K775" s="1"/>
    </row>
    <row r="776" spans="1:11" ht="15.75" customHeight="1">
      <c r="A776" s="2"/>
      <c r="B776" s="1"/>
      <c r="C776" s="1"/>
      <c r="D776" s="1"/>
      <c r="E776" s="1"/>
      <c r="F776" s="1"/>
      <c r="G776" s="1"/>
      <c r="H776" s="1"/>
      <c r="I776" s="61"/>
      <c r="J776" s="1"/>
      <c r="K776" s="1"/>
    </row>
    <row r="777" spans="1:11" ht="15.75" customHeight="1">
      <c r="A777" s="2"/>
      <c r="B777" s="1"/>
      <c r="C777" s="1"/>
      <c r="D777" s="1"/>
      <c r="E777" s="1"/>
      <c r="F777" s="1"/>
      <c r="G777" s="1"/>
      <c r="H777" s="1"/>
      <c r="I777" s="61"/>
      <c r="J777" s="1"/>
      <c r="K777" s="1"/>
    </row>
    <row r="778" spans="1:11" ht="15.75" customHeight="1">
      <c r="A778" s="2"/>
      <c r="B778" s="1"/>
      <c r="C778" s="1"/>
      <c r="D778" s="1"/>
      <c r="E778" s="1"/>
      <c r="F778" s="1"/>
      <c r="G778" s="1"/>
      <c r="H778" s="1"/>
      <c r="I778" s="61"/>
      <c r="J778" s="1"/>
      <c r="K778" s="1"/>
    </row>
    <row r="779" spans="1:11" ht="15.75" customHeight="1">
      <c r="A779" s="2"/>
      <c r="B779" s="1"/>
      <c r="C779" s="1"/>
      <c r="D779" s="1"/>
      <c r="E779" s="1"/>
      <c r="F779" s="1"/>
      <c r="G779" s="1"/>
      <c r="H779" s="1"/>
      <c r="I779" s="61"/>
      <c r="J779" s="1"/>
      <c r="K779" s="1"/>
    </row>
    <row r="780" spans="1:11" ht="15.75" customHeight="1">
      <c r="A780" s="2"/>
      <c r="B780" s="1"/>
      <c r="C780" s="1"/>
      <c r="D780" s="1"/>
      <c r="E780" s="1"/>
      <c r="F780" s="1"/>
      <c r="G780" s="1"/>
      <c r="H780" s="1"/>
      <c r="I780" s="61"/>
      <c r="J780" s="1"/>
      <c r="K780" s="1"/>
    </row>
    <row r="781" spans="1:11" ht="15.75" customHeight="1">
      <c r="A781" s="2"/>
      <c r="B781" s="1"/>
      <c r="C781" s="1"/>
      <c r="D781" s="1"/>
      <c r="E781" s="1"/>
      <c r="F781" s="1"/>
      <c r="G781" s="1"/>
      <c r="H781" s="1"/>
      <c r="I781" s="61"/>
      <c r="J781" s="1"/>
      <c r="K781" s="1"/>
    </row>
    <row r="782" spans="1:11" ht="15.75" customHeight="1">
      <c r="A782" s="2"/>
      <c r="B782" s="1"/>
      <c r="C782" s="1"/>
      <c r="D782" s="1"/>
      <c r="E782" s="1"/>
      <c r="F782" s="1"/>
      <c r="G782" s="1"/>
      <c r="H782" s="1"/>
      <c r="I782" s="61"/>
      <c r="J782" s="1"/>
      <c r="K782" s="1"/>
    </row>
    <row r="783" spans="1:11" ht="15.75" customHeight="1">
      <c r="A783" s="2"/>
      <c r="B783" s="1"/>
      <c r="C783" s="1"/>
      <c r="D783" s="1"/>
      <c r="E783" s="1"/>
      <c r="F783" s="1"/>
      <c r="G783" s="1"/>
      <c r="H783" s="1"/>
      <c r="I783" s="61"/>
      <c r="J783" s="1"/>
      <c r="K783" s="1"/>
    </row>
    <row r="784" spans="1:11" ht="15.75" customHeight="1">
      <c r="A784" s="2"/>
      <c r="B784" s="1"/>
      <c r="C784" s="1"/>
      <c r="D784" s="1"/>
      <c r="E784" s="1"/>
      <c r="F784" s="1"/>
      <c r="G784" s="1"/>
      <c r="H784" s="1"/>
      <c r="I784" s="61"/>
      <c r="J784" s="1"/>
      <c r="K784" s="1"/>
    </row>
    <row r="785" spans="1:11" ht="15.75" customHeight="1">
      <c r="A785" s="2"/>
      <c r="B785" s="1"/>
      <c r="C785" s="1"/>
      <c r="D785" s="1"/>
      <c r="E785" s="1"/>
      <c r="F785" s="1"/>
      <c r="G785" s="1"/>
      <c r="H785" s="1"/>
      <c r="I785" s="61"/>
      <c r="J785" s="1"/>
      <c r="K785" s="1"/>
    </row>
    <row r="786" spans="1:11" ht="15.75" customHeight="1">
      <c r="A786" s="2"/>
      <c r="B786" s="1"/>
      <c r="C786" s="1"/>
      <c r="D786" s="1"/>
      <c r="E786" s="1"/>
      <c r="F786" s="1"/>
      <c r="G786" s="1"/>
      <c r="H786" s="1"/>
      <c r="I786" s="61"/>
      <c r="J786" s="1"/>
      <c r="K786" s="1"/>
    </row>
    <row r="787" spans="1:11" ht="15.75" customHeight="1">
      <c r="A787" s="2"/>
      <c r="B787" s="1"/>
      <c r="C787" s="1"/>
      <c r="D787" s="1"/>
      <c r="E787" s="1"/>
      <c r="F787" s="1"/>
      <c r="G787" s="1"/>
      <c r="H787" s="1"/>
      <c r="I787" s="61"/>
      <c r="J787" s="1"/>
      <c r="K787" s="1"/>
    </row>
    <row r="788" spans="1:11" ht="15.75" customHeight="1">
      <c r="A788" s="2"/>
      <c r="B788" s="1"/>
      <c r="C788" s="1"/>
      <c r="D788" s="1"/>
      <c r="E788" s="1"/>
      <c r="F788" s="1"/>
      <c r="G788" s="1"/>
      <c r="H788" s="1"/>
      <c r="I788" s="61"/>
      <c r="J788" s="1"/>
      <c r="K788" s="1"/>
    </row>
    <row r="789" spans="1:11" ht="15.75" customHeight="1">
      <c r="A789" s="2"/>
      <c r="B789" s="1"/>
      <c r="C789" s="1"/>
      <c r="D789" s="1"/>
      <c r="E789" s="1"/>
      <c r="F789" s="1"/>
      <c r="G789" s="1"/>
      <c r="H789" s="1"/>
      <c r="I789" s="61"/>
      <c r="J789" s="1"/>
      <c r="K789" s="1"/>
    </row>
    <row r="790" spans="1:11" ht="15.75" customHeight="1">
      <c r="A790" s="2"/>
      <c r="B790" s="1"/>
      <c r="C790" s="1"/>
      <c r="D790" s="1"/>
      <c r="E790" s="1"/>
      <c r="F790" s="1"/>
      <c r="G790" s="1"/>
      <c r="H790" s="1"/>
      <c r="I790" s="61"/>
      <c r="J790" s="1"/>
      <c r="K790" s="1"/>
    </row>
    <row r="791" spans="1:11" ht="15.75" customHeight="1">
      <c r="A791" s="2"/>
      <c r="B791" s="1"/>
      <c r="C791" s="1"/>
      <c r="D791" s="1"/>
      <c r="E791" s="1"/>
      <c r="F791" s="1"/>
      <c r="G791" s="1"/>
      <c r="H791" s="1"/>
      <c r="I791" s="61"/>
      <c r="J791" s="1"/>
      <c r="K791" s="1"/>
    </row>
    <row r="792" spans="1:11" ht="15.75" customHeight="1">
      <c r="A792" s="2"/>
      <c r="B792" s="1"/>
      <c r="C792" s="1"/>
      <c r="D792" s="1"/>
      <c r="E792" s="1"/>
      <c r="F792" s="1"/>
      <c r="G792" s="1"/>
      <c r="H792" s="1"/>
      <c r="I792" s="61"/>
      <c r="J792" s="1"/>
      <c r="K792" s="1"/>
    </row>
    <row r="793" spans="1:11" ht="15.75" customHeight="1">
      <c r="A793" s="2"/>
      <c r="B793" s="1"/>
      <c r="C793" s="1"/>
      <c r="D793" s="1"/>
      <c r="E793" s="1"/>
      <c r="F793" s="1"/>
      <c r="G793" s="1"/>
      <c r="H793" s="1"/>
      <c r="I793" s="61"/>
      <c r="J793" s="1"/>
      <c r="K793" s="1"/>
    </row>
    <row r="794" spans="1:11" ht="15.75" customHeight="1">
      <c r="A794" s="2"/>
      <c r="B794" s="1"/>
      <c r="C794" s="1"/>
      <c r="D794" s="1"/>
      <c r="E794" s="1"/>
      <c r="F794" s="1"/>
      <c r="G794" s="1"/>
      <c r="H794" s="1"/>
      <c r="I794" s="61"/>
      <c r="J794" s="1"/>
      <c r="K794" s="1"/>
    </row>
    <row r="795" spans="1:11" ht="15.75" customHeight="1">
      <c r="A795" s="2"/>
      <c r="B795" s="1"/>
      <c r="C795" s="1"/>
      <c r="D795" s="1"/>
      <c r="E795" s="1"/>
      <c r="F795" s="1"/>
      <c r="G795" s="1"/>
      <c r="H795" s="1"/>
      <c r="I795" s="61"/>
      <c r="J795" s="1"/>
      <c r="K795" s="1"/>
    </row>
    <row r="796" spans="1:11" ht="15.75" customHeight="1">
      <c r="A796" s="2"/>
      <c r="B796" s="1"/>
      <c r="C796" s="1"/>
      <c r="D796" s="1"/>
      <c r="E796" s="1"/>
      <c r="F796" s="1"/>
      <c r="G796" s="1"/>
      <c r="H796" s="1"/>
      <c r="I796" s="61"/>
      <c r="J796" s="1"/>
      <c r="K796" s="1"/>
    </row>
    <row r="797" spans="1:11" ht="15.75" customHeight="1">
      <c r="A797" s="2"/>
      <c r="B797" s="1"/>
      <c r="C797" s="1"/>
      <c r="D797" s="1"/>
      <c r="E797" s="1"/>
      <c r="F797" s="1"/>
      <c r="G797" s="1"/>
      <c r="H797" s="1"/>
      <c r="I797" s="61"/>
      <c r="J797" s="1"/>
      <c r="K797" s="1"/>
    </row>
    <row r="798" spans="1:11" ht="15.75" customHeight="1">
      <c r="A798" s="2"/>
      <c r="B798" s="1"/>
      <c r="C798" s="1"/>
      <c r="D798" s="1"/>
      <c r="E798" s="1"/>
      <c r="F798" s="1"/>
      <c r="G798" s="1"/>
      <c r="H798" s="1"/>
      <c r="I798" s="61"/>
      <c r="J798" s="1"/>
      <c r="K798" s="1"/>
    </row>
    <row r="799" spans="1:11" ht="15.75" customHeight="1">
      <c r="A799" s="2"/>
      <c r="B799" s="1"/>
      <c r="C799" s="1"/>
      <c r="D799" s="1"/>
      <c r="E799" s="1"/>
      <c r="F799" s="1"/>
      <c r="G799" s="1"/>
      <c r="H799" s="1"/>
      <c r="I799" s="61"/>
      <c r="J799" s="1"/>
      <c r="K799" s="1"/>
    </row>
    <row r="800" spans="1:11" ht="15.75" customHeight="1">
      <c r="A800" s="2"/>
      <c r="B800" s="1"/>
      <c r="C800" s="1"/>
      <c r="D800" s="1"/>
      <c r="E800" s="1"/>
      <c r="F800" s="1"/>
      <c r="G800" s="1"/>
      <c r="H800" s="1"/>
      <c r="I800" s="61"/>
      <c r="J800" s="1"/>
      <c r="K800" s="1"/>
    </row>
    <row r="801" spans="1:11" ht="15.75" customHeight="1">
      <c r="A801" s="2"/>
      <c r="B801" s="1"/>
      <c r="C801" s="1"/>
      <c r="D801" s="1"/>
      <c r="E801" s="1"/>
      <c r="F801" s="1"/>
      <c r="G801" s="1"/>
      <c r="H801" s="1"/>
      <c r="I801" s="61"/>
      <c r="J801" s="1"/>
      <c r="K801" s="1"/>
    </row>
    <row r="802" spans="1:11" ht="15.75" customHeight="1">
      <c r="A802" s="2"/>
      <c r="B802" s="1"/>
      <c r="C802" s="1"/>
      <c r="D802" s="1"/>
      <c r="E802" s="1"/>
      <c r="F802" s="1"/>
      <c r="G802" s="1"/>
      <c r="H802" s="1"/>
      <c r="I802" s="61"/>
      <c r="J802" s="1"/>
      <c r="K802" s="1"/>
    </row>
    <row r="803" spans="1:11" ht="15.75" customHeight="1">
      <c r="A803" s="2"/>
      <c r="B803" s="1"/>
      <c r="C803" s="1"/>
      <c r="D803" s="1"/>
      <c r="E803" s="1"/>
      <c r="F803" s="1"/>
      <c r="G803" s="1"/>
      <c r="H803" s="1"/>
      <c r="I803" s="61"/>
      <c r="J803" s="1"/>
      <c r="K803" s="1"/>
    </row>
    <row r="804" spans="1:11" ht="15.75" customHeight="1">
      <c r="A804" s="2"/>
      <c r="B804" s="1"/>
      <c r="C804" s="1"/>
      <c r="D804" s="1"/>
      <c r="E804" s="1"/>
      <c r="F804" s="1"/>
      <c r="G804" s="1"/>
      <c r="H804" s="1"/>
      <c r="I804" s="61"/>
      <c r="J804" s="1"/>
      <c r="K804" s="1"/>
    </row>
    <row r="805" spans="1:11" ht="15.75" customHeight="1">
      <c r="A805" s="2"/>
      <c r="B805" s="1"/>
      <c r="C805" s="1"/>
      <c r="D805" s="1"/>
      <c r="E805" s="1"/>
      <c r="F805" s="1"/>
      <c r="G805" s="1"/>
      <c r="H805" s="1"/>
      <c r="I805" s="61"/>
      <c r="J805" s="1"/>
      <c r="K805" s="1"/>
    </row>
    <row r="806" spans="1:11" ht="15.75" customHeight="1">
      <c r="A806" s="2"/>
      <c r="B806" s="1"/>
      <c r="C806" s="1"/>
      <c r="D806" s="1"/>
      <c r="E806" s="1"/>
      <c r="F806" s="1"/>
      <c r="G806" s="1"/>
      <c r="H806" s="1"/>
      <c r="I806" s="61"/>
      <c r="J806" s="1"/>
      <c r="K806" s="1"/>
    </row>
    <row r="807" spans="1:11" ht="15.75" customHeight="1">
      <c r="A807" s="2"/>
      <c r="B807" s="1"/>
      <c r="C807" s="1"/>
      <c r="D807" s="1"/>
      <c r="E807" s="1"/>
      <c r="F807" s="1"/>
      <c r="G807" s="1"/>
      <c r="H807" s="1"/>
      <c r="I807" s="61"/>
      <c r="J807" s="1"/>
      <c r="K807" s="1"/>
    </row>
    <row r="808" spans="1:11" ht="15.75" customHeight="1">
      <c r="A808" s="2"/>
      <c r="B808" s="1"/>
      <c r="C808" s="1"/>
      <c r="D808" s="1"/>
      <c r="E808" s="1"/>
      <c r="F808" s="1"/>
      <c r="G808" s="1"/>
      <c r="H808" s="1"/>
      <c r="I808" s="61"/>
      <c r="J808" s="1"/>
      <c r="K808" s="1"/>
    </row>
    <row r="809" spans="1:11" ht="15.75" customHeight="1">
      <c r="A809" s="2"/>
      <c r="B809" s="1"/>
      <c r="C809" s="1"/>
      <c r="D809" s="1"/>
      <c r="E809" s="1"/>
      <c r="F809" s="1"/>
      <c r="G809" s="1"/>
      <c r="H809" s="1"/>
      <c r="I809" s="61"/>
      <c r="J809" s="1"/>
      <c r="K809" s="1"/>
    </row>
    <row r="810" spans="1:11" ht="15.75" customHeight="1">
      <c r="A810" s="2"/>
      <c r="B810" s="1"/>
      <c r="C810" s="1"/>
      <c r="D810" s="1"/>
      <c r="E810" s="1"/>
      <c r="F810" s="1"/>
      <c r="G810" s="1"/>
      <c r="H810" s="1"/>
      <c r="I810" s="61"/>
      <c r="J810" s="1"/>
      <c r="K810" s="1"/>
    </row>
    <row r="811" spans="1:11" ht="15.75" customHeight="1">
      <c r="A811" s="2"/>
      <c r="B811" s="1"/>
      <c r="C811" s="1"/>
      <c r="D811" s="1"/>
      <c r="E811" s="1"/>
      <c r="F811" s="1"/>
      <c r="G811" s="1"/>
      <c r="H811" s="1"/>
      <c r="I811" s="61"/>
      <c r="J811" s="1"/>
      <c r="K811" s="1"/>
    </row>
    <row r="812" spans="1:11" ht="15.75" customHeight="1">
      <c r="A812" s="2"/>
      <c r="B812" s="1"/>
      <c r="C812" s="1"/>
      <c r="D812" s="1"/>
      <c r="E812" s="1"/>
      <c r="F812" s="1"/>
      <c r="G812" s="1"/>
      <c r="H812" s="1"/>
      <c r="I812" s="61"/>
      <c r="J812" s="1"/>
      <c r="K812" s="1"/>
    </row>
    <row r="813" spans="1:11" ht="15.75" customHeight="1">
      <c r="A813" s="2"/>
      <c r="B813" s="1"/>
      <c r="C813" s="1"/>
      <c r="D813" s="1"/>
      <c r="E813" s="1"/>
      <c r="F813" s="1"/>
      <c r="G813" s="1"/>
      <c r="H813" s="1"/>
      <c r="I813" s="61"/>
      <c r="J813" s="1"/>
      <c r="K813" s="1"/>
    </row>
    <row r="814" spans="1:11" ht="15.75" customHeight="1">
      <c r="A814" s="2"/>
      <c r="B814" s="1"/>
      <c r="C814" s="1"/>
      <c r="D814" s="1"/>
      <c r="E814" s="1"/>
      <c r="F814" s="1"/>
      <c r="G814" s="1"/>
      <c r="H814" s="1"/>
      <c r="I814" s="61"/>
      <c r="J814" s="1"/>
      <c r="K814" s="1"/>
    </row>
    <row r="815" spans="1:11" ht="15.75" customHeight="1">
      <c r="A815" s="2"/>
      <c r="B815" s="1"/>
      <c r="C815" s="1"/>
      <c r="D815" s="1"/>
      <c r="E815" s="1"/>
      <c r="F815" s="1"/>
      <c r="G815" s="1"/>
      <c r="H815" s="1"/>
      <c r="I815" s="61"/>
      <c r="J815" s="1"/>
      <c r="K815" s="1"/>
    </row>
    <row r="816" spans="1:11" ht="15.75" customHeight="1">
      <c r="A816" s="2"/>
      <c r="B816" s="1"/>
      <c r="C816" s="1"/>
      <c r="D816" s="1"/>
      <c r="E816" s="1"/>
      <c r="F816" s="1"/>
      <c r="G816" s="1"/>
      <c r="H816" s="1"/>
      <c r="I816" s="61"/>
      <c r="J816" s="1"/>
      <c r="K816" s="1"/>
    </row>
    <row r="817" spans="1:11" ht="15.75" customHeight="1">
      <c r="A817" s="2"/>
      <c r="B817" s="1"/>
      <c r="C817" s="1"/>
      <c r="D817" s="1"/>
      <c r="E817" s="1"/>
      <c r="F817" s="1"/>
      <c r="G817" s="1"/>
      <c r="H817" s="1"/>
      <c r="I817" s="61"/>
      <c r="J817" s="1"/>
      <c r="K817" s="1"/>
    </row>
    <row r="818" spans="1:11" ht="15.75" customHeight="1">
      <c r="A818" s="2"/>
      <c r="B818" s="1"/>
      <c r="C818" s="1"/>
      <c r="D818" s="1"/>
      <c r="E818" s="1"/>
      <c r="F818" s="1"/>
      <c r="G818" s="1"/>
      <c r="H818" s="1"/>
      <c r="I818" s="61"/>
      <c r="J818" s="1"/>
      <c r="K818" s="1"/>
    </row>
    <row r="819" spans="1:11" ht="15.75" customHeight="1">
      <c r="A819" s="2"/>
      <c r="B819" s="1"/>
      <c r="C819" s="1"/>
      <c r="D819" s="1"/>
      <c r="E819" s="1"/>
      <c r="F819" s="1"/>
      <c r="G819" s="1"/>
      <c r="H819" s="1"/>
      <c r="I819" s="61"/>
      <c r="J819" s="1"/>
      <c r="K819" s="1"/>
    </row>
    <row r="820" spans="1:11" ht="15.75" customHeight="1">
      <c r="A820" s="2"/>
      <c r="B820" s="1"/>
      <c r="C820" s="1"/>
      <c r="D820" s="1"/>
      <c r="E820" s="1"/>
      <c r="F820" s="1"/>
      <c r="G820" s="1"/>
      <c r="H820" s="1"/>
      <c r="I820" s="61"/>
      <c r="J820" s="1"/>
      <c r="K820" s="1"/>
    </row>
    <row r="821" spans="1:11" ht="15.75" customHeight="1">
      <c r="A821" s="2"/>
      <c r="B821" s="1"/>
      <c r="C821" s="1"/>
      <c r="D821" s="1"/>
      <c r="E821" s="1"/>
      <c r="F821" s="1"/>
      <c r="G821" s="1"/>
      <c r="H821" s="1"/>
      <c r="I821" s="61"/>
      <c r="J821" s="1"/>
      <c r="K821" s="1"/>
    </row>
    <row r="822" spans="1:11" ht="15.75" customHeight="1">
      <c r="A822" s="2"/>
      <c r="B822" s="1"/>
      <c r="C822" s="1"/>
      <c r="D822" s="1"/>
      <c r="E822" s="1"/>
      <c r="F822" s="1"/>
      <c r="G822" s="1"/>
      <c r="H822" s="1"/>
      <c r="I822" s="61"/>
      <c r="J822" s="1"/>
      <c r="K822" s="1"/>
    </row>
    <row r="823" spans="1:11" ht="15.75" customHeight="1">
      <c r="A823" s="2"/>
      <c r="B823" s="1"/>
      <c r="C823" s="1"/>
      <c r="D823" s="1"/>
      <c r="E823" s="1"/>
      <c r="F823" s="1"/>
      <c r="G823" s="1"/>
      <c r="H823" s="1"/>
      <c r="I823" s="61"/>
      <c r="J823" s="1"/>
      <c r="K823" s="1"/>
    </row>
    <row r="824" spans="1:11" ht="15.75" customHeight="1">
      <c r="A824" s="2"/>
      <c r="B824" s="1"/>
      <c r="C824" s="1"/>
      <c r="D824" s="1"/>
      <c r="E824" s="1"/>
      <c r="F824" s="1"/>
      <c r="G824" s="1"/>
      <c r="H824" s="1"/>
      <c r="I824" s="61"/>
      <c r="J824" s="1"/>
      <c r="K824" s="1"/>
    </row>
    <row r="825" spans="1:11" ht="15.75" customHeight="1">
      <c r="A825" s="2"/>
      <c r="B825" s="1"/>
      <c r="C825" s="1"/>
      <c r="D825" s="1"/>
      <c r="E825" s="1"/>
      <c r="F825" s="1"/>
      <c r="G825" s="1"/>
      <c r="H825" s="1"/>
      <c r="I825" s="61"/>
      <c r="J825" s="1"/>
      <c r="K825" s="1"/>
    </row>
    <row r="826" spans="1:11" ht="15.75" customHeight="1">
      <c r="A826" s="2"/>
      <c r="B826" s="1"/>
      <c r="C826" s="1"/>
      <c r="D826" s="1"/>
      <c r="E826" s="1"/>
      <c r="F826" s="1"/>
      <c r="G826" s="1"/>
      <c r="H826" s="1"/>
      <c r="I826" s="61"/>
      <c r="J826" s="1"/>
      <c r="K826" s="1"/>
    </row>
    <row r="827" spans="1:11" ht="15.75" customHeight="1">
      <c r="A827" s="2"/>
      <c r="B827" s="1"/>
      <c r="C827" s="1"/>
      <c r="D827" s="1"/>
      <c r="E827" s="1"/>
      <c r="F827" s="1"/>
      <c r="G827" s="1"/>
      <c r="H827" s="1"/>
      <c r="I827" s="61"/>
      <c r="J827" s="1"/>
      <c r="K827" s="1"/>
    </row>
    <row r="828" spans="1:11" ht="15.75" customHeight="1">
      <c r="A828" s="2"/>
      <c r="B828" s="1"/>
      <c r="C828" s="1"/>
      <c r="D828" s="1"/>
      <c r="E828" s="1"/>
      <c r="F828" s="1"/>
      <c r="G828" s="1"/>
      <c r="H828" s="1"/>
      <c r="I828" s="61"/>
      <c r="J828" s="1"/>
      <c r="K828" s="1"/>
    </row>
    <row r="829" spans="1:11" ht="15.75" customHeight="1">
      <c r="A829" s="2"/>
      <c r="B829" s="1"/>
      <c r="C829" s="1"/>
      <c r="D829" s="1"/>
      <c r="E829" s="1"/>
      <c r="F829" s="1"/>
      <c r="G829" s="1"/>
      <c r="H829" s="1"/>
      <c r="I829" s="61"/>
      <c r="J829" s="1"/>
      <c r="K829" s="1"/>
    </row>
    <row r="830" spans="1:11" ht="15.75" customHeight="1">
      <c r="A830" s="2"/>
      <c r="B830" s="1"/>
      <c r="C830" s="1"/>
      <c r="D830" s="1"/>
      <c r="E830" s="1"/>
      <c r="F830" s="1"/>
      <c r="G830" s="1"/>
      <c r="H830" s="1"/>
      <c r="I830" s="61"/>
      <c r="J830" s="1"/>
      <c r="K830" s="1"/>
    </row>
    <row r="831" spans="1:11" ht="15.75" customHeight="1">
      <c r="A831" s="2"/>
      <c r="B831" s="1"/>
      <c r="C831" s="1"/>
      <c r="D831" s="1"/>
      <c r="E831" s="1"/>
      <c r="F831" s="1"/>
      <c r="G831" s="1"/>
      <c r="H831" s="1"/>
      <c r="I831" s="61"/>
      <c r="J831" s="1"/>
      <c r="K831" s="1"/>
    </row>
    <row r="832" spans="1:11" ht="15.75" customHeight="1">
      <c r="A832" s="2"/>
      <c r="B832" s="1"/>
      <c r="C832" s="1"/>
      <c r="D832" s="1"/>
      <c r="E832" s="1"/>
      <c r="F832" s="1"/>
      <c r="G832" s="1"/>
      <c r="H832" s="1"/>
      <c r="I832" s="61"/>
      <c r="J832" s="1"/>
      <c r="K832" s="1"/>
    </row>
    <row r="833" spans="1:11" ht="15.75" customHeight="1">
      <c r="A833" s="2"/>
      <c r="B833" s="1"/>
      <c r="C833" s="1"/>
      <c r="D833" s="1"/>
      <c r="E833" s="1"/>
      <c r="F833" s="1"/>
      <c r="G833" s="1"/>
      <c r="H833" s="1"/>
      <c r="I833" s="61"/>
      <c r="J833" s="1"/>
      <c r="K833" s="1"/>
    </row>
    <row r="834" spans="1:11" ht="15.75" customHeight="1">
      <c r="A834" s="2"/>
      <c r="B834" s="1"/>
      <c r="C834" s="1"/>
      <c r="D834" s="1"/>
      <c r="E834" s="1"/>
      <c r="F834" s="1"/>
      <c r="G834" s="1"/>
      <c r="H834" s="1"/>
      <c r="I834" s="61"/>
      <c r="J834" s="1"/>
      <c r="K834" s="1"/>
    </row>
    <row r="835" spans="1:11" ht="15.75" customHeight="1">
      <c r="A835" s="2"/>
      <c r="B835" s="1"/>
      <c r="C835" s="1"/>
      <c r="D835" s="1"/>
      <c r="E835" s="1"/>
      <c r="F835" s="1"/>
      <c r="G835" s="1"/>
      <c r="H835" s="1"/>
      <c r="I835" s="61"/>
      <c r="J835" s="1"/>
      <c r="K835" s="1"/>
    </row>
    <row r="836" spans="1:11" ht="15.75" customHeight="1">
      <c r="A836" s="2"/>
      <c r="B836" s="1"/>
      <c r="C836" s="1"/>
      <c r="D836" s="1"/>
      <c r="E836" s="1"/>
      <c r="F836" s="1"/>
      <c r="G836" s="1"/>
      <c r="H836" s="1"/>
      <c r="I836" s="61"/>
      <c r="J836" s="1"/>
      <c r="K836" s="1"/>
    </row>
    <row r="837" spans="1:11" ht="15.75" customHeight="1">
      <c r="A837" s="2"/>
      <c r="B837" s="1"/>
      <c r="C837" s="1"/>
      <c r="D837" s="1"/>
      <c r="E837" s="1"/>
      <c r="F837" s="1"/>
      <c r="G837" s="1"/>
      <c r="H837" s="1"/>
      <c r="I837" s="61"/>
      <c r="J837" s="1"/>
      <c r="K837" s="1"/>
    </row>
    <row r="838" spans="1:11" ht="15.75" customHeight="1">
      <c r="A838" s="2"/>
      <c r="B838" s="1"/>
      <c r="C838" s="1"/>
      <c r="D838" s="1"/>
      <c r="E838" s="1"/>
      <c r="F838" s="1"/>
      <c r="G838" s="1"/>
      <c r="H838" s="1"/>
      <c r="I838" s="61"/>
      <c r="J838" s="1"/>
      <c r="K838" s="1"/>
    </row>
    <row r="839" spans="1:11" ht="15.75" customHeight="1">
      <c r="A839" s="2"/>
      <c r="B839" s="1"/>
      <c r="C839" s="1"/>
      <c r="D839" s="1"/>
      <c r="E839" s="1"/>
      <c r="F839" s="1"/>
      <c r="G839" s="1"/>
      <c r="H839" s="1"/>
      <c r="I839" s="61"/>
      <c r="J839" s="1"/>
      <c r="K839" s="1"/>
    </row>
    <row r="840" spans="1:11" ht="15.75" customHeight="1">
      <c r="A840" s="2"/>
      <c r="B840" s="1"/>
      <c r="C840" s="1"/>
      <c r="D840" s="1"/>
      <c r="E840" s="1"/>
      <c r="F840" s="1"/>
      <c r="G840" s="1"/>
      <c r="H840" s="1"/>
      <c r="I840" s="61"/>
      <c r="J840" s="1"/>
      <c r="K840" s="1"/>
    </row>
    <row r="841" spans="1:11" ht="15.75" customHeight="1">
      <c r="A841" s="2"/>
      <c r="B841" s="1"/>
      <c r="C841" s="1"/>
      <c r="D841" s="1"/>
      <c r="E841" s="1"/>
      <c r="F841" s="1"/>
      <c r="G841" s="1"/>
      <c r="H841" s="1"/>
      <c r="I841" s="61"/>
      <c r="J841" s="1"/>
      <c r="K841" s="1"/>
    </row>
    <row r="842" spans="1:11" ht="15.75" customHeight="1">
      <c r="A842" s="2"/>
      <c r="B842" s="1"/>
      <c r="C842" s="1"/>
      <c r="D842" s="1"/>
      <c r="E842" s="1"/>
      <c r="F842" s="1"/>
      <c r="G842" s="1"/>
      <c r="H842" s="1"/>
      <c r="I842" s="61"/>
      <c r="J842" s="1"/>
      <c r="K842" s="1"/>
    </row>
    <row r="843" spans="1:11" ht="15.75" customHeight="1">
      <c r="A843" s="2"/>
      <c r="B843" s="1"/>
      <c r="C843" s="1"/>
      <c r="D843" s="1"/>
      <c r="E843" s="1"/>
      <c r="F843" s="1"/>
      <c r="G843" s="1"/>
      <c r="H843" s="1"/>
      <c r="I843" s="61"/>
      <c r="J843" s="1"/>
      <c r="K843" s="1"/>
    </row>
    <row r="844" spans="1:11" ht="15.75" customHeight="1">
      <c r="A844" s="2"/>
      <c r="B844" s="1"/>
      <c r="C844" s="1"/>
      <c r="D844" s="1"/>
      <c r="E844" s="1"/>
      <c r="F844" s="1"/>
      <c r="G844" s="1"/>
      <c r="H844" s="1"/>
      <c r="I844" s="61"/>
      <c r="J844" s="1"/>
      <c r="K844" s="1"/>
    </row>
    <row r="845" spans="1:11" ht="15.75" customHeight="1">
      <c r="A845" s="2"/>
      <c r="B845" s="1"/>
      <c r="C845" s="1"/>
      <c r="D845" s="1"/>
      <c r="E845" s="1"/>
      <c r="F845" s="1"/>
      <c r="G845" s="1"/>
      <c r="H845" s="1"/>
      <c r="I845" s="61"/>
      <c r="J845" s="1"/>
      <c r="K845" s="1"/>
    </row>
    <row r="846" spans="1:11" ht="15.75" customHeight="1">
      <c r="A846" s="2"/>
      <c r="B846" s="1"/>
      <c r="C846" s="1"/>
      <c r="D846" s="1"/>
      <c r="E846" s="1"/>
      <c r="F846" s="1"/>
      <c r="G846" s="1"/>
      <c r="H846" s="1"/>
      <c r="I846" s="61"/>
      <c r="J846" s="1"/>
      <c r="K846" s="1"/>
    </row>
    <row r="847" spans="1:11" ht="15.75" customHeight="1">
      <c r="A847" s="2"/>
      <c r="B847" s="1"/>
      <c r="C847" s="1"/>
      <c r="D847" s="1"/>
      <c r="E847" s="1"/>
      <c r="F847" s="1"/>
      <c r="G847" s="1"/>
      <c r="H847" s="1"/>
      <c r="I847" s="61"/>
      <c r="J847" s="1"/>
      <c r="K847" s="1"/>
    </row>
    <row r="848" spans="1:11" ht="15.75" customHeight="1">
      <c r="A848" s="2"/>
      <c r="B848" s="1"/>
      <c r="C848" s="1"/>
      <c r="D848" s="1"/>
      <c r="E848" s="1"/>
      <c r="F848" s="1"/>
      <c r="G848" s="1"/>
      <c r="H848" s="1"/>
      <c r="I848" s="61"/>
      <c r="J848" s="1"/>
      <c r="K848" s="1"/>
    </row>
    <row r="849" spans="1:11" ht="15.75" customHeight="1">
      <c r="A849" s="2"/>
      <c r="B849" s="1"/>
      <c r="C849" s="1"/>
      <c r="D849" s="1"/>
      <c r="E849" s="1"/>
      <c r="F849" s="1"/>
      <c r="G849" s="1"/>
      <c r="H849" s="1"/>
      <c r="I849" s="61"/>
      <c r="J849" s="1"/>
      <c r="K849" s="1"/>
    </row>
    <row r="850" spans="1:11" ht="15.75" customHeight="1">
      <c r="A850" s="2"/>
      <c r="B850" s="1"/>
      <c r="C850" s="1"/>
      <c r="D850" s="1"/>
      <c r="E850" s="1"/>
      <c r="F850" s="1"/>
      <c r="G850" s="1"/>
      <c r="H850" s="1"/>
      <c r="I850" s="61"/>
      <c r="J850" s="1"/>
      <c r="K850" s="1"/>
    </row>
    <row r="851" spans="1:11" ht="15.75" customHeight="1">
      <c r="A851" s="2"/>
      <c r="B851" s="1"/>
      <c r="C851" s="1"/>
      <c r="D851" s="1"/>
      <c r="E851" s="1"/>
      <c r="F851" s="1"/>
      <c r="G851" s="1"/>
      <c r="H851" s="1"/>
      <c r="I851" s="61"/>
      <c r="J851" s="1"/>
      <c r="K851" s="1"/>
    </row>
    <row r="852" spans="1:11" ht="15.75" customHeight="1">
      <c r="A852" s="2"/>
      <c r="B852" s="1"/>
      <c r="C852" s="1"/>
      <c r="D852" s="1"/>
      <c r="E852" s="1"/>
      <c r="F852" s="1"/>
      <c r="G852" s="1"/>
      <c r="H852" s="1"/>
      <c r="I852" s="61"/>
      <c r="J852" s="1"/>
      <c r="K852" s="1"/>
    </row>
    <row r="853" spans="1:11" ht="15.75" customHeight="1">
      <c r="A853" s="2"/>
      <c r="B853" s="1"/>
      <c r="C853" s="1"/>
      <c r="D853" s="1"/>
      <c r="E853" s="1"/>
      <c r="F853" s="1"/>
      <c r="G853" s="1"/>
      <c r="H853" s="1"/>
      <c r="I853" s="61"/>
      <c r="J853" s="1"/>
      <c r="K853" s="1"/>
    </row>
    <row r="854" spans="1:11" ht="15.75" customHeight="1">
      <c r="A854" s="2"/>
      <c r="B854" s="1"/>
      <c r="C854" s="1"/>
      <c r="D854" s="1"/>
      <c r="E854" s="1"/>
      <c r="F854" s="1"/>
      <c r="G854" s="1"/>
      <c r="H854" s="1"/>
      <c r="I854" s="61"/>
      <c r="J854" s="1"/>
      <c r="K854" s="1"/>
    </row>
    <row r="855" spans="1:11" ht="15.75" customHeight="1">
      <c r="A855" s="2"/>
      <c r="B855" s="1"/>
      <c r="C855" s="1"/>
      <c r="D855" s="1"/>
      <c r="E855" s="1"/>
      <c r="F855" s="1"/>
      <c r="G855" s="1"/>
      <c r="H855" s="1"/>
      <c r="I855" s="61"/>
      <c r="J855" s="1"/>
      <c r="K855" s="1"/>
    </row>
    <row r="856" spans="1:11" ht="15.75" customHeight="1">
      <c r="A856" s="2"/>
      <c r="B856" s="1"/>
      <c r="C856" s="1"/>
      <c r="D856" s="1"/>
      <c r="E856" s="1"/>
      <c r="F856" s="1"/>
      <c r="G856" s="1"/>
      <c r="H856" s="1"/>
      <c r="I856" s="61"/>
      <c r="J856" s="1"/>
      <c r="K856" s="1"/>
    </row>
    <row r="857" spans="1:11" ht="15.75" customHeight="1">
      <c r="A857" s="2"/>
      <c r="B857" s="1"/>
      <c r="C857" s="1"/>
      <c r="D857" s="1"/>
      <c r="E857" s="1"/>
      <c r="F857" s="1"/>
      <c r="G857" s="1"/>
      <c r="H857" s="1"/>
      <c r="I857" s="61"/>
      <c r="J857" s="1"/>
      <c r="K857" s="1"/>
    </row>
    <row r="858" spans="1:11" ht="15.75" customHeight="1">
      <c r="A858" s="2"/>
      <c r="B858" s="1"/>
      <c r="C858" s="1"/>
      <c r="D858" s="1"/>
      <c r="E858" s="1"/>
      <c r="F858" s="1"/>
      <c r="G858" s="1"/>
      <c r="H858" s="1"/>
      <c r="I858" s="61"/>
      <c r="J858" s="1"/>
      <c r="K858" s="1"/>
    </row>
    <row r="859" spans="1:11" ht="15.75" customHeight="1">
      <c r="A859" s="2"/>
      <c r="B859" s="1"/>
      <c r="C859" s="1"/>
      <c r="D859" s="1"/>
      <c r="E859" s="1"/>
      <c r="F859" s="1"/>
      <c r="G859" s="1"/>
      <c r="H859" s="1"/>
      <c r="I859" s="61"/>
      <c r="J859" s="1"/>
      <c r="K859" s="1"/>
    </row>
    <row r="860" spans="1:11" ht="15.75" customHeight="1">
      <c r="A860" s="2"/>
      <c r="B860" s="1"/>
      <c r="C860" s="1"/>
      <c r="D860" s="1"/>
      <c r="E860" s="1"/>
      <c r="F860" s="1"/>
      <c r="G860" s="1"/>
      <c r="H860" s="1"/>
      <c r="I860" s="61"/>
      <c r="J860" s="1"/>
      <c r="K860" s="1"/>
    </row>
    <row r="861" spans="1:11" ht="15.75" customHeight="1">
      <c r="A861" s="2"/>
      <c r="B861" s="1"/>
      <c r="C861" s="1"/>
      <c r="D861" s="1"/>
      <c r="E861" s="1"/>
      <c r="F861" s="1"/>
      <c r="G861" s="1"/>
      <c r="H861" s="1"/>
      <c r="I861" s="61"/>
      <c r="J861" s="1"/>
      <c r="K861" s="1"/>
    </row>
    <row r="862" spans="1:11" ht="15.75" customHeight="1">
      <c r="A862" s="2"/>
      <c r="B862" s="1"/>
      <c r="C862" s="1"/>
      <c r="D862" s="1"/>
      <c r="E862" s="1"/>
      <c r="F862" s="1"/>
      <c r="G862" s="1"/>
      <c r="H862" s="1"/>
      <c r="I862" s="61"/>
      <c r="J862" s="1"/>
      <c r="K862" s="1"/>
    </row>
    <row r="863" spans="1:11" ht="15.75" customHeight="1">
      <c r="A863" s="2"/>
      <c r="B863" s="1"/>
      <c r="C863" s="1"/>
      <c r="D863" s="1"/>
      <c r="E863" s="1"/>
      <c r="F863" s="1"/>
      <c r="G863" s="1"/>
      <c r="H863" s="1"/>
      <c r="I863" s="61"/>
      <c r="J863" s="1"/>
      <c r="K863" s="1"/>
    </row>
    <row r="864" spans="1:11" ht="15.75" customHeight="1">
      <c r="A864" s="2"/>
      <c r="B864" s="1"/>
      <c r="C864" s="1"/>
      <c r="D864" s="1"/>
      <c r="E864" s="1"/>
      <c r="F864" s="1"/>
      <c r="G864" s="1"/>
      <c r="H864" s="1"/>
      <c r="I864" s="61"/>
      <c r="J864" s="1"/>
      <c r="K864" s="1"/>
    </row>
    <row r="865" spans="1:11" ht="15.75" customHeight="1">
      <c r="A865" s="2"/>
      <c r="B865" s="1"/>
      <c r="C865" s="1"/>
      <c r="D865" s="1"/>
      <c r="E865" s="1"/>
      <c r="F865" s="1"/>
      <c r="G865" s="1"/>
      <c r="H865" s="1"/>
      <c r="I865" s="61"/>
      <c r="J865" s="1"/>
      <c r="K865" s="1"/>
    </row>
    <row r="866" spans="1:11" ht="15.75" customHeight="1">
      <c r="A866" s="2"/>
      <c r="B866" s="1"/>
      <c r="C866" s="1"/>
      <c r="D866" s="1"/>
      <c r="E866" s="1"/>
      <c r="F866" s="1"/>
      <c r="G866" s="1"/>
      <c r="H866" s="1"/>
      <c r="I866" s="61"/>
      <c r="J866" s="1"/>
      <c r="K866" s="1"/>
    </row>
    <row r="867" spans="1:11" ht="15.75" customHeight="1">
      <c r="A867" s="2"/>
      <c r="B867" s="1"/>
      <c r="C867" s="1"/>
      <c r="D867" s="1"/>
      <c r="E867" s="1"/>
      <c r="F867" s="1"/>
      <c r="G867" s="1"/>
      <c r="H867" s="1"/>
      <c r="I867" s="61"/>
      <c r="J867" s="1"/>
      <c r="K867" s="1"/>
    </row>
    <row r="868" spans="1:11" ht="15.75" customHeight="1">
      <c r="A868" s="2"/>
      <c r="B868" s="1"/>
      <c r="C868" s="1"/>
      <c r="D868" s="1"/>
      <c r="E868" s="1"/>
      <c r="F868" s="1"/>
      <c r="G868" s="1"/>
      <c r="H868" s="1"/>
      <c r="I868" s="61"/>
      <c r="J868" s="1"/>
      <c r="K868" s="1"/>
    </row>
    <row r="869" spans="1:11" ht="15.75" customHeight="1">
      <c r="A869" s="2"/>
      <c r="B869" s="1"/>
      <c r="C869" s="1"/>
      <c r="D869" s="1"/>
      <c r="E869" s="1"/>
      <c r="F869" s="1"/>
      <c r="G869" s="1"/>
      <c r="H869" s="1"/>
      <c r="I869" s="61"/>
      <c r="J869" s="1"/>
      <c r="K869" s="1"/>
    </row>
    <row r="870" spans="1:11" ht="15.75" customHeight="1">
      <c r="A870" s="2"/>
      <c r="B870" s="1"/>
      <c r="C870" s="1"/>
      <c r="D870" s="1"/>
      <c r="E870" s="1"/>
      <c r="F870" s="1"/>
      <c r="G870" s="1"/>
      <c r="H870" s="1"/>
      <c r="I870" s="61"/>
      <c r="J870" s="1"/>
      <c r="K870" s="1"/>
    </row>
    <row r="871" spans="1:11" ht="15.75" customHeight="1">
      <c r="A871" s="2"/>
      <c r="B871" s="1"/>
      <c r="C871" s="1"/>
      <c r="D871" s="1"/>
      <c r="E871" s="1"/>
      <c r="F871" s="1"/>
      <c r="G871" s="1"/>
      <c r="H871" s="1"/>
      <c r="I871" s="61"/>
      <c r="J871" s="1"/>
      <c r="K871" s="1"/>
    </row>
    <row r="872" spans="1:11" ht="15.75" customHeight="1">
      <c r="A872" s="2"/>
      <c r="B872" s="1"/>
      <c r="C872" s="1"/>
      <c r="D872" s="1"/>
      <c r="E872" s="1"/>
      <c r="F872" s="1"/>
      <c r="G872" s="1"/>
      <c r="H872" s="1"/>
      <c r="I872" s="61"/>
      <c r="J872" s="1"/>
      <c r="K872" s="1"/>
    </row>
    <row r="873" spans="1:11" ht="15.75" customHeight="1">
      <c r="A873" s="2"/>
      <c r="B873" s="1"/>
      <c r="C873" s="1"/>
      <c r="D873" s="1"/>
      <c r="E873" s="1"/>
      <c r="F873" s="1"/>
      <c r="G873" s="1"/>
      <c r="H873" s="1"/>
      <c r="I873" s="61"/>
      <c r="J873" s="1"/>
      <c r="K873" s="1"/>
    </row>
    <row r="874" spans="1:11" ht="15.75" customHeight="1">
      <c r="A874" s="2"/>
      <c r="B874" s="1"/>
      <c r="C874" s="1"/>
      <c r="D874" s="1"/>
      <c r="E874" s="1"/>
      <c r="F874" s="1"/>
      <c r="G874" s="1"/>
      <c r="H874" s="1"/>
      <c r="I874" s="61"/>
      <c r="J874" s="1"/>
      <c r="K874" s="1"/>
    </row>
    <row r="875" spans="1:11" ht="15.75" customHeight="1">
      <c r="A875" s="2"/>
      <c r="B875" s="1"/>
      <c r="C875" s="1"/>
      <c r="D875" s="1"/>
      <c r="E875" s="1"/>
      <c r="F875" s="1"/>
      <c r="G875" s="1"/>
      <c r="H875" s="1"/>
      <c r="I875" s="61"/>
      <c r="J875" s="1"/>
      <c r="K875" s="1"/>
    </row>
    <row r="876" spans="1:11" ht="15.75" customHeight="1">
      <c r="A876" s="2"/>
      <c r="B876" s="1"/>
      <c r="C876" s="1"/>
      <c r="D876" s="1"/>
      <c r="E876" s="1"/>
      <c r="F876" s="1"/>
      <c r="G876" s="1"/>
      <c r="H876" s="1"/>
      <c r="I876" s="61"/>
      <c r="J876" s="1"/>
      <c r="K876" s="1"/>
    </row>
    <row r="877" spans="1:11" ht="15.75" customHeight="1">
      <c r="A877" s="2"/>
      <c r="B877" s="1"/>
      <c r="C877" s="1"/>
      <c r="D877" s="1"/>
      <c r="E877" s="1"/>
      <c r="F877" s="1"/>
      <c r="G877" s="1"/>
      <c r="H877" s="1"/>
      <c r="I877" s="61"/>
      <c r="J877" s="1"/>
      <c r="K877" s="1"/>
    </row>
    <row r="878" spans="1:11" ht="15.75" customHeight="1">
      <c r="A878" s="2"/>
      <c r="B878" s="1"/>
      <c r="C878" s="1"/>
      <c r="D878" s="1"/>
      <c r="E878" s="1"/>
      <c r="F878" s="1"/>
      <c r="G878" s="1"/>
      <c r="H878" s="1"/>
      <c r="I878" s="61"/>
      <c r="J878" s="1"/>
      <c r="K878" s="1"/>
    </row>
    <row r="879" spans="1:11" ht="15.75" customHeight="1">
      <c r="A879" s="2"/>
      <c r="B879" s="1"/>
      <c r="C879" s="1"/>
      <c r="D879" s="1"/>
      <c r="E879" s="1"/>
      <c r="F879" s="1"/>
      <c r="G879" s="1"/>
      <c r="H879" s="1"/>
      <c r="I879" s="61"/>
      <c r="J879" s="1"/>
      <c r="K879" s="1"/>
    </row>
    <row r="880" spans="1:11" ht="15.75" customHeight="1">
      <c r="A880" s="2"/>
      <c r="B880" s="1"/>
      <c r="C880" s="1"/>
      <c r="D880" s="1"/>
      <c r="E880" s="1"/>
      <c r="F880" s="1"/>
      <c r="G880" s="1"/>
      <c r="H880" s="1"/>
      <c r="I880" s="61"/>
      <c r="J880" s="1"/>
      <c r="K880" s="1"/>
    </row>
    <row r="881" spans="1:11" ht="15.75" customHeight="1">
      <c r="A881" s="2"/>
      <c r="B881" s="1"/>
      <c r="C881" s="1"/>
      <c r="D881" s="1"/>
      <c r="E881" s="1"/>
      <c r="F881" s="1"/>
      <c r="G881" s="1"/>
      <c r="H881" s="1"/>
      <c r="I881" s="61"/>
      <c r="J881" s="1"/>
      <c r="K881" s="1"/>
    </row>
    <row r="882" spans="1:11" ht="15.75" customHeight="1">
      <c r="A882" s="2"/>
      <c r="B882" s="1"/>
      <c r="C882" s="1"/>
      <c r="D882" s="1"/>
      <c r="E882" s="1"/>
      <c r="F882" s="1"/>
      <c r="G882" s="1"/>
      <c r="H882" s="1"/>
      <c r="I882" s="61"/>
      <c r="J882" s="1"/>
      <c r="K882" s="1"/>
    </row>
    <row r="883" spans="1:11" ht="15.75" customHeight="1">
      <c r="A883" s="2"/>
      <c r="B883" s="1"/>
      <c r="C883" s="1"/>
      <c r="D883" s="1"/>
      <c r="E883" s="1"/>
      <c r="F883" s="1"/>
      <c r="G883" s="1"/>
      <c r="H883" s="1"/>
      <c r="I883" s="61"/>
      <c r="J883" s="1"/>
      <c r="K883" s="1"/>
    </row>
    <row r="884" spans="1:11" ht="15.75" customHeight="1">
      <c r="A884" s="2"/>
      <c r="B884" s="1"/>
      <c r="C884" s="1"/>
      <c r="D884" s="1"/>
      <c r="E884" s="1"/>
      <c r="F884" s="1"/>
      <c r="G884" s="1"/>
      <c r="H884" s="1"/>
      <c r="I884" s="61"/>
      <c r="J884" s="1"/>
      <c r="K884" s="1"/>
    </row>
    <row r="885" spans="1:11" ht="15.75" customHeight="1">
      <c r="A885" s="2"/>
      <c r="B885" s="1"/>
      <c r="C885" s="1"/>
      <c r="D885" s="1"/>
      <c r="E885" s="1"/>
      <c r="F885" s="1"/>
      <c r="G885" s="1"/>
      <c r="H885" s="1"/>
      <c r="I885" s="61"/>
      <c r="J885" s="1"/>
      <c r="K885" s="1"/>
    </row>
    <row r="886" spans="1:11" ht="15.75" customHeight="1">
      <c r="A886" s="2"/>
      <c r="B886" s="1"/>
      <c r="C886" s="1"/>
      <c r="D886" s="1"/>
      <c r="E886" s="1"/>
      <c r="F886" s="1"/>
      <c r="G886" s="1"/>
      <c r="H886" s="1"/>
      <c r="I886" s="61"/>
      <c r="J886" s="1"/>
      <c r="K886" s="1"/>
    </row>
    <row r="887" spans="1:11" ht="15.75" customHeight="1">
      <c r="A887" s="2"/>
      <c r="B887" s="1"/>
      <c r="C887" s="1"/>
      <c r="D887" s="1"/>
      <c r="E887" s="1"/>
      <c r="F887" s="1"/>
      <c r="G887" s="1"/>
      <c r="H887" s="1"/>
      <c r="I887" s="61"/>
      <c r="J887" s="1"/>
      <c r="K887" s="1"/>
    </row>
    <row r="888" spans="1:11" ht="15.75" customHeight="1">
      <c r="A888" s="2"/>
      <c r="B888" s="1"/>
      <c r="C888" s="1"/>
      <c r="D888" s="1"/>
      <c r="E888" s="1"/>
      <c r="F888" s="1"/>
      <c r="G888" s="1"/>
      <c r="H888" s="1"/>
      <c r="I888" s="61"/>
      <c r="J888" s="1"/>
      <c r="K888" s="1"/>
    </row>
    <row r="889" spans="1:11" ht="15.75" customHeight="1">
      <c r="A889" s="2"/>
      <c r="B889" s="1"/>
      <c r="C889" s="1"/>
      <c r="D889" s="1"/>
      <c r="E889" s="1"/>
      <c r="F889" s="1"/>
      <c r="G889" s="1"/>
      <c r="H889" s="1"/>
      <c r="I889" s="61"/>
      <c r="J889" s="1"/>
      <c r="K889" s="1"/>
    </row>
    <row r="890" spans="1:11" ht="15.75" customHeight="1">
      <c r="A890" s="2"/>
      <c r="B890" s="1"/>
      <c r="C890" s="1"/>
      <c r="D890" s="1"/>
      <c r="E890" s="1"/>
      <c r="F890" s="1"/>
      <c r="G890" s="1"/>
      <c r="H890" s="1"/>
      <c r="I890" s="61"/>
      <c r="J890" s="1"/>
      <c r="K890" s="1"/>
    </row>
    <row r="891" spans="1:11" ht="15.75" customHeight="1">
      <c r="A891" s="2"/>
      <c r="B891" s="1"/>
      <c r="C891" s="1"/>
      <c r="D891" s="1"/>
      <c r="E891" s="1"/>
      <c r="F891" s="1"/>
      <c r="G891" s="1"/>
      <c r="H891" s="1"/>
      <c r="I891" s="61"/>
      <c r="J891" s="1"/>
      <c r="K891" s="1"/>
    </row>
    <row r="892" spans="1:11" ht="15.75" customHeight="1">
      <c r="A892" s="2"/>
      <c r="B892" s="1"/>
      <c r="C892" s="1"/>
      <c r="D892" s="1"/>
      <c r="E892" s="1"/>
      <c r="F892" s="1"/>
      <c r="G892" s="1"/>
      <c r="H892" s="1"/>
      <c r="I892" s="61"/>
      <c r="J892" s="1"/>
      <c r="K892" s="1"/>
    </row>
    <row r="893" spans="1:11" ht="15.75" customHeight="1">
      <c r="A893" s="2"/>
      <c r="B893" s="1"/>
      <c r="C893" s="1"/>
      <c r="D893" s="1"/>
      <c r="E893" s="1"/>
      <c r="F893" s="1"/>
      <c r="G893" s="1"/>
      <c r="H893" s="1"/>
      <c r="I893" s="61"/>
      <c r="J893" s="1"/>
      <c r="K893" s="1"/>
    </row>
    <row r="894" spans="1:11" ht="15.75" customHeight="1">
      <c r="A894" s="2"/>
      <c r="B894" s="1"/>
      <c r="C894" s="1"/>
      <c r="D894" s="1"/>
      <c r="E894" s="1"/>
      <c r="F894" s="1"/>
      <c r="G894" s="1"/>
      <c r="H894" s="1"/>
      <c r="I894" s="61"/>
      <c r="J894" s="1"/>
      <c r="K894" s="1"/>
    </row>
    <row r="895" spans="1:11" ht="15.75" customHeight="1">
      <c r="A895" s="2"/>
      <c r="B895" s="1"/>
      <c r="C895" s="1"/>
      <c r="D895" s="1"/>
      <c r="E895" s="1"/>
      <c r="F895" s="1"/>
      <c r="G895" s="1"/>
      <c r="H895" s="1"/>
      <c r="I895" s="61"/>
      <c r="J895" s="1"/>
      <c r="K895" s="1"/>
    </row>
    <row r="896" spans="1:11" ht="15.75" customHeight="1">
      <c r="A896" s="2"/>
      <c r="B896" s="1"/>
      <c r="C896" s="1"/>
      <c r="D896" s="1"/>
      <c r="E896" s="1"/>
      <c r="F896" s="1"/>
      <c r="G896" s="1"/>
      <c r="H896" s="1"/>
      <c r="I896" s="61"/>
      <c r="J896" s="1"/>
      <c r="K896" s="1"/>
    </row>
    <row r="897" spans="1:11" ht="15.75" customHeight="1">
      <c r="A897" s="2"/>
      <c r="B897" s="1"/>
      <c r="C897" s="1"/>
      <c r="D897" s="1"/>
      <c r="E897" s="1"/>
      <c r="F897" s="1"/>
      <c r="G897" s="1"/>
      <c r="H897" s="1"/>
      <c r="I897" s="61"/>
      <c r="J897" s="1"/>
      <c r="K897" s="1"/>
    </row>
    <row r="898" spans="1:11" ht="15.75" customHeight="1">
      <c r="A898" s="2"/>
      <c r="B898" s="1"/>
      <c r="C898" s="1"/>
      <c r="D898" s="1"/>
      <c r="E898" s="1"/>
      <c r="F898" s="1"/>
      <c r="G898" s="1"/>
      <c r="H898" s="1"/>
      <c r="I898" s="61"/>
      <c r="J898" s="1"/>
      <c r="K898" s="1"/>
    </row>
    <row r="899" spans="1:11" ht="15.75" customHeight="1">
      <c r="A899" s="2"/>
      <c r="B899" s="1"/>
      <c r="C899" s="1"/>
      <c r="D899" s="1"/>
      <c r="E899" s="1"/>
      <c r="F899" s="1"/>
      <c r="G899" s="1"/>
      <c r="H899" s="1"/>
      <c r="I899" s="61"/>
      <c r="J899" s="1"/>
      <c r="K899" s="1"/>
    </row>
    <row r="900" spans="1:11" ht="15.75" customHeight="1">
      <c r="A900" s="2"/>
      <c r="B900" s="1"/>
      <c r="C900" s="1"/>
      <c r="D900" s="1"/>
      <c r="E900" s="1"/>
      <c r="F900" s="1"/>
      <c r="G900" s="1"/>
      <c r="H900" s="1"/>
      <c r="I900" s="61"/>
      <c r="J900" s="1"/>
      <c r="K900" s="1"/>
    </row>
    <row r="901" spans="1:11" ht="15.75" customHeight="1">
      <c r="A901" s="2"/>
      <c r="B901" s="1"/>
      <c r="C901" s="1"/>
      <c r="D901" s="1"/>
      <c r="E901" s="1"/>
      <c r="F901" s="1"/>
      <c r="G901" s="1"/>
      <c r="H901" s="1"/>
      <c r="I901" s="61"/>
      <c r="J901" s="1"/>
      <c r="K901" s="1"/>
    </row>
    <row r="902" spans="1:11" ht="15.75" customHeight="1">
      <c r="A902" s="2"/>
      <c r="B902" s="1"/>
      <c r="C902" s="1"/>
      <c r="D902" s="1"/>
      <c r="E902" s="1"/>
      <c r="F902" s="1"/>
      <c r="G902" s="1"/>
      <c r="H902" s="1"/>
      <c r="I902" s="61"/>
      <c r="J902" s="1"/>
      <c r="K902" s="1"/>
    </row>
    <row r="903" spans="1:11" ht="15.75" customHeight="1">
      <c r="A903" s="2"/>
      <c r="B903" s="1"/>
      <c r="C903" s="1"/>
      <c r="D903" s="1"/>
      <c r="E903" s="1"/>
      <c r="F903" s="1"/>
      <c r="G903" s="1"/>
      <c r="H903" s="1"/>
      <c r="I903" s="61"/>
      <c r="J903" s="1"/>
      <c r="K903" s="1"/>
    </row>
    <row r="904" spans="1:11" ht="15.75" customHeight="1">
      <c r="A904" s="2"/>
      <c r="B904" s="1"/>
      <c r="C904" s="1"/>
      <c r="D904" s="1"/>
      <c r="E904" s="1"/>
      <c r="F904" s="1"/>
      <c r="G904" s="1"/>
      <c r="H904" s="1"/>
      <c r="I904" s="61"/>
      <c r="J904" s="1"/>
      <c r="K904" s="1"/>
    </row>
    <row r="905" spans="1:11" ht="15.75" customHeight="1">
      <c r="A905" s="2"/>
      <c r="B905" s="1"/>
      <c r="C905" s="1"/>
      <c r="D905" s="1"/>
      <c r="E905" s="1"/>
      <c r="F905" s="1"/>
      <c r="G905" s="1"/>
      <c r="H905" s="1"/>
      <c r="I905" s="61"/>
      <c r="J905" s="1"/>
      <c r="K905" s="1"/>
    </row>
    <row r="906" spans="1:11" ht="15.75" customHeight="1">
      <c r="A906" s="2"/>
      <c r="B906" s="1"/>
      <c r="C906" s="1"/>
      <c r="D906" s="1"/>
      <c r="E906" s="1"/>
      <c r="F906" s="1"/>
      <c r="G906" s="1"/>
      <c r="H906" s="1"/>
      <c r="I906" s="61"/>
      <c r="J906" s="1"/>
      <c r="K906" s="1"/>
    </row>
    <row r="907" spans="1:11" ht="15.75" customHeight="1">
      <c r="A907" s="2"/>
      <c r="B907" s="1"/>
      <c r="C907" s="1"/>
      <c r="D907" s="1"/>
      <c r="E907" s="1"/>
      <c r="F907" s="1"/>
      <c r="G907" s="1"/>
      <c r="H907" s="1"/>
      <c r="I907" s="61"/>
      <c r="J907" s="1"/>
      <c r="K907" s="1"/>
    </row>
    <row r="908" spans="1:11" ht="15.75" customHeight="1">
      <c r="A908" s="2"/>
      <c r="B908" s="1"/>
      <c r="C908" s="1"/>
      <c r="D908" s="1"/>
      <c r="E908" s="1"/>
      <c r="F908" s="1"/>
      <c r="G908" s="1"/>
      <c r="H908" s="1"/>
      <c r="I908" s="61"/>
      <c r="J908" s="1"/>
      <c r="K908" s="1"/>
    </row>
    <row r="909" spans="1:11" ht="15.75" customHeight="1">
      <c r="A909" s="2"/>
      <c r="B909" s="1"/>
      <c r="C909" s="1"/>
      <c r="D909" s="1"/>
      <c r="E909" s="1"/>
      <c r="F909" s="1"/>
      <c r="G909" s="1"/>
      <c r="H909" s="1"/>
      <c r="I909" s="61"/>
      <c r="J909" s="1"/>
      <c r="K909" s="1"/>
    </row>
    <row r="910" spans="1:11" ht="15.75" customHeight="1">
      <c r="A910" s="2"/>
      <c r="B910" s="1"/>
      <c r="C910" s="1"/>
      <c r="D910" s="1"/>
      <c r="E910" s="1"/>
      <c r="F910" s="1"/>
      <c r="G910" s="1"/>
      <c r="H910" s="1"/>
      <c r="I910" s="61"/>
      <c r="J910" s="1"/>
      <c r="K910" s="1"/>
    </row>
    <row r="911" spans="1:11" ht="15.75" customHeight="1">
      <c r="A911" s="2"/>
      <c r="B911" s="1"/>
      <c r="C911" s="1"/>
      <c r="D911" s="1"/>
      <c r="E911" s="1"/>
      <c r="F911" s="1"/>
      <c r="G911" s="1"/>
      <c r="H911" s="1"/>
      <c r="I911" s="61"/>
      <c r="J911" s="1"/>
      <c r="K911" s="1"/>
    </row>
    <row r="912" spans="1:11" ht="15.75" customHeight="1">
      <c r="A912" s="2"/>
      <c r="B912" s="1"/>
      <c r="C912" s="1"/>
      <c r="D912" s="1"/>
      <c r="E912" s="1"/>
      <c r="F912" s="1"/>
      <c r="G912" s="1"/>
      <c r="H912" s="1"/>
      <c r="I912" s="61"/>
      <c r="J912" s="1"/>
      <c r="K912" s="1"/>
    </row>
    <row r="913" spans="1:11" ht="15.75" customHeight="1">
      <c r="A913" s="2"/>
      <c r="B913" s="1"/>
      <c r="C913" s="1"/>
      <c r="D913" s="1"/>
      <c r="E913" s="1"/>
      <c r="F913" s="1"/>
      <c r="G913" s="1"/>
      <c r="H913" s="1"/>
      <c r="I913" s="61"/>
      <c r="J913" s="1"/>
      <c r="K913" s="1"/>
    </row>
    <row r="914" spans="1:11" ht="15.75" customHeight="1">
      <c r="A914" s="2"/>
      <c r="B914" s="1"/>
      <c r="C914" s="1"/>
      <c r="D914" s="1"/>
      <c r="E914" s="1"/>
      <c r="F914" s="1"/>
      <c r="G914" s="1"/>
      <c r="H914" s="1"/>
      <c r="I914" s="61"/>
      <c r="J914" s="1"/>
      <c r="K914" s="1"/>
    </row>
    <row r="915" spans="1:11" ht="15.75" customHeight="1">
      <c r="A915" s="2"/>
      <c r="B915" s="1"/>
      <c r="C915" s="1"/>
      <c r="D915" s="1"/>
      <c r="E915" s="1"/>
      <c r="F915" s="1"/>
      <c r="G915" s="1"/>
      <c r="H915" s="1"/>
      <c r="I915" s="61"/>
      <c r="J915" s="1"/>
      <c r="K915" s="1"/>
    </row>
    <row r="916" spans="1:11" ht="15.75" customHeight="1">
      <c r="A916" s="2"/>
      <c r="B916" s="1"/>
      <c r="C916" s="1"/>
      <c r="D916" s="1"/>
      <c r="E916" s="1"/>
      <c r="F916" s="1"/>
      <c r="G916" s="1"/>
      <c r="H916" s="1"/>
      <c r="I916" s="61"/>
      <c r="J916" s="1"/>
      <c r="K916" s="1"/>
    </row>
    <row r="917" spans="1:11" ht="15.75" customHeight="1">
      <c r="A917" s="2"/>
      <c r="B917" s="1"/>
      <c r="C917" s="1"/>
      <c r="D917" s="1"/>
      <c r="E917" s="1"/>
      <c r="F917" s="1"/>
      <c r="G917" s="1"/>
      <c r="H917" s="1"/>
      <c r="I917" s="61"/>
      <c r="J917" s="1"/>
      <c r="K917" s="1"/>
    </row>
    <row r="918" spans="1:11" ht="15.75" customHeight="1">
      <c r="A918" s="2"/>
      <c r="B918" s="1"/>
      <c r="C918" s="1"/>
      <c r="D918" s="1"/>
      <c r="E918" s="1"/>
      <c r="F918" s="1"/>
      <c r="G918" s="1"/>
      <c r="H918" s="1"/>
      <c r="I918" s="61"/>
      <c r="J918" s="1"/>
      <c r="K918" s="1"/>
    </row>
    <row r="919" spans="1:11" ht="15.75" customHeight="1">
      <c r="A919" s="2"/>
      <c r="B919" s="1"/>
      <c r="C919" s="1"/>
      <c r="D919" s="1"/>
      <c r="E919" s="1"/>
      <c r="F919" s="1"/>
      <c r="G919" s="1"/>
      <c r="H919" s="1"/>
      <c r="I919" s="61"/>
      <c r="J919" s="1"/>
      <c r="K919" s="1"/>
    </row>
    <row r="920" spans="1:11" ht="15.75" customHeight="1">
      <c r="A920" s="2"/>
      <c r="B920" s="1"/>
      <c r="C920" s="1"/>
      <c r="D920" s="1"/>
      <c r="E920" s="1"/>
      <c r="F920" s="1"/>
      <c r="G920" s="1"/>
      <c r="H920" s="1"/>
      <c r="I920" s="61"/>
      <c r="J920" s="1"/>
      <c r="K920" s="1"/>
    </row>
    <row r="921" spans="1:11" ht="15.75" customHeight="1">
      <c r="A921" s="2"/>
      <c r="B921" s="1"/>
      <c r="C921" s="1"/>
      <c r="D921" s="1"/>
      <c r="E921" s="1"/>
      <c r="F921" s="1"/>
      <c r="G921" s="1"/>
      <c r="H921" s="1"/>
      <c r="I921" s="61"/>
      <c r="J921" s="1"/>
      <c r="K921" s="1"/>
    </row>
    <row r="922" spans="1:11" ht="15.75" customHeight="1">
      <c r="A922" s="2"/>
      <c r="B922" s="1"/>
      <c r="C922" s="1"/>
      <c r="D922" s="1"/>
      <c r="E922" s="1"/>
      <c r="F922" s="1"/>
      <c r="G922" s="1"/>
      <c r="H922" s="1"/>
      <c r="I922" s="61"/>
      <c r="J922" s="1"/>
      <c r="K922" s="1"/>
    </row>
    <row r="923" spans="1:11" ht="15.75" customHeight="1">
      <c r="A923" s="2"/>
      <c r="B923" s="1"/>
      <c r="C923" s="1"/>
      <c r="D923" s="1"/>
      <c r="E923" s="1"/>
      <c r="F923" s="1"/>
      <c r="G923" s="1"/>
      <c r="H923" s="1"/>
      <c r="I923" s="61"/>
      <c r="J923" s="1"/>
      <c r="K923" s="1"/>
    </row>
    <row r="924" spans="1:11" ht="15.75" customHeight="1">
      <c r="A924" s="2"/>
      <c r="B924" s="1"/>
      <c r="C924" s="1"/>
      <c r="D924" s="1"/>
      <c r="E924" s="1"/>
      <c r="F924" s="1"/>
      <c r="G924" s="1"/>
      <c r="H924" s="1"/>
      <c r="I924" s="61"/>
      <c r="J924" s="1"/>
      <c r="K924" s="1"/>
    </row>
    <row r="925" spans="1:11" ht="15.75" customHeight="1">
      <c r="A925" s="2"/>
      <c r="B925" s="1"/>
      <c r="C925" s="1"/>
      <c r="D925" s="1"/>
      <c r="E925" s="1"/>
      <c r="F925" s="1"/>
      <c r="G925" s="1"/>
      <c r="H925" s="1"/>
      <c r="I925" s="61"/>
      <c r="J925" s="1"/>
      <c r="K925" s="1"/>
    </row>
    <row r="926" spans="1:11" ht="15.75" customHeight="1">
      <c r="A926" s="2"/>
      <c r="B926" s="1"/>
      <c r="C926" s="1"/>
      <c r="D926" s="1"/>
      <c r="E926" s="1"/>
      <c r="F926" s="1"/>
      <c r="G926" s="1"/>
      <c r="H926" s="1"/>
      <c r="I926" s="61"/>
      <c r="J926" s="1"/>
      <c r="K926" s="1"/>
    </row>
    <row r="927" spans="1:11" ht="15.75" customHeight="1">
      <c r="A927" s="2"/>
      <c r="B927" s="1"/>
      <c r="C927" s="1"/>
      <c r="D927" s="1"/>
      <c r="E927" s="1"/>
      <c r="F927" s="1"/>
      <c r="G927" s="1"/>
      <c r="H927" s="1"/>
      <c r="I927" s="61"/>
      <c r="J927" s="1"/>
      <c r="K927" s="1"/>
    </row>
    <row r="928" spans="1:11" ht="15.75" customHeight="1">
      <c r="A928" s="2"/>
      <c r="B928" s="1"/>
      <c r="C928" s="1"/>
      <c r="D928" s="1"/>
      <c r="E928" s="1"/>
      <c r="F928" s="1"/>
      <c r="G928" s="1"/>
      <c r="H928" s="1"/>
      <c r="I928" s="61"/>
      <c r="J928" s="1"/>
      <c r="K928" s="1"/>
    </row>
    <row r="929" spans="1:11" ht="15.75" customHeight="1">
      <c r="A929" s="2"/>
      <c r="B929" s="1"/>
      <c r="C929" s="1"/>
      <c r="D929" s="1"/>
      <c r="E929" s="1"/>
      <c r="F929" s="1"/>
      <c r="G929" s="1"/>
      <c r="H929" s="1"/>
      <c r="I929" s="61"/>
      <c r="J929" s="1"/>
      <c r="K929" s="1"/>
    </row>
    <row r="930" spans="1:11" ht="15.75" customHeight="1">
      <c r="A930" s="2"/>
      <c r="B930" s="1"/>
      <c r="C930" s="1"/>
      <c r="D930" s="1"/>
      <c r="E930" s="1"/>
      <c r="F930" s="1"/>
      <c r="G930" s="1"/>
      <c r="H930" s="1"/>
      <c r="I930" s="61"/>
      <c r="J930" s="1"/>
      <c r="K930" s="1"/>
    </row>
    <row r="931" spans="1:11" ht="15.75" customHeight="1">
      <c r="A931" s="2"/>
      <c r="B931" s="1"/>
      <c r="C931" s="1"/>
      <c r="D931" s="1"/>
      <c r="E931" s="1"/>
      <c r="F931" s="1"/>
      <c r="G931" s="1"/>
      <c r="H931" s="1"/>
      <c r="I931" s="61"/>
      <c r="J931" s="1"/>
      <c r="K931" s="1"/>
    </row>
    <row r="932" spans="1:11" ht="15.75" customHeight="1">
      <c r="A932" s="2"/>
      <c r="B932" s="1"/>
      <c r="C932" s="1"/>
      <c r="D932" s="1"/>
      <c r="E932" s="1"/>
      <c r="F932" s="1"/>
      <c r="G932" s="1"/>
      <c r="H932" s="1"/>
      <c r="I932" s="61"/>
      <c r="J932" s="1"/>
      <c r="K932" s="1"/>
    </row>
    <row r="933" spans="1:11" ht="15.75" customHeight="1">
      <c r="A933" s="2"/>
      <c r="B933" s="1"/>
      <c r="C933" s="1"/>
      <c r="D933" s="1"/>
      <c r="E933" s="1"/>
      <c r="F933" s="1"/>
      <c r="G933" s="1"/>
      <c r="H933" s="1"/>
      <c r="I933" s="61"/>
      <c r="J933" s="1"/>
      <c r="K933" s="1"/>
    </row>
    <row r="934" spans="1:11" ht="15.75" customHeight="1">
      <c r="A934" s="2"/>
      <c r="B934" s="1"/>
      <c r="C934" s="1"/>
      <c r="D934" s="1"/>
      <c r="E934" s="1"/>
      <c r="F934" s="1"/>
      <c r="G934" s="1"/>
      <c r="H934" s="1"/>
      <c r="I934" s="61"/>
      <c r="J934" s="1"/>
      <c r="K934" s="1"/>
    </row>
    <row r="935" spans="1:11" ht="15.75" customHeight="1">
      <c r="A935" s="2"/>
      <c r="B935" s="1"/>
      <c r="C935" s="1"/>
      <c r="D935" s="1"/>
      <c r="E935" s="1"/>
      <c r="F935" s="1"/>
      <c r="G935" s="1"/>
      <c r="H935" s="1"/>
      <c r="I935" s="61"/>
      <c r="J935" s="1"/>
      <c r="K935" s="1"/>
    </row>
    <row r="936" spans="1:11" ht="15.75" customHeight="1">
      <c r="A936" s="2"/>
      <c r="B936" s="1"/>
      <c r="C936" s="1"/>
      <c r="D936" s="1"/>
      <c r="E936" s="1"/>
      <c r="F936" s="1"/>
      <c r="G936" s="1"/>
      <c r="H936" s="1"/>
      <c r="I936" s="61"/>
      <c r="J936" s="1"/>
      <c r="K936" s="1"/>
    </row>
    <row r="937" spans="1:11" ht="15.75" customHeight="1">
      <c r="A937" s="2"/>
      <c r="B937" s="1"/>
      <c r="C937" s="1"/>
      <c r="D937" s="1"/>
      <c r="E937" s="1"/>
      <c r="F937" s="1"/>
      <c r="G937" s="1"/>
      <c r="H937" s="1"/>
      <c r="I937" s="61"/>
      <c r="J937" s="1"/>
      <c r="K937" s="1"/>
    </row>
    <row r="938" spans="1:11" ht="15.75" customHeight="1">
      <c r="A938" s="2"/>
      <c r="B938" s="1"/>
      <c r="C938" s="1"/>
      <c r="D938" s="1"/>
      <c r="E938" s="1"/>
      <c r="F938" s="1"/>
      <c r="G938" s="1"/>
      <c r="H938" s="1"/>
      <c r="I938" s="61"/>
      <c r="J938" s="1"/>
      <c r="K938" s="1"/>
    </row>
    <row r="939" spans="1:11" ht="15.75" customHeight="1">
      <c r="A939" s="2"/>
      <c r="B939" s="1"/>
      <c r="C939" s="1"/>
      <c r="D939" s="1"/>
      <c r="E939" s="1"/>
      <c r="F939" s="1"/>
      <c r="G939" s="1"/>
      <c r="H939" s="1"/>
      <c r="I939" s="61"/>
      <c r="J939" s="1"/>
      <c r="K939" s="1"/>
    </row>
    <row r="940" spans="1:11" ht="15.75" customHeight="1">
      <c r="A940" s="2"/>
      <c r="B940" s="1"/>
      <c r="C940" s="1"/>
      <c r="D940" s="1"/>
      <c r="E940" s="1"/>
      <c r="F940" s="1"/>
      <c r="G940" s="1"/>
      <c r="H940" s="1"/>
      <c r="I940" s="61"/>
      <c r="J940" s="1"/>
      <c r="K940" s="1"/>
    </row>
    <row r="941" spans="1:11" ht="15.75" customHeight="1">
      <c r="A941" s="2"/>
      <c r="B941" s="1"/>
      <c r="C941" s="1"/>
      <c r="D941" s="1"/>
      <c r="E941" s="1"/>
      <c r="F941" s="1"/>
      <c r="G941" s="1"/>
      <c r="H941" s="1"/>
      <c r="I941" s="61"/>
      <c r="J941" s="1"/>
      <c r="K941" s="1"/>
    </row>
    <row r="942" spans="1:11" ht="15.75" customHeight="1">
      <c r="A942" s="2"/>
      <c r="B942" s="1"/>
      <c r="C942" s="1"/>
      <c r="D942" s="1"/>
      <c r="E942" s="1"/>
      <c r="F942" s="1"/>
      <c r="G942" s="1"/>
      <c r="H942" s="1"/>
      <c r="I942" s="61"/>
      <c r="J942" s="1"/>
      <c r="K942" s="1"/>
    </row>
    <row r="943" spans="1:11" ht="15.75" customHeight="1">
      <c r="A943" s="2"/>
      <c r="B943" s="1"/>
      <c r="C943" s="1"/>
      <c r="D943" s="1"/>
      <c r="E943" s="1"/>
      <c r="F943" s="1"/>
      <c r="G943" s="1"/>
      <c r="H943" s="1"/>
      <c r="I943" s="61"/>
      <c r="J943" s="1"/>
      <c r="K943" s="1"/>
    </row>
    <row r="944" spans="1:11" ht="15.75" customHeight="1">
      <c r="A944" s="2"/>
      <c r="B944" s="1"/>
      <c r="C944" s="1"/>
      <c r="D944" s="1"/>
      <c r="E944" s="1"/>
      <c r="F944" s="1"/>
      <c r="G944" s="1"/>
      <c r="H944" s="1"/>
      <c r="I944" s="61"/>
      <c r="J944" s="1"/>
      <c r="K944" s="1"/>
    </row>
    <row r="945" spans="1:11" ht="15.75" customHeight="1">
      <c r="A945" s="2"/>
      <c r="B945" s="1"/>
      <c r="C945" s="1"/>
      <c r="D945" s="1"/>
      <c r="E945" s="1"/>
      <c r="F945" s="1"/>
      <c r="G945" s="1"/>
      <c r="H945" s="1"/>
      <c r="I945" s="61"/>
      <c r="J945" s="1"/>
      <c r="K945" s="1"/>
    </row>
    <row r="946" spans="1:11" ht="15.75" customHeight="1">
      <c r="A946" s="2"/>
      <c r="B946" s="1"/>
      <c r="C946" s="1"/>
      <c r="D946" s="1"/>
      <c r="E946" s="1"/>
      <c r="F946" s="1"/>
      <c r="G946" s="1"/>
      <c r="H946" s="1"/>
      <c r="I946" s="61"/>
      <c r="J946" s="1"/>
      <c r="K946" s="1"/>
    </row>
    <row r="947" spans="1:11" ht="15.75" customHeight="1">
      <c r="A947" s="2"/>
      <c r="B947" s="1"/>
      <c r="C947" s="1"/>
      <c r="D947" s="1"/>
      <c r="E947" s="1"/>
      <c r="F947" s="1"/>
      <c r="G947" s="1"/>
      <c r="H947" s="1"/>
      <c r="I947" s="61"/>
      <c r="J947" s="1"/>
      <c r="K947" s="1"/>
    </row>
    <row r="948" spans="1:11" ht="15.75" customHeight="1">
      <c r="A948" s="2"/>
      <c r="B948" s="1"/>
      <c r="C948" s="1"/>
      <c r="D948" s="1"/>
      <c r="E948" s="1"/>
      <c r="F948" s="1"/>
      <c r="G948" s="1"/>
      <c r="H948" s="1"/>
      <c r="I948" s="61"/>
      <c r="J948" s="1"/>
      <c r="K948" s="1"/>
    </row>
    <row r="949" spans="1:11" ht="15.75" customHeight="1">
      <c r="A949" s="2"/>
      <c r="B949" s="1"/>
      <c r="C949" s="1"/>
      <c r="D949" s="1"/>
      <c r="E949" s="1"/>
      <c r="F949" s="1"/>
      <c r="G949" s="1"/>
      <c r="H949" s="1"/>
      <c r="I949" s="61"/>
      <c r="J949" s="1"/>
      <c r="K949" s="1"/>
    </row>
    <row r="950" spans="1:11" ht="15.75" customHeight="1">
      <c r="A950" s="2"/>
      <c r="B950" s="1"/>
      <c r="C950" s="1"/>
      <c r="D950" s="1"/>
      <c r="E950" s="1"/>
      <c r="F950" s="1"/>
      <c r="G950" s="1"/>
      <c r="H950" s="1"/>
      <c r="I950" s="61"/>
      <c r="J950" s="1"/>
      <c r="K950" s="1"/>
    </row>
    <row r="951" spans="1:11" ht="15.75" customHeight="1">
      <c r="A951" s="2"/>
      <c r="B951" s="1"/>
      <c r="C951" s="1"/>
      <c r="D951" s="1"/>
      <c r="E951" s="1"/>
      <c r="F951" s="1"/>
      <c r="G951" s="1"/>
      <c r="H951" s="1"/>
      <c r="I951" s="61"/>
      <c r="J951" s="1"/>
      <c r="K951" s="1"/>
    </row>
    <row r="952" spans="1:11" ht="15.75" customHeight="1">
      <c r="A952" s="2"/>
      <c r="B952" s="1"/>
      <c r="C952" s="1"/>
      <c r="D952" s="1"/>
      <c r="E952" s="1"/>
      <c r="F952" s="1"/>
      <c r="G952" s="1"/>
      <c r="H952" s="1"/>
      <c r="I952" s="61"/>
      <c r="J952" s="1"/>
      <c r="K952" s="1"/>
    </row>
    <row r="953" spans="1:11" ht="15.75" customHeight="1">
      <c r="A953" s="2"/>
      <c r="B953" s="1"/>
      <c r="C953" s="1"/>
      <c r="D953" s="1"/>
      <c r="E953" s="1"/>
      <c r="F953" s="1"/>
      <c r="G953" s="1"/>
      <c r="H953" s="1"/>
      <c r="I953" s="61"/>
      <c r="J953" s="1"/>
      <c r="K953" s="1"/>
    </row>
    <row r="954" spans="1:11" ht="15.75" customHeight="1">
      <c r="A954" s="2"/>
      <c r="B954" s="1"/>
      <c r="C954" s="1"/>
      <c r="D954" s="1"/>
      <c r="E954" s="1"/>
      <c r="F954" s="1"/>
      <c r="G954" s="1"/>
      <c r="H954" s="1"/>
      <c r="I954" s="61"/>
      <c r="J954" s="1"/>
      <c r="K954" s="1"/>
    </row>
    <row r="955" spans="1:11" ht="15.75" customHeight="1">
      <c r="A955" s="2"/>
      <c r="B955" s="1"/>
      <c r="C955" s="1"/>
      <c r="D955" s="1"/>
      <c r="E955" s="1"/>
      <c r="F955" s="1"/>
      <c r="G955" s="1"/>
      <c r="H955" s="1"/>
      <c r="I955" s="61"/>
      <c r="J955" s="1"/>
      <c r="K955" s="1"/>
    </row>
    <row r="956" spans="1:11" ht="15.75" customHeight="1">
      <c r="A956" s="2"/>
      <c r="B956" s="1"/>
      <c r="C956" s="1"/>
      <c r="D956" s="1"/>
      <c r="E956" s="1"/>
      <c r="F956" s="1"/>
      <c r="G956" s="1"/>
      <c r="H956" s="1"/>
      <c r="I956" s="61"/>
      <c r="J956" s="1"/>
      <c r="K956" s="1"/>
    </row>
    <row r="957" spans="1:11" ht="15.75" customHeight="1">
      <c r="A957" s="2"/>
      <c r="B957" s="1"/>
      <c r="C957" s="1"/>
      <c r="D957" s="1"/>
      <c r="E957" s="1"/>
      <c r="F957" s="1"/>
      <c r="G957" s="1"/>
      <c r="H957" s="1"/>
      <c r="I957" s="61"/>
      <c r="J957" s="1"/>
      <c r="K957" s="1"/>
    </row>
    <row r="958" spans="1:11" ht="15.75" customHeight="1">
      <c r="A958" s="2"/>
      <c r="B958" s="1"/>
      <c r="C958" s="1"/>
      <c r="D958" s="1"/>
      <c r="E958" s="1"/>
      <c r="F958" s="1"/>
      <c r="G958" s="1"/>
      <c r="H958" s="1"/>
      <c r="I958" s="61"/>
      <c r="J958" s="1"/>
      <c r="K958" s="1"/>
    </row>
    <row r="959" spans="1:11" ht="15.75" customHeight="1">
      <c r="A959" s="2"/>
      <c r="B959" s="1"/>
      <c r="C959" s="1"/>
      <c r="D959" s="1"/>
      <c r="E959" s="1"/>
      <c r="F959" s="1"/>
      <c r="G959" s="1"/>
      <c r="H959" s="1"/>
      <c r="I959" s="61"/>
      <c r="J959" s="1"/>
      <c r="K959" s="1"/>
    </row>
    <row r="960" spans="1:11" ht="15.75" customHeight="1">
      <c r="A960" s="2"/>
      <c r="B960" s="1"/>
      <c r="C960" s="1"/>
      <c r="D960" s="1"/>
      <c r="E960" s="1"/>
      <c r="F960" s="1"/>
      <c r="G960" s="1"/>
      <c r="H960" s="1"/>
      <c r="I960" s="61"/>
      <c r="J960" s="1"/>
      <c r="K960" s="1"/>
    </row>
    <row r="961" spans="1:11" ht="15.75" customHeight="1">
      <c r="A961" s="2"/>
      <c r="B961" s="1"/>
      <c r="C961" s="1"/>
      <c r="D961" s="1"/>
      <c r="E961" s="1"/>
      <c r="F961" s="1"/>
      <c r="G961" s="1"/>
      <c r="H961" s="1"/>
      <c r="I961" s="61"/>
      <c r="J961" s="1"/>
      <c r="K961" s="1"/>
    </row>
    <row r="962" spans="1:11" ht="15.75" customHeight="1">
      <c r="A962" s="2"/>
      <c r="B962" s="1"/>
      <c r="C962" s="1"/>
      <c r="D962" s="1"/>
      <c r="E962" s="1"/>
      <c r="F962" s="1"/>
      <c r="G962" s="1"/>
      <c r="H962" s="1"/>
      <c r="I962" s="61"/>
      <c r="J962" s="1"/>
      <c r="K962" s="1"/>
    </row>
    <row r="963" spans="1:11" ht="15.75" customHeight="1">
      <c r="A963" s="2"/>
      <c r="B963" s="1"/>
      <c r="C963" s="1"/>
      <c r="D963" s="1"/>
      <c r="E963" s="1"/>
      <c r="F963" s="1"/>
      <c r="G963" s="1"/>
      <c r="H963" s="1"/>
      <c r="I963" s="61"/>
      <c r="J963" s="1"/>
      <c r="K963" s="1"/>
    </row>
    <row r="964" spans="1:11" ht="15.75" customHeight="1">
      <c r="A964" s="2"/>
      <c r="B964" s="1"/>
      <c r="C964" s="1"/>
      <c r="D964" s="1"/>
      <c r="E964" s="1"/>
      <c r="F964" s="1"/>
      <c r="G964" s="1"/>
      <c r="H964" s="1"/>
      <c r="I964" s="61"/>
      <c r="J964" s="1"/>
      <c r="K964" s="1"/>
    </row>
    <row r="965" spans="1:11" ht="15.75" customHeight="1">
      <c r="A965" s="2"/>
      <c r="B965" s="1"/>
      <c r="C965" s="1"/>
      <c r="D965" s="1"/>
      <c r="E965" s="1"/>
      <c r="F965" s="1"/>
      <c r="G965" s="1"/>
      <c r="H965" s="1"/>
      <c r="I965" s="61"/>
      <c r="J965" s="1"/>
      <c r="K965" s="1"/>
    </row>
    <row r="966" spans="1:11" ht="15.75" customHeight="1">
      <c r="A966" s="2"/>
      <c r="B966" s="1"/>
      <c r="C966" s="1"/>
      <c r="D966" s="1"/>
      <c r="E966" s="1"/>
      <c r="F966" s="1"/>
      <c r="G966" s="1"/>
      <c r="H966" s="1"/>
      <c r="I966" s="61"/>
      <c r="J966" s="1"/>
      <c r="K966" s="1"/>
    </row>
    <row r="967" spans="1:11" ht="15.75" customHeight="1">
      <c r="A967" s="2"/>
      <c r="B967" s="1"/>
      <c r="C967" s="1"/>
      <c r="D967" s="1"/>
      <c r="E967" s="1"/>
      <c r="F967" s="1"/>
      <c r="G967" s="1"/>
      <c r="H967" s="1"/>
      <c r="I967" s="61"/>
      <c r="J967" s="1"/>
      <c r="K967" s="1"/>
    </row>
    <row r="968" spans="1:11" ht="15.75" customHeight="1">
      <c r="A968" s="2"/>
      <c r="B968" s="1"/>
      <c r="C968" s="1"/>
      <c r="D968" s="1"/>
      <c r="E968" s="1"/>
      <c r="F968" s="1"/>
      <c r="G968" s="1"/>
      <c r="H968" s="1"/>
      <c r="I968" s="61"/>
      <c r="J968" s="1"/>
      <c r="K968" s="1"/>
    </row>
    <row r="969" spans="1:11" ht="15.75" customHeight="1">
      <c r="A969" s="2"/>
      <c r="B969" s="1"/>
      <c r="C969" s="1"/>
      <c r="D969" s="1"/>
      <c r="E969" s="1"/>
      <c r="F969" s="1"/>
      <c r="G969" s="1"/>
      <c r="H969" s="1"/>
      <c r="I969" s="61"/>
      <c r="J969" s="1"/>
      <c r="K969" s="1"/>
    </row>
    <row r="970" spans="1:11" ht="15.75" customHeight="1">
      <c r="A970" s="2"/>
      <c r="B970" s="1"/>
      <c r="C970" s="1"/>
      <c r="D970" s="1"/>
      <c r="E970" s="1"/>
      <c r="F970" s="1"/>
      <c r="G970" s="1"/>
      <c r="H970" s="1"/>
      <c r="I970" s="61"/>
      <c r="J970" s="1"/>
      <c r="K970" s="1"/>
    </row>
    <row r="971" spans="1:11" ht="15.75" customHeight="1">
      <c r="A971" s="2"/>
      <c r="B971" s="1"/>
      <c r="C971" s="1"/>
      <c r="D971" s="1"/>
      <c r="E971" s="1"/>
      <c r="F971" s="1"/>
      <c r="G971" s="1"/>
      <c r="H971" s="1"/>
      <c r="I971" s="61"/>
      <c r="J971" s="1"/>
      <c r="K971" s="1"/>
    </row>
    <row r="972" spans="1:11" ht="15.75" customHeight="1">
      <c r="A972" s="2"/>
      <c r="B972" s="1"/>
      <c r="C972" s="1"/>
      <c r="D972" s="1"/>
      <c r="E972" s="1"/>
      <c r="F972" s="1"/>
      <c r="G972" s="1"/>
      <c r="H972" s="1"/>
      <c r="I972" s="61"/>
      <c r="J972" s="1"/>
      <c r="K972" s="1"/>
    </row>
    <row r="973" spans="1:11" ht="15.75" customHeight="1">
      <c r="A973" s="2"/>
      <c r="B973" s="1"/>
      <c r="C973" s="1"/>
      <c r="D973" s="1"/>
      <c r="E973" s="1"/>
      <c r="F973" s="1"/>
      <c r="G973" s="1"/>
      <c r="H973" s="1"/>
      <c r="I973" s="61"/>
      <c r="J973" s="1"/>
      <c r="K973" s="1"/>
    </row>
    <row r="974" spans="1:11" ht="15.75" customHeight="1">
      <c r="A974" s="2"/>
      <c r="B974" s="1"/>
      <c r="C974" s="1"/>
      <c r="D974" s="1"/>
      <c r="E974" s="1"/>
      <c r="F974" s="1"/>
      <c r="G974" s="1"/>
      <c r="H974" s="1"/>
      <c r="I974" s="61"/>
      <c r="J974" s="1"/>
      <c r="K974" s="1"/>
    </row>
    <row r="975" spans="1:11" ht="15.75" customHeight="1">
      <c r="A975" s="2"/>
      <c r="B975" s="1"/>
      <c r="C975" s="1"/>
      <c r="D975" s="1"/>
      <c r="E975" s="1"/>
      <c r="F975" s="1"/>
      <c r="G975" s="1"/>
      <c r="H975" s="1"/>
      <c r="I975" s="61"/>
      <c r="J975" s="1"/>
      <c r="K975" s="1"/>
    </row>
    <row r="976" spans="1:11" ht="15.75" customHeight="1">
      <c r="A976" s="2"/>
      <c r="B976" s="1"/>
      <c r="C976" s="1"/>
      <c r="D976" s="1"/>
      <c r="E976" s="1"/>
      <c r="F976" s="1"/>
      <c r="G976" s="1"/>
      <c r="H976" s="1"/>
      <c r="I976" s="61"/>
      <c r="J976" s="1"/>
      <c r="K976" s="1"/>
    </row>
    <row r="977" spans="1:11" ht="15.75" customHeight="1">
      <c r="A977" s="2"/>
      <c r="B977" s="1"/>
      <c r="C977" s="1"/>
      <c r="D977" s="1"/>
      <c r="E977" s="1"/>
      <c r="F977" s="1"/>
      <c r="G977" s="1"/>
      <c r="H977" s="1"/>
      <c r="I977" s="61"/>
      <c r="J977" s="1"/>
      <c r="K977" s="1"/>
    </row>
    <row r="978" spans="1:11" ht="15.75" customHeight="1">
      <c r="A978" s="2"/>
      <c r="B978" s="1"/>
      <c r="C978" s="1"/>
      <c r="D978" s="1"/>
      <c r="E978" s="1"/>
      <c r="F978" s="1"/>
      <c r="G978" s="1"/>
      <c r="H978" s="1"/>
      <c r="I978" s="61"/>
      <c r="J978" s="1"/>
      <c r="K978" s="1"/>
    </row>
    <row r="979" spans="1:11" ht="15.75" customHeight="1">
      <c r="A979" s="2"/>
      <c r="B979" s="1"/>
      <c r="C979" s="1"/>
      <c r="D979" s="1"/>
      <c r="E979" s="1"/>
      <c r="F979" s="1"/>
      <c r="G979" s="1"/>
      <c r="H979" s="1"/>
      <c r="I979" s="61"/>
      <c r="J979" s="1"/>
      <c r="K979" s="1"/>
    </row>
    <row r="980" spans="1:11" ht="15.75" customHeight="1">
      <c r="A980" s="2"/>
      <c r="B980" s="1"/>
      <c r="C980" s="1"/>
      <c r="D980" s="1"/>
      <c r="E980" s="1"/>
      <c r="F980" s="1"/>
      <c r="G980" s="1"/>
      <c r="H980" s="1"/>
      <c r="I980" s="61"/>
      <c r="J980" s="1"/>
      <c r="K980" s="1"/>
    </row>
    <row r="981" spans="1:11" ht="15.75" customHeight="1">
      <c r="A981" s="2"/>
      <c r="B981" s="1"/>
      <c r="C981" s="1"/>
      <c r="D981" s="1"/>
      <c r="E981" s="1"/>
      <c r="F981" s="1"/>
      <c r="G981" s="1"/>
      <c r="H981" s="1"/>
      <c r="I981" s="61"/>
      <c r="J981" s="1"/>
      <c r="K981" s="1"/>
    </row>
    <row r="982" spans="1:11" ht="15.75" customHeight="1">
      <c r="A982" s="2"/>
      <c r="B982" s="1"/>
      <c r="C982" s="1"/>
      <c r="D982" s="1"/>
      <c r="E982" s="1"/>
      <c r="F982" s="1"/>
      <c r="G982" s="1"/>
      <c r="H982" s="1"/>
      <c r="I982" s="61"/>
      <c r="J982" s="1"/>
      <c r="K982" s="1"/>
    </row>
    <row r="983" spans="1:11" ht="15.75" customHeight="1">
      <c r="A983" s="2"/>
      <c r="B983" s="1"/>
      <c r="C983" s="1"/>
      <c r="D983" s="1"/>
      <c r="E983" s="1"/>
      <c r="F983" s="1"/>
      <c r="G983" s="1"/>
      <c r="H983" s="1"/>
      <c r="I983" s="61"/>
      <c r="J983" s="1"/>
      <c r="K983" s="1"/>
    </row>
    <row r="984" spans="1:11" ht="15.75" customHeight="1">
      <c r="A984" s="2"/>
      <c r="B984" s="1"/>
      <c r="C984" s="1"/>
      <c r="D984" s="1"/>
      <c r="E984" s="1"/>
      <c r="F984" s="1"/>
      <c r="G984" s="1"/>
      <c r="H984" s="1"/>
      <c r="I984" s="61"/>
      <c r="J984" s="1"/>
      <c r="K984" s="1"/>
    </row>
    <row r="985" spans="1:11" ht="15.75" customHeight="1">
      <c r="A985" s="2"/>
      <c r="B985" s="1"/>
      <c r="C985" s="1"/>
      <c r="D985" s="1"/>
      <c r="E985" s="1"/>
      <c r="F985" s="1"/>
      <c r="G985" s="1"/>
      <c r="H985" s="1"/>
      <c r="I985" s="61"/>
      <c r="J985" s="1"/>
      <c r="K985" s="1"/>
    </row>
    <row r="986" spans="1:11" ht="15.75" customHeight="1">
      <c r="A986" s="2"/>
      <c r="B986" s="1"/>
      <c r="C986" s="1"/>
      <c r="D986" s="1"/>
      <c r="E986" s="1"/>
      <c r="F986" s="1"/>
      <c r="G986" s="1"/>
      <c r="H986" s="1"/>
      <c r="I986" s="61"/>
      <c r="J986" s="1"/>
      <c r="K986" s="1"/>
    </row>
    <row r="987" spans="1:11" ht="15.75" customHeight="1">
      <c r="A987" s="2"/>
      <c r="B987" s="1"/>
      <c r="C987" s="1"/>
      <c r="D987" s="1"/>
      <c r="E987" s="1"/>
      <c r="F987" s="1"/>
      <c r="G987" s="1"/>
      <c r="H987" s="1"/>
      <c r="I987" s="61"/>
      <c r="J987" s="1"/>
      <c r="K987" s="1"/>
    </row>
    <row r="988" spans="1:11" ht="15.75" customHeight="1">
      <c r="A988" s="2"/>
      <c r="B988" s="1"/>
      <c r="C988" s="1"/>
      <c r="D988" s="1"/>
      <c r="E988" s="1"/>
      <c r="F988" s="1"/>
      <c r="G988" s="1"/>
      <c r="H988" s="1"/>
      <c r="I988" s="61"/>
      <c r="J988" s="1"/>
      <c r="K988" s="1"/>
    </row>
    <row r="989" spans="1:11" ht="15.75" customHeight="1">
      <c r="A989" s="2"/>
      <c r="B989" s="1"/>
      <c r="C989" s="1"/>
      <c r="D989" s="1"/>
      <c r="E989" s="1"/>
      <c r="F989" s="1"/>
      <c r="G989" s="1"/>
      <c r="H989" s="1"/>
      <c r="I989" s="61"/>
      <c r="J989" s="1"/>
      <c r="K989" s="1"/>
    </row>
    <row r="990" spans="1:11" ht="15.75" customHeight="1">
      <c r="A990" s="2"/>
      <c r="B990" s="1"/>
      <c r="C990" s="1"/>
      <c r="D990" s="1"/>
      <c r="E990" s="1"/>
      <c r="F990" s="1"/>
      <c r="G990" s="1"/>
      <c r="H990" s="1"/>
      <c r="I990" s="61"/>
      <c r="J990" s="1"/>
      <c r="K990" s="1"/>
    </row>
    <row r="991" spans="1:11" ht="15.75" customHeight="1">
      <c r="A991" s="2"/>
      <c r="B991" s="1"/>
      <c r="C991" s="1"/>
      <c r="D991" s="1"/>
      <c r="E991" s="1"/>
      <c r="F991" s="1"/>
      <c r="G991" s="1"/>
      <c r="H991" s="1"/>
      <c r="I991" s="61"/>
      <c r="J991" s="1"/>
      <c r="K991" s="1"/>
    </row>
    <row r="992" spans="1:11" ht="15.75" customHeight="1">
      <c r="A992" s="2"/>
      <c r="B992" s="1"/>
      <c r="C992" s="1"/>
      <c r="D992" s="1"/>
      <c r="E992" s="1"/>
      <c r="F992" s="1"/>
      <c r="G992" s="1"/>
      <c r="H992" s="1"/>
      <c r="I992" s="61"/>
      <c r="J992" s="1"/>
      <c r="K992" s="1"/>
    </row>
    <row r="993" spans="1:11" ht="15.75" customHeight="1">
      <c r="A993" s="2"/>
      <c r="B993" s="1"/>
      <c r="C993" s="1"/>
      <c r="D993" s="1"/>
      <c r="E993" s="1"/>
      <c r="F993" s="1"/>
      <c r="G993" s="1"/>
      <c r="H993" s="1"/>
      <c r="I993" s="61"/>
      <c r="J993" s="1"/>
      <c r="K993" s="1"/>
    </row>
    <row r="994" spans="1:11" ht="15.75" customHeight="1">
      <c r="A994" s="2"/>
      <c r="B994" s="1"/>
      <c r="C994" s="1"/>
      <c r="D994" s="1"/>
      <c r="E994" s="1"/>
      <c r="F994" s="1"/>
      <c r="G994" s="1"/>
      <c r="H994" s="1"/>
      <c r="I994" s="61"/>
      <c r="J994" s="1"/>
      <c r="K994" s="1"/>
    </row>
    <row r="995" spans="1:11" ht="15.75" customHeight="1">
      <c r="A995" s="2"/>
      <c r="B995" s="1"/>
      <c r="C995" s="1"/>
      <c r="D995" s="1"/>
      <c r="E995" s="1"/>
      <c r="F995" s="1"/>
      <c r="G995" s="1"/>
      <c r="H995" s="1"/>
      <c r="I995" s="61"/>
      <c r="J995" s="1"/>
      <c r="K995" s="1"/>
    </row>
    <row r="996" spans="1:11" ht="15.75" customHeight="1">
      <c r="A996" s="2"/>
      <c r="B996" s="1"/>
      <c r="C996" s="1"/>
      <c r="D996" s="1"/>
      <c r="E996" s="1"/>
      <c r="F996" s="1"/>
      <c r="G996" s="1"/>
      <c r="H996" s="1"/>
      <c r="I996" s="61"/>
      <c r="J996" s="1"/>
      <c r="K996" s="1"/>
    </row>
    <row r="997" spans="1:11" ht="15.75" customHeight="1">
      <c r="A997" s="2"/>
      <c r="B997" s="1"/>
      <c r="C997" s="1"/>
      <c r="D997" s="1"/>
      <c r="E997" s="1"/>
      <c r="F997" s="1"/>
      <c r="G997" s="1"/>
      <c r="H997" s="1"/>
      <c r="I997" s="61"/>
      <c r="J997" s="1"/>
      <c r="K997" s="1"/>
    </row>
    <row r="998" spans="1:11" ht="15.75" customHeight="1">
      <c r="A998" s="2"/>
      <c r="B998" s="1"/>
      <c r="C998" s="1"/>
      <c r="D998" s="1"/>
      <c r="E998" s="1"/>
      <c r="F998" s="1"/>
      <c r="G998" s="1"/>
      <c r="H998" s="1"/>
      <c r="I998" s="61"/>
      <c r="J998" s="1"/>
      <c r="K998" s="1"/>
    </row>
    <row r="999" spans="1:11" ht="15.75" customHeight="1">
      <c r="A999" s="2"/>
      <c r="B999" s="1"/>
      <c r="C999" s="1"/>
      <c r="D999" s="1"/>
      <c r="E999" s="1"/>
      <c r="F999" s="1"/>
      <c r="G999" s="1"/>
      <c r="H999" s="1"/>
      <c r="I999" s="61"/>
      <c r="J999" s="1"/>
      <c r="K999" s="1"/>
    </row>
    <row r="1000" spans="1:11" ht="15.75" customHeight="1">
      <c r="A1000" s="2"/>
      <c r="B1000" s="1"/>
      <c r="C1000" s="1"/>
      <c r="D1000" s="1"/>
      <c r="E1000" s="1"/>
      <c r="F1000" s="1"/>
      <c r="G1000" s="1"/>
      <c r="H1000" s="1"/>
      <c r="I1000" s="61"/>
      <c r="J1000" s="1"/>
      <c r="K1000" s="1"/>
    </row>
  </sheetData>
  <mergeCells count="8">
    <mergeCell ref="A8:B8"/>
    <mergeCell ref="E353:H353"/>
    <mergeCell ref="E354:H354"/>
    <mergeCell ref="A1:K1"/>
    <mergeCell ref="A2:K2"/>
    <mergeCell ref="A6:B6"/>
    <mergeCell ref="F7:H7"/>
    <mergeCell ref="J7:K7"/>
  </mergeCells>
  <printOptions horizontalCentered="1"/>
  <pageMargins left="0.5" right="0.5" top="0.75" bottom="0.75" header="0" footer="0"/>
  <pageSetup paperSize="5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70C0"/>
  </sheetPr>
  <dimension ref="A1:P1000"/>
  <sheetViews>
    <sheetView topLeftCell="A7" workbookViewId="0">
      <selection sqref="A1:L1"/>
    </sheetView>
  </sheetViews>
  <sheetFormatPr defaultColWidth="14.42578125" defaultRowHeight="15" customHeight="1"/>
  <cols>
    <col min="1" max="1" width="4.7109375" customWidth="1"/>
    <col min="2" max="2" width="24.28515625" customWidth="1"/>
    <col min="3" max="3" width="7.28515625" customWidth="1"/>
    <col min="4" max="4" width="15.7109375" customWidth="1"/>
    <col min="5" max="5" width="14.85546875" customWidth="1"/>
    <col min="6" max="6" width="16.140625" customWidth="1"/>
    <col min="7" max="7" width="21.85546875" customWidth="1"/>
    <col min="8" max="8" width="12.42578125" customWidth="1"/>
    <col min="9" max="9" width="16.5703125" customWidth="1"/>
    <col min="10" max="10" width="13.7109375" customWidth="1"/>
    <col min="11" max="11" width="7.42578125" customWidth="1"/>
    <col min="12" max="12" width="18.140625" customWidth="1"/>
    <col min="13" max="26" width="8.7109375" customWidth="1"/>
  </cols>
  <sheetData>
    <row r="1" spans="1:16" ht="23.25">
      <c r="A1" s="555" t="s">
        <v>0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</row>
    <row r="2" spans="1:16" ht="18">
      <c r="A2" s="604" t="s">
        <v>2876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</row>
    <row r="3" spans="1:16">
      <c r="A3" s="2"/>
      <c r="B3" s="3"/>
      <c r="C3" s="71"/>
      <c r="D3" s="3"/>
      <c r="E3" s="3"/>
      <c r="G3" s="3"/>
      <c r="H3" s="71"/>
      <c r="I3" s="45"/>
      <c r="J3" s="72"/>
      <c r="K3" s="557" t="s">
        <v>2877</v>
      </c>
      <c r="L3" s="558"/>
    </row>
    <row r="4" spans="1:16">
      <c r="A4" s="2"/>
      <c r="B4" s="3"/>
      <c r="C4" s="71"/>
      <c r="D4" s="3"/>
      <c r="E4" s="3"/>
      <c r="G4" s="3"/>
      <c r="H4" s="71"/>
      <c r="I4" s="45"/>
      <c r="J4" s="72"/>
      <c r="K4" s="73" t="s">
        <v>2878</v>
      </c>
      <c r="L4" s="294"/>
    </row>
    <row r="5" spans="1:16">
      <c r="A5" s="2"/>
      <c r="B5" s="3"/>
      <c r="C5" s="71"/>
      <c r="D5" s="3"/>
      <c r="E5" s="3"/>
      <c r="G5" s="3"/>
      <c r="H5" s="71"/>
      <c r="I5" s="45"/>
      <c r="J5" s="72"/>
      <c r="K5" s="73" t="s">
        <v>2879</v>
      </c>
      <c r="L5" s="294"/>
    </row>
    <row r="6" spans="1:16" ht="18">
      <c r="A6" s="567" t="s">
        <v>360</v>
      </c>
      <c r="B6" s="560"/>
      <c r="C6" s="75"/>
      <c r="D6" s="3"/>
      <c r="E6" s="10"/>
      <c r="F6" s="76"/>
      <c r="G6" s="3"/>
      <c r="H6" s="71"/>
      <c r="I6" s="45"/>
      <c r="J6" s="72"/>
      <c r="K6" s="77" t="s">
        <v>2880</v>
      </c>
      <c r="L6" s="53"/>
    </row>
    <row r="7" spans="1:16">
      <c r="A7" s="11"/>
      <c r="B7" s="12"/>
      <c r="C7" s="78" t="s">
        <v>362</v>
      </c>
      <c r="D7" s="14"/>
      <c r="E7" s="14"/>
      <c r="F7" s="79" t="s">
        <v>363</v>
      </c>
      <c r="G7" s="78" t="s">
        <v>364</v>
      </c>
      <c r="H7" s="563" t="s">
        <v>365</v>
      </c>
      <c r="I7" s="558"/>
      <c r="J7" s="80"/>
      <c r="K7" s="550" t="s">
        <v>8</v>
      </c>
      <c r="L7" s="551"/>
    </row>
    <row r="8" spans="1:16">
      <c r="A8" s="565" t="s">
        <v>366</v>
      </c>
      <c r="B8" s="566"/>
      <c r="C8" s="79" t="s">
        <v>367</v>
      </c>
      <c r="D8" s="17" t="s">
        <v>11</v>
      </c>
      <c r="E8" s="18" t="s">
        <v>12</v>
      </c>
      <c r="F8" s="79" t="s">
        <v>368</v>
      </c>
      <c r="G8" s="81" t="s">
        <v>369</v>
      </c>
      <c r="H8" s="82"/>
      <c r="I8" s="83" t="s">
        <v>14</v>
      </c>
      <c r="J8" s="84" t="s">
        <v>15</v>
      </c>
      <c r="K8" s="24"/>
      <c r="L8" s="85"/>
    </row>
    <row r="9" spans="1:16">
      <c r="A9" s="25"/>
      <c r="B9" s="26"/>
      <c r="C9" s="79" t="s">
        <v>370</v>
      </c>
      <c r="D9" s="27"/>
      <c r="E9" s="26"/>
      <c r="F9" s="79" t="s">
        <v>371</v>
      </c>
      <c r="G9" s="81" t="s">
        <v>372</v>
      </c>
      <c r="H9" s="86" t="s">
        <v>17</v>
      </c>
      <c r="I9" s="83" t="s">
        <v>18</v>
      </c>
      <c r="J9" s="87"/>
      <c r="K9" s="17" t="s">
        <v>19</v>
      </c>
      <c r="L9" s="17" t="s">
        <v>20</v>
      </c>
    </row>
    <row r="10" spans="1:16">
      <c r="A10" s="30"/>
      <c r="B10" s="31"/>
      <c r="C10" s="88"/>
      <c r="D10" s="33"/>
      <c r="E10" s="33"/>
      <c r="F10" s="89" t="s">
        <v>373</v>
      </c>
      <c r="G10" s="38"/>
      <c r="H10" s="90"/>
      <c r="I10" s="91" t="s">
        <v>374</v>
      </c>
      <c r="J10" s="92"/>
      <c r="K10" s="34"/>
      <c r="L10" s="38" t="s">
        <v>22</v>
      </c>
    </row>
    <row r="11" spans="1:16">
      <c r="A11" s="39" t="s">
        <v>23</v>
      </c>
      <c r="B11" s="57"/>
      <c r="C11" s="93"/>
      <c r="D11" s="57"/>
      <c r="E11" s="57"/>
      <c r="F11" s="40"/>
      <c r="G11" s="57"/>
      <c r="H11" s="93"/>
      <c r="I11" s="44"/>
      <c r="J11" s="94"/>
      <c r="K11" s="40"/>
      <c r="L11" s="40"/>
    </row>
    <row r="12" spans="1:16">
      <c r="A12" s="95">
        <v>1</v>
      </c>
      <c r="B12" s="333" t="s">
        <v>1983</v>
      </c>
      <c r="C12" s="334"/>
      <c r="D12" s="97" t="s">
        <v>2881</v>
      </c>
      <c r="E12" s="97" t="s">
        <v>78</v>
      </c>
      <c r="F12" s="99" t="s">
        <v>2882</v>
      </c>
      <c r="G12" s="96" t="s">
        <v>1984</v>
      </c>
      <c r="H12" s="295" t="s">
        <v>29</v>
      </c>
      <c r="I12" s="101">
        <v>3000</v>
      </c>
      <c r="J12" s="335" t="s">
        <v>822</v>
      </c>
      <c r="K12" s="98"/>
      <c r="L12" s="96" t="s">
        <v>31</v>
      </c>
    </row>
    <row r="13" spans="1:16">
      <c r="A13" s="95">
        <v>13</v>
      </c>
      <c r="B13" s="97" t="s">
        <v>388</v>
      </c>
      <c r="C13" s="336"/>
      <c r="D13" s="97"/>
      <c r="E13" s="103" t="s">
        <v>389</v>
      </c>
      <c r="F13" s="99" t="s">
        <v>2883</v>
      </c>
      <c r="G13" s="96" t="s">
        <v>2884</v>
      </c>
      <c r="H13" s="295" t="s">
        <v>29</v>
      </c>
      <c r="I13" s="101">
        <v>1000</v>
      </c>
      <c r="J13" s="337" t="s">
        <v>822</v>
      </c>
      <c r="K13" s="98"/>
      <c r="L13" s="96" t="s">
        <v>31</v>
      </c>
      <c r="O13" s="65"/>
    </row>
    <row r="14" spans="1:16" ht="42.75">
      <c r="A14" s="95">
        <v>14</v>
      </c>
      <c r="B14" s="426" t="s">
        <v>2885</v>
      </c>
      <c r="C14" s="334"/>
      <c r="D14" s="341" t="s">
        <v>1349</v>
      </c>
      <c r="E14" s="341" t="s">
        <v>249</v>
      </c>
      <c r="F14" s="427" t="s">
        <v>2886</v>
      </c>
      <c r="G14" s="428" t="s">
        <v>2887</v>
      </c>
      <c r="H14" s="338" t="s">
        <v>29</v>
      </c>
      <c r="I14" s="339">
        <v>70000</v>
      </c>
      <c r="J14" s="406" t="s">
        <v>822</v>
      </c>
      <c r="K14" s="95"/>
      <c r="L14" s="341" t="s">
        <v>31</v>
      </c>
    </row>
    <row r="15" spans="1:16">
      <c r="A15" s="569">
        <v>20</v>
      </c>
      <c r="B15" s="572" t="s">
        <v>2888</v>
      </c>
      <c r="C15" s="573"/>
      <c r="D15" s="573"/>
      <c r="E15" s="603" t="s">
        <v>2889</v>
      </c>
      <c r="F15" s="573"/>
      <c r="G15" s="572" t="s">
        <v>2890</v>
      </c>
      <c r="H15" s="100" t="s">
        <v>29</v>
      </c>
      <c r="I15" s="101">
        <v>21000</v>
      </c>
      <c r="J15" s="605" t="s">
        <v>822</v>
      </c>
      <c r="K15" s="573"/>
      <c r="L15" s="572" t="s">
        <v>31</v>
      </c>
      <c r="O15" s="65"/>
      <c r="P15" s="65"/>
    </row>
    <row r="16" spans="1:16">
      <c r="A16" s="570"/>
      <c r="B16" s="570"/>
      <c r="C16" s="570"/>
      <c r="D16" s="570"/>
      <c r="E16" s="570"/>
      <c r="F16" s="570"/>
      <c r="G16" s="570"/>
      <c r="H16" s="100" t="s">
        <v>72</v>
      </c>
      <c r="I16" s="101">
        <v>4000</v>
      </c>
      <c r="J16" s="570"/>
      <c r="K16" s="570"/>
      <c r="L16" s="570"/>
    </row>
    <row r="17" spans="1:15">
      <c r="A17" s="571"/>
      <c r="B17" s="571"/>
      <c r="C17" s="571"/>
      <c r="D17" s="571"/>
      <c r="E17" s="571"/>
      <c r="F17" s="571"/>
      <c r="G17" s="571"/>
      <c r="H17" s="100" t="s">
        <v>542</v>
      </c>
      <c r="I17" s="101">
        <v>30</v>
      </c>
      <c r="J17" s="571"/>
      <c r="K17" s="571"/>
      <c r="L17" s="571"/>
      <c r="O17" s="65"/>
    </row>
    <row r="18" spans="1:15">
      <c r="A18" s="569">
        <v>28</v>
      </c>
      <c r="B18" s="572" t="s">
        <v>2891</v>
      </c>
      <c r="C18" s="573"/>
      <c r="D18" s="573"/>
      <c r="E18" s="572" t="s">
        <v>141</v>
      </c>
      <c r="F18" s="600" t="s">
        <v>2892</v>
      </c>
      <c r="G18" s="572" t="s">
        <v>2893</v>
      </c>
      <c r="H18" s="100" t="s">
        <v>29</v>
      </c>
      <c r="I18" s="101">
        <v>28000</v>
      </c>
      <c r="J18" s="429">
        <v>5600</v>
      </c>
      <c r="K18" s="573"/>
      <c r="L18" s="572" t="s">
        <v>31</v>
      </c>
    </row>
    <row r="19" spans="1:15">
      <c r="A19" s="571"/>
      <c r="B19" s="571"/>
      <c r="C19" s="571"/>
      <c r="D19" s="571"/>
      <c r="E19" s="571"/>
      <c r="F19" s="571"/>
      <c r="G19" s="571"/>
      <c r="H19" s="100" t="s">
        <v>29</v>
      </c>
      <c r="I19" s="101">
        <v>4000</v>
      </c>
      <c r="J19" s="343">
        <v>800</v>
      </c>
      <c r="K19" s="571"/>
      <c r="L19" s="571"/>
    </row>
    <row r="20" spans="1:15">
      <c r="I20" s="65"/>
      <c r="J20" s="111" t="s">
        <v>335</v>
      </c>
      <c r="K20" s="63"/>
    </row>
    <row r="21" spans="1:15" ht="15.75" customHeight="1">
      <c r="J21" s="606" t="s">
        <v>338</v>
      </c>
      <c r="K21" s="553"/>
      <c r="L21" s="291" t="s">
        <v>2894</v>
      </c>
    </row>
    <row r="22" spans="1:15" ht="15.75" customHeight="1">
      <c r="J22" s="606" t="s">
        <v>340</v>
      </c>
      <c r="K22" s="553"/>
      <c r="L22" s="291" t="s">
        <v>2895</v>
      </c>
    </row>
    <row r="23" spans="1:15" ht="15.75" customHeight="1">
      <c r="B23" s="157" t="s">
        <v>336</v>
      </c>
      <c r="E23" s="157" t="s">
        <v>337</v>
      </c>
      <c r="J23" s="606" t="s">
        <v>342</v>
      </c>
      <c r="K23" s="553"/>
      <c r="L23" s="292">
        <v>0</v>
      </c>
    </row>
    <row r="24" spans="1:15" ht="15.75" customHeight="1">
      <c r="J24" s="606" t="s">
        <v>2896</v>
      </c>
      <c r="K24" s="553"/>
      <c r="L24" s="292" t="s">
        <v>2897</v>
      </c>
    </row>
    <row r="25" spans="1:15" ht="15.75" customHeight="1">
      <c r="J25" s="606" t="s">
        <v>349</v>
      </c>
      <c r="K25" s="553"/>
      <c r="L25" s="292" t="s">
        <v>2898</v>
      </c>
    </row>
    <row r="26" spans="1:15" ht="15.75" customHeight="1">
      <c r="B26" s="70" t="s">
        <v>343</v>
      </c>
      <c r="E26" s="607" t="s">
        <v>344</v>
      </c>
      <c r="F26" s="553"/>
      <c r="G26" s="553"/>
      <c r="H26" s="553"/>
      <c r="J26" s="606" t="s">
        <v>406</v>
      </c>
      <c r="K26" s="553"/>
      <c r="L26" s="292">
        <v>0</v>
      </c>
    </row>
    <row r="27" spans="1:15" ht="15.75" customHeight="1">
      <c r="B27" s="157" t="s">
        <v>347</v>
      </c>
      <c r="E27" s="552" t="s">
        <v>348</v>
      </c>
      <c r="F27" s="553"/>
      <c r="G27" s="553"/>
      <c r="H27" s="553"/>
      <c r="J27" s="606" t="s">
        <v>353</v>
      </c>
      <c r="K27" s="553"/>
    </row>
    <row r="28" spans="1:15" ht="15.75" customHeight="1">
      <c r="J28" s="606" t="s">
        <v>407</v>
      </c>
      <c r="K28" s="553"/>
    </row>
    <row r="29" spans="1:15" ht="15.75" customHeight="1">
      <c r="J29" s="606" t="s">
        <v>2899</v>
      </c>
      <c r="K29" s="553"/>
    </row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E26:H26"/>
    <mergeCell ref="J26:K26"/>
    <mergeCell ref="E27:H27"/>
    <mergeCell ref="J27:K27"/>
    <mergeCell ref="J21:K21"/>
    <mergeCell ref="J22:K22"/>
    <mergeCell ref="J28:K28"/>
    <mergeCell ref="J29:K29"/>
    <mergeCell ref="J23:K23"/>
    <mergeCell ref="J24:K24"/>
    <mergeCell ref="J25:K25"/>
    <mergeCell ref="J15:J17"/>
    <mergeCell ref="K15:K17"/>
    <mergeCell ref="L15:L17"/>
    <mergeCell ref="K18:K19"/>
    <mergeCell ref="L18:L19"/>
    <mergeCell ref="E18:E19"/>
    <mergeCell ref="F18:F19"/>
    <mergeCell ref="G18:G19"/>
    <mergeCell ref="A15:A17"/>
    <mergeCell ref="B15:B17"/>
    <mergeCell ref="C15:C17"/>
    <mergeCell ref="D15:D17"/>
    <mergeCell ref="E15:E17"/>
    <mergeCell ref="F15:F17"/>
    <mergeCell ref="G15:G17"/>
    <mergeCell ref="A8:B8"/>
    <mergeCell ref="A18:A19"/>
    <mergeCell ref="B18:B19"/>
    <mergeCell ref="C18:C19"/>
    <mergeCell ref="D18:D19"/>
    <mergeCell ref="A1:L1"/>
    <mergeCell ref="A2:L2"/>
    <mergeCell ref="K3:L3"/>
    <mergeCell ref="A6:B6"/>
    <mergeCell ref="H7:I7"/>
    <mergeCell ref="K7:L7"/>
  </mergeCells>
  <pageMargins left="0.25" right="0.25" top="0.75" bottom="0.75" header="0" footer="0"/>
  <pageSetup scale="92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70C0"/>
  </sheetPr>
  <dimension ref="A1:Z1000"/>
  <sheetViews>
    <sheetView topLeftCell="A9" workbookViewId="0">
      <selection sqref="A1:K1"/>
    </sheetView>
  </sheetViews>
  <sheetFormatPr defaultColWidth="14.42578125" defaultRowHeight="15" customHeight="1"/>
  <cols>
    <col min="1" max="1" width="4.7109375" customWidth="1"/>
    <col min="2" max="2" width="26" customWidth="1"/>
    <col min="3" max="3" width="7.28515625" customWidth="1"/>
    <col min="4" max="4" width="16.140625" customWidth="1"/>
    <col min="5" max="5" width="14.5703125" customWidth="1"/>
    <col min="6" max="6" width="14.85546875" customWidth="1"/>
    <col min="7" max="7" width="14" customWidth="1"/>
    <col min="8" max="8" width="16.42578125" customWidth="1"/>
    <col min="9" max="9" width="16.85546875" customWidth="1"/>
    <col min="10" max="10" width="9.5703125" customWidth="1"/>
    <col min="11" max="11" width="17.85546875" customWidth="1"/>
    <col min="12" max="26" width="8.7109375" customWidth="1"/>
  </cols>
  <sheetData>
    <row r="1" spans="1:16" ht="23.25">
      <c r="A1" s="555" t="s">
        <v>0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</row>
    <row r="2" spans="1:16" ht="18">
      <c r="A2" s="604" t="s">
        <v>2900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</row>
    <row r="3" spans="1:16">
      <c r="A3" s="2"/>
      <c r="B3" s="3"/>
      <c r="C3" s="4"/>
      <c r="D3" s="3"/>
      <c r="E3" s="3"/>
      <c r="F3" s="1"/>
      <c r="G3" s="4"/>
      <c r="H3" s="5"/>
      <c r="I3" s="6"/>
      <c r="J3" s="371" t="s">
        <v>2901</v>
      </c>
      <c r="K3" s="372"/>
    </row>
    <row r="4" spans="1:16">
      <c r="A4" s="2"/>
      <c r="B4" s="3"/>
      <c r="C4" s="4"/>
      <c r="D4" s="3"/>
      <c r="E4" s="3"/>
      <c r="F4" s="1"/>
      <c r="G4" s="4"/>
      <c r="H4" s="5"/>
      <c r="I4" s="7"/>
      <c r="J4" s="373" t="s">
        <v>3</v>
      </c>
      <c r="K4" s="374">
        <v>163</v>
      </c>
    </row>
    <row r="5" spans="1:16">
      <c r="A5" s="2"/>
      <c r="B5" s="3"/>
      <c r="C5" s="4"/>
      <c r="D5" s="3"/>
      <c r="E5" s="3"/>
      <c r="F5" s="1"/>
      <c r="G5" s="4"/>
      <c r="H5" s="5"/>
      <c r="I5" s="7"/>
      <c r="J5" s="373" t="s">
        <v>4</v>
      </c>
      <c r="K5" s="374">
        <v>32</v>
      </c>
    </row>
    <row r="6" spans="1:16">
      <c r="A6" s="559" t="s">
        <v>5</v>
      </c>
      <c r="B6" s="560"/>
      <c r="C6" s="4"/>
      <c r="D6" s="3"/>
      <c r="E6" s="10"/>
      <c r="F6" s="1"/>
      <c r="G6" s="4"/>
      <c r="H6" s="5"/>
      <c r="I6" s="6"/>
      <c r="J6" s="375" t="s">
        <v>2902</v>
      </c>
      <c r="K6" s="376"/>
    </row>
    <row r="7" spans="1:16">
      <c r="A7" s="11"/>
      <c r="B7" s="12"/>
      <c r="C7" s="13"/>
      <c r="D7" s="14"/>
      <c r="E7" s="14"/>
      <c r="F7" s="563" t="s">
        <v>7</v>
      </c>
      <c r="G7" s="564"/>
      <c r="H7" s="558"/>
      <c r="I7" s="15"/>
      <c r="J7" s="550" t="s">
        <v>8</v>
      </c>
      <c r="K7" s="551"/>
    </row>
    <row r="8" spans="1:16">
      <c r="A8" s="565" t="s">
        <v>9</v>
      </c>
      <c r="B8" s="566"/>
      <c r="C8" s="16" t="s">
        <v>10</v>
      </c>
      <c r="D8" s="17" t="s">
        <v>11</v>
      </c>
      <c r="E8" s="18" t="s">
        <v>12</v>
      </c>
      <c r="F8" s="19" t="s">
        <v>13</v>
      </c>
      <c r="G8" s="20"/>
      <c r="H8" s="21" t="s">
        <v>14</v>
      </c>
      <c r="I8" s="22" t="s">
        <v>15</v>
      </c>
      <c r="J8" s="23"/>
      <c r="K8" s="24"/>
    </row>
    <row r="9" spans="1:16">
      <c r="A9" s="25"/>
      <c r="B9" s="26"/>
      <c r="C9" s="20"/>
      <c r="D9" s="27"/>
      <c r="E9" s="26"/>
      <c r="F9" s="28" t="s">
        <v>16</v>
      </c>
      <c r="G9" s="16" t="s">
        <v>17</v>
      </c>
      <c r="H9" s="21" t="s">
        <v>18</v>
      </c>
      <c r="I9" s="29"/>
      <c r="J9" s="17" t="s">
        <v>19</v>
      </c>
      <c r="K9" s="17" t="s">
        <v>20</v>
      </c>
    </row>
    <row r="10" spans="1:16">
      <c r="A10" s="30"/>
      <c r="B10" s="31"/>
      <c r="C10" s="32"/>
      <c r="D10" s="33"/>
      <c r="E10" s="33"/>
      <c r="F10" s="34"/>
      <c r="G10" s="35"/>
      <c r="H10" s="36" t="s">
        <v>21</v>
      </c>
      <c r="I10" s="37"/>
      <c r="J10" s="34"/>
      <c r="K10" s="38" t="s">
        <v>22</v>
      </c>
    </row>
    <row r="11" spans="1:16">
      <c r="A11" s="39" t="s">
        <v>23</v>
      </c>
      <c r="B11" s="40"/>
      <c r="C11" s="40"/>
      <c r="D11" s="40"/>
      <c r="E11" s="40"/>
      <c r="F11" s="40"/>
      <c r="G11" s="40"/>
      <c r="H11" s="40"/>
      <c r="I11" s="41"/>
      <c r="J11" s="40"/>
      <c r="K11" s="40"/>
    </row>
    <row r="12" spans="1:16">
      <c r="A12" s="42">
        <v>1</v>
      </c>
      <c r="B12" s="40" t="s">
        <v>2903</v>
      </c>
      <c r="C12" s="40" t="s">
        <v>25</v>
      </c>
      <c r="D12" s="40" t="s">
        <v>68</v>
      </c>
      <c r="E12" s="40" t="s">
        <v>96</v>
      </c>
      <c r="F12" s="43" t="s">
        <v>2452</v>
      </c>
      <c r="G12" s="40" t="s">
        <v>29</v>
      </c>
      <c r="H12" s="44">
        <v>4000</v>
      </c>
      <c r="I12" s="41">
        <v>800</v>
      </c>
      <c r="J12" s="40" t="s">
        <v>30</v>
      </c>
      <c r="K12" s="40" t="s">
        <v>31</v>
      </c>
      <c r="M12" s="157">
        <v>700</v>
      </c>
      <c r="O12" s="157" t="s">
        <v>2904</v>
      </c>
      <c r="P12" s="45">
        <f>SUM(H12,H15:H17,H21,H23:H29,H31,H34:H41)</f>
        <v>69750</v>
      </c>
    </row>
    <row r="13" spans="1:16">
      <c r="A13" s="42">
        <v>1</v>
      </c>
      <c r="B13" s="40" t="s">
        <v>2905</v>
      </c>
      <c r="C13" s="40" t="s">
        <v>59</v>
      </c>
      <c r="D13" s="40" t="s">
        <v>831</v>
      </c>
      <c r="E13" s="40" t="s">
        <v>50</v>
      </c>
      <c r="F13" s="43" t="s">
        <v>2906</v>
      </c>
      <c r="G13" s="40" t="s">
        <v>1114</v>
      </c>
      <c r="H13" s="44">
        <v>30</v>
      </c>
      <c r="I13" s="41">
        <v>150</v>
      </c>
      <c r="J13" s="40" t="s">
        <v>30</v>
      </c>
      <c r="K13" s="40" t="s">
        <v>31</v>
      </c>
      <c r="M13" s="157">
        <v>100</v>
      </c>
      <c r="O13" s="157" t="s">
        <v>1872</v>
      </c>
      <c r="P13" s="45">
        <f>SUM(H13:H14,H18,H20,H22,H30,H32)</f>
        <v>242</v>
      </c>
    </row>
    <row r="14" spans="1:16">
      <c r="A14" s="42">
        <v>1</v>
      </c>
      <c r="B14" s="40" t="s">
        <v>2907</v>
      </c>
      <c r="C14" s="40" t="s">
        <v>59</v>
      </c>
      <c r="D14" s="40" t="s">
        <v>831</v>
      </c>
      <c r="E14" s="40" t="s">
        <v>50</v>
      </c>
      <c r="F14" s="43" t="s">
        <v>2908</v>
      </c>
      <c r="G14" s="40" t="s">
        <v>1114</v>
      </c>
      <c r="H14" s="44">
        <v>20</v>
      </c>
      <c r="I14" s="41">
        <v>200</v>
      </c>
      <c r="J14" s="40" t="s">
        <v>30</v>
      </c>
      <c r="K14" s="40" t="s">
        <v>31</v>
      </c>
      <c r="M14" s="157">
        <v>1000</v>
      </c>
      <c r="O14" s="157" t="s">
        <v>2909</v>
      </c>
      <c r="P14" s="65">
        <f>SUM(H19,H33,H42)</f>
        <v>2300</v>
      </c>
    </row>
    <row r="15" spans="1:16">
      <c r="A15" s="42">
        <v>1</v>
      </c>
      <c r="B15" s="40" t="s">
        <v>1569</v>
      </c>
      <c r="C15" s="40" t="s">
        <v>25</v>
      </c>
      <c r="D15" s="40" t="s">
        <v>86</v>
      </c>
      <c r="E15" s="40" t="s">
        <v>42</v>
      </c>
      <c r="F15" s="40" t="s">
        <v>638</v>
      </c>
      <c r="G15" s="40" t="s">
        <v>29</v>
      </c>
      <c r="H15" s="44">
        <v>2000</v>
      </c>
      <c r="I15" s="41">
        <v>400</v>
      </c>
      <c r="J15" s="40" t="s">
        <v>30</v>
      </c>
      <c r="K15" s="40" t="s">
        <v>31</v>
      </c>
      <c r="M15" s="157">
        <v>100</v>
      </c>
      <c r="P15" s="45">
        <f>SUM(P12:P14)</f>
        <v>72292</v>
      </c>
    </row>
    <row r="16" spans="1:16">
      <c r="A16" s="42">
        <v>1</v>
      </c>
      <c r="B16" s="40" t="s">
        <v>703</v>
      </c>
      <c r="C16" s="40" t="s">
        <v>25</v>
      </c>
      <c r="D16" s="40" t="s">
        <v>55</v>
      </c>
      <c r="E16" s="40" t="s">
        <v>96</v>
      </c>
      <c r="F16" s="43" t="s">
        <v>2910</v>
      </c>
      <c r="G16" s="40" t="s">
        <v>29</v>
      </c>
      <c r="H16" s="44">
        <v>500</v>
      </c>
      <c r="I16" s="41">
        <v>100</v>
      </c>
      <c r="J16" s="40" t="s">
        <v>30</v>
      </c>
      <c r="K16" s="40" t="s">
        <v>31</v>
      </c>
      <c r="M16" s="157">
        <v>250</v>
      </c>
    </row>
    <row r="17" spans="1:13">
      <c r="A17" s="42">
        <v>1</v>
      </c>
      <c r="B17" s="40" t="s">
        <v>2911</v>
      </c>
      <c r="C17" s="40" t="s">
        <v>25</v>
      </c>
      <c r="D17" s="40" t="s">
        <v>1165</v>
      </c>
      <c r="E17" s="40" t="s">
        <v>96</v>
      </c>
      <c r="F17" s="43" t="s">
        <v>2912</v>
      </c>
      <c r="G17" s="40" t="s">
        <v>29</v>
      </c>
      <c r="H17" s="44">
        <v>500</v>
      </c>
      <c r="I17" s="41">
        <v>100</v>
      </c>
      <c r="J17" s="40" t="s">
        <v>30</v>
      </c>
      <c r="K17" s="40" t="s">
        <v>31</v>
      </c>
      <c r="M17" s="157">
        <v>900</v>
      </c>
    </row>
    <row r="18" spans="1:13">
      <c r="A18" s="42">
        <v>1</v>
      </c>
      <c r="B18" s="40" t="s">
        <v>2913</v>
      </c>
      <c r="C18" s="40" t="s">
        <v>25</v>
      </c>
      <c r="D18" s="40" t="s">
        <v>185</v>
      </c>
      <c r="E18" s="40" t="s">
        <v>42</v>
      </c>
      <c r="F18" s="43" t="s">
        <v>2914</v>
      </c>
      <c r="G18" s="40" t="s">
        <v>1114</v>
      </c>
      <c r="H18" s="44">
        <v>10</v>
      </c>
      <c r="I18" s="41">
        <v>100</v>
      </c>
      <c r="J18" s="40" t="s">
        <v>30</v>
      </c>
      <c r="K18" s="40" t="s">
        <v>31</v>
      </c>
    </row>
    <row r="19" spans="1:13">
      <c r="A19" s="42">
        <v>1</v>
      </c>
      <c r="B19" s="40" t="s">
        <v>555</v>
      </c>
      <c r="C19" s="40" t="s">
        <v>25</v>
      </c>
      <c r="D19" s="40" t="s">
        <v>548</v>
      </c>
      <c r="E19" s="40" t="s">
        <v>42</v>
      </c>
      <c r="F19" s="43" t="s">
        <v>2915</v>
      </c>
      <c r="G19" s="40" t="s">
        <v>1112</v>
      </c>
      <c r="H19" s="200">
        <v>300</v>
      </c>
      <c r="I19" s="41">
        <v>180</v>
      </c>
      <c r="J19" s="40" t="s">
        <v>30</v>
      </c>
      <c r="K19" s="40" t="s">
        <v>31</v>
      </c>
    </row>
    <row r="20" spans="1:13">
      <c r="A20" s="42">
        <v>1</v>
      </c>
      <c r="B20" s="40" t="s">
        <v>2916</v>
      </c>
      <c r="C20" s="40" t="s">
        <v>25</v>
      </c>
      <c r="D20" s="40" t="s">
        <v>103</v>
      </c>
      <c r="E20" s="40" t="s">
        <v>38</v>
      </c>
      <c r="F20" s="40" t="s">
        <v>638</v>
      </c>
      <c r="G20" s="40" t="s">
        <v>1114</v>
      </c>
      <c r="H20" s="44">
        <v>15</v>
      </c>
      <c r="I20" s="41">
        <v>150</v>
      </c>
      <c r="J20" s="40" t="s">
        <v>30</v>
      </c>
      <c r="K20" s="40" t="s">
        <v>31</v>
      </c>
    </row>
    <row r="21" spans="1:13" ht="15.75" customHeight="1">
      <c r="A21" s="42">
        <v>1</v>
      </c>
      <c r="B21" s="40" t="s">
        <v>2917</v>
      </c>
      <c r="C21" s="40" t="s">
        <v>25</v>
      </c>
      <c r="D21" s="40" t="s">
        <v>2918</v>
      </c>
      <c r="E21" s="40" t="s">
        <v>1461</v>
      </c>
      <c r="F21" s="43" t="s">
        <v>2919</v>
      </c>
      <c r="G21" s="40" t="s">
        <v>29</v>
      </c>
      <c r="H21" s="44">
        <v>1500</v>
      </c>
      <c r="I21" s="41">
        <v>300</v>
      </c>
      <c r="J21" s="40" t="s">
        <v>30</v>
      </c>
      <c r="K21" s="40" t="s">
        <v>31</v>
      </c>
    </row>
    <row r="22" spans="1:13" ht="15.75" customHeight="1">
      <c r="A22" s="42">
        <v>1</v>
      </c>
      <c r="B22" s="40" t="s">
        <v>2917</v>
      </c>
      <c r="C22" s="40" t="s">
        <v>25</v>
      </c>
      <c r="D22" s="40" t="s">
        <v>2920</v>
      </c>
      <c r="E22" s="40" t="s">
        <v>1461</v>
      </c>
      <c r="F22" s="40"/>
      <c r="G22" s="40" t="s">
        <v>1114</v>
      </c>
      <c r="H22" s="44">
        <v>10</v>
      </c>
      <c r="I22" s="41">
        <v>50</v>
      </c>
      <c r="J22" s="40" t="s">
        <v>30</v>
      </c>
      <c r="K22" s="40" t="s">
        <v>31</v>
      </c>
    </row>
    <row r="23" spans="1:13" ht="15.75" customHeight="1">
      <c r="A23" s="42">
        <v>1</v>
      </c>
      <c r="B23" s="40" t="s">
        <v>2778</v>
      </c>
      <c r="C23" s="40" t="s">
        <v>25</v>
      </c>
      <c r="D23" s="40" t="s">
        <v>129</v>
      </c>
      <c r="E23" s="40" t="s">
        <v>130</v>
      </c>
      <c r="F23" s="43" t="s">
        <v>2779</v>
      </c>
      <c r="G23" s="40" t="s">
        <v>29</v>
      </c>
      <c r="H23" s="44">
        <v>10000</v>
      </c>
      <c r="I23" s="41">
        <v>3000</v>
      </c>
      <c r="J23" s="40" t="s">
        <v>30</v>
      </c>
      <c r="K23" s="40" t="s">
        <v>31</v>
      </c>
    </row>
    <row r="24" spans="1:13" ht="15.75" customHeight="1">
      <c r="A24" s="42">
        <v>1</v>
      </c>
      <c r="B24" s="40" t="s">
        <v>2921</v>
      </c>
      <c r="C24" s="40" t="s">
        <v>59</v>
      </c>
      <c r="D24" s="40" t="s">
        <v>206</v>
      </c>
      <c r="E24" s="40" t="s">
        <v>96</v>
      </c>
      <c r="F24" s="43" t="s">
        <v>2922</v>
      </c>
      <c r="G24" s="40" t="s">
        <v>29</v>
      </c>
      <c r="H24" s="44">
        <v>500</v>
      </c>
      <c r="I24" s="41">
        <v>100</v>
      </c>
      <c r="J24" s="40" t="s">
        <v>30</v>
      </c>
      <c r="K24" s="40" t="s">
        <v>31</v>
      </c>
    </row>
    <row r="25" spans="1:13" ht="15.75" customHeight="1">
      <c r="A25" s="42">
        <v>1</v>
      </c>
      <c r="B25" s="40" t="s">
        <v>2923</v>
      </c>
      <c r="C25" s="40" t="s">
        <v>25</v>
      </c>
      <c r="D25" s="40" t="s">
        <v>2672</v>
      </c>
      <c r="E25" s="40" t="s">
        <v>50</v>
      </c>
      <c r="F25" s="43" t="s">
        <v>2924</v>
      </c>
      <c r="G25" s="40" t="s">
        <v>29</v>
      </c>
      <c r="H25" s="44">
        <v>300</v>
      </c>
      <c r="I25" s="41">
        <v>60</v>
      </c>
      <c r="J25" s="40" t="s">
        <v>30</v>
      </c>
      <c r="K25" s="40" t="s">
        <v>31</v>
      </c>
    </row>
    <row r="26" spans="1:13" ht="15.75" customHeight="1">
      <c r="A26" s="42">
        <v>1</v>
      </c>
      <c r="B26" s="40" t="s">
        <v>2925</v>
      </c>
      <c r="C26" s="40" t="s">
        <v>25</v>
      </c>
      <c r="D26" s="40" t="s">
        <v>811</v>
      </c>
      <c r="E26" s="40" t="s">
        <v>46</v>
      </c>
      <c r="F26" s="40" t="s">
        <v>638</v>
      </c>
      <c r="G26" s="40" t="s">
        <v>29</v>
      </c>
      <c r="H26" s="44">
        <v>500</v>
      </c>
      <c r="I26" s="41">
        <v>100</v>
      </c>
      <c r="J26" s="40" t="s">
        <v>30</v>
      </c>
      <c r="K26" s="40" t="s">
        <v>31</v>
      </c>
    </row>
    <row r="27" spans="1:13" ht="15.75" customHeight="1">
      <c r="A27" s="42">
        <v>1</v>
      </c>
      <c r="B27" s="40" t="s">
        <v>2926</v>
      </c>
      <c r="C27" s="40" t="s">
        <v>59</v>
      </c>
      <c r="D27" s="40" t="s">
        <v>77</v>
      </c>
      <c r="E27" s="40" t="s">
        <v>96</v>
      </c>
      <c r="F27" s="43" t="s">
        <v>2927</v>
      </c>
      <c r="G27" s="40" t="s">
        <v>29</v>
      </c>
      <c r="H27" s="44">
        <v>5000</v>
      </c>
      <c r="I27" s="41">
        <v>1000</v>
      </c>
      <c r="J27" s="40" t="s">
        <v>30</v>
      </c>
      <c r="K27" s="40" t="s">
        <v>31</v>
      </c>
    </row>
    <row r="28" spans="1:13" ht="15.75" customHeight="1">
      <c r="A28" s="42">
        <v>1</v>
      </c>
      <c r="B28" s="40" t="s">
        <v>2928</v>
      </c>
      <c r="C28" s="40" t="s">
        <v>25</v>
      </c>
      <c r="D28" s="40" t="s">
        <v>1899</v>
      </c>
      <c r="E28" s="40" t="s">
        <v>318</v>
      </c>
      <c r="F28" s="43" t="s">
        <v>1900</v>
      </c>
      <c r="G28" s="40" t="s">
        <v>29</v>
      </c>
      <c r="H28" s="44">
        <v>17500</v>
      </c>
      <c r="I28" s="41">
        <v>3500</v>
      </c>
      <c r="J28" s="40" t="s">
        <v>30</v>
      </c>
      <c r="K28" s="40" t="s">
        <v>31</v>
      </c>
    </row>
    <row r="29" spans="1:13" ht="15.75" customHeight="1">
      <c r="A29" s="42">
        <v>1</v>
      </c>
      <c r="B29" s="40" t="s">
        <v>2929</v>
      </c>
      <c r="C29" s="40" t="s">
        <v>25</v>
      </c>
      <c r="D29" s="40" t="s">
        <v>1490</v>
      </c>
      <c r="E29" s="40" t="s">
        <v>38</v>
      </c>
      <c r="F29" s="43" t="s">
        <v>2930</v>
      </c>
      <c r="G29" s="40" t="s">
        <v>29</v>
      </c>
      <c r="H29" s="44">
        <v>150</v>
      </c>
      <c r="I29" s="41">
        <v>30</v>
      </c>
      <c r="J29" s="40" t="s">
        <v>30</v>
      </c>
      <c r="K29" s="40" t="s">
        <v>31</v>
      </c>
    </row>
    <row r="30" spans="1:13" ht="15.75" customHeight="1">
      <c r="A30" s="42">
        <v>1</v>
      </c>
      <c r="B30" s="40" t="s">
        <v>1891</v>
      </c>
      <c r="C30" s="40" t="s">
        <v>25</v>
      </c>
      <c r="D30" s="40" t="s">
        <v>942</v>
      </c>
      <c r="E30" s="40" t="s">
        <v>130</v>
      </c>
      <c r="F30" s="43" t="s">
        <v>1892</v>
      </c>
      <c r="G30" s="40" t="s">
        <v>1114</v>
      </c>
      <c r="H30" s="44">
        <v>150</v>
      </c>
      <c r="I30" s="41">
        <v>750</v>
      </c>
      <c r="J30" s="40" t="s">
        <v>30</v>
      </c>
      <c r="K30" s="40" t="s">
        <v>31</v>
      </c>
    </row>
    <row r="31" spans="1:13" ht="15.75" customHeight="1">
      <c r="A31" s="42">
        <v>1</v>
      </c>
      <c r="B31" s="40" t="s">
        <v>2931</v>
      </c>
      <c r="C31" s="40" t="s">
        <v>59</v>
      </c>
      <c r="D31" s="40" t="s">
        <v>2932</v>
      </c>
      <c r="E31" s="40" t="s">
        <v>50</v>
      </c>
      <c r="F31" s="43" t="s">
        <v>2933</v>
      </c>
      <c r="G31" s="40" t="s">
        <v>29</v>
      </c>
      <c r="H31" s="44">
        <v>3000</v>
      </c>
      <c r="I31" s="41">
        <v>600</v>
      </c>
      <c r="J31" s="40" t="s">
        <v>30</v>
      </c>
      <c r="K31" s="40" t="s">
        <v>31</v>
      </c>
    </row>
    <row r="32" spans="1:13" ht="15.75" customHeight="1">
      <c r="A32" s="42">
        <v>1</v>
      </c>
      <c r="B32" s="40" t="s">
        <v>2934</v>
      </c>
      <c r="C32" s="40" t="s">
        <v>25</v>
      </c>
      <c r="D32" s="40" t="s">
        <v>1371</v>
      </c>
      <c r="E32" s="40" t="s">
        <v>96</v>
      </c>
      <c r="F32" s="43" t="s">
        <v>2935</v>
      </c>
      <c r="G32" s="40" t="s">
        <v>1114</v>
      </c>
      <c r="H32" s="44">
        <v>7</v>
      </c>
      <c r="I32" s="41">
        <v>70</v>
      </c>
      <c r="J32" s="40" t="s">
        <v>30</v>
      </c>
      <c r="K32" s="40" t="s">
        <v>31</v>
      </c>
    </row>
    <row r="33" spans="1:26" ht="15.75" customHeight="1">
      <c r="A33" s="42">
        <v>2</v>
      </c>
      <c r="B33" s="40" t="s">
        <v>2936</v>
      </c>
      <c r="C33" s="40" t="s">
        <v>59</v>
      </c>
      <c r="D33" s="40" t="s">
        <v>1371</v>
      </c>
      <c r="E33" s="40" t="s">
        <v>96</v>
      </c>
      <c r="F33" s="43" t="s">
        <v>2937</v>
      </c>
      <c r="G33" s="40" t="s">
        <v>1112</v>
      </c>
      <c r="H33" s="200">
        <v>1000</v>
      </c>
      <c r="I33" s="41">
        <v>600</v>
      </c>
      <c r="J33" s="40" t="s">
        <v>30</v>
      </c>
      <c r="K33" s="40" t="s">
        <v>31</v>
      </c>
    </row>
    <row r="34" spans="1:26" ht="15.75" customHeight="1">
      <c r="A34" s="42">
        <v>2</v>
      </c>
      <c r="B34" s="40" t="s">
        <v>2938</v>
      </c>
      <c r="C34" s="40" t="s">
        <v>25</v>
      </c>
      <c r="D34" s="40" t="s">
        <v>1704</v>
      </c>
      <c r="E34" s="40" t="s">
        <v>38</v>
      </c>
      <c r="F34" s="43" t="s">
        <v>2939</v>
      </c>
      <c r="G34" s="40" t="s">
        <v>29</v>
      </c>
      <c r="H34" s="44">
        <v>600</v>
      </c>
      <c r="I34" s="41">
        <v>120</v>
      </c>
      <c r="J34" s="40" t="s">
        <v>30</v>
      </c>
      <c r="K34" s="40" t="s">
        <v>31</v>
      </c>
    </row>
    <row r="35" spans="1:26" ht="15.75" customHeight="1">
      <c r="A35" s="42">
        <v>2</v>
      </c>
      <c r="B35" s="40" t="s">
        <v>2940</v>
      </c>
      <c r="C35" s="40" t="s">
        <v>25</v>
      </c>
      <c r="D35" s="40" t="s">
        <v>618</v>
      </c>
      <c r="E35" s="40" t="s">
        <v>50</v>
      </c>
      <c r="F35" s="43" t="s">
        <v>2941</v>
      </c>
      <c r="G35" s="40" t="s">
        <v>29</v>
      </c>
      <c r="H35" s="44">
        <v>500</v>
      </c>
      <c r="I35" s="41">
        <v>100</v>
      </c>
      <c r="J35" s="40" t="s">
        <v>30</v>
      </c>
      <c r="K35" s="40" t="s">
        <v>31</v>
      </c>
    </row>
    <row r="36" spans="1:26" ht="15.75" customHeight="1">
      <c r="A36" s="42">
        <v>2</v>
      </c>
      <c r="B36" s="40" t="s">
        <v>2942</v>
      </c>
      <c r="C36" s="40" t="s">
        <v>25</v>
      </c>
      <c r="D36" s="40" t="s">
        <v>831</v>
      </c>
      <c r="E36" s="40" t="s">
        <v>50</v>
      </c>
      <c r="F36" s="40" t="s">
        <v>638</v>
      </c>
      <c r="G36" s="40" t="s">
        <v>29</v>
      </c>
      <c r="H36" s="44">
        <v>800</v>
      </c>
      <c r="I36" s="41">
        <v>160</v>
      </c>
      <c r="J36" s="40" t="s">
        <v>30</v>
      </c>
      <c r="K36" s="40" t="s">
        <v>31</v>
      </c>
    </row>
    <row r="37" spans="1:26" ht="15.75" customHeight="1">
      <c r="A37" s="42">
        <v>2</v>
      </c>
      <c r="B37" s="40" t="s">
        <v>2943</v>
      </c>
      <c r="C37" s="40" t="s">
        <v>25</v>
      </c>
      <c r="D37" s="40" t="s">
        <v>245</v>
      </c>
      <c r="E37" s="40" t="s">
        <v>150</v>
      </c>
      <c r="F37" s="43" t="s">
        <v>2944</v>
      </c>
      <c r="G37" s="40" t="s">
        <v>29</v>
      </c>
      <c r="H37" s="44">
        <v>800</v>
      </c>
      <c r="I37" s="41">
        <v>160</v>
      </c>
      <c r="J37" s="40" t="s">
        <v>30</v>
      </c>
      <c r="K37" s="40" t="s">
        <v>31</v>
      </c>
    </row>
    <row r="38" spans="1:26" ht="15.75" customHeight="1">
      <c r="A38" s="42">
        <v>2</v>
      </c>
      <c r="B38" s="40" t="s">
        <v>2945</v>
      </c>
      <c r="C38" s="40" t="s">
        <v>25</v>
      </c>
      <c r="D38" s="40" t="s">
        <v>86</v>
      </c>
      <c r="E38" s="40" t="s">
        <v>42</v>
      </c>
      <c r="F38" s="43" t="s">
        <v>579</v>
      </c>
      <c r="G38" s="40" t="s">
        <v>29</v>
      </c>
      <c r="H38" s="44">
        <v>16000</v>
      </c>
      <c r="I38" s="41">
        <v>3200</v>
      </c>
      <c r="J38" s="40" t="s">
        <v>30</v>
      </c>
      <c r="K38" s="40" t="s">
        <v>31</v>
      </c>
    </row>
    <row r="39" spans="1:26" ht="15.75" customHeight="1">
      <c r="A39" s="42">
        <v>2</v>
      </c>
      <c r="B39" s="40" t="s">
        <v>1266</v>
      </c>
      <c r="C39" s="40" t="s">
        <v>25</v>
      </c>
      <c r="D39" s="40" t="s">
        <v>779</v>
      </c>
      <c r="E39" s="40" t="s">
        <v>42</v>
      </c>
      <c r="F39" s="40" t="s">
        <v>638</v>
      </c>
      <c r="G39" s="40" t="s">
        <v>29</v>
      </c>
      <c r="H39" s="44">
        <v>2100</v>
      </c>
      <c r="I39" s="41">
        <v>420</v>
      </c>
      <c r="J39" s="40" t="s">
        <v>30</v>
      </c>
      <c r="K39" s="40" t="s">
        <v>31</v>
      </c>
    </row>
    <row r="40" spans="1:26" ht="15.75" customHeight="1">
      <c r="A40" s="42">
        <v>2</v>
      </c>
      <c r="B40" s="40" t="s">
        <v>1009</v>
      </c>
      <c r="C40" s="40" t="s">
        <v>25</v>
      </c>
      <c r="D40" s="40" t="s">
        <v>192</v>
      </c>
      <c r="E40" s="40" t="s">
        <v>78</v>
      </c>
      <c r="F40" s="43" t="s">
        <v>1011</v>
      </c>
      <c r="G40" s="40" t="s">
        <v>29</v>
      </c>
      <c r="H40" s="44">
        <v>500</v>
      </c>
      <c r="I40" s="41">
        <v>100</v>
      </c>
      <c r="J40" s="40" t="s">
        <v>30</v>
      </c>
      <c r="K40" s="40" t="s">
        <v>31</v>
      </c>
    </row>
    <row r="41" spans="1:26" ht="15.75" customHeight="1">
      <c r="A41" s="42">
        <v>2</v>
      </c>
      <c r="B41" s="40" t="s">
        <v>1549</v>
      </c>
      <c r="C41" s="40" t="s">
        <v>25</v>
      </c>
      <c r="D41" s="40" t="s">
        <v>570</v>
      </c>
      <c r="E41" s="40" t="s">
        <v>60</v>
      </c>
      <c r="F41" s="43" t="s">
        <v>1607</v>
      </c>
      <c r="G41" s="40" t="s">
        <v>29</v>
      </c>
      <c r="H41" s="44">
        <v>3000</v>
      </c>
      <c r="I41" s="41">
        <v>600</v>
      </c>
      <c r="J41" s="40" t="s">
        <v>30</v>
      </c>
      <c r="K41" s="40" t="s">
        <v>31</v>
      </c>
    </row>
    <row r="42" spans="1:26" ht="15.75" customHeight="1">
      <c r="A42" s="47">
        <v>2</v>
      </c>
      <c r="B42" s="48" t="s">
        <v>2946</v>
      </c>
      <c r="C42" s="48" t="s">
        <v>25</v>
      </c>
      <c r="D42" s="48" t="s">
        <v>77</v>
      </c>
      <c r="E42" s="48" t="s">
        <v>96</v>
      </c>
      <c r="F42" s="49" t="s">
        <v>2947</v>
      </c>
      <c r="G42" s="48" t="s">
        <v>1112</v>
      </c>
      <c r="H42" s="430">
        <v>1000</v>
      </c>
      <c r="I42" s="51">
        <v>600</v>
      </c>
      <c r="J42" s="48" t="s">
        <v>30</v>
      </c>
      <c r="K42" s="40" t="s">
        <v>31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52">
        <v>3</v>
      </c>
      <c r="B43" s="53" t="s">
        <v>2948</v>
      </c>
      <c r="C43" s="53" t="s">
        <v>25</v>
      </c>
      <c r="D43" s="53" t="s">
        <v>2767</v>
      </c>
      <c r="E43" s="53" t="s">
        <v>50</v>
      </c>
      <c r="F43" s="60" t="s">
        <v>2949</v>
      </c>
      <c r="G43" s="53" t="s">
        <v>29</v>
      </c>
      <c r="H43" s="54">
        <v>500</v>
      </c>
      <c r="I43" s="55">
        <v>100</v>
      </c>
      <c r="J43" s="53" t="s">
        <v>30</v>
      </c>
      <c r="K43" s="40" t="s">
        <v>31</v>
      </c>
      <c r="M43" s="157">
        <v>100</v>
      </c>
    </row>
    <row r="44" spans="1:26" ht="15.75" customHeight="1">
      <c r="A44" s="42">
        <v>3</v>
      </c>
      <c r="B44" s="40" t="s">
        <v>2950</v>
      </c>
      <c r="C44" s="40" t="s">
        <v>25</v>
      </c>
      <c r="D44" s="40" t="s">
        <v>950</v>
      </c>
      <c r="E44" s="40" t="s">
        <v>96</v>
      </c>
      <c r="F44" s="43" t="s">
        <v>2951</v>
      </c>
      <c r="G44" s="40" t="s">
        <v>1112</v>
      </c>
      <c r="H44" s="44">
        <v>1000</v>
      </c>
      <c r="I44" s="41">
        <v>600</v>
      </c>
      <c r="J44" s="40" t="s">
        <v>30</v>
      </c>
      <c r="K44" s="40" t="s">
        <v>31</v>
      </c>
    </row>
    <row r="45" spans="1:26" ht="15.75" customHeight="1">
      <c r="A45" s="42">
        <v>3</v>
      </c>
      <c r="B45" s="40" t="s">
        <v>2952</v>
      </c>
      <c r="C45" s="40" t="s">
        <v>25</v>
      </c>
      <c r="D45" s="40"/>
      <c r="E45" s="40" t="s">
        <v>150</v>
      </c>
      <c r="F45" s="43" t="s">
        <v>2944</v>
      </c>
      <c r="G45" s="40" t="s">
        <v>29</v>
      </c>
      <c r="H45" s="44">
        <v>600</v>
      </c>
      <c r="I45" s="41">
        <v>180</v>
      </c>
      <c r="J45" s="40" t="s">
        <v>30</v>
      </c>
      <c r="K45" s="40" t="s">
        <v>31</v>
      </c>
    </row>
    <row r="46" spans="1:26" ht="15.75" customHeight="1">
      <c r="A46" s="42">
        <v>3</v>
      </c>
      <c r="B46" s="40" t="s">
        <v>2953</v>
      </c>
      <c r="C46" s="40" t="s">
        <v>59</v>
      </c>
      <c r="D46" s="40" t="s">
        <v>49</v>
      </c>
      <c r="E46" s="40" t="s">
        <v>50</v>
      </c>
      <c r="F46" s="43" t="s">
        <v>2954</v>
      </c>
      <c r="G46" s="40" t="s">
        <v>29</v>
      </c>
      <c r="H46" s="44">
        <v>200</v>
      </c>
      <c r="I46" s="41">
        <v>40</v>
      </c>
      <c r="J46" s="40" t="s">
        <v>30</v>
      </c>
      <c r="K46" s="40" t="s">
        <v>31</v>
      </c>
      <c r="M46" s="157">
        <v>180</v>
      </c>
    </row>
    <row r="47" spans="1:26" ht="15.75" customHeight="1">
      <c r="A47" s="42">
        <v>3</v>
      </c>
      <c r="B47" s="40" t="s">
        <v>2955</v>
      </c>
      <c r="C47" s="40" t="s">
        <v>25</v>
      </c>
      <c r="D47" s="40" t="s">
        <v>2956</v>
      </c>
      <c r="E47" s="40" t="s">
        <v>801</v>
      </c>
      <c r="F47" s="43" t="s">
        <v>2957</v>
      </c>
      <c r="G47" s="40" t="s">
        <v>1112</v>
      </c>
      <c r="H47" s="44">
        <v>650</v>
      </c>
      <c r="I47" s="41">
        <v>390</v>
      </c>
      <c r="J47" s="40" t="s">
        <v>30</v>
      </c>
      <c r="K47" s="40" t="s">
        <v>31</v>
      </c>
    </row>
    <row r="48" spans="1:26" ht="15.75" customHeight="1">
      <c r="A48" s="42">
        <v>3</v>
      </c>
      <c r="B48" s="40" t="s">
        <v>2958</v>
      </c>
      <c r="C48" s="40" t="s">
        <v>59</v>
      </c>
      <c r="D48" s="40" t="s">
        <v>26</v>
      </c>
      <c r="E48" s="40" t="s">
        <v>27</v>
      </c>
      <c r="F48" s="43" t="s">
        <v>2959</v>
      </c>
      <c r="G48" s="40" t="s">
        <v>1112</v>
      </c>
      <c r="H48" s="44">
        <v>200</v>
      </c>
      <c r="I48" s="41">
        <v>120</v>
      </c>
      <c r="J48" s="40" t="s">
        <v>30</v>
      </c>
      <c r="K48" s="40" t="s">
        <v>31</v>
      </c>
    </row>
    <row r="49" spans="1:17" ht="15.75" customHeight="1">
      <c r="A49" s="42">
        <v>3</v>
      </c>
      <c r="B49" s="40" t="s">
        <v>2960</v>
      </c>
      <c r="C49" s="40" t="s">
        <v>25</v>
      </c>
      <c r="D49" s="40" t="s">
        <v>910</v>
      </c>
      <c r="E49" s="40" t="s">
        <v>60</v>
      </c>
      <c r="F49" s="43" t="s">
        <v>2961</v>
      </c>
      <c r="G49" s="40" t="s">
        <v>29</v>
      </c>
      <c r="H49" s="44">
        <v>2000</v>
      </c>
      <c r="I49" s="41">
        <v>400</v>
      </c>
      <c r="J49" s="40" t="s">
        <v>30</v>
      </c>
      <c r="K49" s="40" t="s">
        <v>31</v>
      </c>
      <c r="M49" s="157">
        <v>400</v>
      </c>
      <c r="P49" s="157" t="s">
        <v>417</v>
      </c>
      <c r="Q49" s="45">
        <f>SUM(H43,H45:H46,H49:H50,H57:H59,H61:H65)</f>
        <v>8150</v>
      </c>
    </row>
    <row r="50" spans="1:17" ht="15.75" customHeight="1">
      <c r="A50" s="431">
        <v>3</v>
      </c>
      <c r="B50" s="432" t="s">
        <v>2962</v>
      </c>
      <c r="C50" s="432" t="s">
        <v>25</v>
      </c>
      <c r="D50" s="432" t="s">
        <v>63</v>
      </c>
      <c r="E50" s="432" t="s">
        <v>103</v>
      </c>
      <c r="F50" s="43" t="s">
        <v>2963</v>
      </c>
      <c r="G50" s="40" t="s">
        <v>29</v>
      </c>
      <c r="H50" s="44">
        <v>1000</v>
      </c>
      <c r="I50" s="41">
        <v>200</v>
      </c>
      <c r="J50" s="432" t="s">
        <v>30</v>
      </c>
      <c r="K50" s="40" t="s">
        <v>31</v>
      </c>
      <c r="M50" s="157">
        <v>200</v>
      </c>
      <c r="P50" s="157" t="s">
        <v>418</v>
      </c>
      <c r="Q50" s="45">
        <f>SUM(H52:H53)</f>
        <v>1000</v>
      </c>
    </row>
    <row r="51" spans="1:17" ht="15.75" customHeight="1">
      <c r="A51" s="431">
        <v>3</v>
      </c>
      <c r="B51" s="432" t="s">
        <v>2962</v>
      </c>
      <c r="C51" s="432" t="s">
        <v>25</v>
      </c>
      <c r="D51" s="432" t="s">
        <v>63</v>
      </c>
      <c r="E51" s="432" t="s">
        <v>103</v>
      </c>
      <c r="F51" s="40"/>
      <c r="G51" s="40" t="s">
        <v>1112</v>
      </c>
      <c r="H51" s="44">
        <v>200</v>
      </c>
      <c r="I51" s="41">
        <v>120</v>
      </c>
      <c r="J51" s="432" t="s">
        <v>30</v>
      </c>
      <c r="K51" s="40" t="s">
        <v>31</v>
      </c>
      <c r="P51" s="157" t="s">
        <v>2964</v>
      </c>
      <c r="Q51" s="157">
        <v>160</v>
      </c>
    </row>
    <row r="52" spans="1:17" ht="15.75" customHeight="1">
      <c r="A52" s="42">
        <v>3</v>
      </c>
      <c r="B52" s="40" t="s">
        <v>2965</v>
      </c>
      <c r="C52" s="40" t="s">
        <v>25</v>
      </c>
      <c r="D52" s="40"/>
      <c r="E52" s="40" t="s">
        <v>216</v>
      </c>
      <c r="F52" s="40"/>
      <c r="G52" s="40" t="s">
        <v>29</v>
      </c>
      <c r="H52" s="44">
        <v>500</v>
      </c>
      <c r="I52" s="41" t="s">
        <v>101</v>
      </c>
      <c r="J52" s="40" t="s">
        <v>30</v>
      </c>
      <c r="K52" s="40" t="s">
        <v>31</v>
      </c>
      <c r="P52" s="157" t="s">
        <v>420</v>
      </c>
      <c r="Q52" s="157">
        <v>20</v>
      </c>
    </row>
    <row r="53" spans="1:17" ht="15.75" customHeight="1">
      <c r="A53" s="42">
        <v>3</v>
      </c>
      <c r="B53" s="40" t="s">
        <v>2966</v>
      </c>
      <c r="C53" s="40" t="s">
        <v>25</v>
      </c>
      <c r="D53" s="40" t="s">
        <v>841</v>
      </c>
      <c r="E53" s="40" t="s">
        <v>533</v>
      </c>
      <c r="F53" s="40"/>
      <c r="G53" s="40" t="s">
        <v>29</v>
      </c>
      <c r="H53" s="44">
        <v>500</v>
      </c>
      <c r="I53" s="41" t="s">
        <v>101</v>
      </c>
      <c r="J53" s="40" t="s">
        <v>30</v>
      </c>
      <c r="K53" s="40" t="s">
        <v>31</v>
      </c>
      <c r="P53" s="157" t="s">
        <v>2313</v>
      </c>
      <c r="Q53" s="45">
        <f>SUM(H44,H47:H48,H51,H54,H56)</f>
        <v>3550</v>
      </c>
    </row>
    <row r="54" spans="1:17" ht="15.75" customHeight="1">
      <c r="A54" s="42">
        <v>4</v>
      </c>
      <c r="B54" s="40" t="s">
        <v>1923</v>
      </c>
      <c r="C54" s="40" t="s">
        <v>25</v>
      </c>
      <c r="D54" s="40" t="s">
        <v>328</v>
      </c>
      <c r="E54" s="40" t="s">
        <v>141</v>
      </c>
      <c r="F54" s="43" t="s">
        <v>1924</v>
      </c>
      <c r="G54" s="40" t="s">
        <v>1112</v>
      </c>
      <c r="H54" s="44">
        <v>500</v>
      </c>
      <c r="I54" s="41">
        <v>300</v>
      </c>
      <c r="J54" s="40" t="s">
        <v>30</v>
      </c>
      <c r="K54" s="40" t="s">
        <v>31</v>
      </c>
      <c r="Q54" s="45">
        <f>SUM(Q49:Q53)</f>
        <v>12880</v>
      </c>
    </row>
    <row r="55" spans="1:17" ht="15.75" customHeight="1">
      <c r="A55" s="42">
        <v>4</v>
      </c>
      <c r="B55" s="40" t="s">
        <v>2967</v>
      </c>
      <c r="C55" s="40" t="s">
        <v>25</v>
      </c>
      <c r="D55" s="40" t="s">
        <v>63</v>
      </c>
      <c r="E55" s="40" t="s">
        <v>38</v>
      </c>
      <c r="F55" s="40"/>
      <c r="G55" s="40" t="s">
        <v>1114</v>
      </c>
      <c r="H55" s="44">
        <v>20</v>
      </c>
      <c r="I55" s="41">
        <v>100</v>
      </c>
      <c r="J55" s="40" t="s">
        <v>30</v>
      </c>
      <c r="K55" s="40" t="s">
        <v>31</v>
      </c>
    </row>
    <row r="56" spans="1:17" ht="15.75" customHeight="1">
      <c r="A56" s="42">
        <v>4</v>
      </c>
      <c r="B56" s="40" t="s">
        <v>2968</v>
      </c>
      <c r="C56" s="40" t="s">
        <v>25</v>
      </c>
      <c r="D56" s="40" t="s">
        <v>1371</v>
      </c>
      <c r="E56" s="40" t="s">
        <v>96</v>
      </c>
      <c r="F56" s="43" t="s">
        <v>2969</v>
      </c>
      <c r="G56" s="40" t="s">
        <v>1112</v>
      </c>
      <c r="H56" s="44">
        <v>1000</v>
      </c>
      <c r="I56" s="41">
        <v>600</v>
      </c>
      <c r="J56" s="40" t="s">
        <v>30</v>
      </c>
      <c r="K56" s="40" t="s">
        <v>31</v>
      </c>
    </row>
    <row r="57" spans="1:17" ht="15.75" customHeight="1">
      <c r="A57" s="42">
        <v>4</v>
      </c>
      <c r="B57" s="40" t="s">
        <v>2970</v>
      </c>
      <c r="C57" s="40" t="s">
        <v>59</v>
      </c>
      <c r="D57" s="40" t="s">
        <v>55</v>
      </c>
      <c r="E57" s="40" t="s">
        <v>42</v>
      </c>
      <c r="F57" s="40"/>
      <c r="G57" s="40" t="s">
        <v>29</v>
      </c>
      <c r="H57" s="44">
        <v>200</v>
      </c>
      <c r="I57" s="41">
        <v>40</v>
      </c>
      <c r="J57" s="40" t="s">
        <v>30</v>
      </c>
      <c r="K57" s="40" t="s">
        <v>31</v>
      </c>
    </row>
    <row r="58" spans="1:17" ht="15.75" customHeight="1">
      <c r="A58" s="42">
        <v>4</v>
      </c>
      <c r="B58" s="40" t="s">
        <v>2971</v>
      </c>
      <c r="C58" s="40" t="s">
        <v>25</v>
      </c>
      <c r="D58" s="40" t="s">
        <v>947</v>
      </c>
      <c r="E58" s="40" t="s">
        <v>42</v>
      </c>
      <c r="F58" s="40"/>
      <c r="G58" s="40" t="s">
        <v>29</v>
      </c>
      <c r="H58" s="44">
        <v>200</v>
      </c>
      <c r="I58" s="41">
        <v>40</v>
      </c>
      <c r="J58" s="40" t="s">
        <v>30</v>
      </c>
      <c r="K58" s="40" t="s">
        <v>31</v>
      </c>
    </row>
    <row r="59" spans="1:17" ht="15.75" customHeight="1">
      <c r="A59" s="42">
        <v>4</v>
      </c>
      <c r="B59" s="40" t="s">
        <v>2972</v>
      </c>
      <c r="C59" s="40" t="s">
        <v>25</v>
      </c>
      <c r="D59" s="40" t="s">
        <v>1637</v>
      </c>
      <c r="E59" s="40" t="s">
        <v>141</v>
      </c>
      <c r="F59" s="40"/>
      <c r="G59" s="40" t="s">
        <v>29</v>
      </c>
      <c r="H59" s="44">
        <v>1500</v>
      </c>
      <c r="I59" s="41">
        <v>300</v>
      </c>
      <c r="J59" s="40" t="s">
        <v>30</v>
      </c>
      <c r="K59" s="40" t="s">
        <v>31</v>
      </c>
      <c r="M59" s="157">
        <v>300</v>
      </c>
    </row>
    <row r="60" spans="1:17" ht="15.75" customHeight="1">
      <c r="A60" s="284">
        <v>4</v>
      </c>
      <c r="B60" s="285" t="s">
        <v>2973</v>
      </c>
      <c r="C60" s="285" t="s">
        <v>25</v>
      </c>
      <c r="D60" s="285" t="s">
        <v>1911</v>
      </c>
      <c r="E60" s="285" t="s">
        <v>533</v>
      </c>
      <c r="F60" s="286" t="s">
        <v>1912</v>
      </c>
      <c r="G60" s="433" t="s">
        <v>2974</v>
      </c>
      <c r="H60" s="287">
        <v>160</v>
      </c>
      <c r="I60" s="288" t="s">
        <v>101</v>
      </c>
      <c r="J60" s="285"/>
      <c r="K60" s="285" t="s">
        <v>31</v>
      </c>
    </row>
    <row r="61" spans="1:17" ht="15.75" customHeight="1">
      <c r="A61" s="42">
        <v>7</v>
      </c>
      <c r="B61" s="40" t="s">
        <v>2975</v>
      </c>
      <c r="C61" s="40" t="s">
        <v>25</v>
      </c>
      <c r="D61" s="40" t="s">
        <v>63</v>
      </c>
      <c r="E61" s="40" t="s">
        <v>96</v>
      </c>
      <c r="F61" s="43" t="s">
        <v>2976</v>
      </c>
      <c r="G61" s="40" t="s">
        <v>29</v>
      </c>
      <c r="H61" s="44">
        <v>500</v>
      </c>
      <c r="I61" s="41">
        <v>100</v>
      </c>
      <c r="J61" s="40" t="s">
        <v>30</v>
      </c>
      <c r="K61" s="40" t="s">
        <v>31</v>
      </c>
      <c r="M61" s="157">
        <v>100</v>
      </c>
    </row>
    <row r="62" spans="1:17" ht="15.75" customHeight="1">
      <c r="A62" s="42">
        <v>7</v>
      </c>
      <c r="B62" s="40" t="s">
        <v>2977</v>
      </c>
      <c r="C62" s="40" t="s">
        <v>59</v>
      </c>
      <c r="D62" s="40" t="s">
        <v>2978</v>
      </c>
      <c r="E62" s="40" t="s">
        <v>50</v>
      </c>
      <c r="F62" s="43" t="s">
        <v>2979</v>
      </c>
      <c r="G62" s="40" t="s">
        <v>29</v>
      </c>
      <c r="H62" s="44">
        <v>300</v>
      </c>
      <c r="I62" s="41">
        <v>60</v>
      </c>
      <c r="J62" s="40" t="s">
        <v>30</v>
      </c>
      <c r="K62" s="40" t="s">
        <v>31</v>
      </c>
      <c r="M62" s="157">
        <v>80</v>
      </c>
    </row>
    <row r="63" spans="1:17" ht="15.75" customHeight="1">
      <c r="A63" s="42">
        <v>7</v>
      </c>
      <c r="B63" s="40" t="s">
        <v>2980</v>
      </c>
      <c r="C63" s="40" t="s">
        <v>25</v>
      </c>
      <c r="D63" s="40" t="s">
        <v>2981</v>
      </c>
      <c r="E63" s="40" t="s">
        <v>1197</v>
      </c>
      <c r="F63" s="43" t="s">
        <v>2982</v>
      </c>
      <c r="G63" s="40" t="s">
        <v>29</v>
      </c>
      <c r="H63" s="44">
        <v>350</v>
      </c>
      <c r="I63" s="41">
        <v>70</v>
      </c>
      <c r="J63" s="40" t="s">
        <v>30</v>
      </c>
      <c r="K63" s="40" t="s">
        <v>31</v>
      </c>
    </row>
    <row r="64" spans="1:17" ht="15.75" customHeight="1">
      <c r="A64" s="42">
        <v>7</v>
      </c>
      <c r="B64" s="40" t="s">
        <v>2983</v>
      </c>
      <c r="C64" s="40" t="s">
        <v>25</v>
      </c>
      <c r="D64" s="40" t="s">
        <v>2984</v>
      </c>
      <c r="E64" s="40" t="s">
        <v>258</v>
      </c>
      <c r="F64" s="43" t="s">
        <v>2985</v>
      </c>
      <c r="G64" s="40" t="s">
        <v>29</v>
      </c>
      <c r="H64" s="44">
        <v>300</v>
      </c>
      <c r="I64" s="41">
        <v>60</v>
      </c>
      <c r="J64" s="40" t="s">
        <v>30</v>
      </c>
      <c r="K64" s="40" t="s">
        <v>31</v>
      </c>
      <c r="M64" s="157">
        <v>70</v>
      </c>
    </row>
    <row r="65" spans="1:13" ht="15.75" customHeight="1">
      <c r="A65" s="47">
        <v>7</v>
      </c>
      <c r="B65" s="48" t="s">
        <v>2986</v>
      </c>
      <c r="C65" s="48" t="s">
        <v>25</v>
      </c>
      <c r="D65" s="48" t="s">
        <v>2090</v>
      </c>
      <c r="E65" s="48" t="s">
        <v>96</v>
      </c>
      <c r="F65" s="49" t="s">
        <v>2091</v>
      </c>
      <c r="G65" s="48" t="s">
        <v>29</v>
      </c>
      <c r="H65" s="50">
        <v>500</v>
      </c>
      <c r="I65" s="51">
        <v>100</v>
      </c>
      <c r="J65" s="48" t="s">
        <v>30</v>
      </c>
      <c r="K65" s="40" t="s">
        <v>31</v>
      </c>
      <c r="M65" s="157">
        <v>120</v>
      </c>
    </row>
    <row r="66" spans="1:13" ht="15.75" customHeight="1">
      <c r="A66" s="52">
        <v>8</v>
      </c>
      <c r="B66" s="53" t="s">
        <v>2987</v>
      </c>
      <c r="C66" s="53" t="s">
        <v>25</v>
      </c>
      <c r="D66" s="53" t="s">
        <v>26</v>
      </c>
      <c r="E66" s="53" t="s">
        <v>27</v>
      </c>
      <c r="F66" s="60" t="s">
        <v>2988</v>
      </c>
      <c r="G66" s="53" t="s">
        <v>29</v>
      </c>
      <c r="H66" s="54">
        <v>100</v>
      </c>
      <c r="I66" s="55">
        <v>20</v>
      </c>
      <c r="J66" s="53" t="s">
        <v>30</v>
      </c>
      <c r="K66" s="40" t="s">
        <v>31</v>
      </c>
      <c r="M66" s="157">
        <v>30</v>
      </c>
    </row>
    <row r="67" spans="1:13" ht="15.75" customHeight="1">
      <c r="A67" s="42">
        <v>8</v>
      </c>
      <c r="B67" s="40" t="s">
        <v>184</v>
      </c>
      <c r="C67" s="40" t="s">
        <v>25</v>
      </c>
      <c r="D67" s="40" t="s">
        <v>185</v>
      </c>
      <c r="E67" s="40" t="s">
        <v>42</v>
      </c>
      <c r="F67" s="43" t="s">
        <v>2989</v>
      </c>
      <c r="G67" s="40" t="s">
        <v>29</v>
      </c>
      <c r="H67" s="44">
        <v>500</v>
      </c>
      <c r="I67" s="41">
        <v>100</v>
      </c>
      <c r="J67" s="40" t="s">
        <v>30</v>
      </c>
      <c r="K67" s="40" t="s">
        <v>31</v>
      </c>
      <c r="M67" s="157">
        <v>100</v>
      </c>
    </row>
    <row r="68" spans="1:13" ht="15.75" customHeight="1">
      <c r="A68" s="42">
        <v>8</v>
      </c>
      <c r="B68" s="40" t="s">
        <v>2990</v>
      </c>
      <c r="C68" s="40" t="s">
        <v>25</v>
      </c>
      <c r="D68" s="40" t="s">
        <v>263</v>
      </c>
      <c r="E68" s="40" t="s">
        <v>42</v>
      </c>
      <c r="F68" s="40"/>
      <c r="G68" s="40" t="s">
        <v>1114</v>
      </c>
      <c r="H68" s="44">
        <v>20</v>
      </c>
      <c r="I68" s="41">
        <v>100</v>
      </c>
      <c r="J68" s="40" t="s">
        <v>30</v>
      </c>
      <c r="K68" s="40" t="s">
        <v>31</v>
      </c>
    </row>
    <row r="69" spans="1:13" ht="15.75" customHeight="1">
      <c r="A69" s="42">
        <v>8</v>
      </c>
      <c r="B69" s="40" t="s">
        <v>2991</v>
      </c>
      <c r="C69" s="40" t="s">
        <v>25</v>
      </c>
      <c r="D69" s="40" t="s">
        <v>1926</v>
      </c>
      <c r="E69" s="40" t="s">
        <v>2053</v>
      </c>
      <c r="F69" s="43" t="s">
        <v>2992</v>
      </c>
      <c r="G69" s="40" t="s">
        <v>29</v>
      </c>
      <c r="H69" s="44">
        <v>400</v>
      </c>
      <c r="I69" s="41">
        <v>80</v>
      </c>
      <c r="J69" s="40" t="s">
        <v>30</v>
      </c>
      <c r="K69" s="40" t="s">
        <v>31</v>
      </c>
      <c r="M69" s="157">
        <v>80</v>
      </c>
    </row>
    <row r="70" spans="1:13" ht="15.75" customHeight="1">
      <c r="A70" s="42">
        <v>8</v>
      </c>
      <c r="B70" s="40" t="s">
        <v>2991</v>
      </c>
      <c r="C70" s="40" t="s">
        <v>25</v>
      </c>
      <c r="D70" s="40" t="s">
        <v>1926</v>
      </c>
      <c r="E70" s="40" t="s">
        <v>2053</v>
      </c>
      <c r="F70" s="40"/>
      <c r="G70" s="40" t="s">
        <v>1114</v>
      </c>
      <c r="H70" s="44">
        <v>20</v>
      </c>
      <c r="I70" s="41">
        <v>100</v>
      </c>
      <c r="J70" s="40" t="s">
        <v>30</v>
      </c>
      <c r="K70" s="40" t="s">
        <v>31</v>
      </c>
    </row>
    <row r="71" spans="1:13" ht="15.75" customHeight="1">
      <c r="A71" s="42">
        <v>9</v>
      </c>
      <c r="B71" s="40" t="s">
        <v>2993</v>
      </c>
      <c r="C71" s="40" t="s">
        <v>59</v>
      </c>
      <c r="D71" s="40" t="s">
        <v>103</v>
      </c>
      <c r="E71" s="40" t="s">
        <v>141</v>
      </c>
      <c r="F71" s="40"/>
      <c r="G71" s="40" t="s">
        <v>29</v>
      </c>
      <c r="H71" s="44">
        <v>300</v>
      </c>
      <c r="I71" s="41">
        <v>60</v>
      </c>
      <c r="J71" s="40" t="s">
        <v>30</v>
      </c>
      <c r="K71" s="40" t="s">
        <v>31</v>
      </c>
    </row>
    <row r="72" spans="1:13" ht="15.75" customHeight="1">
      <c r="A72" s="42">
        <v>9</v>
      </c>
      <c r="B72" s="40" t="s">
        <v>2994</v>
      </c>
      <c r="C72" s="40" t="s">
        <v>25</v>
      </c>
      <c r="D72" s="40" t="s">
        <v>1854</v>
      </c>
      <c r="E72" s="40" t="s">
        <v>249</v>
      </c>
      <c r="F72" s="43" t="s">
        <v>2995</v>
      </c>
      <c r="G72" s="40" t="s">
        <v>29</v>
      </c>
      <c r="H72" s="44">
        <v>1000</v>
      </c>
      <c r="I72" s="41">
        <v>200</v>
      </c>
      <c r="J72" s="40" t="s">
        <v>30</v>
      </c>
      <c r="K72" s="40" t="s">
        <v>31</v>
      </c>
      <c r="M72" s="157">
        <v>150</v>
      </c>
    </row>
    <row r="73" spans="1:13" ht="15.75" customHeight="1">
      <c r="A73" s="42">
        <v>9</v>
      </c>
      <c r="B73" s="40" t="s">
        <v>2996</v>
      </c>
      <c r="C73" s="40" t="s">
        <v>25</v>
      </c>
      <c r="D73" s="40" t="s">
        <v>1704</v>
      </c>
      <c r="E73" s="40" t="s">
        <v>38</v>
      </c>
      <c r="F73" s="43" t="s">
        <v>2997</v>
      </c>
      <c r="G73" s="40" t="s">
        <v>29</v>
      </c>
      <c r="H73" s="44">
        <v>1000</v>
      </c>
      <c r="I73" s="41">
        <v>200</v>
      </c>
      <c r="J73" s="40" t="s">
        <v>30</v>
      </c>
      <c r="K73" s="40" t="s">
        <v>31</v>
      </c>
      <c r="M73" s="157">
        <v>800</v>
      </c>
    </row>
    <row r="74" spans="1:13" ht="15.75" customHeight="1">
      <c r="A74" s="42">
        <v>9</v>
      </c>
      <c r="B74" s="40" t="s">
        <v>2998</v>
      </c>
      <c r="C74" s="40" t="s">
        <v>59</v>
      </c>
      <c r="D74" s="40" t="s">
        <v>2529</v>
      </c>
      <c r="E74" s="40" t="s">
        <v>27</v>
      </c>
      <c r="F74" s="43" t="s">
        <v>2999</v>
      </c>
      <c r="G74" s="40" t="s">
        <v>29</v>
      </c>
      <c r="H74" s="44">
        <v>1000</v>
      </c>
      <c r="I74" s="41">
        <v>200</v>
      </c>
      <c r="J74" s="40" t="s">
        <v>30</v>
      </c>
      <c r="K74" s="40" t="s">
        <v>31</v>
      </c>
      <c r="M74" s="157">
        <v>200</v>
      </c>
    </row>
    <row r="75" spans="1:13" ht="15.75" customHeight="1">
      <c r="A75" s="42">
        <v>9</v>
      </c>
      <c r="B75" s="40" t="s">
        <v>1420</v>
      </c>
      <c r="C75" s="40" t="s">
        <v>25</v>
      </c>
      <c r="D75" s="40" t="s">
        <v>185</v>
      </c>
      <c r="E75" s="40" t="s">
        <v>42</v>
      </c>
      <c r="F75" s="43" t="s">
        <v>3000</v>
      </c>
      <c r="G75" s="40" t="s">
        <v>29</v>
      </c>
      <c r="H75" s="44">
        <v>300</v>
      </c>
      <c r="I75" s="41">
        <v>60</v>
      </c>
      <c r="J75" s="40" t="s">
        <v>30</v>
      </c>
      <c r="K75" s="40" t="s">
        <v>31</v>
      </c>
      <c r="M75" s="157">
        <v>80</v>
      </c>
    </row>
    <row r="76" spans="1:13" ht="15.75" customHeight="1">
      <c r="A76" s="42">
        <v>9</v>
      </c>
      <c r="B76" s="40" t="s">
        <v>3001</v>
      </c>
      <c r="C76" s="40" t="s">
        <v>25</v>
      </c>
      <c r="D76" s="40" t="s">
        <v>1704</v>
      </c>
      <c r="E76" s="40" t="s">
        <v>38</v>
      </c>
      <c r="F76" s="43" t="s">
        <v>3002</v>
      </c>
      <c r="G76" s="40" t="s">
        <v>29</v>
      </c>
      <c r="H76" s="44">
        <v>600</v>
      </c>
      <c r="I76" s="41">
        <v>120</v>
      </c>
      <c r="J76" s="40" t="s">
        <v>30</v>
      </c>
      <c r="K76" s="40" t="s">
        <v>31</v>
      </c>
      <c r="M76" s="157">
        <v>200</v>
      </c>
    </row>
    <row r="77" spans="1:13" ht="15.75" customHeight="1">
      <c r="A77" s="42">
        <v>9</v>
      </c>
      <c r="B77" s="40" t="s">
        <v>3003</v>
      </c>
      <c r="C77" s="40" t="s">
        <v>25</v>
      </c>
      <c r="D77" s="40" t="s">
        <v>2767</v>
      </c>
      <c r="E77" s="40" t="s">
        <v>50</v>
      </c>
      <c r="F77" s="43" t="s">
        <v>3004</v>
      </c>
      <c r="G77" s="40" t="s">
        <v>29</v>
      </c>
      <c r="H77" s="44">
        <v>500</v>
      </c>
      <c r="I77" s="41">
        <v>100</v>
      </c>
      <c r="J77" s="40" t="s">
        <v>30</v>
      </c>
      <c r="K77" s="40" t="s">
        <v>31</v>
      </c>
      <c r="M77" s="157">
        <v>100</v>
      </c>
    </row>
    <row r="78" spans="1:13" ht="15.75" customHeight="1">
      <c r="A78" s="42">
        <v>9</v>
      </c>
      <c r="B78" s="40" t="s">
        <v>3005</v>
      </c>
      <c r="C78" s="40" t="s">
        <v>59</v>
      </c>
      <c r="D78" s="40" t="s">
        <v>1262</v>
      </c>
      <c r="E78" s="40" t="s">
        <v>60</v>
      </c>
      <c r="F78" s="43" t="s">
        <v>3006</v>
      </c>
      <c r="G78" s="40" t="s">
        <v>29</v>
      </c>
      <c r="H78" s="44">
        <v>500</v>
      </c>
      <c r="I78" s="41">
        <v>100</v>
      </c>
      <c r="J78" s="40" t="s">
        <v>30</v>
      </c>
      <c r="K78" s="40" t="s">
        <v>31</v>
      </c>
      <c r="M78" s="157">
        <v>100</v>
      </c>
    </row>
    <row r="79" spans="1:13" ht="15.75" customHeight="1">
      <c r="A79" s="42">
        <v>9</v>
      </c>
      <c r="B79" s="40" t="s">
        <v>3007</v>
      </c>
      <c r="C79" s="40" t="s">
        <v>25</v>
      </c>
      <c r="D79" s="40" t="s">
        <v>33</v>
      </c>
      <c r="E79" s="40" t="s">
        <v>38</v>
      </c>
      <c r="F79" s="43" t="s">
        <v>3008</v>
      </c>
      <c r="G79" s="40" t="s">
        <v>29</v>
      </c>
      <c r="H79" s="44">
        <v>500</v>
      </c>
      <c r="I79" s="41">
        <v>100</v>
      </c>
      <c r="J79" s="40" t="s">
        <v>30</v>
      </c>
      <c r="K79" s="40" t="s">
        <v>31</v>
      </c>
      <c r="M79" s="157">
        <v>150</v>
      </c>
    </row>
    <row r="80" spans="1:13" ht="15.75" customHeight="1">
      <c r="A80" s="434">
        <v>9</v>
      </c>
      <c r="B80" s="435" t="s">
        <v>3009</v>
      </c>
      <c r="C80" s="48" t="s">
        <v>25</v>
      </c>
      <c r="D80" s="48" t="s">
        <v>1282</v>
      </c>
      <c r="E80" s="48" t="s">
        <v>38</v>
      </c>
      <c r="F80" s="49" t="s">
        <v>3010</v>
      </c>
      <c r="G80" s="48" t="s">
        <v>29</v>
      </c>
      <c r="H80" s="430">
        <v>500</v>
      </c>
      <c r="I80" s="51">
        <v>100</v>
      </c>
      <c r="J80" s="48" t="s">
        <v>30</v>
      </c>
      <c r="K80" s="40" t="s">
        <v>31</v>
      </c>
      <c r="M80" s="157">
        <v>80</v>
      </c>
    </row>
    <row r="81" spans="1:13" ht="15.75" customHeight="1">
      <c r="A81" s="436">
        <v>14</v>
      </c>
      <c r="B81" s="77" t="s">
        <v>3011</v>
      </c>
      <c r="C81" s="53" t="s">
        <v>25</v>
      </c>
      <c r="D81" s="53" t="s">
        <v>631</v>
      </c>
      <c r="E81" s="53" t="s">
        <v>60</v>
      </c>
      <c r="F81" s="53"/>
      <c r="G81" s="53" t="s">
        <v>29</v>
      </c>
      <c r="H81" s="437">
        <v>500</v>
      </c>
      <c r="I81" s="55">
        <v>100</v>
      </c>
      <c r="J81" s="53" t="s">
        <v>30</v>
      </c>
      <c r="K81" s="40" t="s">
        <v>31</v>
      </c>
    </row>
    <row r="82" spans="1:13" ht="15.75" customHeight="1">
      <c r="A82" s="438">
        <v>14</v>
      </c>
      <c r="B82" s="439" t="s">
        <v>3012</v>
      </c>
      <c r="C82" s="40" t="s">
        <v>59</v>
      </c>
      <c r="D82" s="40" t="s">
        <v>63</v>
      </c>
      <c r="E82" s="40" t="s">
        <v>103</v>
      </c>
      <c r="F82" s="43" t="s">
        <v>3013</v>
      </c>
      <c r="G82" s="40" t="s">
        <v>29</v>
      </c>
      <c r="H82" s="200">
        <v>800</v>
      </c>
      <c r="I82" s="41">
        <v>160</v>
      </c>
      <c r="J82" s="40" t="s">
        <v>30</v>
      </c>
      <c r="K82" s="40" t="s">
        <v>31</v>
      </c>
    </row>
    <row r="83" spans="1:13" ht="15.75" customHeight="1">
      <c r="A83" s="438">
        <v>14</v>
      </c>
      <c r="B83" s="439" t="s">
        <v>1457</v>
      </c>
      <c r="C83" s="40" t="s">
        <v>25</v>
      </c>
      <c r="D83" s="40" t="s">
        <v>627</v>
      </c>
      <c r="E83" s="40" t="s">
        <v>540</v>
      </c>
      <c r="F83" s="43" t="s">
        <v>1458</v>
      </c>
      <c r="G83" s="40" t="s">
        <v>29</v>
      </c>
      <c r="H83" s="200">
        <v>500</v>
      </c>
      <c r="I83" s="41">
        <v>100</v>
      </c>
      <c r="J83" s="40" t="s">
        <v>30</v>
      </c>
      <c r="K83" s="40" t="s">
        <v>31</v>
      </c>
    </row>
    <row r="84" spans="1:13" ht="15.75" customHeight="1">
      <c r="A84" s="438">
        <v>14</v>
      </c>
      <c r="B84" s="439" t="s">
        <v>3014</v>
      </c>
      <c r="C84" s="40" t="s">
        <v>25</v>
      </c>
      <c r="D84" s="40" t="s">
        <v>1165</v>
      </c>
      <c r="E84" s="40" t="s">
        <v>96</v>
      </c>
      <c r="F84" s="43" t="s">
        <v>3015</v>
      </c>
      <c r="G84" s="40" t="s">
        <v>29</v>
      </c>
      <c r="H84" s="200">
        <v>500</v>
      </c>
      <c r="I84" s="41">
        <v>100</v>
      </c>
      <c r="J84" s="40" t="s">
        <v>30</v>
      </c>
      <c r="K84" s="40" t="s">
        <v>31</v>
      </c>
    </row>
    <row r="85" spans="1:13" ht="15.75" customHeight="1">
      <c r="A85" s="438">
        <v>14</v>
      </c>
      <c r="B85" s="439" t="s">
        <v>3016</v>
      </c>
      <c r="C85" s="40" t="s">
        <v>25</v>
      </c>
      <c r="D85" s="40" t="s">
        <v>866</v>
      </c>
      <c r="E85" s="40" t="s">
        <v>27</v>
      </c>
      <c r="F85" s="43" t="s">
        <v>3017</v>
      </c>
      <c r="G85" s="40" t="s">
        <v>29</v>
      </c>
      <c r="H85" s="200">
        <v>500</v>
      </c>
      <c r="I85" s="41">
        <v>100</v>
      </c>
      <c r="J85" s="40" t="s">
        <v>30</v>
      </c>
      <c r="K85" s="40" t="s">
        <v>31</v>
      </c>
    </row>
    <row r="86" spans="1:13" ht="15.75" customHeight="1">
      <c r="A86" s="438">
        <v>14</v>
      </c>
      <c r="B86" s="439" t="s">
        <v>3018</v>
      </c>
      <c r="C86" s="40" t="s">
        <v>25</v>
      </c>
      <c r="D86" s="40" t="s">
        <v>206</v>
      </c>
      <c r="E86" s="40" t="s">
        <v>96</v>
      </c>
      <c r="F86" s="43" t="s">
        <v>3019</v>
      </c>
      <c r="G86" s="40" t="s">
        <v>29</v>
      </c>
      <c r="H86" s="200">
        <v>500</v>
      </c>
      <c r="I86" s="41">
        <v>100</v>
      </c>
      <c r="J86" s="40" t="s">
        <v>30</v>
      </c>
      <c r="K86" s="40" t="s">
        <v>31</v>
      </c>
    </row>
    <row r="87" spans="1:13" ht="15.75" customHeight="1">
      <c r="A87" s="438">
        <v>14</v>
      </c>
      <c r="B87" s="439" t="s">
        <v>3020</v>
      </c>
      <c r="C87" s="40" t="s">
        <v>25</v>
      </c>
      <c r="D87" s="40" t="s">
        <v>3021</v>
      </c>
      <c r="E87" s="40" t="s">
        <v>46</v>
      </c>
      <c r="F87" s="43" t="s">
        <v>3022</v>
      </c>
      <c r="G87" s="40" t="s">
        <v>29</v>
      </c>
      <c r="H87" s="200">
        <v>500</v>
      </c>
      <c r="I87" s="41">
        <v>100</v>
      </c>
      <c r="J87" s="40" t="s">
        <v>30</v>
      </c>
      <c r="K87" s="40" t="s">
        <v>31</v>
      </c>
    </row>
    <row r="88" spans="1:13" ht="15.75" customHeight="1">
      <c r="A88" s="438">
        <v>14</v>
      </c>
      <c r="B88" s="439" t="s">
        <v>1402</v>
      </c>
      <c r="C88" s="40" t="s">
        <v>25</v>
      </c>
      <c r="D88" s="40" t="s">
        <v>1403</v>
      </c>
      <c r="E88" s="40" t="s">
        <v>46</v>
      </c>
      <c r="F88" s="40"/>
      <c r="G88" s="40" t="s">
        <v>29</v>
      </c>
      <c r="H88" s="200">
        <v>4200</v>
      </c>
      <c r="I88" s="41">
        <v>840</v>
      </c>
      <c r="J88" s="40" t="s">
        <v>30</v>
      </c>
      <c r="K88" s="40" t="s">
        <v>31</v>
      </c>
      <c r="M88" s="157">
        <v>150</v>
      </c>
    </row>
    <row r="89" spans="1:13" ht="15.75" customHeight="1">
      <c r="A89" s="438">
        <v>14</v>
      </c>
      <c r="B89" s="439" t="s">
        <v>3023</v>
      </c>
      <c r="C89" s="40" t="s">
        <v>25</v>
      </c>
      <c r="D89" s="40" t="s">
        <v>1287</v>
      </c>
      <c r="E89" s="40" t="s">
        <v>42</v>
      </c>
      <c r="F89" s="40"/>
      <c r="G89" s="40" t="s">
        <v>29</v>
      </c>
      <c r="H89" s="200">
        <v>500</v>
      </c>
      <c r="I89" s="41">
        <v>100</v>
      </c>
      <c r="J89" s="40" t="s">
        <v>30</v>
      </c>
      <c r="K89" s="40" t="s">
        <v>31</v>
      </c>
      <c r="M89" s="157">
        <v>100</v>
      </c>
    </row>
    <row r="90" spans="1:13" ht="15.75" customHeight="1">
      <c r="A90" s="438">
        <v>14</v>
      </c>
      <c r="B90" s="439" t="s">
        <v>1181</v>
      </c>
      <c r="C90" s="40" t="s">
        <v>25</v>
      </c>
      <c r="D90" s="40" t="s">
        <v>2436</v>
      </c>
      <c r="E90" s="40" t="s">
        <v>50</v>
      </c>
      <c r="F90" s="43" t="s">
        <v>1183</v>
      </c>
      <c r="G90" s="40" t="s">
        <v>29</v>
      </c>
      <c r="H90" s="200">
        <v>500</v>
      </c>
      <c r="I90" s="41">
        <v>100</v>
      </c>
      <c r="J90" s="40" t="s">
        <v>30</v>
      </c>
      <c r="K90" s="40" t="s">
        <v>31</v>
      </c>
      <c r="M90" s="157">
        <v>500</v>
      </c>
    </row>
    <row r="91" spans="1:13" ht="15.75" customHeight="1">
      <c r="A91" s="438">
        <v>14</v>
      </c>
      <c r="B91" s="439" t="s">
        <v>3024</v>
      </c>
      <c r="C91" s="40" t="s">
        <v>25</v>
      </c>
      <c r="D91" s="40" t="s">
        <v>63</v>
      </c>
      <c r="E91" s="40" t="s">
        <v>46</v>
      </c>
      <c r="F91" s="43" t="s">
        <v>3025</v>
      </c>
      <c r="G91" s="40" t="s">
        <v>29</v>
      </c>
      <c r="H91" s="200">
        <v>500</v>
      </c>
      <c r="I91" s="41">
        <v>100</v>
      </c>
      <c r="J91" s="40" t="s">
        <v>30</v>
      </c>
      <c r="K91" s="40" t="s">
        <v>31</v>
      </c>
    </row>
    <row r="92" spans="1:13" ht="15.75" customHeight="1">
      <c r="A92" s="438">
        <v>14</v>
      </c>
      <c r="B92" s="439" t="s">
        <v>3026</v>
      </c>
      <c r="C92" s="40" t="s">
        <v>25</v>
      </c>
      <c r="D92" s="40" t="s">
        <v>2659</v>
      </c>
      <c r="E92" s="40" t="s">
        <v>50</v>
      </c>
      <c r="F92" s="43" t="s">
        <v>3027</v>
      </c>
      <c r="G92" s="40" t="s">
        <v>29</v>
      </c>
      <c r="H92" s="200">
        <v>500</v>
      </c>
      <c r="I92" s="41">
        <v>100</v>
      </c>
      <c r="J92" s="40" t="s">
        <v>30</v>
      </c>
      <c r="K92" s="40" t="s">
        <v>31</v>
      </c>
    </row>
    <row r="93" spans="1:13" ht="15.75" customHeight="1">
      <c r="A93" s="438">
        <v>14</v>
      </c>
      <c r="B93" s="439" t="s">
        <v>3028</v>
      </c>
      <c r="C93" s="40" t="s">
        <v>25</v>
      </c>
      <c r="D93" s="40" t="s">
        <v>843</v>
      </c>
      <c r="E93" s="40" t="s">
        <v>50</v>
      </c>
      <c r="F93" s="43" t="s">
        <v>3029</v>
      </c>
      <c r="G93" s="40" t="s">
        <v>29</v>
      </c>
      <c r="H93" s="200">
        <v>500</v>
      </c>
      <c r="I93" s="41">
        <v>100</v>
      </c>
      <c r="J93" s="40" t="s">
        <v>30</v>
      </c>
      <c r="K93" s="40" t="s">
        <v>31</v>
      </c>
    </row>
    <row r="94" spans="1:13" ht="15.75" customHeight="1">
      <c r="A94" s="438">
        <v>14</v>
      </c>
      <c r="B94" s="439" t="s">
        <v>3030</v>
      </c>
      <c r="C94" s="40" t="s">
        <v>25</v>
      </c>
      <c r="D94" s="40" t="s">
        <v>866</v>
      </c>
      <c r="E94" s="40" t="s">
        <v>27</v>
      </c>
      <c r="F94" s="43" t="s">
        <v>3031</v>
      </c>
      <c r="G94" s="40" t="s">
        <v>29</v>
      </c>
      <c r="H94" s="200">
        <v>500</v>
      </c>
      <c r="I94" s="41">
        <v>100</v>
      </c>
      <c r="J94" s="40" t="s">
        <v>30</v>
      </c>
      <c r="K94" s="40" t="s">
        <v>31</v>
      </c>
      <c r="M94" s="157">
        <v>200</v>
      </c>
    </row>
    <row r="95" spans="1:13" ht="15.75" customHeight="1">
      <c r="A95" s="438">
        <v>14</v>
      </c>
      <c r="B95" s="439" t="s">
        <v>3032</v>
      </c>
      <c r="C95" s="40" t="s">
        <v>25</v>
      </c>
      <c r="D95" s="40" t="s">
        <v>3033</v>
      </c>
      <c r="E95" s="40" t="s">
        <v>141</v>
      </c>
      <c r="F95" s="43" t="s">
        <v>3034</v>
      </c>
      <c r="G95" s="40" t="s">
        <v>29</v>
      </c>
      <c r="H95" s="200">
        <v>500</v>
      </c>
      <c r="I95" s="41">
        <v>100</v>
      </c>
      <c r="J95" s="40" t="s">
        <v>30</v>
      </c>
      <c r="K95" s="40" t="s">
        <v>31</v>
      </c>
      <c r="M95" s="157">
        <v>200</v>
      </c>
    </row>
    <row r="96" spans="1:13" ht="15.75" customHeight="1">
      <c r="A96" s="438">
        <v>14</v>
      </c>
      <c r="B96" s="439" t="s">
        <v>3035</v>
      </c>
      <c r="C96" s="40" t="s">
        <v>59</v>
      </c>
      <c r="D96" s="40" t="s">
        <v>1371</v>
      </c>
      <c r="E96" s="40" t="s">
        <v>96</v>
      </c>
      <c r="F96" s="43" t="s">
        <v>2424</v>
      </c>
      <c r="G96" s="40" t="s">
        <v>29</v>
      </c>
      <c r="H96" s="200">
        <v>100</v>
      </c>
      <c r="I96" s="41">
        <v>20</v>
      </c>
      <c r="J96" s="40" t="s">
        <v>30</v>
      </c>
      <c r="K96" s="40" t="s">
        <v>31</v>
      </c>
      <c r="M96" s="157">
        <v>20</v>
      </c>
    </row>
    <row r="97" spans="1:13" ht="15.75" customHeight="1">
      <c r="A97" s="438">
        <v>14</v>
      </c>
      <c r="B97" s="439" t="s">
        <v>2465</v>
      </c>
      <c r="C97" s="40" t="s">
        <v>25</v>
      </c>
      <c r="D97" s="40" t="s">
        <v>86</v>
      </c>
      <c r="E97" s="40" t="s">
        <v>42</v>
      </c>
      <c r="F97" s="43" t="s">
        <v>3036</v>
      </c>
      <c r="G97" s="40" t="s">
        <v>29</v>
      </c>
      <c r="H97" s="200">
        <v>3000</v>
      </c>
      <c r="I97" s="41">
        <v>600</v>
      </c>
      <c r="J97" s="40" t="s">
        <v>30</v>
      </c>
      <c r="K97" s="40" t="s">
        <v>31</v>
      </c>
    </row>
    <row r="98" spans="1:13" ht="15.75" customHeight="1">
      <c r="A98" s="438">
        <v>14</v>
      </c>
      <c r="B98" s="439" t="s">
        <v>3037</v>
      </c>
      <c r="C98" s="40" t="s">
        <v>25</v>
      </c>
      <c r="D98" s="40" t="s">
        <v>947</v>
      </c>
      <c r="E98" s="40" t="s">
        <v>42</v>
      </c>
      <c r="F98" s="40"/>
      <c r="G98" s="40" t="s">
        <v>29</v>
      </c>
      <c r="H98" s="200">
        <v>500</v>
      </c>
      <c r="I98" s="41">
        <v>100</v>
      </c>
      <c r="J98" s="40" t="s">
        <v>30</v>
      </c>
      <c r="K98" s="40" t="s">
        <v>31</v>
      </c>
    </row>
    <row r="99" spans="1:13" ht="15.75" customHeight="1">
      <c r="A99" s="438">
        <v>14</v>
      </c>
      <c r="B99" s="439" t="s">
        <v>3038</v>
      </c>
      <c r="C99" s="40" t="s">
        <v>25</v>
      </c>
      <c r="D99" s="40" t="s">
        <v>3039</v>
      </c>
      <c r="E99" s="40" t="s">
        <v>333</v>
      </c>
      <c r="F99" s="43" t="s">
        <v>3040</v>
      </c>
      <c r="G99" s="40" t="s">
        <v>29</v>
      </c>
      <c r="H99" s="200">
        <v>500</v>
      </c>
      <c r="I99" s="41">
        <v>100</v>
      </c>
      <c r="J99" s="40" t="s">
        <v>30</v>
      </c>
      <c r="K99" s="40" t="s">
        <v>31</v>
      </c>
    </row>
    <row r="100" spans="1:13" ht="15.75" customHeight="1">
      <c r="A100" s="438">
        <v>14</v>
      </c>
      <c r="B100" s="439" t="s">
        <v>3041</v>
      </c>
      <c r="C100" s="40" t="s">
        <v>59</v>
      </c>
      <c r="D100" s="40" t="s">
        <v>141</v>
      </c>
      <c r="E100" s="40" t="s">
        <v>27</v>
      </c>
      <c r="F100" s="43" t="s">
        <v>3042</v>
      </c>
      <c r="G100" s="40" t="s">
        <v>29</v>
      </c>
      <c r="H100" s="200">
        <v>100</v>
      </c>
      <c r="I100" s="41">
        <v>20</v>
      </c>
      <c r="J100" s="40" t="s">
        <v>30</v>
      </c>
      <c r="K100" s="40" t="s">
        <v>31</v>
      </c>
    </row>
    <row r="101" spans="1:13" ht="15.75" customHeight="1">
      <c r="A101" s="438">
        <v>14</v>
      </c>
      <c r="B101" s="439" t="s">
        <v>3043</v>
      </c>
      <c r="C101" s="40" t="s">
        <v>59</v>
      </c>
      <c r="D101" s="40" t="s">
        <v>1631</v>
      </c>
      <c r="E101" s="40" t="s">
        <v>216</v>
      </c>
      <c r="F101" s="43" t="s">
        <v>3044</v>
      </c>
      <c r="G101" s="40" t="s">
        <v>29</v>
      </c>
      <c r="H101" s="200">
        <v>200</v>
      </c>
      <c r="I101" s="41">
        <v>40</v>
      </c>
      <c r="J101" s="40" t="s">
        <v>30</v>
      </c>
      <c r="K101" s="40" t="s">
        <v>31</v>
      </c>
    </row>
    <row r="102" spans="1:13" ht="15.75" customHeight="1">
      <c r="A102" s="438">
        <v>14</v>
      </c>
      <c r="B102" s="439" t="s">
        <v>3045</v>
      </c>
      <c r="C102" s="40" t="s">
        <v>25</v>
      </c>
      <c r="D102" s="40" t="s">
        <v>3046</v>
      </c>
      <c r="E102" s="40" t="s">
        <v>141</v>
      </c>
      <c r="F102" s="43" t="s">
        <v>3047</v>
      </c>
      <c r="G102" s="40" t="s">
        <v>29</v>
      </c>
      <c r="H102" s="200">
        <v>2000</v>
      </c>
      <c r="I102" s="41" t="s">
        <v>101</v>
      </c>
      <c r="J102" s="40" t="s">
        <v>30</v>
      </c>
      <c r="K102" s="40" t="s">
        <v>31</v>
      </c>
      <c r="M102" s="157">
        <v>1000</v>
      </c>
    </row>
    <row r="103" spans="1:13" ht="15.75" customHeight="1">
      <c r="A103" s="434">
        <v>14</v>
      </c>
      <c r="B103" s="435" t="s">
        <v>3048</v>
      </c>
      <c r="C103" s="48" t="s">
        <v>25</v>
      </c>
      <c r="D103" s="48" t="s">
        <v>63</v>
      </c>
      <c r="E103" s="48" t="s">
        <v>394</v>
      </c>
      <c r="F103" s="49" t="s">
        <v>3049</v>
      </c>
      <c r="G103" s="48" t="s">
        <v>29</v>
      </c>
      <c r="H103" s="430">
        <v>2000</v>
      </c>
      <c r="I103" s="51" t="s">
        <v>101</v>
      </c>
      <c r="J103" s="48" t="s">
        <v>30</v>
      </c>
      <c r="K103" s="48" t="s">
        <v>31</v>
      </c>
      <c r="M103" s="157">
        <v>5000</v>
      </c>
    </row>
    <row r="104" spans="1:13" ht="15.75" customHeight="1">
      <c r="A104" s="436">
        <v>15</v>
      </c>
      <c r="B104" s="77" t="s">
        <v>3050</v>
      </c>
      <c r="C104" s="53" t="s">
        <v>25</v>
      </c>
      <c r="D104" s="53" t="s">
        <v>1262</v>
      </c>
      <c r="E104" s="53" t="s">
        <v>60</v>
      </c>
      <c r="F104" s="60" t="s">
        <v>3051</v>
      </c>
      <c r="G104" s="267" t="s">
        <v>29</v>
      </c>
      <c r="H104" s="440">
        <v>500</v>
      </c>
      <c r="I104" s="270">
        <v>100</v>
      </c>
      <c r="J104" s="53" t="s">
        <v>30</v>
      </c>
      <c r="K104" s="53" t="s">
        <v>31</v>
      </c>
    </row>
    <row r="105" spans="1:13" ht="15.75" customHeight="1">
      <c r="A105" s="441">
        <v>15</v>
      </c>
      <c r="B105" s="442" t="s">
        <v>3052</v>
      </c>
      <c r="C105" s="85" t="s">
        <v>25</v>
      </c>
      <c r="D105" s="85" t="s">
        <v>99</v>
      </c>
      <c r="E105" s="85" t="s">
        <v>42</v>
      </c>
      <c r="F105" s="443" t="s">
        <v>638</v>
      </c>
      <c r="G105" s="346" t="s">
        <v>29</v>
      </c>
      <c r="H105" s="444">
        <v>500</v>
      </c>
      <c r="I105" s="349">
        <v>100</v>
      </c>
      <c r="J105" s="85" t="s">
        <v>30</v>
      </c>
      <c r="K105" s="40" t="s">
        <v>31</v>
      </c>
    </row>
    <row r="106" spans="1:13" ht="15.75" customHeight="1">
      <c r="A106" s="441">
        <v>15</v>
      </c>
      <c r="B106" s="442" t="s">
        <v>3053</v>
      </c>
      <c r="C106" s="85" t="s">
        <v>59</v>
      </c>
      <c r="D106" s="85" t="s">
        <v>3054</v>
      </c>
      <c r="E106" s="85" t="s">
        <v>27</v>
      </c>
      <c r="F106" s="443" t="s">
        <v>638</v>
      </c>
      <c r="G106" s="346" t="s">
        <v>29</v>
      </c>
      <c r="H106" s="444">
        <v>1000</v>
      </c>
      <c r="I106" s="349">
        <v>200</v>
      </c>
      <c r="J106" s="85" t="s">
        <v>30</v>
      </c>
      <c r="K106" s="40" t="s">
        <v>31</v>
      </c>
    </row>
    <row r="107" spans="1:13" ht="15.75" customHeight="1">
      <c r="A107" s="441">
        <v>15</v>
      </c>
      <c r="B107" s="442" t="s">
        <v>3055</v>
      </c>
      <c r="C107" s="85" t="s">
        <v>25</v>
      </c>
      <c r="D107" s="85" t="s">
        <v>3056</v>
      </c>
      <c r="E107" s="85" t="s">
        <v>130</v>
      </c>
      <c r="F107" s="443" t="s">
        <v>3057</v>
      </c>
      <c r="G107" s="346" t="s">
        <v>29</v>
      </c>
      <c r="H107" s="444">
        <v>500</v>
      </c>
      <c r="I107" s="349">
        <v>100</v>
      </c>
      <c r="J107" s="85" t="s">
        <v>30</v>
      </c>
      <c r="K107" s="40" t="s">
        <v>31</v>
      </c>
    </row>
    <row r="108" spans="1:13" ht="15.75" customHeight="1">
      <c r="A108" s="441">
        <v>15</v>
      </c>
      <c r="B108" s="442" t="s">
        <v>3058</v>
      </c>
      <c r="C108" s="85" t="s">
        <v>25</v>
      </c>
      <c r="D108" s="85" t="s">
        <v>89</v>
      </c>
      <c r="E108" s="85" t="s">
        <v>38</v>
      </c>
      <c r="F108" s="443" t="s">
        <v>638</v>
      </c>
      <c r="G108" s="346" t="s">
        <v>29</v>
      </c>
      <c r="H108" s="444">
        <v>200</v>
      </c>
      <c r="I108" s="349">
        <v>40</v>
      </c>
      <c r="J108" s="85" t="s">
        <v>30</v>
      </c>
      <c r="K108" s="40" t="s">
        <v>31</v>
      </c>
    </row>
    <row r="109" spans="1:13" ht="15.75" customHeight="1">
      <c r="A109" s="441">
        <v>15</v>
      </c>
      <c r="B109" s="442" t="s">
        <v>3059</v>
      </c>
      <c r="C109" s="85" t="s">
        <v>25</v>
      </c>
      <c r="D109" s="85" t="s">
        <v>303</v>
      </c>
      <c r="E109" s="85" t="s">
        <v>96</v>
      </c>
      <c r="F109" s="443" t="s">
        <v>3060</v>
      </c>
      <c r="G109" s="346" t="s">
        <v>29</v>
      </c>
      <c r="H109" s="444">
        <v>3000</v>
      </c>
      <c r="I109" s="349">
        <v>600</v>
      </c>
      <c r="J109" s="85" t="s">
        <v>30</v>
      </c>
      <c r="K109" s="40" t="s">
        <v>31</v>
      </c>
    </row>
    <row r="110" spans="1:13" ht="15.75" customHeight="1">
      <c r="A110" s="441">
        <v>15</v>
      </c>
      <c r="B110" s="442" t="s">
        <v>3061</v>
      </c>
      <c r="C110" s="85" t="s">
        <v>25</v>
      </c>
      <c r="D110" s="85" t="s">
        <v>655</v>
      </c>
      <c r="E110" s="85" t="s">
        <v>42</v>
      </c>
      <c r="F110" s="443" t="s">
        <v>3062</v>
      </c>
      <c r="G110" s="346" t="s">
        <v>29</v>
      </c>
      <c r="H110" s="444">
        <v>300</v>
      </c>
      <c r="I110" s="349">
        <v>60</v>
      </c>
      <c r="J110" s="85" t="s">
        <v>30</v>
      </c>
      <c r="K110" s="40" t="s">
        <v>31</v>
      </c>
    </row>
    <row r="111" spans="1:13" ht="15.75" customHeight="1">
      <c r="A111" s="441">
        <v>15</v>
      </c>
      <c r="B111" s="442" t="s">
        <v>3063</v>
      </c>
      <c r="C111" s="85" t="s">
        <v>25</v>
      </c>
      <c r="D111" s="85" t="s">
        <v>169</v>
      </c>
      <c r="E111" s="85" t="s">
        <v>78</v>
      </c>
      <c r="F111" s="443" t="s">
        <v>3064</v>
      </c>
      <c r="G111" s="346" t="s">
        <v>29</v>
      </c>
      <c r="H111" s="444">
        <v>1500</v>
      </c>
      <c r="I111" s="349">
        <v>300</v>
      </c>
      <c r="J111" s="85" t="s">
        <v>30</v>
      </c>
      <c r="K111" s="40" t="s">
        <v>31</v>
      </c>
    </row>
    <row r="112" spans="1:13" ht="15.75" customHeight="1">
      <c r="A112" s="441">
        <v>15</v>
      </c>
      <c r="B112" s="442" t="s">
        <v>3065</v>
      </c>
      <c r="C112" s="85" t="s">
        <v>25</v>
      </c>
      <c r="D112" s="85" t="s">
        <v>593</v>
      </c>
      <c r="E112" s="85" t="s">
        <v>96</v>
      </c>
      <c r="F112" s="443" t="s">
        <v>3066</v>
      </c>
      <c r="G112" s="346" t="s">
        <v>29</v>
      </c>
      <c r="H112" s="444">
        <v>3000</v>
      </c>
      <c r="I112" s="349">
        <v>600</v>
      </c>
      <c r="J112" s="85" t="s">
        <v>30</v>
      </c>
      <c r="K112" s="40" t="s">
        <v>31</v>
      </c>
    </row>
    <row r="113" spans="1:17" ht="15.75" customHeight="1">
      <c r="A113" s="441">
        <v>15</v>
      </c>
      <c r="B113" s="442" t="s">
        <v>2390</v>
      </c>
      <c r="C113" s="85" t="s">
        <v>25</v>
      </c>
      <c r="D113" s="85" t="s">
        <v>86</v>
      </c>
      <c r="E113" s="85" t="s">
        <v>42</v>
      </c>
      <c r="F113" s="443" t="s">
        <v>3067</v>
      </c>
      <c r="G113" s="346" t="s">
        <v>29</v>
      </c>
      <c r="H113" s="444">
        <v>3000</v>
      </c>
      <c r="I113" s="349">
        <v>600</v>
      </c>
      <c r="J113" s="85" t="s">
        <v>30</v>
      </c>
      <c r="K113" s="40" t="s">
        <v>31</v>
      </c>
    </row>
    <row r="114" spans="1:17" ht="15.75" customHeight="1">
      <c r="A114" s="441">
        <v>15</v>
      </c>
      <c r="B114" s="442" t="s">
        <v>3068</v>
      </c>
      <c r="C114" s="85" t="s">
        <v>25</v>
      </c>
      <c r="D114" s="85" t="s">
        <v>144</v>
      </c>
      <c r="E114" s="85" t="s">
        <v>50</v>
      </c>
      <c r="F114" s="443" t="s">
        <v>3069</v>
      </c>
      <c r="G114" s="346" t="s">
        <v>29</v>
      </c>
      <c r="H114" s="444">
        <v>6000</v>
      </c>
      <c r="I114" s="349">
        <v>1200</v>
      </c>
      <c r="J114" s="85" t="s">
        <v>30</v>
      </c>
      <c r="K114" s="40" t="s">
        <v>31</v>
      </c>
    </row>
    <row r="115" spans="1:17" ht="15.75" customHeight="1">
      <c r="A115" s="441">
        <v>15</v>
      </c>
      <c r="B115" s="442" t="s">
        <v>3070</v>
      </c>
      <c r="C115" s="85" t="s">
        <v>25</v>
      </c>
      <c r="D115" s="85" t="s">
        <v>598</v>
      </c>
      <c r="E115" s="85" t="s">
        <v>27</v>
      </c>
      <c r="F115" s="443" t="s">
        <v>3071</v>
      </c>
      <c r="G115" s="346" t="s">
        <v>29</v>
      </c>
      <c r="H115" s="444">
        <v>500</v>
      </c>
      <c r="I115" s="349">
        <v>100</v>
      </c>
      <c r="J115" s="85" t="s">
        <v>30</v>
      </c>
      <c r="K115" s="40" t="s">
        <v>31</v>
      </c>
      <c r="O115" s="65">
        <f>SUM(H122:H123,H136,H141,H154)</f>
        <v>4100</v>
      </c>
    </row>
    <row r="116" spans="1:17" ht="15.75" customHeight="1">
      <c r="A116" s="441">
        <v>15</v>
      </c>
      <c r="B116" s="442" t="s">
        <v>3072</v>
      </c>
      <c r="C116" s="85" t="s">
        <v>25</v>
      </c>
      <c r="D116" s="85" t="s">
        <v>89</v>
      </c>
      <c r="E116" s="85" t="s">
        <v>46</v>
      </c>
      <c r="F116" s="443" t="s">
        <v>638</v>
      </c>
      <c r="G116" s="346" t="s">
        <v>29</v>
      </c>
      <c r="H116" s="444">
        <v>1000</v>
      </c>
      <c r="I116" s="349">
        <v>200</v>
      </c>
      <c r="J116" s="85" t="s">
        <v>30</v>
      </c>
      <c r="K116" s="40" t="s">
        <v>31</v>
      </c>
      <c r="O116" s="157">
        <v>52500</v>
      </c>
      <c r="Q116" s="65">
        <f>SUM(H104:H120,H124:H135,H137:H140,H142:H153,H155:H207)</f>
        <v>238050</v>
      </c>
    </row>
    <row r="117" spans="1:17" ht="15.75" customHeight="1">
      <c r="A117" s="441">
        <v>15</v>
      </c>
      <c r="B117" s="442" t="s">
        <v>1942</v>
      </c>
      <c r="C117" s="85" t="s">
        <v>59</v>
      </c>
      <c r="D117" s="85" t="s">
        <v>2844</v>
      </c>
      <c r="E117" s="85" t="s">
        <v>27</v>
      </c>
      <c r="F117" s="443" t="s">
        <v>3073</v>
      </c>
      <c r="G117" s="346" t="s">
        <v>29</v>
      </c>
      <c r="H117" s="444">
        <v>300</v>
      </c>
      <c r="I117" s="349">
        <v>60</v>
      </c>
      <c r="J117" s="85" t="s">
        <v>30</v>
      </c>
      <c r="K117" s="40" t="s">
        <v>31</v>
      </c>
      <c r="O117" s="65">
        <f>SUM(O115:O116)</f>
        <v>56600</v>
      </c>
    </row>
    <row r="118" spans="1:17" ht="15.75" customHeight="1">
      <c r="A118" s="441">
        <v>15</v>
      </c>
      <c r="B118" s="442" t="s">
        <v>3074</v>
      </c>
      <c r="C118" s="85" t="s">
        <v>25</v>
      </c>
      <c r="D118" s="85" t="s">
        <v>55</v>
      </c>
      <c r="E118" s="85" t="s">
        <v>56</v>
      </c>
      <c r="F118" s="443" t="s">
        <v>3075</v>
      </c>
      <c r="G118" s="346" t="s">
        <v>29</v>
      </c>
      <c r="H118" s="444">
        <v>1000</v>
      </c>
      <c r="I118" s="349">
        <v>200</v>
      </c>
      <c r="J118" s="85" t="s">
        <v>30</v>
      </c>
      <c r="K118" s="40" t="s">
        <v>31</v>
      </c>
    </row>
    <row r="119" spans="1:17" ht="15.75" customHeight="1">
      <c r="A119" s="441">
        <v>15</v>
      </c>
      <c r="B119" s="442" t="s">
        <v>3076</v>
      </c>
      <c r="C119" s="85" t="s">
        <v>25</v>
      </c>
      <c r="D119" s="85" t="s">
        <v>3077</v>
      </c>
      <c r="E119" s="85" t="s">
        <v>78</v>
      </c>
      <c r="F119" s="443" t="s">
        <v>2197</v>
      </c>
      <c r="G119" s="346" t="s">
        <v>29</v>
      </c>
      <c r="H119" s="444">
        <v>200</v>
      </c>
      <c r="I119" s="349">
        <v>40</v>
      </c>
      <c r="J119" s="85" t="s">
        <v>30</v>
      </c>
      <c r="K119" s="40" t="s">
        <v>31</v>
      </c>
    </row>
    <row r="120" spans="1:17" ht="15.75" customHeight="1">
      <c r="A120" s="441">
        <v>15</v>
      </c>
      <c r="B120" s="442" t="s">
        <v>3078</v>
      </c>
      <c r="C120" s="85" t="s">
        <v>25</v>
      </c>
      <c r="D120" s="85" t="s">
        <v>688</v>
      </c>
      <c r="E120" s="85" t="s">
        <v>141</v>
      </c>
      <c r="F120" s="443" t="s">
        <v>3079</v>
      </c>
      <c r="G120" s="346" t="s">
        <v>29</v>
      </c>
      <c r="H120" s="444">
        <v>500</v>
      </c>
      <c r="I120" s="349">
        <v>100</v>
      </c>
      <c r="J120" s="85" t="s">
        <v>30</v>
      </c>
      <c r="K120" s="40" t="s">
        <v>31</v>
      </c>
    </row>
    <row r="121" spans="1:17" ht="15.75" customHeight="1">
      <c r="A121" s="441">
        <v>15</v>
      </c>
      <c r="B121" s="442" t="s">
        <v>3080</v>
      </c>
      <c r="C121" s="85" t="s">
        <v>25</v>
      </c>
      <c r="D121" s="85" t="s">
        <v>849</v>
      </c>
      <c r="E121" s="85" t="s">
        <v>38</v>
      </c>
      <c r="F121" s="443" t="s">
        <v>3081</v>
      </c>
      <c r="G121" s="445" t="s">
        <v>321</v>
      </c>
      <c r="H121" s="446">
        <v>20</v>
      </c>
      <c r="I121" s="447">
        <v>60</v>
      </c>
      <c r="J121" s="85" t="s">
        <v>30</v>
      </c>
      <c r="K121" s="40" t="s">
        <v>31</v>
      </c>
    </row>
    <row r="122" spans="1:17" ht="15.75" customHeight="1">
      <c r="A122" s="441">
        <v>15</v>
      </c>
      <c r="B122" s="442" t="s">
        <v>3082</v>
      </c>
      <c r="C122" s="85" t="s">
        <v>25</v>
      </c>
      <c r="D122" s="85" t="s">
        <v>103</v>
      </c>
      <c r="E122" s="85" t="s">
        <v>150</v>
      </c>
      <c r="F122" s="443" t="s">
        <v>3083</v>
      </c>
      <c r="G122" s="346" t="s">
        <v>29</v>
      </c>
      <c r="H122" s="444">
        <v>2000</v>
      </c>
      <c r="I122" s="447" t="s">
        <v>101</v>
      </c>
      <c r="J122" s="85" t="s">
        <v>30</v>
      </c>
      <c r="K122" s="40" t="s">
        <v>31</v>
      </c>
    </row>
    <row r="123" spans="1:17" ht="15.75" customHeight="1">
      <c r="A123" s="441">
        <v>15</v>
      </c>
      <c r="B123" s="442" t="s">
        <v>3084</v>
      </c>
      <c r="C123" s="85" t="s">
        <v>25</v>
      </c>
      <c r="D123" s="85" t="s">
        <v>2844</v>
      </c>
      <c r="E123" s="85" t="s">
        <v>27</v>
      </c>
      <c r="F123" s="443" t="s">
        <v>3085</v>
      </c>
      <c r="G123" s="346" t="s">
        <v>29</v>
      </c>
      <c r="H123" s="444">
        <v>600</v>
      </c>
      <c r="I123" s="447" t="s">
        <v>101</v>
      </c>
      <c r="J123" s="85" t="s">
        <v>30</v>
      </c>
      <c r="K123" s="40" t="s">
        <v>31</v>
      </c>
    </row>
    <row r="124" spans="1:17" ht="15.75" customHeight="1">
      <c r="A124" s="441">
        <v>16</v>
      </c>
      <c r="B124" s="442" t="s">
        <v>1891</v>
      </c>
      <c r="C124" s="85" t="s">
        <v>25</v>
      </c>
      <c r="D124" s="85" t="s">
        <v>942</v>
      </c>
      <c r="E124" s="85" t="s">
        <v>130</v>
      </c>
      <c r="F124" s="443" t="s">
        <v>1892</v>
      </c>
      <c r="G124" s="346" t="s">
        <v>29</v>
      </c>
      <c r="H124" s="444">
        <v>8000</v>
      </c>
      <c r="I124" s="349">
        <v>1600</v>
      </c>
      <c r="J124" s="85" t="s">
        <v>30</v>
      </c>
      <c r="K124" s="40" t="s">
        <v>31</v>
      </c>
      <c r="M124" s="157">
        <v>60</v>
      </c>
    </row>
    <row r="125" spans="1:17" ht="15.75" customHeight="1">
      <c r="A125" s="441">
        <v>16</v>
      </c>
      <c r="B125" s="442" t="s">
        <v>3086</v>
      </c>
      <c r="C125" s="85" t="s">
        <v>59</v>
      </c>
      <c r="D125" s="85" t="s">
        <v>63</v>
      </c>
      <c r="E125" s="85" t="s">
        <v>870</v>
      </c>
      <c r="F125" s="443" t="s">
        <v>3087</v>
      </c>
      <c r="G125" s="346" t="s">
        <v>29</v>
      </c>
      <c r="H125" s="444">
        <v>100</v>
      </c>
      <c r="I125" s="349">
        <v>20</v>
      </c>
      <c r="J125" s="85" t="s">
        <v>30</v>
      </c>
      <c r="K125" s="40" t="s">
        <v>31</v>
      </c>
    </row>
    <row r="126" spans="1:17" ht="15.75" customHeight="1">
      <c r="A126" s="441">
        <v>16</v>
      </c>
      <c r="B126" s="442" t="s">
        <v>1409</v>
      </c>
      <c r="C126" s="85" t="s">
        <v>25</v>
      </c>
      <c r="D126" s="85" t="s">
        <v>328</v>
      </c>
      <c r="E126" s="85" t="s">
        <v>34</v>
      </c>
      <c r="F126" s="443" t="s">
        <v>1410</v>
      </c>
      <c r="G126" s="346" t="s">
        <v>29</v>
      </c>
      <c r="H126" s="444">
        <v>21000</v>
      </c>
      <c r="I126" s="349">
        <v>4200</v>
      </c>
      <c r="J126" s="85" t="s">
        <v>30</v>
      </c>
      <c r="K126" s="40" t="s">
        <v>31</v>
      </c>
    </row>
    <row r="127" spans="1:17" ht="15.75" customHeight="1">
      <c r="A127" s="441">
        <v>16</v>
      </c>
      <c r="B127" s="442" t="s">
        <v>3088</v>
      </c>
      <c r="C127" s="85" t="s">
        <v>25</v>
      </c>
      <c r="D127" s="85" t="s">
        <v>149</v>
      </c>
      <c r="E127" s="85" t="s">
        <v>150</v>
      </c>
      <c r="F127" s="443" t="s">
        <v>3089</v>
      </c>
      <c r="G127" s="346" t="s">
        <v>29</v>
      </c>
      <c r="H127" s="444">
        <v>200</v>
      </c>
      <c r="I127" s="349">
        <v>40</v>
      </c>
      <c r="J127" s="85" t="s">
        <v>30</v>
      </c>
      <c r="K127" s="40" t="s">
        <v>31</v>
      </c>
    </row>
    <row r="128" spans="1:17" ht="15.75" customHeight="1">
      <c r="A128" s="441">
        <v>16</v>
      </c>
      <c r="B128" s="442" t="s">
        <v>3090</v>
      </c>
      <c r="C128" s="85" t="s">
        <v>25</v>
      </c>
      <c r="D128" s="85" t="s">
        <v>1282</v>
      </c>
      <c r="E128" s="85" t="s">
        <v>38</v>
      </c>
      <c r="F128" s="443" t="s">
        <v>3091</v>
      </c>
      <c r="G128" s="346" t="s">
        <v>29</v>
      </c>
      <c r="H128" s="444">
        <v>700</v>
      </c>
      <c r="I128" s="349">
        <v>140</v>
      </c>
      <c r="J128" s="85" t="s">
        <v>30</v>
      </c>
      <c r="K128" s="40" t="s">
        <v>31</v>
      </c>
      <c r="M128" s="157">
        <v>200</v>
      </c>
    </row>
    <row r="129" spans="1:13" ht="15.75" customHeight="1">
      <c r="A129" s="441">
        <v>16</v>
      </c>
      <c r="B129" s="442" t="s">
        <v>3092</v>
      </c>
      <c r="C129" s="85" t="s">
        <v>25</v>
      </c>
      <c r="D129" s="85" t="s">
        <v>63</v>
      </c>
      <c r="E129" s="85" t="s">
        <v>96</v>
      </c>
      <c r="F129" s="443" t="s">
        <v>3093</v>
      </c>
      <c r="G129" s="346" t="s">
        <v>29</v>
      </c>
      <c r="H129" s="444">
        <v>1000</v>
      </c>
      <c r="I129" s="349">
        <v>200</v>
      </c>
      <c r="J129" s="85" t="s">
        <v>30</v>
      </c>
      <c r="K129" s="40" t="s">
        <v>31</v>
      </c>
      <c r="M129" s="157">
        <v>400</v>
      </c>
    </row>
    <row r="130" spans="1:13" ht="15.75" customHeight="1">
      <c r="A130" s="441">
        <v>16</v>
      </c>
      <c r="B130" s="442" t="s">
        <v>3094</v>
      </c>
      <c r="C130" s="85" t="s">
        <v>25</v>
      </c>
      <c r="D130" s="85" t="s">
        <v>811</v>
      </c>
      <c r="E130" s="85" t="s">
        <v>46</v>
      </c>
      <c r="F130" s="443" t="s">
        <v>3095</v>
      </c>
      <c r="G130" s="346" t="s">
        <v>29</v>
      </c>
      <c r="H130" s="444">
        <v>400</v>
      </c>
      <c r="I130" s="349">
        <v>80</v>
      </c>
      <c r="J130" s="85" t="s">
        <v>30</v>
      </c>
      <c r="K130" s="40" t="s">
        <v>31</v>
      </c>
    </row>
    <row r="131" spans="1:13" ht="15.75" customHeight="1">
      <c r="A131" s="441">
        <v>16</v>
      </c>
      <c r="B131" s="442" t="s">
        <v>3096</v>
      </c>
      <c r="C131" s="85" t="s">
        <v>25</v>
      </c>
      <c r="D131" s="85" t="s">
        <v>185</v>
      </c>
      <c r="E131" s="85" t="s">
        <v>42</v>
      </c>
      <c r="F131" s="85"/>
      <c r="G131" s="346" t="s">
        <v>29</v>
      </c>
      <c r="H131" s="444">
        <v>400</v>
      </c>
      <c r="I131" s="349">
        <v>80</v>
      </c>
      <c r="J131" s="85" t="s">
        <v>30</v>
      </c>
      <c r="K131" s="40" t="s">
        <v>31</v>
      </c>
      <c r="M131" s="157">
        <v>150</v>
      </c>
    </row>
    <row r="132" spans="1:13" ht="15.75" customHeight="1">
      <c r="A132" s="441">
        <v>16</v>
      </c>
      <c r="B132" s="442" t="s">
        <v>3097</v>
      </c>
      <c r="C132" s="85" t="s">
        <v>25</v>
      </c>
      <c r="D132" s="85" t="s">
        <v>2090</v>
      </c>
      <c r="E132" s="85" t="s">
        <v>96</v>
      </c>
      <c r="F132" s="443" t="s">
        <v>3098</v>
      </c>
      <c r="G132" s="346" t="s">
        <v>29</v>
      </c>
      <c r="H132" s="444">
        <v>1000</v>
      </c>
      <c r="I132" s="349">
        <v>200</v>
      </c>
      <c r="J132" s="85" t="s">
        <v>30</v>
      </c>
      <c r="K132" s="40" t="s">
        <v>31</v>
      </c>
      <c r="M132" s="157">
        <v>400</v>
      </c>
    </row>
    <row r="133" spans="1:13" ht="15.75" customHeight="1">
      <c r="A133" s="441">
        <v>16</v>
      </c>
      <c r="B133" s="442" t="s">
        <v>3099</v>
      </c>
      <c r="C133" s="85" t="s">
        <v>59</v>
      </c>
      <c r="D133" s="85" t="s">
        <v>95</v>
      </c>
      <c r="E133" s="85" t="s">
        <v>96</v>
      </c>
      <c r="F133" s="443" t="s">
        <v>3100</v>
      </c>
      <c r="G133" s="346" t="s">
        <v>29</v>
      </c>
      <c r="H133" s="444">
        <v>800</v>
      </c>
      <c r="I133" s="349">
        <v>160</v>
      </c>
      <c r="J133" s="85" t="s">
        <v>30</v>
      </c>
      <c r="K133" s="40" t="s">
        <v>31</v>
      </c>
      <c r="M133" s="157">
        <v>96</v>
      </c>
    </row>
    <row r="134" spans="1:13" ht="15.75" customHeight="1">
      <c r="A134" s="441">
        <v>16</v>
      </c>
      <c r="B134" s="442" t="s">
        <v>3101</v>
      </c>
      <c r="C134" s="85" t="s">
        <v>25</v>
      </c>
      <c r="D134" s="85" t="s">
        <v>86</v>
      </c>
      <c r="E134" s="85" t="s">
        <v>42</v>
      </c>
      <c r="F134" s="443" t="s">
        <v>3102</v>
      </c>
      <c r="G134" s="346" t="s">
        <v>29</v>
      </c>
      <c r="H134" s="444">
        <v>2000</v>
      </c>
      <c r="I134" s="349">
        <v>400</v>
      </c>
      <c r="J134" s="85" t="s">
        <v>30</v>
      </c>
      <c r="K134" s="40" t="s">
        <v>31</v>
      </c>
    </row>
    <row r="135" spans="1:13" ht="15.75" customHeight="1">
      <c r="A135" s="441">
        <v>16</v>
      </c>
      <c r="B135" s="442" t="s">
        <v>3103</v>
      </c>
      <c r="C135" s="85" t="s">
        <v>59</v>
      </c>
      <c r="D135" s="85" t="s">
        <v>89</v>
      </c>
      <c r="E135" s="85" t="s">
        <v>46</v>
      </c>
      <c r="F135" s="443" t="s">
        <v>3104</v>
      </c>
      <c r="G135" s="346" t="s">
        <v>29</v>
      </c>
      <c r="H135" s="444">
        <v>500</v>
      </c>
      <c r="I135" s="349">
        <v>100</v>
      </c>
      <c r="J135" s="85" t="s">
        <v>30</v>
      </c>
      <c r="K135" s="40" t="s">
        <v>31</v>
      </c>
    </row>
    <row r="136" spans="1:13" ht="15.75" customHeight="1">
      <c r="A136" s="441">
        <v>16</v>
      </c>
      <c r="B136" s="442" t="s">
        <v>3105</v>
      </c>
      <c r="C136" s="85" t="s">
        <v>25</v>
      </c>
      <c r="D136" s="85" t="s">
        <v>263</v>
      </c>
      <c r="E136" s="85" t="s">
        <v>42</v>
      </c>
      <c r="F136" s="443" t="s">
        <v>3106</v>
      </c>
      <c r="G136" s="346" t="s">
        <v>29</v>
      </c>
      <c r="H136" s="444">
        <v>500</v>
      </c>
      <c r="I136" s="447" t="s">
        <v>101</v>
      </c>
      <c r="J136" s="85" t="s">
        <v>30</v>
      </c>
      <c r="K136" s="40" t="s">
        <v>31</v>
      </c>
      <c r="M136" s="157">
        <v>160</v>
      </c>
    </row>
    <row r="137" spans="1:13" ht="15.75" customHeight="1">
      <c r="A137" s="441">
        <v>16</v>
      </c>
      <c r="B137" s="442" t="s">
        <v>3105</v>
      </c>
      <c r="C137" s="85" t="s">
        <v>25</v>
      </c>
      <c r="D137" s="85" t="s">
        <v>263</v>
      </c>
      <c r="E137" s="85" t="s">
        <v>42</v>
      </c>
      <c r="F137" s="85"/>
      <c r="G137" s="346" t="s">
        <v>29</v>
      </c>
      <c r="H137" s="444">
        <v>1300</v>
      </c>
      <c r="I137" s="349">
        <v>260</v>
      </c>
      <c r="J137" s="85" t="s">
        <v>30</v>
      </c>
      <c r="K137" s="40" t="s">
        <v>31</v>
      </c>
    </row>
    <row r="138" spans="1:13" ht="15.75" customHeight="1">
      <c r="A138" s="441">
        <v>16</v>
      </c>
      <c r="B138" s="442" t="s">
        <v>3107</v>
      </c>
      <c r="C138" s="85" t="s">
        <v>25</v>
      </c>
      <c r="D138" s="85" t="s">
        <v>328</v>
      </c>
      <c r="E138" s="85" t="s">
        <v>34</v>
      </c>
      <c r="F138" s="443" t="s">
        <v>1692</v>
      </c>
      <c r="G138" s="346" t="s">
        <v>29</v>
      </c>
      <c r="H138" s="444">
        <v>20000</v>
      </c>
      <c r="I138" s="349">
        <v>4000</v>
      </c>
      <c r="J138" s="85" t="s">
        <v>30</v>
      </c>
      <c r="K138" s="40" t="s">
        <v>31</v>
      </c>
    </row>
    <row r="139" spans="1:13" ht="15.75" customHeight="1">
      <c r="A139" s="441">
        <v>16</v>
      </c>
      <c r="B139" s="442" t="s">
        <v>3108</v>
      </c>
      <c r="C139" s="85" t="s">
        <v>25</v>
      </c>
      <c r="D139" s="85" t="s">
        <v>328</v>
      </c>
      <c r="E139" s="85" t="s">
        <v>34</v>
      </c>
      <c r="F139" s="443" t="s">
        <v>3109</v>
      </c>
      <c r="G139" s="346" t="s">
        <v>29</v>
      </c>
      <c r="H139" s="444">
        <v>50000</v>
      </c>
      <c r="I139" s="349">
        <v>10000</v>
      </c>
      <c r="J139" s="85" t="s">
        <v>30</v>
      </c>
      <c r="K139" s="40" t="s">
        <v>31</v>
      </c>
    </row>
    <row r="140" spans="1:13" ht="15.75" customHeight="1">
      <c r="A140" s="441">
        <v>16</v>
      </c>
      <c r="B140" s="442" t="s">
        <v>3110</v>
      </c>
      <c r="C140" s="85" t="s">
        <v>25</v>
      </c>
      <c r="D140" s="85" t="s">
        <v>724</v>
      </c>
      <c r="E140" s="85" t="s">
        <v>540</v>
      </c>
      <c r="F140" s="85"/>
      <c r="G140" s="346" t="s">
        <v>29</v>
      </c>
      <c r="H140" s="444">
        <v>1000</v>
      </c>
      <c r="I140" s="349">
        <v>200</v>
      </c>
      <c r="J140" s="85" t="s">
        <v>30</v>
      </c>
      <c r="K140" s="40" t="s">
        <v>31</v>
      </c>
      <c r="M140" s="157">
        <v>300</v>
      </c>
    </row>
    <row r="141" spans="1:13" ht="15.75" customHeight="1">
      <c r="A141" s="441">
        <v>16</v>
      </c>
      <c r="B141" s="442" t="s">
        <v>3111</v>
      </c>
      <c r="C141" s="85" t="s">
        <v>25</v>
      </c>
      <c r="D141" s="85" t="s">
        <v>92</v>
      </c>
      <c r="E141" s="85" t="s">
        <v>46</v>
      </c>
      <c r="F141" s="85"/>
      <c r="G141" s="346" t="s">
        <v>29</v>
      </c>
      <c r="H141" s="444">
        <v>500</v>
      </c>
      <c r="I141" s="447" t="s">
        <v>101</v>
      </c>
      <c r="J141" s="85" t="s">
        <v>30</v>
      </c>
      <c r="K141" s="40" t="s">
        <v>31</v>
      </c>
      <c r="M141" s="157">
        <v>200</v>
      </c>
    </row>
    <row r="142" spans="1:13" ht="15.75" customHeight="1">
      <c r="A142" s="441">
        <v>16</v>
      </c>
      <c r="B142" s="442" t="s">
        <v>3111</v>
      </c>
      <c r="C142" s="85" t="s">
        <v>25</v>
      </c>
      <c r="D142" s="85" t="s">
        <v>92</v>
      </c>
      <c r="E142" s="85" t="s">
        <v>46</v>
      </c>
      <c r="F142" s="85"/>
      <c r="G142" s="346" t="s">
        <v>29</v>
      </c>
      <c r="H142" s="444">
        <v>500</v>
      </c>
      <c r="I142" s="349">
        <v>100</v>
      </c>
      <c r="J142" s="85" t="s">
        <v>30</v>
      </c>
      <c r="K142" s="40" t="s">
        <v>31</v>
      </c>
    </row>
    <row r="143" spans="1:13" ht="15.75" customHeight="1">
      <c r="A143" s="441">
        <v>16</v>
      </c>
      <c r="B143" s="442" t="s">
        <v>3112</v>
      </c>
      <c r="C143" s="85" t="s">
        <v>25</v>
      </c>
      <c r="D143" s="85" t="s">
        <v>103</v>
      </c>
      <c r="E143" s="85" t="s">
        <v>34</v>
      </c>
      <c r="F143" s="443" t="s">
        <v>1510</v>
      </c>
      <c r="G143" s="346" t="s">
        <v>29</v>
      </c>
      <c r="H143" s="444">
        <v>15000</v>
      </c>
      <c r="I143" s="349">
        <v>3000</v>
      </c>
      <c r="J143" s="85" t="s">
        <v>30</v>
      </c>
      <c r="K143" s="40" t="s">
        <v>31</v>
      </c>
    </row>
    <row r="144" spans="1:13" ht="15.75" customHeight="1">
      <c r="A144" s="441">
        <v>17</v>
      </c>
      <c r="B144" s="442" t="s">
        <v>3113</v>
      </c>
      <c r="C144" s="85" t="s">
        <v>25</v>
      </c>
      <c r="D144" s="85" t="s">
        <v>89</v>
      </c>
      <c r="E144" s="85" t="s">
        <v>46</v>
      </c>
      <c r="F144" s="443" t="s">
        <v>3114</v>
      </c>
      <c r="G144" s="346" t="s">
        <v>29</v>
      </c>
      <c r="H144" s="444">
        <v>1000</v>
      </c>
      <c r="I144" s="349">
        <v>200</v>
      </c>
      <c r="J144" s="85" t="s">
        <v>30</v>
      </c>
      <c r="K144" s="40" t="s">
        <v>31</v>
      </c>
      <c r="M144" s="157">
        <v>200</v>
      </c>
    </row>
    <row r="145" spans="1:13" ht="15.75" customHeight="1">
      <c r="A145" s="441">
        <v>17</v>
      </c>
      <c r="B145" s="442" t="s">
        <v>3115</v>
      </c>
      <c r="C145" s="85" t="s">
        <v>25</v>
      </c>
      <c r="D145" s="85" t="s">
        <v>532</v>
      </c>
      <c r="E145" s="85" t="s">
        <v>533</v>
      </c>
      <c r="F145" s="443" t="s">
        <v>3116</v>
      </c>
      <c r="G145" s="346" t="s">
        <v>29</v>
      </c>
      <c r="H145" s="444">
        <v>1000</v>
      </c>
      <c r="I145" s="349">
        <v>200</v>
      </c>
      <c r="J145" s="85" t="s">
        <v>30</v>
      </c>
      <c r="K145" s="40" t="s">
        <v>31</v>
      </c>
      <c r="M145" s="157">
        <v>200</v>
      </c>
    </row>
    <row r="146" spans="1:13" ht="15.75" customHeight="1">
      <c r="A146" s="441">
        <v>17</v>
      </c>
      <c r="B146" s="442" t="s">
        <v>3117</v>
      </c>
      <c r="C146" s="85" t="s">
        <v>25</v>
      </c>
      <c r="D146" s="85" t="s">
        <v>841</v>
      </c>
      <c r="E146" s="85" t="s">
        <v>533</v>
      </c>
      <c r="F146" s="443" t="s">
        <v>3118</v>
      </c>
      <c r="G146" s="346" t="s">
        <v>29</v>
      </c>
      <c r="H146" s="444">
        <v>1000</v>
      </c>
      <c r="I146" s="349">
        <v>200</v>
      </c>
      <c r="J146" s="85" t="s">
        <v>30</v>
      </c>
      <c r="K146" s="40" t="s">
        <v>31</v>
      </c>
      <c r="M146" s="157">
        <v>300</v>
      </c>
    </row>
    <row r="147" spans="1:13" ht="15.75" customHeight="1">
      <c r="A147" s="441">
        <v>17</v>
      </c>
      <c r="B147" s="442" t="s">
        <v>3119</v>
      </c>
      <c r="C147" s="85" t="s">
        <v>25</v>
      </c>
      <c r="D147" s="85" t="s">
        <v>600</v>
      </c>
      <c r="E147" s="85" t="s">
        <v>60</v>
      </c>
      <c r="F147" s="443" t="s">
        <v>3120</v>
      </c>
      <c r="G147" s="346" t="s">
        <v>29</v>
      </c>
      <c r="H147" s="444">
        <v>1000</v>
      </c>
      <c r="I147" s="349">
        <v>200</v>
      </c>
      <c r="J147" s="85" t="s">
        <v>30</v>
      </c>
      <c r="K147" s="40" t="s">
        <v>31</v>
      </c>
      <c r="M147" s="157">
        <v>200</v>
      </c>
    </row>
    <row r="148" spans="1:13" ht="15.75" customHeight="1">
      <c r="A148" s="441">
        <v>17</v>
      </c>
      <c r="B148" s="442" t="s">
        <v>3121</v>
      </c>
      <c r="C148" s="85" t="s">
        <v>25</v>
      </c>
      <c r="D148" s="85" t="s">
        <v>245</v>
      </c>
      <c r="E148" s="85" t="s">
        <v>150</v>
      </c>
      <c r="F148" s="443" t="s">
        <v>2944</v>
      </c>
      <c r="G148" s="346" t="s">
        <v>29</v>
      </c>
      <c r="H148" s="444">
        <v>1500</v>
      </c>
      <c r="I148" s="349">
        <v>300</v>
      </c>
      <c r="J148" s="85" t="s">
        <v>30</v>
      </c>
      <c r="K148" s="40" t="s">
        <v>31</v>
      </c>
      <c r="M148" s="157">
        <v>300</v>
      </c>
    </row>
    <row r="149" spans="1:13" ht="15.75" customHeight="1">
      <c r="A149" s="441">
        <v>17</v>
      </c>
      <c r="B149" s="442" t="s">
        <v>3122</v>
      </c>
      <c r="C149" s="85" t="s">
        <v>59</v>
      </c>
      <c r="D149" s="85"/>
      <c r="E149" s="85" t="s">
        <v>1491</v>
      </c>
      <c r="F149" s="443" t="s">
        <v>3123</v>
      </c>
      <c r="G149" s="346" t="s">
        <v>29</v>
      </c>
      <c r="H149" s="444">
        <v>2500</v>
      </c>
      <c r="I149" s="349">
        <v>500</v>
      </c>
      <c r="J149" s="85" t="s">
        <v>30</v>
      </c>
      <c r="K149" s="40" t="s">
        <v>31</v>
      </c>
      <c r="M149" s="157">
        <v>400</v>
      </c>
    </row>
    <row r="150" spans="1:13" ht="15.75" customHeight="1">
      <c r="A150" s="441">
        <v>17</v>
      </c>
      <c r="B150" s="442" t="s">
        <v>3124</v>
      </c>
      <c r="C150" s="85" t="s">
        <v>25</v>
      </c>
      <c r="D150" s="85" t="s">
        <v>63</v>
      </c>
      <c r="E150" s="85" t="s">
        <v>27</v>
      </c>
      <c r="F150" s="443" t="s">
        <v>3125</v>
      </c>
      <c r="G150" s="346" t="s">
        <v>29</v>
      </c>
      <c r="H150" s="444">
        <v>2000</v>
      </c>
      <c r="I150" s="349">
        <v>400</v>
      </c>
      <c r="J150" s="85" t="s">
        <v>30</v>
      </c>
      <c r="K150" s="40" t="s">
        <v>31</v>
      </c>
      <c r="M150" s="157">
        <v>300</v>
      </c>
    </row>
    <row r="151" spans="1:13" ht="15.75" customHeight="1">
      <c r="A151" s="441">
        <v>17</v>
      </c>
      <c r="B151" s="442" t="s">
        <v>1559</v>
      </c>
      <c r="C151" s="85" t="s">
        <v>59</v>
      </c>
      <c r="D151" s="85" t="s">
        <v>110</v>
      </c>
      <c r="E151" s="85" t="s">
        <v>111</v>
      </c>
      <c r="F151" s="443" t="s">
        <v>1560</v>
      </c>
      <c r="G151" s="346" t="s">
        <v>29</v>
      </c>
      <c r="H151" s="444">
        <v>12000</v>
      </c>
      <c r="I151" s="349">
        <v>2400</v>
      </c>
      <c r="J151" s="85" t="s">
        <v>30</v>
      </c>
      <c r="K151" s="40" t="s">
        <v>31</v>
      </c>
      <c r="M151" s="157">
        <v>2500</v>
      </c>
    </row>
    <row r="152" spans="1:13" ht="15.75" customHeight="1">
      <c r="A152" s="441">
        <v>17</v>
      </c>
      <c r="B152" s="442" t="s">
        <v>3126</v>
      </c>
      <c r="C152" s="85" t="s">
        <v>25</v>
      </c>
      <c r="D152" s="85" t="s">
        <v>3127</v>
      </c>
      <c r="E152" s="85" t="s">
        <v>78</v>
      </c>
      <c r="F152" s="443" t="s">
        <v>3128</v>
      </c>
      <c r="G152" s="346" t="s">
        <v>29</v>
      </c>
      <c r="H152" s="444">
        <v>800</v>
      </c>
      <c r="I152" s="349">
        <v>160</v>
      </c>
      <c r="J152" s="85" t="s">
        <v>30</v>
      </c>
      <c r="K152" s="40" t="s">
        <v>31</v>
      </c>
      <c r="M152" s="157">
        <v>200</v>
      </c>
    </row>
    <row r="153" spans="1:13" ht="15.75" customHeight="1">
      <c r="A153" s="441">
        <v>18</v>
      </c>
      <c r="B153" s="442" t="s">
        <v>3129</v>
      </c>
      <c r="C153" s="85" t="s">
        <v>25</v>
      </c>
      <c r="D153" s="85" t="s">
        <v>3130</v>
      </c>
      <c r="E153" s="85" t="s">
        <v>103</v>
      </c>
      <c r="F153" s="443" t="s">
        <v>2834</v>
      </c>
      <c r="G153" s="346" t="s">
        <v>29</v>
      </c>
      <c r="H153" s="444">
        <v>500</v>
      </c>
      <c r="I153" s="349">
        <v>100</v>
      </c>
      <c r="J153" s="85" t="s">
        <v>30</v>
      </c>
      <c r="K153" s="40" t="s">
        <v>31</v>
      </c>
    </row>
    <row r="154" spans="1:13" ht="15.75" customHeight="1">
      <c r="A154" s="441">
        <v>18</v>
      </c>
      <c r="B154" s="442" t="s">
        <v>3131</v>
      </c>
      <c r="C154" s="85" t="s">
        <v>25</v>
      </c>
      <c r="D154" s="85" t="s">
        <v>1505</v>
      </c>
      <c r="E154" s="85" t="s">
        <v>42</v>
      </c>
      <c r="F154" s="443" t="s">
        <v>3132</v>
      </c>
      <c r="G154" s="346" t="s">
        <v>29</v>
      </c>
      <c r="H154" s="444">
        <v>500</v>
      </c>
      <c r="I154" s="447" t="s">
        <v>101</v>
      </c>
      <c r="J154" s="85" t="s">
        <v>30</v>
      </c>
      <c r="K154" s="40" t="s">
        <v>31</v>
      </c>
      <c r="M154" s="157">
        <v>66</v>
      </c>
    </row>
    <row r="155" spans="1:13" ht="15.75" customHeight="1">
      <c r="A155" s="441">
        <v>18</v>
      </c>
      <c r="B155" s="442" t="s">
        <v>3131</v>
      </c>
      <c r="C155" s="85" t="s">
        <v>25</v>
      </c>
      <c r="D155" s="85" t="s">
        <v>1505</v>
      </c>
      <c r="E155" s="85" t="s">
        <v>42</v>
      </c>
      <c r="F155" s="85"/>
      <c r="G155" s="346" t="s">
        <v>29</v>
      </c>
      <c r="H155" s="444">
        <v>500</v>
      </c>
      <c r="I155" s="349">
        <v>100</v>
      </c>
      <c r="J155" s="85" t="s">
        <v>30</v>
      </c>
      <c r="K155" s="40" t="s">
        <v>31</v>
      </c>
    </row>
    <row r="156" spans="1:13" ht="15.75" customHeight="1">
      <c r="A156" s="441">
        <v>18</v>
      </c>
      <c r="B156" s="442" t="s">
        <v>3133</v>
      </c>
      <c r="C156" s="85" t="s">
        <v>25</v>
      </c>
      <c r="D156" s="85" t="s">
        <v>2532</v>
      </c>
      <c r="E156" s="85" t="s">
        <v>50</v>
      </c>
      <c r="F156" s="443" t="s">
        <v>3134</v>
      </c>
      <c r="G156" s="346" t="s">
        <v>29</v>
      </c>
      <c r="H156" s="444">
        <v>1500</v>
      </c>
      <c r="I156" s="349">
        <v>300</v>
      </c>
      <c r="J156" s="85" t="s">
        <v>30</v>
      </c>
      <c r="K156" s="40" t="s">
        <v>31</v>
      </c>
      <c r="M156" s="157">
        <v>400</v>
      </c>
    </row>
    <row r="157" spans="1:13" ht="15.75" customHeight="1">
      <c r="A157" s="441">
        <v>18</v>
      </c>
      <c r="B157" s="442" t="s">
        <v>3068</v>
      </c>
      <c r="C157" s="85" t="s">
        <v>25</v>
      </c>
      <c r="D157" s="85" t="s">
        <v>144</v>
      </c>
      <c r="E157" s="85" t="s">
        <v>50</v>
      </c>
      <c r="F157" s="443" t="s">
        <v>3069</v>
      </c>
      <c r="G157" s="346" t="s">
        <v>29</v>
      </c>
      <c r="H157" s="444">
        <v>1000</v>
      </c>
      <c r="I157" s="349">
        <v>200</v>
      </c>
      <c r="J157" s="85" t="s">
        <v>30</v>
      </c>
      <c r="K157" s="40" t="s">
        <v>31</v>
      </c>
      <c r="M157" s="157">
        <v>200</v>
      </c>
    </row>
    <row r="158" spans="1:13" ht="15.75" customHeight="1">
      <c r="A158" s="441">
        <v>18</v>
      </c>
      <c r="B158" s="442" t="s">
        <v>3135</v>
      </c>
      <c r="C158" s="85" t="s">
        <v>25</v>
      </c>
      <c r="D158" s="85" t="s">
        <v>33</v>
      </c>
      <c r="E158" s="85" t="s">
        <v>34</v>
      </c>
      <c r="F158" s="443" t="s">
        <v>3136</v>
      </c>
      <c r="G158" s="346" t="s">
        <v>29</v>
      </c>
      <c r="H158" s="444">
        <v>1000</v>
      </c>
      <c r="I158" s="349">
        <v>200</v>
      </c>
      <c r="J158" s="85" t="s">
        <v>30</v>
      </c>
      <c r="K158" s="40" t="s">
        <v>31</v>
      </c>
      <c r="M158" s="157">
        <v>300</v>
      </c>
    </row>
    <row r="159" spans="1:13" ht="15.75" customHeight="1">
      <c r="A159" s="441">
        <v>18</v>
      </c>
      <c r="B159" s="442" t="s">
        <v>2401</v>
      </c>
      <c r="C159" s="85" t="s">
        <v>25</v>
      </c>
      <c r="D159" s="85" t="s">
        <v>2021</v>
      </c>
      <c r="E159" s="85" t="s">
        <v>34</v>
      </c>
      <c r="F159" s="443" t="s">
        <v>2402</v>
      </c>
      <c r="G159" s="346" t="s">
        <v>29</v>
      </c>
      <c r="H159" s="444">
        <v>1000</v>
      </c>
      <c r="I159" s="349">
        <v>200</v>
      </c>
      <c r="J159" s="85" t="s">
        <v>30</v>
      </c>
      <c r="K159" s="40" t="s">
        <v>31</v>
      </c>
      <c r="M159" s="157">
        <v>600</v>
      </c>
    </row>
    <row r="160" spans="1:13" ht="15.75" customHeight="1">
      <c r="A160" s="441">
        <v>18</v>
      </c>
      <c r="B160" s="442" t="s">
        <v>3137</v>
      </c>
      <c r="C160" s="85" t="s">
        <v>25</v>
      </c>
      <c r="D160" s="85" t="s">
        <v>63</v>
      </c>
      <c r="E160" s="85" t="s">
        <v>42</v>
      </c>
      <c r="F160" s="443" t="s">
        <v>3138</v>
      </c>
      <c r="G160" s="346" t="s">
        <v>29</v>
      </c>
      <c r="H160" s="444">
        <v>2000</v>
      </c>
      <c r="I160" s="349">
        <v>400</v>
      </c>
      <c r="J160" s="85" t="s">
        <v>30</v>
      </c>
      <c r="K160" s="40" t="s">
        <v>31</v>
      </c>
      <c r="M160" s="157">
        <v>600</v>
      </c>
    </row>
    <row r="161" spans="1:13" ht="15.75" customHeight="1">
      <c r="A161" s="441">
        <v>18</v>
      </c>
      <c r="B161" s="442" t="s">
        <v>3139</v>
      </c>
      <c r="C161" s="85" t="s">
        <v>59</v>
      </c>
      <c r="D161" s="85" t="s">
        <v>1349</v>
      </c>
      <c r="E161" s="85" t="s">
        <v>249</v>
      </c>
      <c r="F161" s="443" t="s">
        <v>3140</v>
      </c>
      <c r="G161" s="346" t="s">
        <v>29</v>
      </c>
      <c r="H161" s="444">
        <v>1000</v>
      </c>
      <c r="I161" s="349">
        <v>200</v>
      </c>
      <c r="J161" s="85" t="s">
        <v>30</v>
      </c>
      <c r="K161" s="40" t="s">
        <v>31</v>
      </c>
      <c r="M161" s="157">
        <v>200</v>
      </c>
    </row>
    <row r="162" spans="1:13" ht="15.75" customHeight="1">
      <c r="A162" s="441">
        <v>18</v>
      </c>
      <c r="B162" s="442" t="s">
        <v>3141</v>
      </c>
      <c r="C162" s="85" t="s">
        <v>59</v>
      </c>
      <c r="D162" s="85" t="s">
        <v>1282</v>
      </c>
      <c r="E162" s="85" t="s">
        <v>38</v>
      </c>
      <c r="F162" s="443" t="s">
        <v>3142</v>
      </c>
      <c r="G162" s="346" t="s">
        <v>29</v>
      </c>
      <c r="H162" s="444">
        <v>1000</v>
      </c>
      <c r="I162" s="349">
        <v>200</v>
      </c>
      <c r="J162" s="85" t="s">
        <v>30</v>
      </c>
      <c r="K162" s="40" t="s">
        <v>31</v>
      </c>
      <c r="M162" s="157">
        <v>600</v>
      </c>
    </row>
    <row r="163" spans="1:13" ht="15.75" customHeight="1">
      <c r="A163" s="441">
        <v>18</v>
      </c>
      <c r="B163" s="442" t="s">
        <v>3143</v>
      </c>
      <c r="C163" s="85" t="s">
        <v>25</v>
      </c>
      <c r="D163" s="85" t="s">
        <v>55</v>
      </c>
      <c r="E163" s="85" t="s">
        <v>42</v>
      </c>
      <c r="F163" s="443" t="s">
        <v>3144</v>
      </c>
      <c r="G163" s="346" t="s">
        <v>29</v>
      </c>
      <c r="H163" s="444">
        <v>800</v>
      </c>
      <c r="I163" s="349">
        <v>160</v>
      </c>
      <c r="J163" s="85" t="s">
        <v>30</v>
      </c>
      <c r="K163" s="40" t="s">
        <v>31</v>
      </c>
      <c r="M163" s="157">
        <v>200</v>
      </c>
    </row>
    <row r="164" spans="1:13" ht="15.75" customHeight="1">
      <c r="A164" s="441">
        <v>21</v>
      </c>
      <c r="B164" s="442" t="s">
        <v>3145</v>
      </c>
      <c r="C164" s="85" t="s">
        <v>25</v>
      </c>
      <c r="D164" s="85" t="s">
        <v>169</v>
      </c>
      <c r="E164" s="85" t="s">
        <v>78</v>
      </c>
      <c r="F164" s="443" t="s">
        <v>3146</v>
      </c>
      <c r="G164" s="346" t="s">
        <v>29</v>
      </c>
      <c r="H164" s="444">
        <v>500</v>
      </c>
      <c r="I164" s="349">
        <v>100</v>
      </c>
      <c r="J164" s="85" t="s">
        <v>30</v>
      </c>
      <c r="K164" s="40" t="s">
        <v>31</v>
      </c>
      <c r="M164" s="157">
        <v>60</v>
      </c>
    </row>
    <row r="165" spans="1:13" ht="15.75" customHeight="1">
      <c r="A165" s="441">
        <v>21</v>
      </c>
      <c r="B165" s="442" t="s">
        <v>3147</v>
      </c>
      <c r="C165" s="85" t="s">
        <v>25</v>
      </c>
      <c r="D165" s="85" t="s">
        <v>63</v>
      </c>
      <c r="E165" s="85" t="s">
        <v>50</v>
      </c>
      <c r="F165" s="443" t="s">
        <v>3148</v>
      </c>
      <c r="G165" s="346" t="s">
        <v>29</v>
      </c>
      <c r="H165" s="444">
        <v>500</v>
      </c>
      <c r="I165" s="349">
        <v>100</v>
      </c>
      <c r="J165" s="85" t="s">
        <v>30</v>
      </c>
      <c r="K165" s="40" t="s">
        <v>31</v>
      </c>
    </row>
    <row r="166" spans="1:13" ht="15.75" customHeight="1">
      <c r="A166" s="441">
        <v>21</v>
      </c>
      <c r="B166" s="442" t="s">
        <v>3149</v>
      </c>
      <c r="C166" s="85" t="s">
        <v>25</v>
      </c>
      <c r="D166" s="85" t="s">
        <v>2844</v>
      </c>
      <c r="E166" s="85" t="s">
        <v>27</v>
      </c>
      <c r="F166" s="443" t="s">
        <v>3150</v>
      </c>
      <c r="G166" s="346" t="s">
        <v>29</v>
      </c>
      <c r="H166" s="444">
        <v>500</v>
      </c>
      <c r="I166" s="349">
        <v>100</v>
      </c>
      <c r="J166" s="85" t="s">
        <v>30</v>
      </c>
      <c r="K166" s="40" t="s">
        <v>31</v>
      </c>
    </row>
    <row r="167" spans="1:13" ht="15.75" customHeight="1">
      <c r="A167" s="441">
        <v>21</v>
      </c>
      <c r="B167" s="442" t="s">
        <v>3151</v>
      </c>
      <c r="C167" s="85" t="s">
        <v>25</v>
      </c>
      <c r="D167" s="85" t="s">
        <v>600</v>
      </c>
      <c r="E167" s="85" t="s">
        <v>60</v>
      </c>
      <c r="F167" s="85"/>
      <c r="G167" s="346" t="s">
        <v>29</v>
      </c>
      <c r="H167" s="444">
        <v>500</v>
      </c>
      <c r="I167" s="349">
        <v>100</v>
      </c>
      <c r="J167" s="85" t="s">
        <v>30</v>
      </c>
      <c r="K167" s="40" t="s">
        <v>31</v>
      </c>
      <c r="M167" s="157">
        <v>360</v>
      </c>
    </row>
    <row r="168" spans="1:13" ht="15.75" customHeight="1">
      <c r="A168" s="441">
        <v>21</v>
      </c>
      <c r="B168" s="442" t="s">
        <v>3152</v>
      </c>
      <c r="C168" s="85" t="s">
        <v>25</v>
      </c>
      <c r="D168" s="85" t="s">
        <v>1839</v>
      </c>
      <c r="E168" s="85" t="s">
        <v>38</v>
      </c>
      <c r="F168" s="85"/>
      <c r="G168" s="346" t="s">
        <v>29</v>
      </c>
      <c r="H168" s="444">
        <v>200</v>
      </c>
      <c r="I168" s="349">
        <v>40</v>
      </c>
      <c r="J168" s="85" t="s">
        <v>30</v>
      </c>
      <c r="K168" s="40" t="s">
        <v>31</v>
      </c>
    </row>
    <row r="169" spans="1:13" ht="15.75" customHeight="1">
      <c r="A169" s="441">
        <v>21</v>
      </c>
      <c r="B169" s="442" t="s">
        <v>3153</v>
      </c>
      <c r="C169" s="85" t="s">
        <v>25</v>
      </c>
      <c r="D169" s="85" t="s">
        <v>86</v>
      </c>
      <c r="E169" s="85" t="s">
        <v>42</v>
      </c>
      <c r="F169" s="85"/>
      <c r="G169" s="346" t="s">
        <v>29</v>
      </c>
      <c r="H169" s="444">
        <v>16000</v>
      </c>
      <c r="I169" s="349">
        <v>3200</v>
      </c>
      <c r="J169" s="85" t="s">
        <v>30</v>
      </c>
      <c r="K169" s="40" t="s">
        <v>31</v>
      </c>
    </row>
    <row r="170" spans="1:13" ht="15.75" customHeight="1">
      <c r="A170" s="441">
        <v>21</v>
      </c>
      <c r="B170" s="442" t="s">
        <v>3154</v>
      </c>
      <c r="C170" s="85" t="s">
        <v>25</v>
      </c>
      <c r="D170" s="85" t="s">
        <v>200</v>
      </c>
      <c r="E170" s="85" t="s">
        <v>60</v>
      </c>
      <c r="F170" s="443" t="s">
        <v>3155</v>
      </c>
      <c r="G170" s="346" t="s">
        <v>29</v>
      </c>
      <c r="H170" s="444">
        <v>500</v>
      </c>
      <c r="I170" s="349">
        <v>100</v>
      </c>
      <c r="J170" s="85" t="s">
        <v>30</v>
      </c>
      <c r="K170" s="40" t="s">
        <v>31</v>
      </c>
      <c r="M170" s="157">
        <v>400</v>
      </c>
    </row>
    <row r="171" spans="1:13" ht="15.75" customHeight="1">
      <c r="A171" s="441">
        <v>21</v>
      </c>
      <c r="B171" s="442" t="s">
        <v>1006</v>
      </c>
      <c r="C171" s="85" t="s">
        <v>25</v>
      </c>
      <c r="D171" s="85" t="s">
        <v>3156</v>
      </c>
      <c r="E171" s="85" t="s">
        <v>258</v>
      </c>
      <c r="F171" s="443" t="s">
        <v>3157</v>
      </c>
      <c r="G171" s="346" t="s">
        <v>29</v>
      </c>
      <c r="H171" s="444">
        <v>500</v>
      </c>
      <c r="I171" s="349">
        <v>100</v>
      </c>
      <c r="J171" s="85" t="s">
        <v>30</v>
      </c>
      <c r="K171" s="40" t="s">
        <v>31</v>
      </c>
      <c r="M171" s="157">
        <v>600</v>
      </c>
    </row>
    <row r="172" spans="1:13" ht="15.75" customHeight="1">
      <c r="A172" s="441">
        <v>21</v>
      </c>
      <c r="B172" s="442" t="s">
        <v>3158</v>
      </c>
      <c r="C172" s="85" t="s">
        <v>25</v>
      </c>
      <c r="D172" s="85" t="s">
        <v>735</v>
      </c>
      <c r="E172" s="85" t="s">
        <v>318</v>
      </c>
      <c r="F172" s="443" t="s">
        <v>3159</v>
      </c>
      <c r="G172" s="346" t="s">
        <v>29</v>
      </c>
      <c r="H172" s="444">
        <v>500</v>
      </c>
      <c r="I172" s="349">
        <v>100</v>
      </c>
      <c r="J172" s="85" t="s">
        <v>30</v>
      </c>
      <c r="K172" s="40" t="s">
        <v>31</v>
      </c>
      <c r="M172" s="157">
        <v>225</v>
      </c>
    </row>
    <row r="173" spans="1:13" ht="15.75" customHeight="1">
      <c r="A173" s="441">
        <v>21</v>
      </c>
      <c r="B173" s="442" t="s">
        <v>3160</v>
      </c>
      <c r="C173" s="85" t="s">
        <v>25</v>
      </c>
      <c r="D173" s="85" t="s">
        <v>735</v>
      </c>
      <c r="E173" s="85" t="s">
        <v>318</v>
      </c>
      <c r="F173" s="443" t="s">
        <v>3161</v>
      </c>
      <c r="G173" s="346" t="s">
        <v>29</v>
      </c>
      <c r="H173" s="444">
        <v>1000</v>
      </c>
      <c r="I173" s="349">
        <v>200</v>
      </c>
      <c r="J173" s="85" t="s">
        <v>30</v>
      </c>
      <c r="K173" s="40" t="s">
        <v>31</v>
      </c>
      <c r="M173" s="157">
        <v>400</v>
      </c>
    </row>
    <row r="174" spans="1:13" ht="15.75" customHeight="1">
      <c r="A174" s="441">
        <v>21</v>
      </c>
      <c r="B174" s="442" t="s">
        <v>3162</v>
      </c>
      <c r="C174" s="85" t="s">
        <v>59</v>
      </c>
      <c r="D174" s="85" t="s">
        <v>328</v>
      </c>
      <c r="E174" s="85" t="s">
        <v>141</v>
      </c>
      <c r="F174" s="443" t="s">
        <v>3163</v>
      </c>
      <c r="G174" s="346" t="s">
        <v>29</v>
      </c>
      <c r="H174" s="444">
        <v>500</v>
      </c>
      <c r="I174" s="349">
        <v>100</v>
      </c>
      <c r="J174" s="85" t="s">
        <v>30</v>
      </c>
      <c r="K174" s="40" t="s">
        <v>31</v>
      </c>
      <c r="M174" s="157">
        <v>150</v>
      </c>
    </row>
    <row r="175" spans="1:13" ht="15.75" customHeight="1">
      <c r="A175" s="441">
        <v>21</v>
      </c>
      <c r="B175" s="442" t="s">
        <v>3164</v>
      </c>
      <c r="C175" s="85" t="s">
        <v>59</v>
      </c>
      <c r="D175" s="85" t="s">
        <v>1371</v>
      </c>
      <c r="E175" s="85" t="s">
        <v>96</v>
      </c>
      <c r="F175" s="443" t="s">
        <v>3165</v>
      </c>
      <c r="G175" s="346" t="s">
        <v>29</v>
      </c>
      <c r="H175" s="444">
        <v>500</v>
      </c>
      <c r="I175" s="349">
        <v>100</v>
      </c>
      <c r="J175" s="85" t="s">
        <v>30</v>
      </c>
      <c r="K175" s="40" t="s">
        <v>31</v>
      </c>
    </row>
    <row r="176" spans="1:13" ht="15.75" customHeight="1">
      <c r="A176" s="441">
        <v>21</v>
      </c>
      <c r="B176" s="442" t="s">
        <v>48</v>
      </c>
      <c r="C176" s="85" t="s">
        <v>25</v>
      </c>
      <c r="D176" s="85" t="s">
        <v>49</v>
      </c>
      <c r="E176" s="85" t="s">
        <v>50</v>
      </c>
      <c r="F176" s="443" t="s">
        <v>51</v>
      </c>
      <c r="G176" s="346" t="s">
        <v>29</v>
      </c>
      <c r="H176" s="444">
        <v>500</v>
      </c>
      <c r="I176" s="349">
        <v>100</v>
      </c>
      <c r="J176" s="85" t="s">
        <v>30</v>
      </c>
      <c r="K176" s="40" t="s">
        <v>31</v>
      </c>
      <c r="M176" s="157">
        <v>400</v>
      </c>
    </row>
    <row r="177" spans="1:13" ht="15.75" customHeight="1">
      <c r="A177" s="441">
        <v>21</v>
      </c>
      <c r="B177" s="442" t="s">
        <v>576</v>
      </c>
      <c r="C177" s="85" t="s">
        <v>25</v>
      </c>
      <c r="D177" s="85" t="s">
        <v>55</v>
      </c>
      <c r="E177" s="85" t="s">
        <v>96</v>
      </c>
      <c r="F177" s="443" t="s">
        <v>577</v>
      </c>
      <c r="G177" s="346" t="s">
        <v>29</v>
      </c>
      <c r="H177" s="444">
        <v>500</v>
      </c>
      <c r="I177" s="349">
        <v>100</v>
      </c>
      <c r="J177" s="85" t="s">
        <v>30</v>
      </c>
      <c r="K177" s="40" t="s">
        <v>31</v>
      </c>
      <c r="M177" s="157">
        <v>100</v>
      </c>
    </row>
    <row r="178" spans="1:13" ht="15.75" customHeight="1">
      <c r="A178" s="441">
        <v>21</v>
      </c>
      <c r="B178" s="442" t="s">
        <v>3166</v>
      </c>
      <c r="C178" s="85" t="s">
        <v>25</v>
      </c>
      <c r="D178" s="85" t="s">
        <v>1704</v>
      </c>
      <c r="E178" s="85" t="s">
        <v>38</v>
      </c>
      <c r="F178" s="85"/>
      <c r="G178" s="346" t="s">
        <v>29</v>
      </c>
      <c r="H178" s="444">
        <v>500</v>
      </c>
      <c r="I178" s="349">
        <v>100</v>
      </c>
      <c r="J178" s="85" t="s">
        <v>30</v>
      </c>
      <c r="K178" s="40" t="s">
        <v>31</v>
      </c>
      <c r="M178" s="157">
        <v>100</v>
      </c>
    </row>
    <row r="179" spans="1:13" ht="15.75" customHeight="1">
      <c r="A179" s="441">
        <v>21</v>
      </c>
      <c r="B179" s="442" t="s">
        <v>3167</v>
      </c>
      <c r="C179" s="85" t="s">
        <v>25</v>
      </c>
      <c r="D179" s="85" t="s">
        <v>779</v>
      </c>
      <c r="E179" s="85" t="s">
        <v>42</v>
      </c>
      <c r="F179" s="443" t="s">
        <v>3168</v>
      </c>
      <c r="G179" s="346" t="s">
        <v>29</v>
      </c>
      <c r="H179" s="444">
        <v>500</v>
      </c>
      <c r="I179" s="349">
        <v>100</v>
      </c>
      <c r="J179" s="85" t="s">
        <v>30</v>
      </c>
      <c r="K179" s="40" t="s">
        <v>31</v>
      </c>
      <c r="M179" s="157">
        <v>150</v>
      </c>
    </row>
    <row r="180" spans="1:13" ht="15.75" customHeight="1">
      <c r="A180" s="441">
        <v>21</v>
      </c>
      <c r="B180" s="442" t="s">
        <v>3169</v>
      </c>
      <c r="C180" s="85" t="s">
        <v>25</v>
      </c>
      <c r="D180" s="85" t="s">
        <v>3170</v>
      </c>
      <c r="E180" s="85" t="s">
        <v>258</v>
      </c>
      <c r="F180" s="443" t="s">
        <v>3171</v>
      </c>
      <c r="G180" s="346" t="s">
        <v>29</v>
      </c>
      <c r="H180" s="444">
        <v>1000</v>
      </c>
      <c r="I180" s="349">
        <v>200</v>
      </c>
      <c r="J180" s="85" t="s">
        <v>30</v>
      </c>
      <c r="K180" s="40" t="s">
        <v>31</v>
      </c>
    </row>
    <row r="181" spans="1:13" ht="15.75" customHeight="1">
      <c r="A181" s="441">
        <v>21</v>
      </c>
      <c r="B181" s="442" t="s">
        <v>3172</v>
      </c>
      <c r="C181" s="85" t="s">
        <v>25</v>
      </c>
      <c r="D181" s="85" t="s">
        <v>570</v>
      </c>
      <c r="E181" s="85" t="s">
        <v>60</v>
      </c>
      <c r="F181" s="443" t="s">
        <v>3173</v>
      </c>
      <c r="G181" s="346" t="s">
        <v>29</v>
      </c>
      <c r="H181" s="444">
        <v>1000</v>
      </c>
      <c r="I181" s="349">
        <v>200</v>
      </c>
      <c r="J181" s="85" t="s">
        <v>30</v>
      </c>
      <c r="K181" s="40" t="s">
        <v>31</v>
      </c>
      <c r="M181" s="157">
        <v>200</v>
      </c>
    </row>
    <row r="182" spans="1:13" ht="15.75" customHeight="1">
      <c r="A182" s="441">
        <v>21</v>
      </c>
      <c r="B182" s="442" t="s">
        <v>3174</v>
      </c>
      <c r="C182" s="85" t="s">
        <v>25</v>
      </c>
      <c r="D182" s="85" t="s">
        <v>89</v>
      </c>
      <c r="E182" s="85" t="s">
        <v>46</v>
      </c>
      <c r="F182" s="443" t="s">
        <v>2231</v>
      </c>
      <c r="G182" s="346" t="s">
        <v>29</v>
      </c>
      <c r="H182" s="444">
        <v>1000</v>
      </c>
      <c r="I182" s="349">
        <v>200</v>
      </c>
      <c r="J182" s="85" t="s">
        <v>30</v>
      </c>
      <c r="K182" s="40" t="s">
        <v>31</v>
      </c>
      <c r="M182" s="157">
        <v>200</v>
      </c>
    </row>
    <row r="183" spans="1:13" ht="15.75" customHeight="1">
      <c r="A183" s="441">
        <v>21</v>
      </c>
      <c r="B183" s="442" t="s">
        <v>3175</v>
      </c>
      <c r="C183" s="85" t="s">
        <v>25</v>
      </c>
      <c r="D183" s="85" t="s">
        <v>2454</v>
      </c>
      <c r="E183" s="85" t="s">
        <v>96</v>
      </c>
      <c r="F183" s="443" t="s">
        <v>3176</v>
      </c>
      <c r="G183" s="346" t="s">
        <v>29</v>
      </c>
      <c r="H183" s="444">
        <v>1000</v>
      </c>
      <c r="I183" s="349">
        <v>200</v>
      </c>
      <c r="J183" s="85" t="s">
        <v>30</v>
      </c>
      <c r="K183" s="40" t="s">
        <v>31</v>
      </c>
      <c r="M183" s="157">
        <v>200</v>
      </c>
    </row>
    <row r="184" spans="1:13" ht="15.75" customHeight="1">
      <c r="A184" s="441">
        <v>22</v>
      </c>
      <c r="B184" s="442" t="s">
        <v>3177</v>
      </c>
      <c r="C184" s="85" t="s">
        <v>25</v>
      </c>
      <c r="D184" s="85" t="s">
        <v>1390</v>
      </c>
      <c r="E184" s="85" t="s">
        <v>50</v>
      </c>
      <c r="F184" s="443" t="s">
        <v>3178</v>
      </c>
      <c r="G184" s="346" t="s">
        <v>29</v>
      </c>
      <c r="H184" s="444">
        <v>6000</v>
      </c>
      <c r="I184" s="349">
        <v>1200</v>
      </c>
      <c r="J184" s="85" t="s">
        <v>30</v>
      </c>
      <c r="K184" s="40" t="s">
        <v>31</v>
      </c>
      <c r="M184" s="157">
        <v>1200</v>
      </c>
    </row>
    <row r="185" spans="1:13" ht="15.75" customHeight="1">
      <c r="A185" s="441">
        <v>22</v>
      </c>
      <c r="B185" s="442" t="s">
        <v>3179</v>
      </c>
      <c r="C185" s="85" t="s">
        <v>25</v>
      </c>
      <c r="D185" s="85" t="s">
        <v>1140</v>
      </c>
      <c r="E185" s="85" t="s">
        <v>540</v>
      </c>
      <c r="F185" s="443" t="s">
        <v>2330</v>
      </c>
      <c r="G185" s="346" t="s">
        <v>29</v>
      </c>
      <c r="H185" s="444">
        <v>500</v>
      </c>
      <c r="I185" s="349">
        <v>100</v>
      </c>
      <c r="J185" s="85" t="s">
        <v>30</v>
      </c>
      <c r="K185" s="40" t="s">
        <v>31</v>
      </c>
      <c r="M185" s="157">
        <v>100</v>
      </c>
    </row>
    <row r="186" spans="1:13" ht="15.75" customHeight="1">
      <c r="A186" s="441">
        <v>22</v>
      </c>
      <c r="B186" s="442" t="s">
        <v>3180</v>
      </c>
      <c r="C186" s="85" t="s">
        <v>25</v>
      </c>
      <c r="D186" s="85" t="s">
        <v>593</v>
      </c>
      <c r="E186" s="85" t="s">
        <v>50</v>
      </c>
      <c r="F186" s="443" t="s">
        <v>3181</v>
      </c>
      <c r="G186" s="346" t="s">
        <v>29</v>
      </c>
      <c r="H186" s="444">
        <v>500</v>
      </c>
      <c r="I186" s="349">
        <v>100</v>
      </c>
      <c r="J186" s="85" t="s">
        <v>30</v>
      </c>
      <c r="K186" s="40" t="s">
        <v>31</v>
      </c>
      <c r="M186" s="157">
        <v>200</v>
      </c>
    </row>
    <row r="187" spans="1:13" ht="15.75" customHeight="1">
      <c r="A187" s="441">
        <v>22</v>
      </c>
      <c r="B187" s="442" t="s">
        <v>3182</v>
      </c>
      <c r="C187" s="85" t="s">
        <v>25</v>
      </c>
      <c r="D187" s="85" t="s">
        <v>63</v>
      </c>
      <c r="E187" s="85" t="s">
        <v>50</v>
      </c>
      <c r="F187" s="443" t="s">
        <v>3183</v>
      </c>
      <c r="G187" s="346" t="s">
        <v>29</v>
      </c>
      <c r="H187" s="444">
        <v>500</v>
      </c>
      <c r="I187" s="349">
        <v>100</v>
      </c>
      <c r="J187" s="85" t="s">
        <v>30</v>
      </c>
      <c r="K187" s="40" t="s">
        <v>31</v>
      </c>
      <c r="M187" s="157">
        <v>150</v>
      </c>
    </row>
    <row r="188" spans="1:13" ht="15.75" customHeight="1">
      <c r="A188" s="441">
        <v>22</v>
      </c>
      <c r="B188" s="442" t="s">
        <v>1382</v>
      </c>
      <c r="C188" s="85" t="s">
        <v>25</v>
      </c>
      <c r="D188" s="85" t="s">
        <v>836</v>
      </c>
      <c r="E188" s="85" t="s">
        <v>42</v>
      </c>
      <c r="F188" s="443" t="s">
        <v>1383</v>
      </c>
      <c r="G188" s="346" t="s">
        <v>29</v>
      </c>
      <c r="H188" s="444">
        <v>6000</v>
      </c>
      <c r="I188" s="349">
        <v>1200</v>
      </c>
      <c r="J188" s="85" t="s">
        <v>30</v>
      </c>
      <c r="K188" s="40" t="s">
        <v>31</v>
      </c>
      <c r="M188" s="157">
        <v>1200</v>
      </c>
    </row>
    <row r="189" spans="1:13" ht="15.75" customHeight="1">
      <c r="A189" s="441">
        <v>22</v>
      </c>
      <c r="B189" s="442" t="s">
        <v>3184</v>
      </c>
      <c r="C189" s="85" t="s">
        <v>59</v>
      </c>
      <c r="D189" s="85" t="s">
        <v>2844</v>
      </c>
      <c r="E189" s="85" t="s">
        <v>27</v>
      </c>
      <c r="F189" s="443" t="s">
        <v>3185</v>
      </c>
      <c r="G189" s="346" t="s">
        <v>29</v>
      </c>
      <c r="H189" s="444">
        <v>500</v>
      </c>
      <c r="I189" s="349">
        <v>100</v>
      </c>
      <c r="J189" s="85" t="s">
        <v>30</v>
      </c>
      <c r="K189" s="40" t="s">
        <v>31</v>
      </c>
      <c r="M189" s="157">
        <v>300</v>
      </c>
    </row>
    <row r="190" spans="1:13" ht="15.75" customHeight="1">
      <c r="A190" s="441">
        <v>22</v>
      </c>
      <c r="B190" s="442" t="s">
        <v>3186</v>
      </c>
      <c r="C190" s="85" t="s">
        <v>25</v>
      </c>
      <c r="D190" s="85" t="s">
        <v>2844</v>
      </c>
      <c r="E190" s="85" t="s">
        <v>27</v>
      </c>
      <c r="F190" s="443" t="s">
        <v>3187</v>
      </c>
      <c r="G190" s="346" t="s">
        <v>29</v>
      </c>
      <c r="H190" s="444">
        <v>500</v>
      </c>
      <c r="I190" s="349">
        <v>100</v>
      </c>
      <c r="J190" s="85" t="s">
        <v>30</v>
      </c>
      <c r="K190" s="40" t="s">
        <v>31</v>
      </c>
      <c r="M190" s="157">
        <v>300</v>
      </c>
    </row>
    <row r="191" spans="1:13" ht="15.75" customHeight="1">
      <c r="A191" s="441">
        <v>22</v>
      </c>
      <c r="B191" s="442" t="s">
        <v>3188</v>
      </c>
      <c r="C191" s="85" t="s">
        <v>25</v>
      </c>
      <c r="D191" s="85" t="s">
        <v>3189</v>
      </c>
      <c r="E191" s="85" t="s">
        <v>46</v>
      </c>
      <c r="F191" s="443" t="s">
        <v>3190</v>
      </c>
      <c r="G191" s="346" t="s">
        <v>29</v>
      </c>
      <c r="H191" s="444">
        <v>2500</v>
      </c>
      <c r="I191" s="349">
        <v>500</v>
      </c>
      <c r="J191" s="85" t="s">
        <v>30</v>
      </c>
      <c r="K191" s="40" t="s">
        <v>31</v>
      </c>
    </row>
    <row r="192" spans="1:13" ht="15.75" customHeight="1">
      <c r="A192" s="441">
        <v>22</v>
      </c>
      <c r="B192" s="442" t="s">
        <v>3191</v>
      </c>
      <c r="C192" s="85" t="s">
        <v>25</v>
      </c>
      <c r="D192" s="85" t="s">
        <v>1165</v>
      </c>
      <c r="E192" s="85" t="s">
        <v>96</v>
      </c>
      <c r="F192" s="443" t="s">
        <v>3192</v>
      </c>
      <c r="G192" s="346" t="s">
        <v>29</v>
      </c>
      <c r="H192" s="444">
        <v>500</v>
      </c>
      <c r="I192" s="349">
        <v>100</v>
      </c>
      <c r="J192" s="85" t="s">
        <v>30</v>
      </c>
      <c r="K192" s="40" t="s">
        <v>31</v>
      </c>
      <c r="M192" s="157">
        <v>100</v>
      </c>
    </row>
    <row r="193" spans="1:13" ht="15.75" customHeight="1">
      <c r="A193" s="441">
        <v>22</v>
      </c>
      <c r="B193" s="442" t="s">
        <v>3193</v>
      </c>
      <c r="C193" s="85" t="s">
        <v>25</v>
      </c>
      <c r="D193" s="85" t="s">
        <v>3194</v>
      </c>
      <c r="E193" s="85" t="s">
        <v>103</v>
      </c>
      <c r="F193" s="85"/>
      <c r="G193" s="346" t="s">
        <v>29</v>
      </c>
      <c r="H193" s="444">
        <v>500</v>
      </c>
      <c r="I193" s="349">
        <v>100</v>
      </c>
      <c r="J193" s="85" t="s">
        <v>30</v>
      </c>
      <c r="K193" s="40" t="s">
        <v>31</v>
      </c>
      <c r="M193" s="157">
        <v>200</v>
      </c>
    </row>
    <row r="194" spans="1:13" ht="15.75" customHeight="1">
      <c r="A194" s="441">
        <v>22</v>
      </c>
      <c r="B194" s="442" t="s">
        <v>3195</v>
      </c>
      <c r="C194" s="85" t="s">
        <v>25</v>
      </c>
      <c r="D194" s="85" t="s">
        <v>3194</v>
      </c>
      <c r="E194" s="85" t="s">
        <v>103</v>
      </c>
      <c r="F194" s="443" t="s">
        <v>3196</v>
      </c>
      <c r="G194" s="346" t="s">
        <v>29</v>
      </c>
      <c r="H194" s="444">
        <v>500</v>
      </c>
      <c r="I194" s="349">
        <v>100</v>
      </c>
      <c r="J194" s="85" t="s">
        <v>30</v>
      </c>
      <c r="K194" s="40" t="s">
        <v>31</v>
      </c>
      <c r="M194" s="157">
        <v>200</v>
      </c>
    </row>
    <row r="195" spans="1:13" ht="15.75" customHeight="1">
      <c r="A195" s="441">
        <v>22</v>
      </c>
      <c r="B195" s="442" t="s">
        <v>3197</v>
      </c>
      <c r="C195" s="85" t="s">
        <v>25</v>
      </c>
      <c r="D195" s="85" t="s">
        <v>3198</v>
      </c>
      <c r="E195" s="85" t="s">
        <v>27</v>
      </c>
      <c r="F195" s="443" t="s">
        <v>3199</v>
      </c>
      <c r="G195" s="346" t="s">
        <v>29</v>
      </c>
      <c r="H195" s="444">
        <v>500</v>
      </c>
      <c r="I195" s="349">
        <v>100</v>
      </c>
      <c r="J195" s="85" t="s">
        <v>30</v>
      </c>
      <c r="K195" s="40" t="s">
        <v>31</v>
      </c>
      <c r="M195" s="157">
        <v>80</v>
      </c>
    </row>
    <row r="196" spans="1:13" ht="15.75" customHeight="1">
      <c r="A196" s="441">
        <v>22</v>
      </c>
      <c r="B196" s="442" t="s">
        <v>3200</v>
      </c>
      <c r="C196" s="85" t="s">
        <v>25</v>
      </c>
      <c r="D196" s="85" t="s">
        <v>669</v>
      </c>
      <c r="E196" s="85" t="s">
        <v>27</v>
      </c>
      <c r="F196" s="443" t="s">
        <v>3201</v>
      </c>
      <c r="G196" s="346" t="s">
        <v>29</v>
      </c>
      <c r="H196" s="444">
        <v>500</v>
      </c>
      <c r="I196" s="349">
        <v>100</v>
      </c>
      <c r="J196" s="85" t="s">
        <v>30</v>
      </c>
      <c r="K196" s="40" t="s">
        <v>31</v>
      </c>
    </row>
    <row r="197" spans="1:13" ht="15.75" customHeight="1">
      <c r="A197" s="441">
        <v>22</v>
      </c>
      <c r="B197" s="442" t="s">
        <v>3202</v>
      </c>
      <c r="C197" s="85" t="s">
        <v>25</v>
      </c>
      <c r="D197" s="85" t="s">
        <v>3203</v>
      </c>
      <c r="E197" s="85" t="s">
        <v>141</v>
      </c>
      <c r="F197" s="443" t="s">
        <v>3204</v>
      </c>
      <c r="G197" s="346" t="s">
        <v>29</v>
      </c>
      <c r="H197" s="444">
        <v>500</v>
      </c>
      <c r="I197" s="349">
        <v>100</v>
      </c>
      <c r="J197" s="85" t="s">
        <v>30</v>
      </c>
      <c r="K197" s="40" t="s">
        <v>31</v>
      </c>
    </row>
    <row r="198" spans="1:13" ht="15.75" customHeight="1">
      <c r="A198" s="441">
        <v>22</v>
      </c>
      <c r="B198" s="442" t="s">
        <v>3205</v>
      </c>
      <c r="C198" s="85" t="s">
        <v>59</v>
      </c>
      <c r="D198" s="85" t="s">
        <v>600</v>
      </c>
      <c r="E198" s="85" t="s">
        <v>60</v>
      </c>
      <c r="F198" s="443" t="s">
        <v>3206</v>
      </c>
      <c r="G198" s="346" t="s">
        <v>29</v>
      </c>
      <c r="H198" s="444">
        <v>700</v>
      </c>
      <c r="I198" s="349">
        <v>140</v>
      </c>
      <c r="J198" s="85" t="s">
        <v>30</v>
      </c>
      <c r="K198" s="40" t="s">
        <v>31</v>
      </c>
      <c r="M198" s="157">
        <v>150</v>
      </c>
    </row>
    <row r="199" spans="1:13" ht="15.75" customHeight="1">
      <c r="A199" s="441">
        <v>22</v>
      </c>
      <c r="B199" s="442" t="s">
        <v>3207</v>
      </c>
      <c r="C199" s="85" t="s">
        <v>25</v>
      </c>
      <c r="D199" s="85" t="s">
        <v>63</v>
      </c>
      <c r="E199" s="85" t="s">
        <v>27</v>
      </c>
      <c r="F199" s="443" t="s">
        <v>3208</v>
      </c>
      <c r="G199" s="346" t="s">
        <v>29</v>
      </c>
      <c r="H199" s="444">
        <v>400</v>
      </c>
      <c r="I199" s="349">
        <v>80</v>
      </c>
      <c r="J199" s="85" t="s">
        <v>30</v>
      </c>
      <c r="K199" s="40" t="s">
        <v>31</v>
      </c>
      <c r="M199" s="157">
        <v>150</v>
      </c>
    </row>
    <row r="200" spans="1:13" ht="15.75" customHeight="1">
      <c r="A200" s="441">
        <v>22</v>
      </c>
      <c r="B200" s="442" t="s">
        <v>3209</v>
      </c>
      <c r="C200" s="85" t="s">
        <v>25</v>
      </c>
      <c r="D200" s="85" t="s">
        <v>631</v>
      </c>
      <c r="E200" s="85" t="s">
        <v>60</v>
      </c>
      <c r="F200" s="443" t="s">
        <v>3210</v>
      </c>
      <c r="G200" s="346" t="s">
        <v>29</v>
      </c>
      <c r="H200" s="444">
        <v>1000</v>
      </c>
      <c r="I200" s="349">
        <v>200</v>
      </c>
      <c r="J200" s="85" t="s">
        <v>30</v>
      </c>
      <c r="K200" s="40" t="s">
        <v>31</v>
      </c>
      <c r="M200" s="157">
        <v>200</v>
      </c>
    </row>
    <row r="201" spans="1:13" ht="15.75" customHeight="1">
      <c r="A201" s="441">
        <v>22</v>
      </c>
      <c r="B201" s="442" t="s">
        <v>3211</v>
      </c>
      <c r="C201" s="85" t="s">
        <v>25</v>
      </c>
      <c r="D201" s="85" t="s">
        <v>1371</v>
      </c>
      <c r="E201" s="85" t="s">
        <v>96</v>
      </c>
      <c r="F201" s="443" t="s">
        <v>3212</v>
      </c>
      <c r="G201" s="346" t="s">
        <v>29</v>
      </c>
      <c r="H201" s="444">
        <v>1000</v>
      </c>
      <c r="I201" s="349">
        <v>200</v>
      </c>
      <c r="J201" s="85" t="s">
        <v>30</v>
      </c>
      <c r="K201" s="40" t="s">
        <v>31</v>
      </c>
    </row>
    <row r="202" spans="1:13" ht="15.75" customHeight="1">
      <c r="A202" s="441">
        <v>22</v>
      </c>
      <c r="B202" s="442" t="s">
        <v>2600</v>
      </c>
      <c r="C202" s="85" t="s">
        <v>25</v>
      </c>
      <c r="D202" s="85" t="s">
        <v>1262</v>
      </c>
      <c r="E202" s="85" t="s">
        <v>60</v>
      </c>
      <c r="F202" s="443" t="s">
        <v>2601</v>
      </c>
      <c r="G202" s="346" t="s">
        <v>29</v>
      </c>
      <c r="H202" s="444">
        <v>1000</v>
      </c>
      <c r="I202" s="349">
        <v>200</v>
      </c>
      <c r="J202" s="85" t="s">
        <v>30</v>
      </c>
      <c r="K202" s="40" t="s">
        <v>31</v>
      </c>
    </row>
    <row r="203" spans="1:13" ht="15.75" customHeight="1">
      <c r="A203" s="441">
        <v>23</v>
      </c>
      <c r="B203" s="442" t="s">
        <v>3213</v>
      </c>
      <c r="C203" s="85" t="s">
        <v>59</v>
      </c>
      <c r="D203" s="85" t="s">
        <v>3214</v>
      </c>
      <c r="E203" s="85" t="s">
        <v>242</v>
      </c>
      <c r="F203" s="443" t="s">
        <v>3215</v>
      </c>
      <c r="G203" s="346" t="s">
        <v>29</v>
      </c>
      <c r="H203" s="444">
        <v>1000</v>
      </c>
      <c r="I203" s="349">
        <v>200</v>
      </c>
      <c r="J203" s="85" t="s">
        <v>30</v>
      </c>
      <c r="K203" s="40" t="s">
        <v>31</v>
      </c>
    </row>
    <row r="204" spans="1:13" ht="15.75" customHeight="1">
      <c r="A204" s="441">
        <v>23</v>
      </c>
      <c r="B204" s="442" t="s">
        <v>884</v>
      </c>
      <c r="C204" s="85" t="s">
        <v>25</v>
      </c>
      <c r="D204" s="85" t="s">
        <v>3216</v>
      </c>
      <c r="E204" s="85" t="s">
        <v>870</v>
      </c>
      <c r="F204" s="443" t="s">
        <v>3217</v>
      </c>
      <c r="G204" s="346" t="s">
        <v>29</v>
      </c>
      <c r="H204" s="444">
        <v>3400</v>
      </c>
      <c r="I204" s="349">
        <v>680</v>
      </c>
      <c r="J204" s="85" t="s">
        <v>30</v>
      </c>
      <c r="K204" s="40" t="s">
        <v>31</v>
      </c>
    </row>
    <row r="205" spans="1:13" ht="15.75" customHeight="1">
      <c r="A205" s="441">
        <v>23</v>
      </c>
      <c r="B205" s="442" t="s">
        <v>3218</v>
      </c>
      <c r="C205" s="85" t="s">
        <v>25</v>
      </c>
      <c r="D205" s="85" t="s">
        <v>3219</v>
      </c>
      <c r="E205" s="85" t="s">
        <v>141</v>
      </c>
      <c r="F205" s="443" t="s">
        <v>3220</v>
      </c>
      <c r="G205" s="346" t="s">
        <v>29</v>
      </c>
      <c r="H205" s="444">
        <v>1000</v>
      </c>
      <c r="I205" s="349">
        <v>200</v>
      </c>
      <c r="J205" s="85" t="s">
        <v>30</v>
      </c>
      <c r="K205" s="40" t="s">
        <v>31</v>
      </c>
      <c r="M205" s="157">
        <v>150</v>
      </c>
    </row>
    <row r="206" spans="1:13" ht="15.75" customHeight="1">
      <c r="A206" s="441">
        <v>23</v>
      </c>
      <c r="B206" s="442" t="s">
        <v>3221</v>
      </c>
      <c r="C206" s="85" t="s">
        <v>25</v>
      </c>
      <c r="D206" s="85" t="s">
        <v>947</v>
      </c>
      <c r="E206" s="85" t="s">
        <v>42</v>
      </c>
      <c r="F206" s="443" t="s">
        <v>3222</v>
      </c>
      <c r="G206" s="346" t="s">
        <v>29</v>
      </c>
      <c r="H206" s="444">
        <v>600</v>
      </c>
      <c r="I206" s="349">
        <v>120</v>
      </c>
      <c r="J206" s="85" t="s">
        <v>30</v>
      </c>
      <c r="K206" s="40" t="s">
        <v>31</v>
      </c>
      <c r="M206" s="157">
        <v>120</v>
      </c>
    </row>
    <row r="207" spans="1:13" ht="15.75" customHeight="1">
      <c r="A207" s="441">
        <v>23</v>
      </c>
      <c r="B207" s="442" t="s">
        <v>3223</v>
      </c>
      <c r="C207" s="85" t="s">
        <v>25</v>
      </c>
      <c r="D207" s="85" t="s">
        <v>1234</v>
      </c>
      <c r="E207" s="85" t="s">
        <v>42</v>
      </c>
      <c r="F207" s="443" t="s">
        <v>3224</v>
      </c>
      <c r="G207" s="346" t="s">
        <v>29</v>
      </c>
      <c r="H207" s="444">
        <v>250</v>
      </c>
      <c r="I207" s="349">
        <v>50</v>
      </c>
      <c r="J207" s="85" t="s">
        <v>30</v>
      </c>
      <c r="K207" s="40" t="s">
        <v>31</v>
      </c>
    </row>
    <row r="208" spans="1:13" ht="15.75" customHeight="1">
      <c r="A208" s="434"/>
      <c r="B208" s="435"/>
      <c r="C208" s="48"/>
      <c r="D208" s="48"/>
      <c r="E208" s="48"/>
      <c r="F208" s="48"/>
      <c r="G208" s="48"/>
      <c r="H208" s="430"/>
      <c r="I208" s="51"/>
      <c r="J208" s="48"/>
      <c r="K208" s="48"/>
    </row>
    <row r="209" spans="1:26" ht="15.75" customHeight="1">
      <c r="A209" s="2"/>
      <c r="B209" s="1"/>
      <c r="C209" s="1"/>
      <c r="D209" s="1"/>
      <c r="E209" s="1"/>
      <c r="F209" s="1"/>
      <c r="G209" s="1"/>
      <c r="H209" s="1"/>
      <c r="I209" s="61"/>
      <c r="J209" s="1"/>
      <c r="K209" s="1"/>
    </row>
    <row r="210" spans="1:26" ht="15.75" customHeight="1">
      <c r="A210" s="2"/>
      <c r="B210" s="1"/>
      <c r="C210" s="1"/>
      <c r="D210" s="1"/>
      <c r="E210" s="1"/>
      <c r="F210" s="1"/>
      <c r="G210" s="1"/>
      <c r="H210" s="1"/>
      <c r="I210" s="62" t="s">
        <v>335</v>
      </c>
      <c r="J210" s="63"/>
      <c r="K210" s="1"/>
    </row>
    <row r="211" spans="1:26" ht="16.5" customHeight="1">
      <c r="A211" s="2"/>
      <c r="B211" s="1" t="s">
        <v>336</v>
      </c>
      <c r="C211" s="1"/>
      <c r="D211" s="1"/>
      <c r="E211" s="1" t="s">
        <v>337</v>
      </c>
      <c r="F211" s="1"/>
      <c r="G211" s="1"/>
      <c r="H211" s="1"/>
      <c r="I211" s="6" t="s">
        <v>338</v>
      </c>
      <c r="J211" s="292" t="s">
        <v>2265</v>
      </c>
      <c r="K211" s="1"/>
      <c r="M211" s="157">
        <f>SUM(M12:M210)</f>
        <v>31917</v>
      </c>
    </row>
    <row r="212" spans="1:26" ht="15.75" customHeight="1">
      <c r="A212" s="2"/>
      <c r="B212" s="1"/>
      <c r="C212" s="1"/>
      <c r="D212" s="1"/>
      <c r="E212" s="1"/>
      <c r="F212" s="1"/>
      <c r="G212" s="1"/>
      <c r="H212" s="1"/>
      <c r="I212" s="6" t="s">
        <v>340</v>
      </c>
      <c r="J212" s="292" t="s">
        <v>2266</v>
      </c>
      <c r="K212" s="65"/>
    </row>
    <row r="213" spans="1:26" ht="15.75" customHeight="1">
      <c r="A213" s="2"/>
      <c r="B213" s="1"/>
      <c r="C213" s="1"/>
      <c r="D213" s="1"/>
      <c r="E213" s="1"/>
      <c r="F213" s="1"/>
      <c r="G213" s="1"/>
      <c r="H213" s="1"/>
      <c r="I213" s="6"/>
      <c r="J213" s="292" t="s">
        <v>2267</v>
      </c>
      <c r="K213" s="353" t="s">
        <v>1972</v>
      </c>
      <c r="O213" s="157">
        <v>61600</v>
      </c>
    </row>
    <row r="214" spans="1:26" ht="15.75" customHeight="1">
      <c r="A214" s="2"/>
      <c r="B214" s="1"/>
      <c r="C214" s="1"/>
      <c r="D214" s="1"/>
      <c r="E214" s="1"/>
      <c r="F214" s="1"/>
      <c r="G214" s="1"/>
      <c r="H214" s="1"/>
      <c r="I214" s="6" t="s">
        <v>342</v>
      </c>
      <c r="J214" s="292" t="s">
        <v>2268</v>
      </c>
      <c r="K214" s="1"/>
      <c r="O214" s="157">
        <v>52500</v>
      </c>
    </row>
    <row r="215" spans="1:26" ht="15.75" customHeight="1">
      <c r="A215" s="2"/>
      <c r="B215" s="67" t="s">
        <v>343</v>
      </c>
      <c r="C215" s="1"/>
      <c r="D215" s="1"/>
      <c r="E215" s="554" t="s">
        <v>344</v>
      </c>
      <c r="F215" s="553"/>
      <c r="G215" s="553"/>
      <c r="H215" s="553"/>
      <c r="I215" s="6" t="s">
        <v>345</v>
      </c>
      <c r="J215" s="292" t="s">
        <v>2269</v>
      </c>
      <c r="K215" s="1"/>
      <c r="O215" s="157">
        <f>O213-O214</f>
        <v>9100</v>
      </c>
    </row>
    <row r="216" spans="1:26" ht="15.75" customHeight="1">
      <c r="A216" s="2"/>
      <c r="B216" s="1" t="s">
        <v>347</v>
      </c>
      <c r="C216" s="1"/>
      <c r="D216" s="1"/>
      <c r="E216" s="552" t="s">
        <v>348</v>
      </c>
      <c r="F216" s="553"/>
      <c r="G216" s="553"/>
      <c r="H216" s="553"/>
      <c r="I216" s="6" t="s">
        <v>349</v>
      </c>
      <c r="J216" s="292">
        <v>0</v>
      </c>
      <c r="K216" s="1"/>
    </row>
    <row r="217" spans="1:26" ht="15.75" customHeight="1">
      <c r="A217" s="2"/>
      <c r="B217" s="1"/>
      <c r="C217" s="1"/>
      <c r="D217" s="1"/>
      <c r="E217" s="1"/>
      <c r="F217" s="1"/>
      <c r="G217" s="1"/>
      <c r="H217" s="1"/>
      <c r="I217" s="6" t="s">
        <v>351</v>
      </c>
      <c r="J217" s="292">
        <v>0</v>
      </c>
      <c r="K217" s="1"/>
    </row>
    <row r="218" spans="1:26" ht="15.75" customHeight="1">
      <c r="A218" s="2"/>
      <c r="B218" s="1"/>
      <c r="C218" s="1"/>
      <c r="D218" s="1"/>
      <c r="E218" s="1"/>
      <c r="F218" s="1"/>
      <c r="G218" s="1"/>
      <c r="H218" s="1"/>
      <c r="I218" s="6" t="s">
        <v>353</v>
      </c>
      <c r="J218" s="293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2"/>
      <c r="B219" s="1"/>
      <c r="C219" s="1"/>
      <c r="D219" s="1"/>
      <c r="E219" s="1"/>
      <c r="F219" s="1"/>
      <c r="G219" s="1"/>
      <c r="H219" s="1"/>
      <c r="I219" s="68" t="s">
        <v>354</v>
      </c>
      <c r="J219" s="291" t="s">
        <v>2270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2"/>
      <c r="B220" s="1"/>
      <c r="C220" s="1"/>
      <c r="D220" s="1"/>
      <c r="E220" s="1"/>
      <c r="F220" s="1"/>
      <c r="G220" s="1"/>
      <c r="H220" s="1"/>
      <c r="I220" s="68" t="s">
        <v>356</v>
      </c>
      <c r="J220" s="69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2"/>
      <c r="B221" s="70"/>
      <c r="C221" s="1"/>
      <c r="D221" s="1"/>
      <c r="E221" s="70"/>
      <c r="F221" s="70"/>
      <c r="G221" s="70"/>
      <c r="H221" s="1"/>
      <c r="I221" s="6"/>
      <c r="J221" s="63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2"/>
      <c r="B222" s="1"/>
      <c r="C222" s="1"/>
      <c r="D222" s="1"/>
      <c r="E222" s="1"/>
      <c r="F222" s="1"/>
      <c r="G222" s="1"/>
      <c r="H222" s="1"/>
      <c r="I222" s="61"/>
      <c r="J222" s="1"/>
      <c r="K222" s="1"/>
    </row>
    <row r="223" spans="1:26" ht="15.75" customHeight="1">
      <c r="A223" s="2"/>
      <c r="B223" s="1"/>
      <c r="C223" s="1"/>
      <c r="D223" s="1"/>
      <c r="E223" s="1"/>
      <c r="F223" s="1"/>
      <c r="G223" s="1"/>
      <c r="H223" s="1"/>
      <c r="I223" s="61"/>
      <c r="J223" s="1"/>
      <c r="K223" s="1"/>
    </row>
    <row r="224" spans="1:26" ht="15.75" customHeight="1">
      <c r="A224" s="2"/>
      <c r="B224" s="1"/>
      <c r="C224" s="1"/>
      <c r="D224" s="1"/>
      <c r="E224" s="1"/>
      <c r="F224" s="1"/>
      <c r="G224" s="1"/>
      <c r="H224" s="1"/>
      <c r="I224" s="61"/>
      <c r="J224" s="1"/>
      <c r="K224" s="1"/>
    </row>
    <row r="225" spans="1:11" ht="15.75" customHeight="1">
      <c r="A225" s="2"/>
      <c r="B225" s="1"/>
      <c r="C225" s="1"/>
      <c r="D225" s="1"/>
      <c r="E225" s="1"/>
      <c r="F225" s="1"/>
      <c r="G225" s="1"/>
      <c r="H225" s="1"/>
      <c r="I225" s="61"/>
      <c r="J225" s="1"/>
      <c r="K225" s="1"/>
    </row>
    <row r="226" spans="1:11" ht="15.75" customHeight="1">
      <c r="A226" s="2"/>
      <c r="B226" s="1"/>
      <c r="C226" s="1"/>
      <c r="D226" s="1"/>
      <c r="E226" s="1"/>
      <c r="F226" s="1"/>
      <c r="G226" s="1"/>
      <c r="H226" s="1"/>
      <c r="I226" s="61"/>
      <c r="J226" s="1"/>
      <c r="K226" s="1"/>
    </row>
    <row r="227" spans="1:11" ht="15.75" customHeight="1">
      <c r="A227" s="2"/>
      <c r="B227" s="1"/>
      <c r="C227" s="1"/>
      <c r="D227" s="1"/>
      <c r="E227" s="1"/>
      <c r="F227" s="1"/>
      <c r="G227" s="1"/>
      <c r="H227" s="1"/>
      <c r="I227" s="61"/>
      <c r="J227" s="1"/>
      <c r="K227" s="1"/>
    </row>
    <row r="228" spans="1:11" ht="15.75" customHeight="1">
      <c r="A228" s="2"/>
      <c r="B228" s="1"/>
      <c r="C228" s="1"/>
      <c r="D228" s="1"/>
      <c r="E228" s="1"/>
      <c r="F228" s="1"/>
      <c r="G228" s="1"/>
      <c r="H228" s="1"/>
      <c r="I228" s="61"/>
      <c r="J228" s="1"/>
      <c r="K228" s="1"/>
    </row>
    <row r="229" spans="1:11" ht="15.75" customHeight="1">
      <c r="A229" s="2"/>
      <c r="B229" s="1"/>
      <c r="C229" s="1"/>
      <c r="D229" s="1"/>
      <c r="E229" s="1"/>
      <c r="F229" s="1"/>
      <c r="G229" s="1"/>
      <c r="H229" s="1"/>
      <c r="I229" s="61"/>
      <c r="J229" s="1"/>
      <c r="K229" s="1"/>
    </row>
    <row r="230" spans="1:11" ht="15.75" customHeight="1">
      <c r="A230" s="2"/>
      <c r="B230" s="1"/>
      <c r="C230" s="1"/>
      <c r="D230" s="1"/>
      <c r="E230" s="1"/>
      <c r="F230" s="1"/>
      <c r="G230" s="1"/>
      <c r="H230" s="1"/>
      <c r="I230" s="61"/>
      <c r="J230" s="1"/>
      <c r="K230" s="1"/>
    </row>
    <row r="231" spans="1:11" ht="15.75" customHeight="1">
      <c r="A231" s="2"/>
      <c r="B231" s="1"/>
      <c r="C231" s="1"/>
      <c r="D231" s="1"/>
      <c r="E231" s="1"/>
      <c r="F231" s="1"/>
      <c r="G231" s="1"/>
      <c r="H231" s="1"/>
      <c r="I231" s="61"/>
      <c r="J231" s="1"/>
      <c r="K231" s="1"/>
    </row>
    <row r="232" spans="1:11" ht="15.75" customHeight="1">
      <c r="A232" s="2"/>
      <c r="B232" s="1"/>
      <c r="C232" s="1"/>
      <c r="D232" s="1"/>
      <c r="E232" s="1"/>
      <c r="F232" s="1"/>
      <c r="G232" s="1"/>
      <c r="H232" s="1"/>
      <c r="I232" s="61"/>
      <c r="J232" s="1"/>
      <c r="K232" s="1"/>
    </row>
    <row r="233" spans="1:11" ht="15.75" customHeight="1">
      <c r="A233" s="2"/>
      <c r="B233" s="1"/>
      <c r="C233" s="1"/>
      <c r="D233" s="1"/>
      <c r="E233" s="1"/>
      <c r="F233" s="1"/>
      <c r="G233" s="1"/>
      <c r="H233" s="1"/>
      <c r="I233" s="61"/>
      <c r="J233" s="1"/>
      <c r="K233" s="1"/>
    </row>
    <row r="234" spans="1:11" ht="15.75" customHeight="1">
      <c r="A234" s="2"/>
      <c r="B234" s="1"/>
      <c r="C234" s="1"/>
      <c r="D234" s="1"/>
      <c r="E234" s="1"/>
      <c r="F234" s="1"/>
      <c r="G234" s="1"/>
      <c r="H234" s="1"/>
      <c r="I234" s="61"/>
      <c r="J234" s="1"/>
      <c r="K234" s="1"/>
    </row>
    <row r="235" spans="1:11" ht="15.75" customHeight="1">
      <c r="A235" s="2"/>
      <c r="B235" s="1"/>
      <c r="C235" s="1"/>
      <c r="D235" s="1"/>
      <c r="E235" s="1"/>
      <c r="F235" s="1"/>
      <c r="G235" s="1"/>
      <c r="H235" s="1"/>
      <c r="I235" s="61"/>
      <c r="J235" s="1"/>
      <c r="K235" s="1"/>
    </row>
    <row r="236" spans="1:11" ht="15.75" customHeight="1">
      <c r="A236" s="2"/>
      <c r="B236" s="1"/>
      <c r="C236" s="1"/>
      <c r="D236" s="1"/>
      <c r="E236" s="1"/>
      <c r="F236" s="1"/>
      <c r="G236" s="1"/>
      <c r="H236" s="1"/>
      <c r="I236" s="61"/>
      <c r="J236" s="1"/>
      <c r="K236" s="1"/>
    </row>
    <row r="237" spans="1:11" ht="15.75" customHeight="1">
      <c r="A237" s="2"/>
      <c r="B237" s="1"/>
      <c r="C237" s="1"/>
      <c r="D237" s="1"/>
      <c r="E237" s="1"/>
      <c r="F237" s="1"/>
      <c r="G237" s="1"/>
      <c r="H237" s="1"/>
      <c r="I237" s="61"/>
      <c r="J237" s="1"/>
      <c r="K237" s="1"/>
    </row>
    <row r="238" spans="1:11" ht="15.75" customHeight="1">
      <c r="A238" s="2"/>
      <c r="B238" s="1"/>
      <c r="C238" s="1"/>
      <c r="D238" s="1"/>
      <c r="E238" s="1"/>
      <c r="F238" s="1"/>
      <c r="G238" s="1"/>
      <c r="H238" s="1"/>
      <c r="I238" s="61"/>
      <c r="J238" s="1"/>
      <c r="K238" s="1"/>
    </row>
    <row r="239" spans="1:11" ht="15.75" customHeight="1">
      <c r="A239" s="2"/>
      <c r="B239" s="1"/>
      <c r="C239" s="1"/>
      <c r="D239" s="1"/>
      <c r="E239" s="1"/>
      <c r="F239" s="1"/>
      <c r="G239" s="1"/>
      <c r="H239" s="1"/>
      <c r="I239" s="61"/>
      <c r="J239" s="1"/>
      <c r="K239" s="1"/>
    </row>
    <row r="240" spans="1:11" ht="15.75" customHeight="1">
      <c r="A240" s="2"/>
      <c r="B240" s="1"/>
      <c r="C240" s="1"/>
      <c r="D240" s="1"/>
      <c r="E240" s="1"/>
      <c r="F240" s="1"/>
      <c r="G240" s="1"/>
      <c r="H240" s="1"/>
      <c r="I240" s="61"/>
      <c r="J240" s="1"/>
      <c r="K240" s="1"/>
    </row>
    <row r="241" spans="1:11" ht="15.75" customHeight="1">
      <c r="A241" s="2"/>
      <c r="B241" s="1"/>
      <c r="C241" s="1"/>
      <c r="D241" s="1"/>
      <c r="E241" s="1"/>
      <c r="F241" s="1"/>
      <c r="G241" s="1"/>
      <c r="H241" s="1"/>
      <c r="I241" s="61"/>
      <c r="J241" s="1"/>
      <c r="K241" s="1"/>
    </row>
    <row r="242" spans="1:11" ht="15.75" customHeight="1">
      <c r="A242" s="2"/>
      <c r="B242" s="1"/>
      <c r="C242" s="1"/>
      <c r="D242" s="1"/>
      <c r="E242" s="1"/>
      <c r="F242" s="1"/>
      <c r="G242" s="1"/>
      <c r="H242" s="1"/>
      <c r="I242" s="61"/>
      <c r="J242" s="1"/>
      <c r="K242" s="1"/>
    </row>
    <row r="243" spans="1:11" ht="15.75" customHeight="1">
      <c r="A243" s="2"/>
      <c r="B243" s="1"/>
      <c r="C243" s="1"/>
      <c r="D243" s="1"/>
      <c r="E243" s="1"/>
      <c r="F243" s="1"/>
      <c r="G243" s="1"/>
      <c r="H243" s="1"/>
      <c r="I243" s="61"/>
      <c r="J243" s="1"/>
      <c r="K243" s="1"/>
    </row>
    <row r="244" spans="1:11" ht="15.75" customHeight="1">
      <c r="A244" s="2"/>
      <c r="B244" s="1"/>
      <c r="C244" s="1"/>
      <c r="D244" s="1"/>
      <c r="E244" s="1"/>
      <c r="F244" s="1"/>
      <c r="G244" s="1"/>
      <c r="H244" s="1"/>
      <c r="I244" s="61"/>
      <c r="J244" s="1"/>
      <c r="K244" s="1"/>
    </row>
    <row r="245" spans="1:11" ht="15.75" customHeight="1">
      <c r="A245" s="2"/>
      <c r="B245" s="1"/>
      <c r="C245" s="1"/>
      <c r="D245" s="1"/>
      <c r="E245" s="1"/>
      <c r="F245" s="1"/>
      <c r="G245" s="1"/>
      <c r="H245" s="1"/>
      <c r="I245" s="61"/>
      <c r="J245" s="1"/>
      <c r="K245" s="1"/>
    </row>
    <row r="246" spans="1:11" ht="15.75" customHeight="1">
      <c r="A246" s="2"/>
      <c r="B246" s="1"/>
      <c r="C246" s="1"/>
      <c r="D246" s="1"/>
      <c r="E246" s="1"/>
      <c r="F246" s="1"/>
      <c r="G246" s="1"/>
      <c r="H246" s="1"/>
      <c r="I246" s="61"/>
      <c r="J246" s="1"/>
      <c r="K246" s="1"/>
    </row>
    <row r="247" spans="1:11" ht="15.75" customHeight="1">
      <c r="A247" s="2"/>
      <c r="B247" s="1"/>
      <c r="C247" s="1"/>
      <c r="D247" s="1"/>
      <c r="E247" s="1"/>
      <c r="F247" s="1"/>
      <c r="G247" s="1"/>
      <c r="H247" s="1"/>
      <c r="I247" s="61"/>
      <c r="J247" s="1"/>
      <c r="K247" s="1"/>
    </row>
    <row r="248" spans="1:11" ht="15.75" customHeight="1">
      <c r="A248" s="2"/>
      <c r="B248" s="1"/>
      <c r="C248" s="1"/>
      <c r="D248" s="1"/>
      <c r="E248" s="1"/>
      <c r="F248" s="1"/>
      <c r="G248" s="1"/>
      <c r="H248" s="1"/>
      <c r="I248" s="61"/>
      <c r="J248" s="1"/>
      <c r="K248" s="1"/>
    </row>
    <row r="249" spans="1:11" ht="15.75" customHeight="1">
      <c r="A249" s="2"/>
      <c r="B249" s="1"/>
      <c r="C249" s="1"/>
      <c r="D249" s="1"/>
      <c r="E249" s="1"/>
      <c r="F249" s="1"/>
      <c r="G249" s="1"/>
      <c r="H249" s="1"/>
      <c r="I249" s="61"/>
      <c r="J249" s="1"/>
      <c r="K249" s="1"/>
    </row>
    <row r="250" spans="1:11" ht="15.75" customHeight="1">
      <c r="A250" s="2"/>
      <c r="B250" s="1"/>
      <c r="C250" s="1"/>
      <c r="D250" s="1"/>
      <c r="E250" s="1"/>
      <c r="F250" s="1"/>
      <c r="G250" s="1"/>
      <c r="H250" s="1"/>
      <c r="I250" s="61"/>
      <c r="J250" s="1"/>
      <c r="K250" s="1"/>
    </row>
    <row r="251" spans="1:11" ht="15.75" customHeight="1">
      <c r="A251" s="2"/>
      <c r="B251" s="1"/>
      <c r="C251" s="1"/>
      <c r="D251" s="1"/>
      <c r="E251" s="1"/>
      <c r="F251" s="1"/>
      <c r="G251" s="1"/>
      <c r="H251" s="1"/>
      <c r="I251" s="61"/>
      <c r="J251" s="1"/>
      <c r="K251" s="1"/>
    </row>
    <row r="252" spans="1:11" ht="15.75" customHeight="1">
      <c r="A252" s="2"/>
      <c r="B252" s="1"/>
      <c r="C252" s="1"/>
      <c r="D252" s="1"/>
      <c r="E252" s="1"/>
      <c r="F252" s="1"/>
      <c r="G252" s="1"/>
      <c r="H252" s="1"/>
      <c r="I252" s="61"/>
      <c r="J252" s="1"/>
      <c r="K252" s="1"/>
    </row>
    <row r="253" spans="1:11" ht="15.75" customHeight="1">
      <c r="A253" s="2"/>
      <c r="B253" s="1"/>
      <c r="C253" s="1"/>
      <c r="D253" s="1"/>
      <c r="E253" s="1"/>
      <c r="F253" s="1"/>
      <c r="G253" s="1"/>
      <c r="H253" s="1"/>
      <c r="I253" s="61"/>
      <c r="J253" s="1"/>
      <c r="K253" s="1"/>
    </row>
    <row r="254" spans="1:11" ht="15.75" customHeight="1">
      <c r="A254" s="2"/>
      <c r="B254" s="1"/>
      <c r="C254" s="1"/>
      <c r="D254" s="1"/>
      <c r="E254" s="1"/>
      <c r="F254" s="1"/>
      <c r="G254" s="1"/>
      <c r="H254" s="1"/>
      <c r="I254" s="61"/>
      <c r="J254" s="1"/>
      <c r="K254" s="1"/>
    </row>
    <row r="255" spans="1:11" ht="15.75" customHeight="1">
      <c r="A255" s="2"/>
      <c r="B255" s="1"/>
      <c r="C255" s="1"/>
      <c r="D255" s="1"/>
      <c r="E255" s="1"/>
      <c r="F255" s="1"/>
      <c r="G255" s="1"/>
      <c r="H255" s="1"/>
      <c r="I255" s="61"/>
      <c r="J255" s="1"/>
      <c r="K255" s="1"/>
    </row>
    <row r="256" spans="1:11" ht="15.75" customHeight="1">
      <c r="A256" s="2"/>
      <c r="B256" s="1"/>
      <c r="C256" s="1"/>
      <c r="D256" s="1"/>
      <c r="E256" s="1"/>
      <c r="F256" s="1"/>
      <c r="G256" s="1"/>
      <c r="H256" s="1"/>
      <c r="I256" s="61"/>
      <c r="J256" s="1"/>
      <c r="K256" s="1"/>
    </row>
    <row r="257" spans="1:11" ht="15.75" customHeight="1">
      <c r="A257" s="2"/>
      <c r="B257" s="1"/>
      <c r="C257" s="1"/>
      <c r="D257" s="1"/>
      <c r="E257" s="1"/>
      <c r="F257" s="1"/>
      <c r="G257" s="1"/>
      <c r="H257" s="1"/>
      <c r="I257" s="61"/>
      <c r="J257" s="1"/>
      <c r="K257" s="1"/>
    </row>
    <row r="258" spans="1:11" ht="15.75" customHeight="1">
      <c r="A258" s="2"/>
      <c r="B258" s="1"/>
      <c r="C258" s="1"/>
      <c r="D258" s="1"/>
      <c r="E258" s="1"/>
      <c r="F258" s="1"/>
      <c r="G258" s="1"/>
      <c r="H258" s="1"/>
      <c r="I258" s="61"/>
      <c r="J258" s="1"/>
      <c r="K258" s="1"/>
    </row>
    <row r="259" spans="1:11" ht="15.75" customHeight="1">
      <c r="A259" s="2"/>
      <c r="B259" s="1"/>
      <c r="C259" s="1"/>
      <c r="D259" s="1"/>
      <c r="E259" s="1"/>
      <c r="F259" s="1"/>
      <c r="G259" s="1"/>
      <c r="H259" s="1"/>
      <c r="I259" s="61"/>
      <c r="J259" s="1"/>
      <c r="K259" s="1"/>
    </row>
    <row r="260" spans="1:11" ht="15.75" customHeight="1">
      <c r="A260" s="2"/>
      <c r="B260" s="1"/>
      <c r="C260" s="1"/>
      <c r="D260" s="1"/>
      <c r="E260" s="1"/>
      <c r="F260" s="1"/>
      <c r="G260" s="1"/>
      <c r="H260" s="1"/>
      <c r="I260" s="61"/>
      <c r="J260" s="1"/>
      <c r="K260" s="1"/>
    </row>
    <row r="261" spans="1:11" ht="15.75" customHeight="1">
      <c r="A261" s="2"/>
      <c r="B261" s="1"/>
      <c r="C261" s="1"/>
      <c r="D261" s="1"/>
      <c r="E261" s="1"/>
      <c r="F261" s="1"/>
      <c r="G261" s="1"/>
      <c r="H261" s="1"/>
      <c r="I261" s="61"/>
      <c r="J261" s="1"/>
      <c r="K261" s="1"/>
    </row>
    <row r="262" spans="1:11" ht="15.75" customHeight="1">
      <c r="A262" s="2"/>
      <c r="B262" s="1"/>
      <c r="C262" s="1"/>
      <c r="D262" s="1"/>
      <c r="E262" s="1"/>
      <c r="F262" s="1"/>
      <c r="G262" s="1"/>
      <c r="H262" s="1"/>
      <c r="I262" s="61"/>
      <c r="J262" s="1"/>
      <c r="K262" s="1"/>
    </row>
    <row r="263" spans="1:11" ht="15.75" customHeight="1">
      <c r="A263" s="2"/>
      <c r="B263" s="1"/>
      <c r="C263" s="1"/>
      <c r="D263" s="1"/>
      <c r="E263" s="1"/>
      <c r="F263" s="1"/>
      <c r="G263" s="1"/>
      <c r="H263" s="1"/>
      <c r="I263" s="61"/>
      <c r="J263" s="1"/>
      <c r="K263" s="1"/>
    </row>
    <row r="264" spans="1:11" ht="15.75" customHeight="1">
      <c r="A264" s="2"/>
      <c r="B264" s="1"/>
      <c r="C264" s="1"/>
      <c r="D264" s="1"/>
      <c r="E264" s="1"/>
      <c r="F264" s="1"/>
      <c r="G264" s="1"/>
      <c r="H264" s="1"/>
      <c r="I264" s="61"/>
      <c r="J264" s="1"/>
      <c r="K264" s="1"/>
    </row>
    <row r="265" spans="1:11" ht="15.75" customHeight="1">
      <c r="A265" s="2"/>
      <c r="B265" s="1"/>
      <c r="C265" s="1"/>
      <c r="D265" s="1"/>
      <c r="E265" s="1"/>
      <c r="F265" s="1"/>
      <c r="G265" s="1"/>
      <c r="H265" s="1"/>
      <c r="I265" s="61"/>
      <c r="J265" s="1"/>
      <c r="K265" s="1"/>
    </row>
    <row r="266" spans="1:11" ht="15.75" customHeight="1">
      <c r="A266" s="2"/>
      <c r="B266" s="1"/>
      <c r="C266" s="1"/>
      <c r="D266" s="1"/>
      <c r="E266" s="1"/>
      <c r="F266" s="1"/>
      <c r="G266" s="1"/>
      <c r="H266" s="1"/>
      <c r="I266" s="61"/>
      <c r="J266" s="1"/>
      <c r="K266" s="1"/>
    </row>
    <row r="267" spans="1:11" ht="15.75" customHeight="1">
      <c r="A267" s="2"/>
      <c r="B267" s="1"/>
      <c r="C267" s="1"/>
      <c r="D267" s="1"/>
      <c r="E267" s="1"/>
      <c r="F267" s="1"/>
      <c r="G267" s="1"/>
      <c r="H267" s="1"/>
      <c r="I267" s="61"/>
      <c r="J267" s="1"/>
      <c r="K267" s="1"/>
    </row>
    <row r="268" spans="1:11" ht="15.75" customHeight="1">
      <c r="A268" s="2"/>
      <c r="B268" s="1"/>
      <c r="C268" s="1"/>
      <c r="D268" s="1"/>
      <c r="E268" s="1"/>
      <c r="F268" s="1"/>
      <c r="G268" s="1"/>
      <c r="H268" s="1"/>
      <c r="I268" s="61"/>
      <c r="J268" s="1"/>
      <c r="K268" s="1"/>
    </row>
    <row r="269" spans="1:11" ht="15.75" customHeight="1">
      <c r="A269" s="2"/>
      <c r="B269" s="1"/>
      <c r="C269" s="1"/>
      <c r="D269" s="1"/>
      <c r="E269" s="1"/>
      <c r="F269" s="1"/>
      <c r="G269" s="1"/>
      <c r="H269" s="1"/>
      <c r="I269" s="61"/>
      <c r="J269" s="1"/>
      <c r="K269" s="1"/>
    </row>
    <row r="270" spans="1:11" ht="15.75" customHeight="1">
      <c r="A270" s="2"/>
      <c r="B270" s="1"/>
      <c r="C270" s="1"/>
      <c r="D270" s="1"/>
      <c r="E270" s="1"/>
      <c r="F270" s="1"/>
      <c r="G270" s="1"/>
      <c r="H270" s="1"/>
      <c r="I270" s="61"/>
      <c r="J270" s="1"/>
      <c r="K270" s="1"/>
    </row>
    <row r="271" spans="1:11" ht="15.75" customHeight="1">
      <c r="A271" s="2"/>
      <c r="B271" s="1"/>
      <c r="C271" s="1"/>
      <c r="D271" s="1"/>
      <c r="E271" s="1"/>
      <c r="F271" s="1"/>
      <c r="G271" s="1"/>
      <c r="H271" s="1"/>
      <c r="I271" s="61"/>
      <c r="J271" s="1"/>
      <c r="K271" s="1"/>
    </row>
    <row r="272" spans="1:11" ht="15.75" customHeight="1">
      <c r="A272" s="2"/>
      <c r="B272" s="1"/>
      <c r="C272" s="1"/>
      <c r="D272" s="1"/>
      <c r="E272" s="1"/>
      <c r="F272" s="1"/>
      <c r="G272" s="1"/>
      <c r="H272" s="1"/>
      <c r="I272" s="61"/>
      <c r="J272" s="1"/>
      <c r="K272" s="1"/>
    </row>
    <row r="273" spans="1:11" ht="15.75" customHeight="1">
      <c r="A273" s="2"/>
      <c r="B273" s="1"/>
      <c r="C273" s="1"/>
      <c r="D273" s="1"/>
      <c r="E273" s="1"/>
      <c r="F273" s="1"/>
      <c r="G273" s="1"/>
      <c r="H273" s="1"/>
      <c r="I273" s="61"/>
      <c r="J273" s="1"/>
      <c r="K273" s="1"/>
    </row>
    <row r="274" spans="1:11" ht="15.75" customHeight="1">
      <c r="A274" s="2"/>
      <c r="B274" s="1"/>
      <c r="C274" s="1"/>
      <c r="D274" s="1"/>
      <c r="E274" s="1"/>
      <c r="F274" s="1"/>
      <c r="G274" s="1"/>
      <c r="H274" s="1"/>
      <c r="I274" s="61"/>
      <c r="J274" s="1"/>
      <c r="K274" s="1"/>
    </row>
    <row r="275" spans="1:11" ht="15.75" customHeight="1">
      <c r="A275" s="2"/>
      <c r="B275" s="1"/>
      <c r="C275" s="1"/>
      <c r="D275" s="1"/>
      <c r="E275" s="1"/>
      <c r="F275" s="1"/>
      <c r="G275" s="1"/>
      <c r="H275" s="1"/>
      <c r="I275" s="61"/>
      <c r="J275" s="1"/>
      <c r="K275" s="1"/>
    </row>
    <row r="276" spans="1:11" ht="15.75" customHeight="1">
      <c r="A276" s="2"/>
      <c r="B276" s="1"/>
      <c r="C276" s="1"/>
      <c r="D276" s="1"/>
      <c r="E276" s="1"/>
      <c r="F276" s="1"/>
      <c r="G276" s="1"/>
      <c r="H276" s="1"/>
      <c r="I276" s="61"/>
      <c r="J276" s="1"/>
      <c r="K276" s="1"/>
    </row>
    <row r="277" spans="1:11" ht="15.75" customHeight="1">
      <c r="A277" s="2"/>
      <c r="B277" s="1"/>
      <c r="C277" s="1"/>
      <c r="D277" s="1"/>
      <c r="E277" s="1"/>
      <c r="F277" s="1"/>
      <c r="G277" s="1"/>
      <c r="H277" s="1"/>
      <c r="I277" s="61"/>
      <c r="J277" s="1"/>
      <c r="K277" s="1"/>
    </row>
    <row r="278" spans="1:11" ht="15.75" customHeight="1">
      <c r="A278" s="2"/>
      <c r="B278" s="1"/>
      <c r="C278" s="1"/>
      <c r="D278" s="1"/>
      <c r="E278" s="1"/>
      <c r="F278" s="1"/>
      <c r="G278" s="1"/>
      <c r="H278" s="1"/>
      <c r="I278" s="61"/>
      <c r="J278" s="1"/>
      <c r="K278" s="1"/>
    </row>
    <row r="279" spans="1:11" ht="15.75" customHeight="1">
      <c r="A279" s="2"/>
      <c r="B279" s="1"/>
      <c r="C279" s="1"/>
      <c r="D279" s="1"/>
      <c r="E279" s="1"/>
      <c r="F279" s="1"/>
      <c r="G279" s="1"/>
      <c r="H279" s="1"/>
      <c r="I279" s="61"/>
      <c r="J279" s="1"/>
      <c r="K279" s="1"/>
    </row>
    <row r="280" spans="1:11" ht="15.75" customHeight="1">
      <c r="A280" s="2"/>
      <c r="B280" s="1"/>
      <c r="C280" s="1"/>
      <c r="D280" s="1"/>
      <c r="E280" s="1"/>
      <c r="F280" s="1"/>
      <c r="G280" s="1"/>
      <c r="H280" s="1"/>
      <c r="I280" s="61"/>
      <c r="J280" s="1"/>
      <c r="K280" s="1"/>
    </row>
    <row r="281" spans="1:11" ht="15.75" customHeight="1">
      <c r="A281" s="2"/>
      <c r="B281" s="1"/>
      <c r="C281" s="1"/>
      <c r="D281" s="1"/>
      <c r="E281" s="1"/>
      <c r="F281" s="1"/>
      <c r="G281" s="1"/>
      <c r="H281" s="1"/>
      <c r="I281" s="61"/>
      <c r="J281" s="1"/>
      <c r="K281" s="1"/>
    </row>
    <row r="282" spans="1:11" ht="15.75" customHeight="1">
      <c r="A282" s="2"/>
      <c r="B282" s="1"/>
      <c r="C282" s="1"/>
      <c r="D282" s="1"/>
      <c r="E282" s="1"/>
      <c r="F282" s="1"/>
      <c r="G282" s="1"/>
      <c r="H282" s="1"/>
      <c r="I282" s="61"/>
      <c r="J282" s="1"/>
      <c r="K282" s="1"/>
    </row>
    <row r="283" spans="1:11" ht="15.75" customHeight="1">
      <c r="A283" s="2"/>
      <c r="B283" s="1"/>
      <c r="C283" s="1"/>
      <c r="D283" s="1"/>
      <c r="E283" s="1"/>
      <c r="F283" s="1"/>
      <c r="G283" s="1"/>
      <c r="H283" s="1"/>
      <c r="I283" s="61"/>
      <c r="J283" s="1"/>
      <c r="K283" s="1"/>
    </row>
    <row r="284" spans="1:11" ht="15.75" customHeight="1">
      <c r="A284" s="2"/>
      <c r="B284" s="1"/>
      <c r="C284" s="1"/>
      <c r="D284" s="1"/>
      <c r="E284" s="1"/>
      <c r="F284" s="1"/>
      <c r="G284" s="1"/>
      <c r="H284" s="1"/>
      <c r="I284" s="61"/>
      <c r="J284" s="1"/>
      <c r="K284" s="1"/>
    </row>
    <row r="285" spans="1:11" ht="15.75" customHeight="1">
      <c r="A285" s="2"/>
      <c r="B285" s="1"/>
      <c r="C285" s="1"/>
      <c r="D285" s="1"/>
      <c r="E285" s="1"/>
      <c r="F285" s="1"/>
      <c r="G285" s="1"/>
      <c r="H285" s="1"/>
      <c r="I285" s="61"/>
      <c r="J285" s="1"/>
      <c r="K285" s="1"/>
    </row>
    <row r="286" spans="1:11" ht="15.75" customHeight="1">
      <c r="A286" s="2"/>
      <c r="B286" s="1"/>
      <c r="C286" s="1"/>
      <c r="D286" s="1"/>
      <c r="E286" s="1"/>
      <c r="F286" s="1"/>
      <c r="G286" s="1"/>
      <c r="H286" s="1"/>
      <c r="I286" s="61"/>
      <c r="J286" s="1"/>
      <c r="K286" s="1"/>
    </row>
    <row r="287" spans="1:11" ht="15.75" customHeight="1">
      <c r="A287" s="2"/>
      <c r="B287" s="1"/>
      <c r="C287" s="1"/>
      <c r="D287" s="1"/>
      <c r="E287" s="1"/>
      <c r="F287" s="1"/>
      <c r="G287" s="1"/>
      <c r="H287" s="1"/>
      <c r="I287" s="61"/>
      <c r="J287" s="1"/>
      <c r="K287" s="1"/>
    </row>
    <row r="288" spans="1:11" ht="15.75" customHeight="1">
      <c r="A288" s="2"/>
      <c r="B288" s="1"/>
      <c r="C288" s="1"/>
      <c r="D288" s="1"/>
      <c r="E288" s="1"/>
      <c r="F288" s="1"/>
      <c r="G288" s="1"/>
      <c r="H288" s="1"/>
      <c r="I288" s="61"/>
      <c r="J288" s="1"/>
      <c r="K288" s="1"/>
    </row>
    <row r="289" spans="1:11" ht="15.75" customHeight="1">
      <c r="A289" s="2"/>
      <c r="B289" s="1"/>
      <c r="C289" s="1"/>
      <c r="D289" s="1"/>
      <c r="E289" s="1"/>
      <c r="F289" s="1"/>
      <c r="G289" s="1"/>
      <c r="H289" s="1"/>
      <c r="I289" s="61"/>
      <c r="J289" s="1"/>
      <c r="K289" s="1"/>
    </row>
    <row r="290" spans="1:11" ht="15.75" customHeight="1">
      <c r="A290" s="2"/>
      <c r="B290" s="1"/>
      <c r="C290" s="1"/>
      <c r="D290" s="1"/>
      <c r="E290" s="1"/>
      <c r="F290" s="1"/>
      <c r="G290" s="1"/>
      <c r="H290" s="1"/>
      <c r="I290" s="61"/>
      <c r="J290" s="1"/>
      <c r="K290" s="1"/>
    </row>
    <row r="291" spans="1:11" ht="15.75" customHeight="1">
      <c r="A291" s="2"/>
      <c r="B291" s="1"/>
      <c r="C291" s="1"/>
      <c r="D291" s="1"/>
      <c r="E291" s="1"/>
      <c r="F291" s="1"/>
      <c r="G291" s="1"/>
      <c r="H291" s="1"/>
      <c r="I291" s="61"/>
      <c r="J291" s="1"/>
      <c r="K291" s="1"/>
    </row>
    <row r="292" spans="1:11" ht="15.75" customHeight="1">
      <c r="A292" s="2"/>
      <c r="B292" s="1"/>
      <c r="C292" s="1"/>
      <c r="D292" s="1"/>
      <c r="E292" s="1"/>
      <c r="F292" s="1"/>
      <c r="G292" s="1"/>
      <c r="H292" s="1"/>
      <c r="I292" s="61"/>
      <c r="J292" s="1"/>
      <c r="K292" s="1"/>
    </row>
    <row r="293" spans="1:11" ht="15.75" customHeight="1">
      <c r="A293" s="2"/>
      <c r="B293" s="1"/>
      <c r="C293" s="1"/>
      <c r="D293" s="1"/>
      <c r="E293" s="1"/>
      <c r="F293" s="1"/>
      <c r="G293" s="1"/>
      <c r="H293" s="1"/>
      <c r="I293" s="61"/>
      <c r="J293" s="1"/>
      <c r="K293" s="1"/>
    </row>
    <row r="294" spans="1:11" ht="15.75" customHeight="1">
      <c r="A294" s="2"/>
      <c r="B294" s="1"/>
      <c r="C294" s="1"/>
      <c r="D294" s="1"/>
      <c r="E294" s="1"/>
      <c r="F294" s="1"/>
      <c r="G294" s="1"/>
      <c r="H294" s="1"/>
      <c r="I294" s="61"/>
      <c r="J294" s="1"/>
      <c r="K294" s="1"/>
    </row>
    <row r="295" spans="1:11" ht="15.75" customHeight="1">
      <c r="A295" s="2"/>
      <c r="B295" s="1"/>
      <c r="C295" s="1"/>
      <c r="D295" s="1"/>
      <c r="E295" s="1"/>
      <c r="F295" s="1"/>
      <c r="G295" s="1"/>
      <c r="H295" s="1"/>
      <c r="I295" s="61"/>
      <c r="J295" s="1"/>
      <c r="K295" s="1"/>
    </row>
    <row r="296" spans="1:11" ht="15.75" customHeight="1">
      <c r="A296" s="2"/>
      <c r="B296" s="1"/>
      <c r="C296" s="1"/>
      <c r="D296" s="1"/>
      <c r="E296" s="1"/>
      <c r="F296" s="1"/>
      <c r="G296" s="1"/>
      <c r="H296" s="1"/>
      <c r="I296" s="61"/>
      <c r="J296" s="1"/>
      <c r="K296" s="1"/>
    </row>
    <row r="297" spans="1:11" ht="15.75" customHeight="1">
      <c r="A297" s="2"/>
      <c r="B297" s="1"/>
      <c r="C297" s="1"/>
      <c r="D297" s="1"/>
      <c r="E297" s="1"/>
      <c r="F297" s="1"/>
      <c r="G297" s="1"/>
      <c r="H297" s="1"/>
      <c r="I297" s="61"/>
      <c r="J297" s="1"/>
      <c r="K297" s="1"/>
    </row>
    <row r="298" spans="1:11" ht="15.75" customHeight="1">
      <c r="A298" s="2"/>
      <c r="B298" s="1"/>
      <c r="C298" s="1"/>
      <c r="D298" s="1"/>
      <c r="E298" s="1"/>
      <c r="F298" s="1"/>
      <c r="G298" s="1"/>
      <c r="H298" s="1"/>
      <c r="I298" s="61"/>
      <c r="J298" s="1"/>
      <c r="K298" s="1"/>
    </row>
    <row r="299" spans="1:11" ht="15.75" customHeight="1">
      <c r="A299" s="2"/>
      <c r="B299" s="1"/>
      <c r="C299" s="1"/>
      <c r="D299" s="1"/>
      <c r="E299" s="1"/>
      <c r="F299" s="1"/>
      <c r="G299" s="1"/>
      <c r="H299" s="1"/>
      <c r="I299" s="61"/>
      <c r="J299" s="1"/>
      <c r="K299" s="1"/>
    </row>
    <row r="300" spans="1:11" ht="15.75" customHeight="1">
      <c r="A300" s="2"/>
      <c r="B300" s="1"/>
      <c r="C300" s="1"/>
      <c r="D300" s="1"/>
      <c r="E300" s="1"/>
      <c r="F300" s="1"/>
      <c r="G300" s="1"/>
      <c r="H300" s="1"/>
      <c r="I300" s="61"/>
      <c r="J300" s="1"/>
      <c r="K300" s="1"/>
    </row>
    <row r="301" spans="1:11" ht="15.75" customHeight="1">
      <c r="A301" s="2"/>
      <c r="B301" s="1"/>
      <c r="C301" s="1"/>
      <c r="D301" s="1"/>
      <c r="E301" s="1"/>
      <c r="F301" s="1"/>
      <c r="G301" s="1"/>
      <c r="H301" s="1"/>
      <c r="I301" s="61"/>
      <c r="J301" s="1"/>
      <c r="K301" s="1"/>
    </row>
    <row r="302" spans="1:11" ht="15.75" customHeight="1">
      <c r="A302" s="2"/>
      <c r="B302" s="1"/>
      <c r="C302" s="1"/>
      <c r="D302" s="1"/>
      <c r="E302" s="1"/>
      <c r="F302" s="1"/>
      <c r="G302" s="1"/>
      <c r="H302" s="1"/>
      <c r="I302" s="61"/>
      <c r="J302" s="1"/>
      <c r="K302" s="1"/>
    </row>
    <row r="303" spans="1:11" ht="15.75" customHeight="1">
      <c r="A303" s="2"/>
      <c r="B303" s="1"/>
      <c r="C303" s="1"/>
      <c r="D303" s="1"/>
      <c r="E303" s="1"/>
      <c r="F303" s="1"/>
      <c r="G303" s="1"/>
      <c r="H303" s="1"/>
      <c r="I303" s="61"/>
      <c r="J303" s="1"/>
      <c r="K303" s="1"/>
    </row>
    <row r="304" spans="1:11" ht="15.75" customHeight="1">
      <c r="A304" s="2"/>
      <c r="B304" s="1"/>
      <c r="C304" s="1"/>
      <c r="D304" s="1"/>
      <c r="E304" s="1"/>
      <c r="F304" s="1"/>
      <c r="G304" s="1"/>
      <c r="H304" s="1"/>
      <c r="I304" s="61"/>
      <c r="J304" s="1"/>
      <c r="K304" s="1"/>
    </row>
    <row r="305" spans="1:11" ht="15.75" customHeight="1">
      <c r="A305" s="2"/>
      <c r="B305" s="1"/>
      <c r="C305" s="1"/>
      <c r="D305" s="1"/>
      <c r="E305" s="1"/>
      <c r="F305" s="1"/>
      <c r="G305" s="1"/>
      <c r="H305" s="1"/>
      <c r="I305" s="61"/>
      <c r="J305" s="1"/>
      <c r="K305" s="1"/>
    </row>
    <row r="306" spans="1:11" ht="15.75" customHeight="1">
      <c r="A306" s="2"/>
      <c r="B306" s="1"/>
      <c r="C306" s="1"/>
      <c r="D306" s="1"/>
      <c r="E306" s="1"/>
      <c r="F306" s="1"/>
      <c r="G306" s="1"/>
      <c r="H306" s="1"/>
      <c r="I306" s="61"/>
      <c r="J306" s="1"/>
      <c r="K306" s="1"/>
    </row>
    <row r="307" spans="1:11" ht="15.75" customHeight="1">
      <c r="A307" s="2"/>
      <c r="B307" s="1"/>
      <c r="C307" s="1"/>
      <c r="D307" s="1"/>
      <c r="E307" s="1"/>
      <c r="F307" s="1"/>
      <c r="G307" s="1"/>
      <c r="H307" s="1"/>
      <c r="I307" s="61"/>
      <c r="J307" s="1"/>
      <c r="K307" s="1"/>
    </row>
    <row r="308" spans="1:11" ht="15.75" customHeight="1">
      <c r="A308" s="2"/>
      <c r="B308" s="1"/>
      <c r="C308" s="1"/>
      <c r="D308" s="1"/>
      <c r="E308" s="1"/>
      <c r="F308" s="1"/>
      <c r="G308" s="1"/>
      <c r="H308" s="1"/>
      <c r="I308" s="61"/>
      <c r="J308" s="1"/>
      <c r="K308" s="1"/>
    </row>
    <row r="309" spans="1:11" ht="15.75" customHeight="1">
      <c r="A309" s="2"/>
      <c r="B309" s="1"/>
      <c r="C309" s="1"/>
      <c r="D309" s="1"/>
      <c r="E309" s="1"/>
      <c r="F309" s="1"/>
      <c r="G309" s="1"/>
      <c r="H309" s="1"/>
      <c r="I309" s="61"/>
      <c r="J309" s="1"/>
      <c r="K309" s="1"/>
    </row>
    <row r="310" spans="1:11" ht="15.75" customHeight="1">
      <c r="A310" s="2"/>
      <c r="B310" s="1"/>
      <c r="C310" s="1"/>
      <c r="D310" s="1"/>
      <c r="E310" s="1"/>
      <c r="F310" s="1"/>
      <c r="G310" s="1"/>
      <c r="H310" s="1"/>
      <c r="I310" s="61"/>
      <c r="J310" s="1"/>
      <c r="K310" s="1"/>
    </row>
    <row r="311" spans="1:11" ht="15.75" customHeight="1">
      <c r="A311" s="2"/>
      <c r="B311" s="1"/>
      <c r="C311" s="1"/>
      <c r="D311" s="1"/>
      <c r="E311" s="1"/>
      <c r="F311" s="1"/>
      <c r="G311" s="1"/>
      <c r="H311" s="1"/>
      <c r="I311" s="61"/>
      <c r="J311" s="1"/>
      <c r="K311" s="1"/>
    </row>
    <row r="312" spans="1:11" ht="15.75" customHeight="1">
      <c r="A312" s="2"/>
      <c r="B312" s="1"/>
      <c r="C312" s="1"/>
      <c r="D312" s="1"/>
      <c r="E312" s="1"/>
      <c r="F312" s="1"/>
      <c r="G312" s="1"/>
      <c r="H312" s="1"/>
      <c r="I312" s="61"/>
      <c r="J312" s="1"/>
      <c r="K312" s="1"/>
    </row>
    <row r="313" spans="1:11" ht="15.75" customHeight="1">
      <c r="A313" s="2"/>
      <c r="B313" s="1"/>
      <c r="C313" s="1"/>
      <c r="D313" s="1"/>
      <c r="E313" s="1"/>
      <c r="F313" s="1"/>
      <c r="G313" s="1"/>
      <c r="H313" s="1"/>
      <c r="I313" s="61"/>
      <c r="J313" s="1"/>
      <c r="K313" s="1"/>
    </row>
    <row r="314" spans="1:11" ht="15.75" customHeight="1">
      <c r="A314" s="2"/>
      <c r="B314" s="1"/>
      <c r="C314" s="1"/>
      <c r="D314" s="1"/>
      <c r="E314" s="1"/>
      <c r="F314" s="1"/>
      <c r="G314" s="1"/>
      <c r="H314" s="1"/>
      <c r="I314" s="61"/>
      <c r="J314" s="1"/>
      <c r="K314" s="1"/>
    </row>
    <row r="315" spans="1:11" ht="15.75" customHeight="1">
      <c r="A315" s="2"/>
      <c r="B315" s="1"/>
      <c r="C315" s="1"/>
      <c r="D315" s="1"/>
      <c r="E315" s="1"/>
      <c r="F315" s="1"/>
      <c r="G315" s="1"/>
      <c r="H315" s="1"/>
      <c r="I315" s="61"/>
      <c r="J315" s="1"/>
      <c r="K315" s="1"/>
    </row>
    <row r="316" spans="1:11" ht="15.75" customHeight="1">
      <c r="A316" s="2"/>
      <c r="B316" s="1"/>
      <c r="C316" s="1"/>
      <c r="D316" s="1"/>
      <c r="E316" s="1"/>
      <c r="F316" s="1"/>
      <c r="G316" s="1"/>
      <c r="H316" s="1"/>
      <c r="I316" s="61"/>
      <c r="J316" s="1"/>
      <c r="K316" s="1"/>
    </row>
    <row r="317" spans="1:11" ht="15.75" customHeight="1">
      <c r="A317" s="2"/>
      <c r="B317" s="1"/>
      <c r="C317" s="1"/>
      <c r="D317" s="1"/>
      <c r="E317" s="1"/>
      <c r="F317" s="1"/>
      <c r="G317" s="1"/>
      <c r="H317" s="1"/>
      <c r="I317" s="61"/>
      <c r="J317" s="1"/>
      <c r="K317" s="1"/>
    </row>
    <row r="318" spans="1:11" ht="15.75" customHeight="1">
      <c r="A318" s="2"/>
      <c r="B318" s="1"/>
      <c r="C318" s="1"/>
      <c r="D318" s="1"/>
      <c r="E318" s="1"/>
      <c r="F318" s="1"/>
      <c r="G318" s="1"/>
      <c r="H318" s="1"/>
      <c r="I318" s="61"/>
      <c r="J318" s="1"/>
      <c r="K318" s="1"/>
    </row>
    <row r="319" spans="1:11" ht="15.75" customHeight="1">
      <c r="A319" s="2"/>
      <c r="B319" s="1"/>
      <c r="C319" s="1"/>
      <c r="D319" s="1"/>
      <c r="E319" s="1"/>
      <c r="F319" s="1"/>
      <c r="G319" s="1"/>
      <c r="H319" s="1"/>
      <c r="I319" s="61"/>
      <c r="J319" s="1"/>
      <c r="K319" s="1"/>
    </row>
    <row r="320" spans="1:11" ht="15.75" customHeight="1">
      <c r="A320" s="2"/>
      <c r="B320" s="1"/>
      <c r="C320" s="1"/>
      <c r="D320" s="1"/>
      <c r="E320" s="1"/>
      <c r="F320" s="1"/>
      <c r="G320" s="1"/>
      <c r="H320" s="1"/>
      <c r="I320" s="61"/>
      <c r="J320" s="1"/>
      <c r="K320" s="1"/>
    </row>
    <row r="321" spans="1:11" ht="15.75" customHeight="1">
      <c r="A321" s="2"/>
      <c r="B321" s="1"/>
      <c r="C321" s="1"/>
      <c r="D321" s="1"/>
      <c r="E321" s="1"/>
      <c r="F321" s="1"/>
      <c r="G321" s="1"/>
      <c r="H321" s="1"/>
      <c r="I321" s="61"/>
      <c r="J321" s="1"/>
      <c r="K321" s="1"/>
    </row>
    <row r="322" spans="1:11" ht="15.75" customHeight="1">
      <c r="A322" s="2"/>
      <c r="B322" s="1"/>
      <c r="C322" s="1"/>
      <c r="D322" s="1"/>
      <c r="E322" s="1"/>
      <c r="F322" s="1"/>
      <c r="G322" s="1"/>
      <c r="H322" s="1"/>
      <c r="I322" s="61"/>
      <c r="J322" s="1"/>
      <c r="K322" s="1"/>
    </row>
    <row r="323" spans="1:11" ht="15.75" customHeight="1">
      <c r="A323" s="2"/>
      <c r="B323" s="1"/>
      <c r="C323" s="1"/>
      <c r="D323" s="1"/>
      <c r="E323" s="1"/>
      <c r="F323" s="1"/>
      <c r="G323" s="1"/>
      <c r="H323" s="1"/>
      <c r="I323" s="61"/>
      <c r="J323" s="1"/>
      <c r="K323" s="1"/>
    </row>
    <row r="324" spans="1:11" ht="15.75" customHeight="1">
      <c r="A324" s="2"/>
      <c r="B324" s="1"/>
      <c r="C324" s="1"/>
      <c r="D324" s="1"/>
      <c r="E324" s="1"/>
      <c r="F324" s="1"/>
      <c r="G324" s="1"/>
      <c r="H324" s="1"/>
      <c r="I324" s="61"/>
      <c r="J324" s="1"/>
      <c r="K324" s="1"/>
    </row>
    <row r="325" spans="1:11" ht="15.75" customHeight="1">
      <c r="A325" s="2"/>
      <c r="B325" s="1"/>
      <c r="C325" s="1"/>
      <c r="D325" s="1"/>
      <c r="E325" s="1"/>
      <c r="F325" s="1"/>
      <c r="G325" s="1"/>
      <c r="H325" s="1"/>
      <c r="I325" s="61"/>
      <c r="J325" s="1"/>
      <c r="K325" s="1"/>
    </row>
    <row r="326" spans="1:11" ht="15.75" customHeight="1">
      <c r="A326" s="2"/>
      <c r="B326" s="1"/>
      <c r="C326" s="1"/>
      <c r="D326" s="1"/>
      <c r="E326" s="1"/>
      <c r="F326" s="1"/>
      <c r="G326" s="1"/>
      <c r="H326" s="1"/>
      <c r="I326" s="61"/>
      <c r="J326" s="1"/>
      <c r="K326" s="1"/>
    </row>
    <row r="327" spans="1:11" ht="15.75" customHeight="1">
      <c r="A327" s="2"/>
      <c r="B327" s="1"/>
      <c r="C327" s="1"/>
      <c r="D327" s="1"/>
      <c r="E327" s="1"/>
      <c r="F327" s="1"/>
      <c r="G327" s="1"/>
      <c r="H327" s="1"/>
      <c r="I327" s="61"/>
      <c r="J327" s="1"/>
      <c r="K327" s="1"/>
    </row>
    <row r="328" spans="1:11" ht="15.75" customHeight="1">
      <c r="A328" s="2"/>
      <c r="B328" s="1"/>
      <c r="C328" s="1"/>
      <c r="D328" s="1"/>
      <c r="E328" s="1"/>
      <c r="F328" s="1"/>
      <c r="G328" s="1"/>
      <c r="H328" s="1"/>
      <c r="I328" s="61"/>
      <c r="J328" s="1"/>
      <c r="K328" s="1"/>
    </row>
    <row r="329" spans="1:11" ht="15.75" customHeight="1">
      <c r="A329" s="2"/>
      <c r="B329" s="1"/>
      <c r="C329" s="1"/>
      <c r="D329" s="1"/>
      <c r="E329" s="1"/>
      <c r="F329" s="1"/>
      <c r="G329" s="1"/>
      <c r="H329" s="1"/>
      <c r="I329" s="61"/>
      <c r="J329" s="1"/>
      <c r="K329" s="1"/>
    </row>
    <row r="330" spans="1:11" ht="15.75" customHeight="1">
      <c r="A330" s="2"/>
      <c r="B330" s="1"/>
      <c r="C330" s="1"/>
      <c r="D330" s="1"/>
      <c r="E330" s="1"/>
      <c r="F330" s="1"/>
      <c r="G330" s="1"/>
      <c r="H330" s="1"/>
      <c r="I330" s="61"/>
      <c r="J330" s="1"/>
      <c r="K330" s="1"/>
    </row>
    <row r="331" spans="1:11" ht="15.75" customHeight="1">
      <c r="A331" s="2"/>
      <c r="B331" s="1"/>
      <c r="C331" s="1"/>
      <c r="D331" s="1"/>
      <c r="E331" s="1"/>
      <c r="F331" s="1"/>
      <c r="G331" s="1"/>
      <c r="H331" s="1"/>
      <c r="I331" s="61"/>
      <c r="J331" s="1"/>
      <c r="K331" s="1"/>
    </row>
    <row r="332" spans="1:11" ht="15.75" customHeight="1">
      <c r="A332" s="2"/>
      <c r="B332" s="1"/>
      <c r="C332" s="1"/>
      <c r="D332" s="1"/>
      <c r="E332" s="1"/>
      <c r="F332" s="1"/>
      <c r="G332" s="1"/>
      <c r="H332" s="1"/>
      <c r="I332" s="61"/>
      <c r="J332" s="1"/>
      <c r="K332" s="1"/>
    </row>
    <row r="333" spans="1:11" ht="15.75" customHeight="1">
      <c r="A333" s="2"/>
      <c r="B333" s="1"/>
      <c r="C333" s="1"/>
      <c r="D333" s="1"/>
      <c r="E333" s="1"/>
      <c r="F333" s="1"/>
      <c r="G333" s="1"/>
      <c r="H333" s="1"/>
      <c r="I333" s="61"/>
      <c r="J333" s="1"/>
      <c r="K333" s="1"/>
    </row>
    <row r="334" spans="1:11" ht="15.75" customHeight="1">
      <c r="A334" s="2"/>
      <c r="B334" s="1"/>
      <c r="C334" s="1"/>
      <c r="D334" s="1"/>
      <c r="E334" s="1"/>
      <c r="F334" s="1"/>
      <c r="G334" s="1"/>
      <c r="H334" s="1"/>
      <c r="I334" s="61"/>
      <c r="J334" s="1"/>
      <c r="K334" s="1"/>
    </row>
    <row r="335" spans="1:11" ht="15.75" customHeight="1">
      <c r="A335" s="2"/>
      <c r="B335" s="1"/>
      <c r="C335" s="1"/>
      <c r="D335" s="1"/>
      <c r="E335" s="1"/>
      <c r="F335" s="1"/>
      <c r="G335" s="1"/>
      <c r="H335" s="1"/>
      <c r="I335" s="61"/>
      <c r="J335" s="1"/>
      <c r="K335" s="1"/>
    </row>
    <row r="336" spans="1:11" ht="15.75" customHeight="1">
      <c r="A336" s="2"/>
      <c r="B336" s="1"/>
      <c r="C336" s="1"/>
      <c r="D336" s="1"/>
      <c r="E336" s="1"/>
      <c r="F336" s="1"/>
      <c r="G336" s="1"/>
      <c r="H336" s="1"/>
      <c r="I336" s="61"/>
      <c r="J336" s="1"/>
      <c r="K336" s="1"/>
    </row>
    <row r="337" spans="1:11" ht="15.75" customHeight="1">
      <c r="A337" s="2"/>
      <c r="B337" s="1"/>
      <c r="C337" s="1"/>
      <c r="D337" s="1"/>
      <c r="E337" s="1"/>
      <c r="F337" s="1"/>
      <c r="G337" s="1"/>
      <c r="H337" s="1"/>
      <c r="I337" s="61"/>
      <c r="J337" s="1"/>
      <c r="K337" s="1"/>
    </row>
    <row r="338" spans="1:11" ht="15.75" customHeight="1">
      <c r="A338" s="2"/>
      <c r="B338" s="1"/>
      <c r="C338" s="1"/>
      <c r="D338" s="1"/>
      <c r="E338" s="1"/>
      <c r="F338" s="1"/>
      <c r="G338" s="1"/>
      <c r="H338" s="1"/>
      <c r="I338" s="61"/>
      <c r="J338" s="1"/>
      <c r="K338" s="1"/>
    </row>
    <row r="339" spans="1:11" ht="15.75" customHeight="1">
      <c r="A339" s="2"/>
      <c r="B339" s="1"/>
      <c r="C339" s="1"/>
      <c r="D339" s="1"/>
      <c r="E339" s="1"/>
      <c r="F339" s="1"/>
      <c r="G339" s="1"/>
      <c r="H339" s="1"/>
      <c r="I339" s="61"/>
      <c r="J339" s="1"/>
      <c r="K339" s="1"/>
    </row>
    <row r="340" spans="1:11" ht="15.75" customHeight="1">
      <c r="A340" s="2"/>
      <c r="B340" s="1"/>
      <c r="C340" s="1"/>
      <c r="D340" s="1"/>
      <c r="E340" s="1"/>
      <c r="F340" s="1"/>
      <c r="G340" s="1"/>
      <c r="H340" s="1"/>
      <c r="I340" s="61"/>
      <c r="J340" s="1"/>
      <c r="K340" s="1"/>
    </row>
    <row r="341" spans="1:11" ht="15.75" customHeight="1">
      <c r="A341" s="2"/>
      <c r="B341" s="1"/>
      <c r="C341" s="1"/>
      <c r="D341" s="1"/>
      <c r="E341" s="1"/>
      <c r="F341" s="1"/>
      <c r="G341" s="1"/>
      <c r="H341" s="1"/>
      <c r="I341" s="61"/>
      <c r="J341" s="1"/>
      <c r="K341" s="1"/>
    </row>
    <row r="342" spans="1:11" ht="15.75" customHeight="1">
      <c r="A342" s="2"/>
      <c r="B342" s="1"/>
      <c r="C342" s="1"/>
      <c r="D342" s="1"/>
      <c r="E342" s="1"/>
      <c r="F342" s="1"/>
      <c r="G342" s="1"/>
      <c r="H342" s="1"/>
      <c r="I342" s="61"/>
      <c r="J342" s="1"/>
      <c r="K342" s="1"/>
    </row>
    <row r="343" spans="1:11" ht="15.75" customHeight="1">
      <c r="A343" s="2"/>
      <c r="B343" s="1"/>
      <c r="C343" s="1"/>
      <c r="D343" s="1"/>
      <c r="E343" s="1"/>
      <c r="F343" s="1"/>
      <c r="G343" s="1"/>
      <c r="H343" s="1"/>
      <c r="I343" s="61"/>
      <c r="J343" s="1"/>
      <c r="K343" s="1"/>
    </row>
    <row r="344" spans="1:11" ht="15.75" customHeight="1">
      <c r="A344" s="2"/>
      <c r="B344" s="1"/>
      <c r="C344" s="1"/>
      <c r="D344" s="1"/>
      <c r="E344" s="1"/>
      <c r="F344" s="1"/>
      <c r="G344" s="1"/>
      <c r="H344" s="1"/>
      <c r="I344" s="61"/>
      <c r="J344" s="1"/>
      <c r="K344" s="1"/>
    </row>
    <row r="345" spans="1:11" ht="15.75" customHeight="1">
      <c r="A345" s="2"/>
      <c r="B345" s="1"/>
      <c r="C345" s="1"/>
      <c r="D345" s="1"/>
      <c r="E345" s="1"/>
      <c r="F345" s="1"/>
      <c r="G345" s="1"/>
      <c r="H345" s="1"/>
      <c r="I345" s="61"/>
      <c r="J345" s="1"/>
      <c r="K345" s="1"/>
    </row>
    <row r="346" spans="1:11" ht="15.75" customHeight="1">
      <c r="A346" s="2"/>
      <c r="B346" s="1"/>
      <c r="C346" s="1"/>
      <c r="D346" s="1"/>
      <c r="E346" s="1"/>
      <c r="F346" s="1"/>
      <c r="G346" s="1"/>
      <c r="H346" s="1"/>
      <c r="I346" s="61"/>
      <c r="J346" s="1"/>
      <c r="K346" s="1"/>
    </row>
    <row r="347" spans="1:11" ht="15.75" customHeight="1">
      <c r="A347" s="2"/>
      <c r="B347" s="1"/>
      <c r="C347" s="1"/>
      <c r="D347" s="1"/>
      <c r="E347" s="1"/>
      <c r="F347" s="1"/>
      <c r="G347" s="1"/>
      <c r="H347" s="1"/>
      <c r="I347" s="61"/>
      <c r="J347" s="1"/>
      <c r="K347" s="1"/>
    </row>
    <row r="348" spans="1:11" ht="15.75" customHeight="1">
      <c r="A348" s="2"/>
      <c r="B348" s="1"/>
      <c r="C348" s="1"/>
      <c r="D348" s="1"/>
      <c r="E348" s="1"/>
      <c r="F348" s="1"/>
      <c r="G348" s="1"/>
      <c r="H348" s="1"/>
      <c r="I348" s="61"/>
      <c r="J348" s="1"/>
      <c r="K348" s="1"/>
    </row>
    <row r="349" spans="1:11" ht="15.75" customHeight="1">
      <c r="A349" s="2"/>
      <c r="B349" s="1"/>
      <c r="C349" s="1"/>
      <c r="D349" s="1"/>
      <c r="E349" s="1"/>
      <c r="F349" s="1"/>
      <c r="G349" s="1"/>
      <c r="H349" s="1"/>
      <c r="I349" s="61"/>
      <c r="J349" s="1"/>
      <c r="K349" s="1"/>
    </row>
    <row r="350" spans="1:11" ht="15.75" customHeight="1">
      <c r="A350" s="2"/>
      <c r="B350" s="1"/>
      <c r="C350" s="1"/>
      <c r="D350" s="1"/>
      <c r="E350" s="1"/>
      <c r="F350" s="1"/>
      <c r="G350" s="1"/>
      <c r="H350" s="1"/>
      <c r="I350" s="61"/>
      <c r="J350" s="1"/>
      <c r="K350" s="1"/>
    </row>
    <row r="351" spans="1:11" ht="15.75" customHeight="1">
      <c r="A351" s="2"/>
      <c r="B351" s="1"/>
      <c r="C351" s="1"/>
      <c r="D351" s="1"/>
      <c r="E351" s="1"/>
      <c r="F351" s="1"/>
      <c r="G351" s="1"/>
      <c r="H351" s="1"/>
      <c r="I351" s="61"/>
      <c r="J351" s="1"/>
      <c r="K351" s="1"/>
    </row>
    <row r="352" spans="1:11" ht="15.75" customHeight="1">
      <c r="A352" s="2"/>
      <c r="B352" s="1"/>
      <c r="C352" s="1"/>
      <c r="D352" s="1"/>
      <c r="E352" s="1"/>
      <c r="F352" s="1"/>
      <c r="G352" s="1"/>
      <c r="H352" s="1"/>
      <c r="I352" s="61"/>
      <c r="J352" s="1"/>
      <c r="K352" s="1"/>
    </row>
    <row r="353" spans="1:11" ht="15.75" customHeight="1">
      <c r="A353" s="2"/>
      <c r="B353" s="1"/>
      <c r="C353" s="1"/>
      <c r="D353" s="1"/>
      <c r="E353" s="1"/>
      <c r="F353" s="1"/>
      <c r="G353" s="1"/>
      <c r="H353" s="1"/>
      <c r="I353" s="61"/>
      <c r="J353" s="1"/>
      <c r="K353" s="1"/>
    </row>
    <row r="354" spans="1:11" ht="15.75" customHeight="1">
      <c r="A354" s="2"/>
      <c r="B354" s="1"/>
      <c r="C354" s="1"/>
      <c r="D354" s="1"/>
      <c r="E354" s="1"/>
      <c r="F354" s="1"/>
      <c r="G354" s="1"/>
      <c r="H354" s="1"/>
      <c r="I354" s="61"/>
      <c r="J354" s="1"/>
      <c r="K354" s="1"/>
    </row>
    <row r="355" spans="1:11" ht="15.75" customHeight="1">
      <c r="A355" s="2"/>
      <c r="B355" s="1"/>
      <c r="C355" s="1"/>
      <c r="D355" s="1"/>
      <c r="E355" s="1"/>
      <c r="F355" s="1"/>
      <c r="G355" s="1"/>
      <c r="H355" s="1"/>
      <c r="I355" s="61"/>
      <c r="J355" s="1"/>
      <c r="K355" s="1"/>
    </row>
    <row r="356" spans="1:11" ht="15.75" customHeight="1">
      <c r="A356" s="2"/>
      <c r="B356" s="1"/>
      <c r="C356" s="1"/>
      <c r="D356" s="1"/>
      <c r="E356" s="1"/>
      <c r="F356" s="1"/>
      <c r="G356" s="1"/>
      <c r="H356" s="1"/>
      <c r="I356" s="61"/>
      <c r="J356" s="1"/>
      <c r="K356" s="1"/>
    </row>
    <row r="357" spans="1:11" ht="15.75" customHeight="1">
      <c r="A357" s="2"/>
      <c r="B357" s="1"/>
      <c r="C357" s="1"/>
      <c r="D357" s="1"/>
      <c r="E357" s="1"/>
      <c r="F357" s="1"/>
      <c r="G357" s="1"/>
      <c r="H357" s="1"/>
      <c r="I357" s="61"/>
      <c r="J357" s="1"/>
      <c r="K357" s="1"/>
    </row>
    <row r="358" spans="1:11" ht="15.75" customHeight="1">
      <c r="A358" s="2"/>
      <c r="B358" s="1"/>
      <c r="C358" s="1"/>
      <c r="D358" s="1"/>
      <c r="E358" s="1"/>
      <c r="F358" s="1"/>
      <c r="G358" s="1"/>
      <c r="H358" s="1"/>
      <c r="I358" s="61"/>
      <c r="J358" s="1"/>
      <c r="K358" s="1"/>
    </row>
    <row r="359" spans="1:11" ht="15.75" customHeight="1">
      <c r="A359" s="2"/>
      <c r="B359" s="1"/>
      <c r="C359" s="1"/>
      <c r="D359" s="1"/>
      <c r="E359" s="1"/>
      <c r="F359" s="1"/>
      <c r="G359" s="1"/>
      <c r="H359" s="1"/>
      <c r="I359" s="61"/>
      <c r="J359" s="1"/>
      <c r="K359" s="1"/>
    </row>
    <row r="360" spans="1:11" ht="15.75" customHeight="1">
      <c r="A360" s="2"/>
      <c r="B360" s="1"/>
      <c r="C360" s="1"/>
      <c r="D360" s="1"/>
      <c r="E360" s="1"/>
      <c r="F360" s="1"/>
      <c r="G360" s="1"/>
      <c r="H360" s="1"/>
      <c r="I360" s="61"/>
      <c r="J360" s="1"/>
      <c r="K360" s="1"/>
    </row>
    <row r="361" spans="1:11" ht="15.75" customHeight="1">
      <c r="A361" s="2"/>
      <c r="B361" s="1"/>
      <c r="C361" s="1"/>
      <c r="D361" s="1"/>
      <c r="E361" s="1"/>
      <c r="F361" s="1"/>
      <c r="G361" s="1"/>
      <c r="H361" s="1"/>
      <c r="I361" s="61"/>
      <c r="J361" s="1"/>
      <c r="K361" s="1"/>
    </row>
    <row r="362" spans="1:11" ht="15.75" customHeight="1">
      <c r="A362" s="2"/>
      <c r="B362" s="1"/>
      <c r="C362" s="1"/>
      <c r="D362" s="1"/>
      <c r="E362" s="1"/>
      <c r="F362" s="1"/>
      <c r="G362" s="1"/>
      <c r="H362" s="1"/>
      <c r="I362" s="61"/>
      <c r="J362" s="1"/>
      <c r="K362" s="1"/>
    </row>
    <row r="363" spans="1:11" ht="15.75" customHeight="1">
      <c r="A363" s="2"/>
      <c r="B363" s="1"/>
      <c r="C363" s="1"/>
      <c r="D363" s="1"/>
      <c r="E363" s="1"/>
      <c r="F363" s="1"/>
      <c r="G363" s="1"/>
      <c r="H363" s="1"/>
      <c r="I363" s="61"/>
      <c r="J363" s="1"/>
      <c r="K363" s="1"/>
    </row>
    <row r="364" spans="1:11" ht="15.75" customHeight="1">
      <c r="A364" s="2"/>
      <c r="B364" s="1"/>
      <c r="C364" s="1"/>
      <c r="D364" s="1"/>
      <c r="E364" s="1"/>
      <c r="F364" s="1"/>
      <c r="G364" s="1"/>
      <c r="H364" s="1"/>
      <c r="I364" s="61"/>
      <c r="J364" s="1"/>
      <c r="K364" s="1"/>
    </row>
    <row r="365" spans="1:11" ht="15.75" customHeight="1">
      <c r="A365" s="2"/>
      <c r="B365" s="1"/>
      <c r="C365" s="1"/>
      <c r="D365" s="1"/>
      <c r="E365" s="1"/>
      <c r="F365" s="1"/>
      <c r="G365" s="1"/>
      <c r="H365" s="1"/>
      <c r="I365" s="61"/>
      <c r="J365" s="1"/>
      <c r="K365" s="1"/>
    </row>
    <row r="366" spans="1:11" ht="15.75" customHeight="1">
      <c r="A366" s="2"/>
      <c r="B366" s="1"/>
      <c r="C366" s="1"/>
      <c r="D366" s="1"/>
      <c r="E366" s="1"/>
      <c r="F366" s="1"/>
      <c r="G366" s="1"/>
      <c r="H366" s="1"/>
      <c r="I366" s="61"/>
      <c r="J366" s="1"/>
      <c r="K366" s="1"/>
    </row>
    <row r="367" spans="1:11" ht="15.75" customHeight="1">
      <c r="A367" s="2"/>
      <c r="B367" s="1"/>
      <c r="C367" s="1"/>
      <c r="D367" s="1"/>
      <c r="E367" s="1"/>
      <c r="F367" s="1"/>
      <c r="G367" s="1"/>
      <c r="H367" s="1"/>
      <c r="I367" s="61"/>
      <c r="J367" s="1"/>
      <c r="K367" s="1"/>
    </row>
    <row r="368" spans="1:11" ht="15.75" customHeight="1">
      <c r="A368" s="2"/>
      <c r="B368" s="1"/>
      <c r="C368" s="1"/>
      <c r="D368" s="1"/>
      <c r="E368" s="1"/>
      <c r="F368" s="1"/>
      <c r="G368" s="1"/>
      <c r="H368" s="1"/>
      <c r="I368" s="61"/>
      <c r="J368" s="1"/>
      <c r="K368" s="1"/>
    </row>
    <row r="369" spans="1:11" ht="15.75" customHeight="1">
      <c r="A369" s="2"/>
      <c r="B369" s="1"/>
      <c r="C369" s="1"/>
      <c r="D369" s="1"/>
      <c r="E369" s="1"/>
      <c r="F369" s="1"/>
      <c r="G369" s="1"/>
      <c r="H369" s="1"/>
      <c r="I369" s="61"/>
      <c r="J369" s="1"/>
      <c r="K369" s="1"/>
    </row>
    <row r="370" spans="1:11" ht="15.75" customHeight="1">
      <c r="A370" s="2"/>
      <c r="B370" s="1"/>
      <c r="C370" s="1"/>
      <c r="D370" s="1"/>
      <c r="E370" s="1"/>
      <c r="F370" s="1"/>
      <c r="G370" s="1"/>
      <c r="H370" s="1"/>
      <c r="I370" s="61"/>
      <c r="J370" s="1"/>
      <c r="K370" s="1"/>
    </row>
    <row r="371" spans="1:11" ht="15.75" customHeight="1">
      <c r="A371" s="2"/>
      <c r="B371" s="1"/>
      <c r="C371" s="1"/>
      <c r="D371" s="1"/>
      <c r="E371" s="1"/>
      <c r="F371" s="1"/>
      <c r="G371" s="1"/>
      <c r="H371" s="1"/>
      <c r="I371" s="61"/>
      <c r="J371" s="1"/>
      <c r="K371" s="1"/>
    </row>
    <row r="372" spans="1:11" ht="15.75" customHeight="1">
      <c r="A372" s="2"/>
      <c r="B372" s="1"/>
      <c r="C372" s="1"/>
      <c r="D372" s="1"/>
      <c r="E372" s="1"/>
      <c r="F372" s="1"/>
      <c r="G372" s="1"/>
      <c r="H372" s="1"/>
      <c r="I372" s="61"/>
      <c r="J372" s="1"/>
      <c r="K372" s="1"/>
    </row>
    <row r="373" spans="1:11" ht="15.75" customHeight="1">
      <c r="A373" s="2"/>
      <c r="B373" s="1"/>
      <c r="C373" s="1"/>
      <c r="D373" s="1"/>
      <c r="E373" s="1"/>
      <c r="F373" s="1"/>
      <c r="G373" s="1"/>
      <c r="H373" s="1"/>
      <c r="I373" s="61"/>
      <c r="J373" s="1"/>
      <c r="K373" s="1"/>
    </row>
    <row r="374" spans="1:11" ht="15.75" customHeight="1">
      <c r="A374" s="2"/>
      <c r="B374" s="1"/>
      <c r="C374" s="1"/>
      <c r="D374" s="1"/>
      <c r="E374" s="1"/>
      <c r="F374" s="1"/>
      <c r="G374" s="1"/>
      <c r="H374" s="1"/>
      <c r="I374" s="61"/>
      <c r="J374" s="1"/>
      <c r="K374" s="1"/>
    </row>
    <row r="375" spans="1:11" ht="15.75" customHeight="1">
      <c r="A375" s="2"/>
      <c r="B375" s="1"/>
      <c r="C375" s="1"/>
      <c r="D375" s="1"/>
      <c r="E375" s="1"/>
      <c r="F375" s="1"/>
      <c r="G375" s="1"/>
      <c r="H375" s="1"/>
      <c r="I375" s="61"/>
      <c r="J375" s="1"/>
      <c r="K375" s="1"/>
    </row>
    <row r="376" spans="1:11" ht="15.75" customHeight="1">
      <c r="A376" s="2"/>
      <c r="B376" s="1"/>
      <c r="C376" s="1"/>
      <c r="D376" s="1"/>
      <c r="E376" s="1"/>
      <c r="F376" s="1"/>
      <c r="G376" s="1"/>
      <c r="H376" s="1"/>
      <c r="I376" s="61"/>
      <c r="J376" s="1"/>
      <c r="K376" s="1"/>
    </row>
    <row r="377" spans="1:11" ht="15.75" customHeight="1">
      <c r="A377" s="2"/>
      <c r="B377" s="1"/>
      <c r="C377" s="1"/>
      <c r="D377" s="1"/>
      <c r="E377" s="1"/>
      <c r="F377" s="1"/>
      <c r="G377" s="1"/>
      <c r="H377" s="1"/>
      <c r="I377" s="61"/>
      <c r="J377" s="1"/>
      <c r="K377" s="1"/>
    </row>
    <row r="378" spans="1:11" ht="15.75" customHeight="1">
      <c r="A378" s="2"/>
      <c r="B378" s="1"/>
      <c r="C378" s="1"/>
      <c r="D378" s="1"/>
      <c r="E378" s="1"/>
      <c r="F378" s="1"/>
      <c r="G378" s="1"/>
      <c r="H378" s="1"/>
      <c r="I378" s="61"/>
      <c r="J378" s="1"/>
      <c r="K378" s="1"/>
    </row>
    <row r="379" spans="1:11" ht="15.75" customHeight="1">
      <c r="A379" s="2"/>
      <c r="B379" s="1"/>
      <c r="C379" s="1"/>
      <c r="D379" s="1"/>
      <c r="E379" s="1"/>
      <c r="F379" s="1"/>
      <c r="G379" s="1"/>
      <c r="H379" s="1"/>
      <c r="I379" s="61"/>
      <c r="J379" s="1"/>
      <c r="K379" s="1"/>
    </row>
    <row r="380" spans="1:11" ht="15.75" customHeight="1">
      <c r="A380" s="2"/>
      <c r="B380" s="1"/>
      <c r="C380" s="1"/>
      <c r="D380" s="1"/>
      <c r="E380" s="1"/>
      <c r="F380" s="1"/>
      <c r="G380" s="1"/>
      <c r="H380" s="1"/>
      <c r="I380" s="61"/>
      <c r="J380" s="1"/>
      <c r="K380" s="1"/>
    </row>
    <row r="381" spans="1:11" ht="15.75" customHeight="1">
      <c r="A381" s="2"/>
      <c r="B381" s="1"/>
      <c r="C381" s="1"/>
      <c r="D381" s="1"/>
      <c r="E381" s="1"/>
      <c r="F381" s="1"/>
      <c r="G381" s="1"/>
      <c r="H381" s="1"/>
      <c r="I381" s="61"/>
      <c r="J381" s="1"/>
      <c r="K381" s="1"/>
    </row>
    <row r="382" spans="1:11" ht="15.75" customHeight="1">
      <c r="A382" s="2"/>
      <c r="B382" s="1"/>
      <c r="C382" s="1"/>
      <c r="D382" s="1"/>
      <c r="E382" s="1"/>
      <c r="F382" s="1"/>
      <c r="G382" s="1"/>
      <c r="H382" s="1"/>
      <c r="I382" s="61"/>
      <c r="J382" s="1"/>
      <c r="K382" s="1"/>
    </row>
    <row r="383" spans="1:11" ht="15.75" customHeight="1">
      <c r="A383" s="2"/>
      <c r="B383" s="1"/>
      <c r="C383" s="1"/>
      <c r="D383" s="1"/>
      <c r="E383" s="1"/>
      <c r="F383" s="1"/>
      <c r="G383" s="1"/>
      <c r="H383" s="1"/>
      <c r="I383" s="61"/>
      <c r="J383" s="1"/>
      <c r="K383" s="1"/>
    </row>
    <row r="384" spans="1:11" ht="15.75" customHeight="1">
      <c r="A384" s="2"/>
      <c r="B384" s="1"/>
      <c r="C384" s="1"/>
      <c r="D384" s="1"/>
      <c r="E384" s="1"/>
      <c r="F384" s="1"/>
      <c r="G384" s="1"/>
      <c r="H384" s="1"/>
      <c r="I384" s="61"/>
      <c r="J384" s="1"/>
      <c r="K384" s="1"/>
    </row>
    <row r="385" spans="1:11" ht="15.75" customHeight="1">
      <c r="A385" s="2"/>
      <c r="B385" s="1"/>
      <c r="C385" s="1"/>
      <c r="D385" s="1"/>
      <c r="E385" s="1"/>
      <c r="F385" s="1"/>
      <c r="G385" s="1"/>
      <c r="H385" s="1"/>
      <c r="I385" s="61"/>
      <c r="J385" s="1"/>
      <c r="K385" s="1"/>
    </row>
    <row r="386" spans="1:11" ht="15.75" customHeight="1">
      <c r="A386" s="2"/>
      <c r="B386" s="1"/>
      <c r="C386" s="1"/>
      <c r="D386" s="1"/>
      <c r="E386" s="1"/>
      <c r="F386" s="1"/>
      <c r="G386" s="1"/>
      <c r="H386" s="1"/>
      <c r="I386" s="61"/>
      <c r="J386" s="1"/>
      <c r="K386" s="1"/>
    </row>
    <row r="387" spans="1:11" ht="15.75" customHeight="1">
      <c r="A387" s="2"/>
      <c r="B387" s="1"/>
      <c r="C387" s="1"/>
      <c r="D387" s="1"/>
      <c r="E387" s="1"/>
      <c r="F387" s="1"/>
      <c r="G387" s="1"/>
      <c r="H387" s="1"/>
      <c r="I387" s="61"/>
      <c r="J387" s="1"/>
      <c r="K387" s="1"/>
    </row>
    <row r="388" spans="1:11" ht="15.75" customHeight="1">
      <c r="A388" s="2"/>
      <c r="B388" s="1"/>
      <c r="C388" s="1"/>
      <c r="D388" s="1"/>
      <c r="E388" s="1"/>
      <c r="F388" s="1"/>
      <c r="G388" s="1"/>
      <c r="H388" s="1"/>
      <c r="I388" s="61"/>
      <c r="J388" s="1"/>
      <c r="K388" s="1"/>
    </row>
    <row r="389" spans="1:11" ht="15.75" customHeight="1">
      <c r="A389" s="2"/>
      <c r="B389" s="1"/>
      <c r="C389" s="1"/>
      <c r="D389" s="1"/>
      <c r="E389" s="1"/>
      <c r="F389" s="1"/>
      <c r="G389" s="1"/>
      <c r="H389" s="1"/>
      <c r="I389" s="61"/>
      <c r="J389" s="1"/>
      <c r="K389" s="1"/>
    </row>
    <row r="390" spans="1:11" ht="15.75" customHeight="1">
      <c r="A390" s="2"/>
      <c r="B390" s="1"/>
      <c r="C390" s="1"/>
      <c r="D390" s="1"/>
      <c r="E390" s="1"/>
      <c r="F390" s="1"/>
      <c r="G390" s="1"/>
      <c r="H390" s="1"/>
      <c r="I390" s="61"/>
      <c r="J390" s="1"/>
      <c r="K390" s="1"/>
    </row>
    <row r="391" spans="1:11" ht="15.75" customHeight="1">
      <c r="A391" s="2"/>
      <c r="B391" s="1"/>
      <c r="C391" s="1"/>
      <c r="D391" s="1"/>
      <c r="E391" s="1"/>
      <c r="F391" s="1"/>
      <c r="G391" s="1"/>
      <c r="H391" s="1"/>
      <c r="I391" s="61"/>
      <c r="J391" s="1"/>
      <c r="K391" s="1"/>
    </row>
    <row r="392" spans="1:11" ht="15.75" customHeight="1">
      <c r="A392" s="2"/>
      <c r="B392" s="1"/>
      <c r="C392" s="1"/>
      <c r="D392" s="1"/>
      <c r="E392" s="1"/>
      <c r="F392" s="1"/>
      <c r="G392" s="1"/>
      <c r="H392" s="1"/>
      <c r="I392" s="61"/>
      <c r="J392" s="1"/>
      <c r="K392" s="1"/>
    </row>
    <row r="393" spans="1:11" ht="15.75" customHeight="1">
      <c r="A393" s="2"/>
      <c r="B393" s="1"/>
      <c r="C393" s="1"/>
      <c r="D393" s="1"/>
      <c r="E393" s="1"/>
      <c r="F393" s="1"/>
      <c r="G393" s="1"/>
      <c r="H393" s="1"/>
      <c r="I393" s="61"/>
      <c r="J393" s="1"/>
      <c r="K393" s="1"/>
    </row>
    <row r="394" spans="1:11" ht="15.75" customHeight="1">
      <c r="A394" s="2"/>
      <c r="B394" s="1"/>
      <c r="C394" s="1"/>
      <c r="D394" s="1"/>
      <c r="E394" s="1"/>
      <c r="F394" s="1"/>
      <c r="G394" s="1"/>
      <c r="H394" s="1"/>
      <c r="I394" s="61"/>
      <c r="J394" s="1"/>
      <c r="K394" s="1"/>
    </row>
    <row r="395" spans="1:11" ht="15.75" customHeight="1">
      <c r="A395" s="2"/>
      <c r="B395" s="1"/>
      <c r="C395" s="1"/>
      <c r="D395" s="1"/>
      <c r="E395" s="1"/>
      <c r="F395" s="1"/>
      <c r="G395" s="1"/>
      <c r="H395" s="1"/>
      <c r="I395" s="61"/>
      <c r="J395" s="1"/>
      <c r="K395" s="1"/>
    </row>
    <row r="396" spans="1:11" ht="15.75" customHeight="1">
      <c r="A396" s="2"/>
      <c r="B396" s="1"/>
      <c r="C396" s="1"/>
      <c r="D396" s="1"/>
      <c r="E396" s="1"/>
      <c r="F396" s="1"/>
      <c r="G396" s="1"/>
      <c r="H396" s="1"/>
      <c r="I396" s="61"/>
      <c r="J396" s="1"/>
      <c r="K396" s="1"/>
    </row>
    <row r="397" spans="1:11" ht="15.75" customHeight="1">
      <c r="A397" s="2"/>
      <c r="B397" s="1"/>
      <c r="C397" s="1"/>
      <c r="D397" s="1"/>
      <c r="E397" s="1"/>
      <c r="F397" s="1"/>
      <c r="G397" s="1"/>
      <c r="H397" s="1"/>
      <c r="I397" s="61"/>
      <c r="J397" s="1"/>
      <c r="K397" s="1"/>
    </row>
    <row r="398" spans="1:11" ht="15.75" customHeight="1">
      <c r="A398" s="2"/>
      <c r="B398" s="1"/>
      <c r="C398" s="1"/>
      <c r="D398" s="1"/>
      <c r="E398" s="1"/>
      <c r="F398" s="1"/>
      <c r="G398" s="1"/>
      <c r="H398" s="1"/>
      <c r="I398" s="61"/>
      <c r="J398" s="1"/>
      <c r="K398" s="1"/>
    </row>
    <row r="399" spans="1:11" ht="15.75" customHeight="1">
      <c r="A399" s="2"/>
      <c r="B399" s="1"/>
      <c r="C399" s="1"/>
      <c r="D399" s="1"/>
      <c r="E399" s="1"/>
      <c r="F399" s="1"/>
      <c r="G399" s="1"/>
      <c r="H399" s="1"/>
      <c r="I399" s="61"/>
      <c r="J399" s="1"/>
      <c r="K399" s="1"/>
    </row>
    <row r="400" spans="1:11" ht="15.75" customHeight="1">
      <c r="A400" s="2"/>
      <c r="B400" s="1"/>
      <c r="C400" s="1"/>
      <c r="D400" s="1"/>
      <c r="E400" s="1"/>
      <c r="F400" s="1"/>
      <c r="G400" s="1"/>
      <c r="H400" s="1"/>
      <c r="I400" s="61"/>
      <c r="J400" s="1"/>
      <c r="K400" s="1"/>
    </row>
    <row r="401" spans="1:11" ht="15.75" customHeight="1">
      <c r="A401" s="2"/>
      <c r="B401" s="1"/>
      <c r="C401" s="1"/>
      <c r="D401" s="1"/>
      <c r="E401" s="1"/>
      <c r="F401" s="1"/>
      <c r="G401" s="1"/>
      <c r="H401" s="1"/>
      <c r="I401" s="61"/>
      <c r="J401" s="1"/>
      <c r="K401" s="1"/>
    </row>
    <row r="402" spans="1:11" ht="15.75" customHeight="1">
      <c r="A402" s="2"/>
      <c r="B402" s="1"/>
      <c r="C402" s="1"/>
      <c r="D402" s="1"/>
      <c r="E402" s="1"/>
      <c r="F402" s="1"/>
      <c r="G402" s="1"/>
      <c r="H402" s="1"/>
      <c r="I402" s="61"/>
      <c r="J402" s="1"/>
      <c r="K402" s="1"/>
    </row>
    <row r="403" spans="1:11" ht="15.75" customHeight="1">
      <c r="A403" s="2"/>
      <c r="B403" s="1"/>
      <c r="C403" s="1"/>
      <c r="D403" s="1"/>
      <c r="E403" s="1"/>
      <c r="F403" s="1"/>
      <c r="G403" s="1"/>
      <c r="H403" s="1"/>
      <c r="I403" s="61"/>
      <c r="J403" s="1"/>
      <c r="K403" s="1"/>
    </row>
    <row r="404" spans="1:11" ht="15.75" customHeight="1">
      <c r="A404" s="2"/>
      <c r="B404" s="1"/>
      <c r="C404" s="1"/>
      <c r="D404" s="1"/>
      <c r="E404" s="1"/>
      <c r="F404" s="1"/>
      <c r="G404" s="1"/>
      <c r="H404" s="1"/>
      <c r="I404" s="61"/>
      <c r="J404" s="1"/>
      <c r="K404" s="1"/>
    </row>
    <row r="405" spans="1:11" ht="15.75" customHeight="1">
      <c r="A405" s="2"/>
      <c r="B405" s="1"/>
      <c r="C405" s="1"/>
      <c r="D405" s="1"/>
      <c r="E405" s="1"/>
      <c r="F405" s="1"/>
      <c r="G405" s="1"/>
      <c r="H405" s="1"/>
      <c r="I405" s="61"/>
      <c r="J405" s="1"/>
      <c r="K405" s="1"/>
    </row>
    <row r="406" spans="1:11" ht="15.75" customHeight="1">
      <c r="A406" s="2"/>
      <c r="B406" s="1"/>
      <c r="C406" s="1"/>
      <c r="D406" s="1"/>
      <c r="E406" s="1"/>
      <c r="F406" s="1"/>
      <c r="G406" s="1"/>
      <c r="H406" s="1"/>
      <c r="I406" s="61"/>
      <c r="J406" s="1"/>
      <c r="K406" s="1"/>
    </row>
    <row r="407" spans="1:11" ht="15.75" customHeight="1">
      <c r="A407" s="2"/>
      <c r="B407" s="1"/>
      <c r="C407" s="1"/>
      <c r="D407" s="1"/>
      <c r="E407" s="1"/>
      <c r="F407" s="1"/>
      <c r="G407" s="1"/>
      <c r="H407" s="1"/>
      <c r="I407" s="61"/>
      <c r="J407" s="1"/>
      <c r="K407" s="1"/>
    </row>
    <row r="408" spans="1:11" ht="15.75" customHeight="1">
      <c r="A408" s="2"/>
      <c r="B408" s="1"/>
      <c r="C408" s="1"/>
      <c r="D408" s="1"/>
      <c r="E408" s="1"/>
      <c r="F408" s="1"/>
      <c r="G408" s="1"/>
      <c r="H408" s="1"/>
      <c r="I408" s="61"/>
      <c r="J408" s="1"/>
      <c r="K408" s="1"/>
    </row>
    <row r="409" spans="1:11" ht="15.75" customHeight="1">
      <c r="A409" s="2"/>
      <c r="B409" s="1"/>
      <c r="C409" s="1"/>
      <c r="D409" s="1"/>
      <c r="E409" s="1"/>
      <c r="F409" s="1"/>
      <c r="G409" s="1"/>
      <c r="H409" s="1"/>
      <c r="I409" s="61"/>
      <c r="J409" s="1"/>
      <c r="K409" s="1"/>
    </row>
    <row r="410" spans="1:11" ht="15.75" customHeight="1">
      <c r="A410" s="2"/>
      <c r="B410" s="1"/>
      <c r="C410" s="1"/>
      <c r="D410" s="1"/>
      <c r="E410" s="1"/>
      <c r="F410" s="1"/>
      <c r="G410" s="1"/>
      <c r="H410" s="1"/>
      <c r="I410" s="61"/>
      <c r="J410" s="1"/>
      <c r="K410" s="1"/>
    </row>
    <row r="411" spans="1:11" ht="15.75" customHeight="1">
      <c r="A411" s="2"/>
      <c r="B411" s="1"/>
      <c r="C411" s="1"/>
      <c r="D411" s="1"/>
      <c r="E411" s="1"/>
      <c r="F411" s="1"/>
      <c r="G411" s="1"/>
      <c r="H411" s="1"/>
      <c r="I411" s="61"/>
      <c r="J411" s="1"/>
      <c r="K411" s="1"/>
    </row>
    <row r="412" spans="1:11" ht="15.75" customHeight="1">
      <c r="A412" s="2"/>
      <c r="B412" s="1"/>
      <c r="C412" s="1"/>
      <c r="D412" s="1"/>
      <c r="E412" s="1"/>
      <c r="F412" s="1"/>
      <c r="G412" s="1"/>
      <c r="H412" s="1"/>
      <c r="I412" s="61"/>
      <c r="J412" s="1"/>
      <c r="K412" s="1"/>
    </row>
    <row r="413" spans="1:11" ht="15.75" customHeight="1">
      <c r="A413" s="2"/>
      <c r="B413" s="1"/>
      <c r="C413" s="1"/>
      <c r="D413" s="1"/>
      <c r="E413" s="1"/>
      <c r="F413" s="1"/>
      <c r="G413" s="1"/>
      <c r="H413" s="1"/>
      <c r="I413" s="61"/>
      <c r="J413" s="1"/>
      <c r="K413" s="1"/>
    </row>
    <row r="414" spans="1:11" ht="15.75" customHeight="1">
      <c r="A414" s="2"/>
      <c r="B414" s="1"/>
      <c r="C414" s="1"/>
      <c r="D414" s="1"/>
      <c r="E414" s="1"/>
      <c r="F414" s="1"/>
      <c r="G414" s="1"/>
      <c r="H414" s="1"/>
      <c r="I414" s="61"/>
      <c r="J414" s="1"/>
      <c r="K414" s="1"/>
    </row>
    <row r="415" spans="1:11" ht="15.75" customHeight="1">
      <c r="A415" s="2"/>
      <c r="B415" s="1"/>
      <c r="C415" s="1"/>
      <c r="D415" s="1"/>
      <c r="E415" s="1"/>
      <c r="F415" s="1"/>
      <c r="G415" s="1"/>
      <c r="H415" s="1"/>
      <c r="I415" s="61"/>
      <c r="J415" s="1"/>
      <c r="K415" s="1"/>
    </row>
    <row r="416" spans="1:11" ht="15.75" customHeight="1">
      <c r="A416" s="2"/>
      <c r="B416" s="1"/>
      <c r="C416" s="1"/>
      <c r="D416" s="1"/>
      <c r="E416" s="1"/>
      <c r="F416" s="1"/>
      <c r="G416" s="1"/>
      <c r="H416" s="1"/>
      <c r="I416" s="61"/>
      <c r="J416" s="1"/>
      <c r="K416" s="1"/>
    </row>
    <row r="417" spans="1:11" ht="15.75" customHeight="1">
      <c r="A417" s="2"/>
      <c r="B417" s="1"/>
      <c r="C417" s="1"/>
      <c r="D417" s="1"/>
      <c r="E417" s="1"/>
      <c r="F417" s="1"/>
      <c r="G417" s="1"/>
      <c r="H417" s="1"/>
      <c r="I417" s="61"/>
      <c r="J417" s="1"/>
      <c r="K417" s="1"/>
    </row>
    <row r="418" spans="1:11" ht="15.75" customHeight="1">
      <c r="A418" s="2"/>
      <c r="B418" s="1"/>
      <c r="C418" s="1"/>
      <c r="D418" s="1"/>
      <c r="E418" s="1"/>
      <c r="F418" s="1"/>
      <c r="G418" s="1"/>
      <c r="H418" s="1"/>
      <c r="I418" s="61"/>
      <c r="J418" s="1"/>
      <c r="K418" s="1"/>
    </row>
    <row r="419" spans="1:11" ht="15.75" customHeight="1">
      <c r="A419" s="2"/>
      <c r="B419" s="1"/>
      <c r="C419" s="1"/>
      <c r="D419" s="1"/>
      <c r="E419" s="1"/>
      <c r="F419" s="1"/>
      <c r="G419" s="1"/>
      <c r="H419" s="1"/>
      <c r="I419" s="61"/>
      <c r="J419" s="1"/>
      <c r="K419" s="1"/>
    </row>
    <row r="420" spans="1:11" ht="15.75" customHeight="1">
      <c r="A420" s="2"/>
      <c r="B420" s="1"/>
      <c r="C420" s="1"/>
      <c r="D420" s="1"/>
      <c r="E420" s="1"/>
      <c r="F420" s="1"/>
      <c r="G420" s="1"/>
      <c r="H420" s="1"/>
      <c r="I420" s="61"/>
      <c r="J420" s="1"/>
      <c r="K420" s="1"/>
    </row>
    <row r="421" spans="1:11" ht="15.75" customHeight="1">
      <c r="A421" s="2"/>
      <c r="B421" s="1"/>
      <c r="C421" s="1"/>
      <c r="D421" s="1"/>
      <c r="E421" s="1"/>
      <c r="F421" s="1"/>
      <c r="G421" s="1"/>
      <c r="H421" s="1"/>
      <c r="I421" s="61"/>
      <c r="J421" s="1"/>
      <c r="K421" s="1"/>
    </row>
    <row r="422" spans="1:11" ht="15.75" customHeight="1">
      <c r="A422" s="2"/>
      <c r="B422" s="1"/>
      <c r="C422" s="1"/>
      <c r="D422" s="1"/>
      <c r="E422" s="1"/>
      <c r="F422" s="1"/>
      <c r="G422" s="1"/>
      <c r="H422" s="1"/>
      <c r="I422" s="61"/>
      <c r="J422" s="1"/>
      <c r="K422" s="1"/>
    </row>
    <row r="423" spans="1:11" ht="15.75" customHeight="1">
      <c r="A423" s="2"/>
      <c r="B423" s="1"/>
      <c r="C423" s="1"/>
      <c r="D423" s="1"/>
      <c r="E423" s="1"/>
      <c r="F423" s="1"/>
      <c r="G423" s="1"/>
      <c r="H423" s="1"/>
      <c r="I423" s="61"/>
      <c r="J423" s="1"/>
      <c r="K423" s="1"/>
    </row>
    <row r="424" spans="1:11" ht="15.75" customHeight="1">
      <c r="A424" s="2"/>
      <c r="B424" s="1"/>
      <c r="C424" s="1"/>
      <c r="D424" s="1"/>
      <c r="E424" s="1"/>
      <c r="F424" s="1"/>
      <c r="G424" s="1"/>
      <c r="H424" s="1"/>
      <c r="I424" s="61"/>
      <c r="J424" s="1"/>
      <c r="K424" s="1"/>
    </row>
    <row r="425" spans="1:11" ht="15.75" customHeight="1">
      <c r="A425" s="2"/>
      <c r="B425" s="1"/>
      <c r="C425" s="1"/>
      <c r="D425" s="1"/>
      <c r="E425" s="1"/>
      <c r="F425" s="1"/>
      <c r="G425" s="1"/>
      <c r="H425" s="1"/>
      <c r="I425" s="61"/>
      <c r="J425" s="1"/>
      <c r="K425" s="1"/>
    </row>
    <row r="426" spans="1:11" ht="15.75" customHeight="1">
      <c r="A426" s="2"/>
      <c r="B426" s="1"/>
      <c r="C426" s="1"/>
      <c r="D426" s="1"/>
      <c r="E426" s="1"/>
      <c r="F426" s="1"/>
      <c r="G426" s="1"/>
      <c r="H426" s="1"/>
      <c r="I426" s="61"/>
      <c r="J426" s="1"/>
      <c r="K426" s="1"/>
    </row>
    <row r="427" spans="1:11" ht="15.75" customHeight="1">
      <c r="A427" s="2"/>
      <c r="B427" s="1"/>
      <c r="C427" s="1"/>
      <c r="D427" s="1"/>
      <c r="E427" s="1"/>
      <c r="F427" s="1"/>
      <c r="G427" s="1"/>
      <c r="H427" s="1"/>
      <c r="I427" s="61"/>
      <c r="J427" s="1"/>
      <c r="K427" s="1"/>
    </row>
    <row r="428" spans="1:11" ht="15.75" customHeight="1">
      <c r="A428" s="2"/>
      <c r="B428" s="1"/>
      <c r="C428" s="1"/>
      <c r="D428" s="1"/>
      <c r="E428" s="1"/>
      <c r="F428" s="1"/>
      <c r="G428" s="1"/>
      <c r="H428" s="1"/>
      <c r="I428" s="61"/>
      <c r="J428" s="1"/>
      <c r="K428" s="1"/>
    </row>
    <row r="429" spans="1:11" ht="15.75" customHeight="1">
      <c r="A429" s="2"/>
      <c r="B429" s="1"/>
      <c r="C429" s="1"/>
      <c r="D429" s="1"/>
      <c r="E429" s="1"/>
      <c r="F429" s="1"/>
      <c r="G429" s="1"/>
      <c r="H429" s="1"/>
      <c r="I429" s="61"/>
      <c r="J429" s="1"/>
      <c r="K429" s="1"/>
    </row>
    <row r="430" spans="1:11" ht="15.75" customHeight="1">
      <c r="A430" s="2"/>
      <c r="B430" s="1"/>
      <c r="C430" s="1"/>
      <c r="D430" s="1"/>
      <c r="E430" s="1"/>
      <c r="F430" s="1"/>
      <c r="G430" s="1"/>
      <c r="H430" s="1"/>
      <c r="I430" s="61"/>
      <c r="J430" s="1"/>
      <c r="K430" s="1"/>
    </row>
    <row r="431" spans="1:11" ht="15.75" customHeight="1">
      <c r="A431" s="2"/>
      <c r="B431" s="1"/>
      <c r="C431" s="1"/>
      <c r="D431" s="1"/>
      <c r="E431" s="1"/>
      <c r="F431" s="1"/>
      <c r="G431" s="1"/>
      <c r="H431" s="1"/>
      <c r="I431" s="61"/>
      <c r="J431" s="1"/>
      <c r="K431" s="1"/>
    </row>
    <row r="432" spans="1:11" ht="15.75" customHeight="1">
      <c r="A432" s="2"/>
      <c r="B432" s="1"/>
      <c r="C432" s="1"/>
      <c r="D432" s="1"/>
      <c r="E432" s="1"/>
      <c r="F432" s="1"/>
      <c r="G432" s="1"/>
      <c r="H432" s="1"/>
      <c r="I432" s="61"/>
      <c r="J432" s="1"/>
      <c r="K432" s="1"/>
    </row>
    <row r="433" spans="1:11" ht="15.75" customHeight="1">
      <c r="A433" s="2"/>
      <c r="B433" s="1"/>
      <c r="C433" s="1"/>
      <c r="D433" s="1"/>
      <c r="E433" s="1"/>
      <c r="F433" s="1"/>
      <c r="G433" s="1"/>
      <c r="H433" s="1"/>
      <c r="I433" s="61"/>
      <c r="J433" s="1"/>
      <c r="K433" s="1"/>
    </row>
    <row r="434" spans="1:11" ht="15.75" customHeight="1">
      <c r="A434" s="2"/>
      <c r="B434" s="1"/>
      <c r="C434" s="1"/>
      <c r="D434" s="1"/>
      <c r="E434" s="1"/>
      <c r="F434" s="1"/>
      <c r="G434" s="1"/>
      <c r="H434" s="1"/>
      <c r="I434" s="61"/>
      <c r="J434" s="1"/>
      <c r="K434" s="1"/>
    </row>
    <row r="435" spans="1:11" ht="15.75" customHeight="1">
      <c r="A435" s="2"/>
      <c r="B435" s="1"/>
      <c r="C435" s="1"/>
      <c r="D435" s="1"/>
      <c r="E435" s="1"/>
      <c r="F435" s="1"/>
      <c r="G435" s="1"/>
      <c r="H435" s="1"/>
      <c r="I435" s="61"/>
      <c r="J435" s="1"/>
      <c r="K435" s="1"/>
    </row>
    <row r="436" spans="1:11" ht="15.75" customHeight="1">
      <c r="A436" s="2"/>
      <c r="B436" s="1"/>
      <c r="C436" s="1"/>
      <c r="D436" s="1"/>
      <c r="E436" s="1"/>
      <c r="F436" s="1"/>
      <c r="G436" s="1"/>
      <c r="H436" s="1"/>
      <c r="I436" s="61"/>
      <c r="J436" s="1"/>
      <c r="K436" s="1"/>
    </row>
    <row r="437" spans="1:11" ht="15.75" customHeight="1">
      <c r="A437" s="2"/>
      <c r="B437" s="1"/>
      <c r="C437" s="1"/>
      <c r="D437" s="1"/>
      <c r="E437" s="1"/>
      <c r="F437" s="1"/>
      <c r="G437" s="1"/>
      <c r="H437" s="1"/>
      <c r="I437" s="61"/>
      <c r="J437" s="1"/>
      <c r="K437" s="1"/>
    </row>
    <row r="438" spans="1:11" ht="15.75" customHeight="1">
      <c r="A438" s="2"/>
      <c r="B438" s="1"/>
      <c r="C438" s="1"/>
      <c r="D438" s="1"/>
      <c r="E438" s="1"/>
      <c r="F438" s="1"/>
      <c r="G438" s="1"/>
      <c r="H438" s="1"/>
      <c r="I438" s="61"/>
      <c r="J438" s="1"/>
      <c r="K438" s="1"/>
    </row>
    <row r="439" spans="1:11" ht="15.75" customHeight="1">
      <c r="A439" s="2"/>
      <c r="B439" s="1"/>
      <c r="C439" s="1"/>
      <c r="D439" s="1"/>
      <c r="E439" s="1"/>
      <c r="F439" s="1"/>
      <c r="G439" s="1"/>
      <c r="H439" s="1"/>
      <c r="I439" s="61"/>
      <c r="J439" s="1"/>
      <c r="K439" s="1"/>
    </row>
    <row r="440" spans="1:11" ht="15.75" customHeight="1">
      <c r="A440" s="2"/>
      <c r="B440" s="1"/>
      <c r="C440" s="1"/>
      <c r="D440" s="1"/>
      <c r="E440" s="1"/>
      <c r="F440" s="1"/>
      <c r="G440" s="1"/>
      <c r="H440" s="1"/>
      <c r="I440" s="61"/>
      <c r="J440" s="1"/>
      <c r="K440" s="1"/>
    </row>
    <row r="441" spans="1:11" ht="15.75" customHeight="1">
      <c r="A441" s="2"/>
      <c r="B441" s="1"/>
      <c r="C441" s="1"/>
      <c r="D441" s="1"/>
      <c r="E441" s="1"/>
      <c r="F441" s="1"/>
      <c r="G441" s="1"/>
      <c r="H441" s="1"/>
      <c r="I441" s="61"/>
      <c r="J441" s="1"/>
      <c r="K441" s="1"/>
    </row>
    <row r="442" spans="1:11" ht="15.75" customHeight="1">
      <c r="A442" s="2"/>
      <c r="B442" s="1"/>
      <c r="C442" s="1"/>
      <c r="D442" s="1"/>
      <c r="E442" s="1"/>
      <c r="F442" s="1"/>
      <c r="G442" s="1"/>
      <c r="H442" s="1"/>
      <c r="I442" s="61"/>
      <c r="J442" s="1"/>
      <c r="K442" s="1"/>
    </row>
    <row r="443" spans="1:11" ht="15.75" customHeight="1">
      <c r="A443" s="2"/>
      <c r="B443" s="1"/>
      <c r="C443" s="1"/>
      <c r="D443" s="1"/>
      <c r="E443" s="1"/>
      <c r="F443" s="1"/>
      <c r="G443" s="1"/>
      <c r="H443" s="1"/>
      <c r="I443" s="61"/>
      <c r="J443" s="1"/>
      <c r="K443" s="1"/>
    </row>
    <row r="444" spans="1:11" ht="15.75" customHeight="1">
      <c r="A444" s="2"/>
      <c r="B444" s="1"/>
      <c r="C444" s="1"/>
      <c r="D444" s="1"/>
      <c r="E444" s="1"/>
      <c r="F444" s="1"/>
      <c r="G444" s="1"/>
      <c r="H444" s="1"/>
      <c r="I444" s="61"/>
      <c r="J444" s="1"/>
      <c r="K444" s="1"/>
    </row>
    <row r="445" spans="1:11" ht="15.75" customHeight="1">
      <c r="A445" s="2"/>
      <c r="B445" s="1"/>
      <c r="C445" s="1"/>
      <c r="D445" s="1"/>
      <c r="E445" s="1"/>
      <c r="F445" s="1"/>
      <c r="G445" s="1"/>
      <c r="H445" s="1"/>
      <c r="I445" s="61"/>
      <c r="J445" s="1"/>
      <c r="K445" s="1"/>
    </row>
    <row r="446" spans="1:11" ht="15.75" customHeight="1">
      <c r="A446" s="2"/>
      <c r="B446" s="1"/>
      <c r="C446" s="1"/>
      <c r="D446" s="1"/>
      <c r="E446" s="1"/>
      <c r="F446" s="1"/>
      <c r="G446" s="1"/>
      <c r="H446" s="1"/>
      <c r="I446" s="61"/>
      <c r="J446" s="1"/>
      <c r="K446" s="1"/>
    </row>
    <row r="447" spans="1:11" ht="15.75" customHeight="1">
      <c r="A447" s="2"/>
      <c r="B447" s="1"/>
      <c r="C447" s="1"/>
      <c r="D447" s="1"/>
      <c r="E447" s="1"/>
      <c r="F447" s="1"/>
      <c r="G447" s="1"/>
      <c r="H447" s="1"/>
      <c r="I447" s="61"/>
      <c r="J447" s="1"/>
      <c r="K447" s="1"/>
    </row>
    <row r="448" spans="1:11" ht="15.75" customHeight="1">
      <c r="A448" s="2"/>
      <c r="B448" s="1"/>
      <c r="C448" s="1"/>
      <c r="D448" s="1"/>
      <c r="E448" s="1"/>
      <c r="F448" s="1"/>
      <c r="G448" s="1"/>
      <c r="H448" s="1"/>
      <c r="I448" s="61"/>
      <c r="J448" s="1"/>
      <c r="K448" s="1"/>
    </row>
    <row r="449" spans="1:11" ht="15.75" customHeight="1">
      <c r="A449" s="2"/>
      <c r="B449" s="1"/>
      <c r="C449" s="1"/>
      <c r="D449" s="1"/>
      <c r="E449" s="1"/>
      <c r="F449" s="1"/>
      <c r="G449" s="1"/>
      <c r="H449" s="1"/>
      <c r="I449" s="61"/>
      <c r="J449" s="1"/>
      <c r="K449" s="1"/>
    </row>
    <row r="450" spans="1:11" ht="15.75" customHeight="1">
      <c r="A450" s="2"/>
      <c r="B450" s="1"/>
      <c r="C450" s="1"/>
      <c r="D450" s="1"/>
      <c r="E450" s="1"/>
      <c r="F450" s="1"/>
      <c r="G450" s="1"/>
      <c r="H450" s="1"/>
      <c r="I450" s="61"/>
      <c r="J450" s="1"/>
      <c r="K450" s="1"/>
    </row>
    <row r="451" spans="1:11" ht="15.75" customHeight="1">
      <c r="A451" s="2"/>
      <c r="B451" s="1"/>
      <c r="C451" s="1"/>
      <c r="D451" s="1"/>
      <c r="E451" s="1"/>
      <c r="F451" s="1"/>
      <c r="G451" s="1"/>
      <c r="H451" s="1"/>
      <c r="I451" s="61"/>
      <c r="J451" s="1"/>
      <c r="K451" s="1"/>
    </row>
    <row r="452" spans="1:11" ht="15.75" customHeight="1">
      <c r="A452" s="2"/>
      <c r="B452" s="1"/>
      <c r="C452" s="1"/>
      <c r="D452" s="1"/>
      <c r="E452" s="1"/>
      <c r="F452" s="1"/>
      <c r="G452" s="1"/>
      <c r="H452" s="1"/>
      <c r="I452" s="61"/>
      <c r="J452" s="1"/>
      <c r="K452" s="1"/>
    </row>
    <row r="453" spans="1:11" ht="15.75" customHeight="1">
      <c r="A453" s="2"/>
      <c r="B453" s="1"/>
      <c r="C453" s="1"/>
      <c r="D453" s="1"/>
      <c r="E453" s="1"/>
      <c r="F453" s="1"/>
      <c r="G453" s="1"/>
      <c r="H453" s="1"/>
      <c r="I453" s="61"/>
      <c r="J453" s="1"/>
      <c r="K453" s="1"/>
    </row>
    <row r="454" spans="1:11" ht="15.75" customHeight="1">
      <c r="A454" s="2"/>
      <c r="B454" s="1"/>
      <c r="C454" s="1"/>
      <c r="D454" s="1"/>
      <c r="E454" s="1"/>
      <c r="F454" s="1"/>
      <c r="G454" s="1"/>
      <c r="H454" s="1"/>
      <c r="I454" s="61"/>
      <c r="J454" s="1"/>
      <c r="K454" s="1"/>
    </row>
    <row r="455" spans="1:11" ht="15.75" customHeight="1">
      <c r="A455" s="2"/>
      <c r="B455" s="1"/>
      <c r="C455" s="1"/>
      <c r="D455" s="1"/>
      <c r="E455" s="1"/>
      <c r="F455" s="1"/>
      <c r="G455" s="1"/>
      <c r="H455" s="1"/>
      <c r="I455" s="61"/>
      <c r="J455" s="1"/>
      <c r="K455" s="1"/>
    </row>
    <row r="456" spans="1:11" ht="15.75" customHeight="1">
      <c r="A456" s="2"/>
      <c r="B456" s="1"/>
      <c r="C456" s="1"/>
      <c r="D456" s="1"/>
      <c r="E456" s="1"/>
      <c r="F456" s="1"/>
      <c r="G456" s="1"/>
      <c r="H456" s="1"/>
      <c r="I456" s="61"/>
      <c r="J456" s="1"/>
      <c r="K456" s="1"/>
    </row>
    <row r="457" spans="1:11" ht="15.75" customHeight="1">
      <c r="A457" s="2"/>
      <c r="B457" s="1"/>
      <c r="C457" s="1"/>
      <c r="D457" s="1"/>
      <c r="E457" s="1"/>
      <c r="F457" s="1"/>
      <c r="G457" s="1"/>
      <c r="H457" s="1"/>
      <c r="I457" s="61"/>
      <c r="J457" s="1"/>
      <c r="K457" s="1"/>
    </row>
    <row r="458" spans="1:11" ht="15.75" customHeight="1">
      <c r="A458" s="2"/>
      <c r="B458" s="1"/>
      <c r="C458" s="1"/>
      <c r="D458" s="1"/>
      <c r="E458" s="1"/>
      <c r="F458" s="1"/>
      <c r="G458" s="1"/>
      <c r="H458" s="1"/>
      <c r="I458" s="61"/>
      <c r="J458" s="1"/>
      <c r="K458" s="1"/>
    </row>
    <row r="459" spans="1:11" ht="15.75" customHeight="1">
      <c r="A459" s="2"/>
      <c r="B459" s="1"/>
      <c r="C459" s="1"/>
      <c r="D459" s="1"/>
      <c r="E459" s="1"/>
      <c r="F459" s="1"/>
      <c r="G459" s="1"/>
      <c r="H459" s="1"/>
      <c r="I459" s="61"/>
      <c r="J459" s="1"/>
      <c r="K459" s="1"/>
    </row>
    <row r="460" spans="1:11" ht="15.75" customHeight="1">
      <c r="A460" s="2"/>
      <c r="B460" s="1"/>
      <c r="C460" s="1"/>
      <c r="D460" s="1"/>
      <c r="E460" s="1"/>
      <c r="F460" s="1"/>
      <c r="G460" s="1"/>
      <c r="H460" s="1"/>
      <c r="I460" s="61"/>
      <c r="J460" s="1"/>
      <c r="K460" s="1"/>
    </row>
    <row r="461" spans="1:11" ht="15.75" customHeight="1">
      <c r="A461" s="2"/>
      <c r="B461" s="1"/>
      <c r="C461" s="1"/>
      <c r="D461" s="1"/>
      <c r="E461" s="1"/>
      <c r="F461" s="1"/>
      <c r="G461" s="1"/>
      <c r="H461" s="1"/>
      <c r="I461" s="61"/>
      <c r="J461" s="1"/>
      <c r="K461" s="1"/>
    </row>
    <row r="462" spans="1:11" ht="15.75" customHeight="1">
      <c r="A462" s="2"/>
      <c r="B462" s="1"/>
      <c r="C462" s="1"/>
      <c r="D462" s="1"/>
      <c r="E462" s="1"/>
      <c r="F462" s="1"/>
      <c r="G462" s="1"/>
      <c r="H462" s="1"/>
      <c r="I462" s="61"/>
      <c r="J462" s="1"/>
      <c r="K462" s="1"/>
    </row>
    <row r="463" spans="1:11" ht="15.75" customHeight="1">
      <c r="A463" s="2"/>
      <c r="B463" s="1"/>
      <c r="C463" s="1"/>
      <c r="D463" s="1"/>
      <c r="E463" s="1"/>
      <c r="F463" s="1"/>
      <c r="G463" s="1"/>
      <c r="H463" s="1"/>
      <c r="I463" s="61"/>
      <c r="J463" s="1"/>
      <c r="K463" s="1"/>
    </row>
    <row r="464" spans="1:11" ht="15.75" customHeight="1">
      <c r="A464" s="2"/>
      <c r="B464" s="1"/>
      <c r="C464" s="1"/>
      <c r="D464" s="1"/>
      <c r="E464" s="1"/>
      <c r="F464" s="1"/>
      <c r="G464" s="1"/>
      <c r="H464" s="1"/>
      <c r="I464" s="61"/>
      <c r="J464" s="1"/>
      <c r="K464" s="1"/>
    </row>
    <row r="465" spans="1:11" ht="15.75" customHeight="1">
      <c r="A465" s="2"/>
      <c r="B465" s="1"/>
      <c r="C465" s="1"/>
      <c r="D465" s="1"/>
      <c r="E465" s="1"/>
      <c r="F465" s="1"/>
      <c r="G465" s="1"/>
      <c r="H465" s="1"/>
      <c r="I465" s="61"/>
      <c r="J465" s="1"/>
      <c r="K465" s="1"/>
    </row>
    <row r="466" spans="1:11" ht="15.75" customHeight="1">
      <c r="A466" s="2"/>
      <c r="B466" s="1"/>
      <c r="C466" s="1"/>
      <c r="D466" s="1"/>
      <c r="E466" s="1"/>
      <c r="F466" s="1"/>
      <c r="G466" s="1"/>
      <c r="H466" s="1"/>
      <c r="I466" s="61"/>
      <c r="J466" s="1"/>
      <c r="K466" s="1"/>
    </row>
    <row r="467" spans="1:11" ht="15.75" customHeight="1">
      <c r="A467" s="2"/>
      <c r="B467" s="1"/>
      <c r="C467" s="1"/>
      <c r="D467" s="1"/>
      <c r="E467" s="1"/>
      <c r="F467" s="1"/>
      <c r="G467" s="1"/>
      <c r="H467" s="1"/>
      <c r="I467" s="61"/>
      <c r="J467" s="1"/>
      <c r="K467" s="1"/>
    </row>
    <row r="468" spans="1:11" ht="15.75" customHeight="1">
      <c r="A468" s="2"/>
      <c r="B468" s="1"/>
      <c r="C468" s="1"/>
      <c r="D468" s="1"/>
      <c r="E468" s="1"/>
      <c r="F468" s="1"/>
      <c r="G468" s="1"/>
      <c r="H468" s="1"/>
      <c r="I468" s="61"/>
      <c r="J468" s="1"/>
      <c r="K468" s="1"/>
    </row>
    <row r="469" spans="1:11" ht="15.75" customHeight="1">
      <c r="A469" s="2"/>
      <c r="B469" s="1"/>
      <c r="C469" s="1"/>
      <c r="D469" s="1"/>
      <c r="E469" s="1"/>
      <c r="F469" s="1"/>
      <c r="G469" s="1"/>
      <c r="H469" s="1"/>
      <c r="I469" s="61"/>
      <c r="J469" s="1"/>
      <c r="K469" s="1"/>
    </row>
    <row r="470" spans="1:11" ht="15.75" customHeight="1">
      <c r="A470" s="2"/>
      <c r="B470" s="1"/>
      <c r="C470" s="1"/>
      <c r="D470" s="1"/>
      <c r="E470" s="1"/>
      <c r="F470" s="1"/>
      <c r="G470" s="1"/>
      <c r="H470" s="1"/>
      <c r="I470" s="61"/>
      <c r="J470" s="1"/>
      <c r="K470" s="1"/>
    </row>
    <row r="471" spans="1:11" ht="15.75" customHeight="1">
      <c r="A471" s="2"/>
      <c r="B471" s="1"/>
      <c r="C471" s="1"/>
      <c r="D471" s="1"/>
      <c r="E471" s="1"/>
      <c r="F471" s="1"/>
      <c r="G471" s="1"/>
      <c r="H471" s="1"/>
      <c r="I471" s="61"/>
      <c r="J471" s="1"/>
      <c r="K471" s="1"/>
    </row>
    <row r="472" spans="1:11" ht="15.75" customHeight="1">
      <c r="A472" s="2"/>
      <c r="B472" s="1"/>
      <c r="C472" s="1"/>
      <c r="D472" s="1"/>
      <c r="E472" s="1"/>
      <c r="F472" s="1"/>
      <c r="G472" s="1"/>
      <c r="H472" s="1"/>
      <c r="I472" s="61"/>
      <c r="J472" s="1"/>
      <c r="K472" s="1"/>
    </row>
    <row r="473" spans="1:11" ht="15.75" customHeight="1">
      <c r="A473" s="2"/>
      <c r="B473" s="1"/>
      <c r="C473" s="1"/>
      <c r="D473" s="1"/>
      <c r="E473" s="1"/>
      <c r="F473" s="1"/>
      <c r="G473" s="1"/>
      <c r="H473" s="1"/>
      <c r="I473" s="61"/>
      <c r="J473" s="1"/>
      <c r="K473" s="1"/>
    </row>
    <row r="474" spans="1:11" ht="15.75" customHeight="1">
      <c r="A474" s="2"/>
      <c r="B474" s="1"/>
      <c r="C474" s="1"/>
      <c r="D474" s="1"/>
      <c r="E474" s="1"/>
      <c r="F474" s="1"/>
      <c r="G474" s="1"/>
      <c r="H474" s="1"/>
      <c r="I474" s="61"/>
      <c r="J474" s="1"/>
      <c r="K474" s="1"/>
    </row>
    <row r="475" spans="1:11" ht="15.75" customHeight="1">
      <c r="A475" s="2"/>
      <c r="B475" s="1"/>
      <c r="C475" s="1"/>
      <c r="D475" s="1"/>
      <c r="E475" s="1"/>
      <c r="F475" s="1"/>
      <c r="G475" s="1"/>
      <c r="H475" s="1"/>
      <c r="I475" s="61"/>
      <c r="J475" s="1"/>
      <c r="K475" s="1"/>
    </row>
    <row r="476" spans="1:11" ht="15.75" customHeight="1">
      <c r="A476" s="2"/>
      <c r="B476" s="1"/>
      <c r="C476" s="1"/>
      <c r="D476" s="1"/>
      <c r="E476" s="1"/>
      <c r="F476" s="1"/>
      <c r="G476" s="1"/>
      <c r="H476" s="1"/>
      <c r="I476" s="61"/>
      <c r="J476" s="1"/>
      <c r="K476" s="1"/>
    </row>
    <row r="477" spans="1:11" ht="15.75" customHeight="1">
      <c r="A477" s="2"/>
      <c r="B477" s="1"/>
      <c r="C477" s="1"/>
      <c r="D477" s="1"/>
      <c r="E477" s="1"/>
      <c r="F477" s="1"/>
      <c r="G477" s="1"/>
      <c r="H477" s="1"/>
      <c r="I477" s="61"/>
      <c r="J477" s="1"/>
      <c r="K477" s="1"/>
    </row>
    <row r="478" spans="1:11" ht="15.75" customHeight="1">
      <c r="A478" s="2"/>
      <c r="B478" s="1"/>
      <c r="C478" s="1"/>
      <c r="D478" s="1"/>
      <c r="E478" s="1"/>
      <c r="F478" s="1"/>
      <c r="G478" s="1"/>
      <c r="H478" s="1"/>
      <c r="I478" s="61"/>
      <c r="J478" s="1"/>
      <c r="K478" s="1"/>
    </row>
    <row r="479" spans="1:11" ht="15.75" customHeight="1">
      <c r="A479" s="2"/>
      <c r="B479" s="1"/>
      <c r="C479" s="1"/>
      <c r="D479" s="1"/>
      <c r="E479" s="1"/>
      <c r="F479" s="1"/>
      <c r="G479" s="1"/>
      <c r="H479" s="1"/>
      <c r="I479" s="61"/>
      <c r="J479" s="1"/>
      <c r="K479" s="1"/>
    </row>
    <row r="480" spans="1:11" ht="15.75" customHeight="1">
      <c r="A480" s="2"/>
      <c r="B480" s="1"/>
      <c r="C480" s="1"/>
      <c r="D480" s="1"/>
      <c r="E480" s="1"/>
      <c r="F480" s="1"/>
      <c r="G480" s="1"/>
      <c r="H480" s="1"/>
      <c r="I480" s="61"/>
      <c r="J480" s="1"/>
      <c r="K480" s="1"/>
    </row>
    <row r="481" spans="1:11" ht="15.75" customHeight="1">
      <c r="A481" s="2"/>
      <c r="B481" s="1"/>
      <c r="C481" s="1"/>
      <c r="D481" s="1"/>
      <c r="E481" s="1"/>
      <c r="F481" s="1"/>
      <c r="G481" s="1"/>
      <c r="H481" s="1"/>
      <c r="I481" s="61"/>
      <c r="J481" s="1"/>
      <c r="K481" s="1"/>
    </row>
    <row r="482" spans="1:11" ht="15.75" customHeight="1">
      <c r="A482" s="2"/>
      <c r="B482" s="1"/>
      <c r="C482" s="1"/>
      <c r="D482" s="1"/>
      <c r="E482" s="1"/>
      <c r="F482" s="1"/>
      <c r="G482" s="1"/>
      <c r="H482" s="1"/>
      <c r="I482" s="61"/>
      <c r="J482" s="1"/>
      <c r="K482" s="1"/>
    </row>
    <row r="483" spans="1:11" ht="15.75" customHeight="1">
      <c r="A483" s="2"/>
      <c r="B483" s="1"/>
      <c r="C483" s="1"/>
      <c r="D483" s="1"/>
      <c r="E483" s="1"/>
      <c r="F483" s="1"/>
      <c r="G483" s="1"/>
      <c r="H483" s="1"/>
      <c r="I483" s="61"/>
      <c r="J483" s="1"/>
      <c r="K483" s="1"/>
    </row>
    <row r="484" spans="1:11" ht="15.75" customHeight="1">
      <c r="A484" s="2"/>
      <c r="B484" s="1"/>
      <c r="C484" s="1"/>
      <c r="D484" s="1"/>
      <c r="E484" s="1"/>
      <c r="F484" s="1"/>
      <c r="G484" s="1"/>
      <c r="H484" s="1"/>
      <c r="I484" s="61"/>
      <c r="J484" s="1"/>
      <c r="K484" s="1"/>
    </row>
    <row r="485" spans="1:11" ht="15.75" customHeight="1">
      <c r="A485" s="2"/>
      <c r="B485" s="1"/>
      <c r="C485" s="1"/>
      <c r="D485" s="1"/>
      <c r="E485" s="1"/>
      <c r="F485" s="1"/>
      <c r="G485" s="1"/>
      <c r="H485" s="1"/>
      <c r="I485" s="61"/>
      <c r="J485" s="1"/>
      <c r="K485" s="1"/>
    </row>
    <row r="486" spans="1:11" ht="15.75" customHeight="1">
      <c r="A486" s="2"/>
      <c r="B486" s="1"/>
      <c r="C486" s="1"/>
      <c r="D486" s="1"/>
      <c r="E486" s="1"/>
      <c r="F486" s="1"/>
      <c r="G486" s="1"/>
      <c r="H486" s="1"/>
      <c r="I486" s="61"/>
      <c r="J486" s="1"/>
      <c r="K486" s="1"/>
    </row>
    <row r="487" spans="1:11" ht="15.75" customHeight="1">
      <c r="A487" s="2"/>
      <c r="B487" s="1"/>
      <c r="C487" s="1"/>
      <c r="D487" s="1"/>
      <c r="E487" s="1"/>
      <c r="F487" s="1"/>
      <c r="G487" s="1"/>
      <c r="H487" s="1"/>
      <c r="I487" s="61"/>
      <c r="J487" s="1"/>
      <c r="K487" s="1"/>
    </row>
    <row r="488" spans="1:11" ht="15.75" customHeight="1">
      <c r="A488" s="2"/>
      <c r="B488" s="1"/>
      <c r="C488" s="1"/>
      <c r="D488" s="1"/>
      <c r="E488" s="1"/>
      <c r="F488" s="1"/>
      <c r="G488" s="1"/>
      <c r="H488" s="1"/>
      <c r="I488" s="61"/>
      <c r="J488" s="1"/>
      <c r="K488" s="1"/>
    </row>
    <row r="489" spans="1:11" ht="15.75" customHeight="1">
      <c r="A489" s="2"/>
      <c r="B489" s="1"/>
      <c r="C489" s="1"/>
      <c r="D489" s="1"/>
      <c r="E489" s="1"/>
      <c r="F489" s="1"/>
      <c r="G489" s="1"/>
      <c r="H489" s="1"/>
      <c r="I489" s="61"/>
      <c r="J489" s="1"/>
      <c r="K489" s="1"/>
    </row>
    <row r="490" spans="1:11" ht="15.75" customHeight="1">
      <c r="A490" s="2"/>
      <c r="B490" s="1"/>
      <c r="C490" s="1"/>
      <c r="D490" s="1"/>
      <c r="E490" s="1"/>
      <c r="F490" s="1"/>
      <c r="G490" s="1"/>
      <c r="H490" s="1"/>
      <c r="I490" s="61"/>
      <c r="J490" s="1"/>
      <c r="K490" s="1"/>
    </row>
    <row r="491" spans="1:11" ht="15.75" customHeight="1">
      <c r="A491" s="2"/>
      <c r="B491" s="1"/>
      <c r="C491" s="1"/>
      <c r="D491" s="1"/>
      <c r="E491" s="1"/>
      <c r="F491" s="1"/>
      <c r="G491" s="1"/>
      <c r="H491" s="1"/>
      <c r="I491" s="61"/>
      <c r="J491" s="1"/>
      <c r="K491" s="1"/>
    </row>
    <row r="492" spans="1:11" ht="15.75" customHeight="1">
      <c r="A492" s="2"/>
      <c r="B492" s="1"/>
      <c r="C492" s="1"/>
      <c r="D492" s="1"/>
      <c r="E492" s="1"/>
      <c r="F492" s="1"/>
      <c r="G492" s="1"/>
      <c r="H492" s="1"/>
      <c r="I492" s="61"/>
      <c r="J492" s="1"/>
      <c r="K492" s="1"/>
    </row>
    <row r="493" spans="1:11" ht="15.75" customHeight="1">
      <c r="A493" s="2"/>
      <c r="B493" s="1"/>
      <c r="C493" s="1"/>
      <c r="D493" s="1"/>
      <c r="E493" s="1"/>
      <c r="F493" s="1"/>
      <c r="G493" s="1"/>
      <c r="H493" s="1"/>
      <c r="I493" s="61"/>
      <c r="J493" s="1"/>
      <c r="K493" s="1"/>
    </row>
    <row r="494" spans="1:11" ht="15.75" customHeight="1">
      <c r="A494" s="2"/>
      <c r="B494" s="1"/>
      <c r="C494" s="1"/>
      <c r="D494" s="1"/>
      <c r="E494" s="1"/>
      <c r="F494" s="1"/>
      <c r="G494" s="1"/>
      <c r="H494" s="1"/>
      <c r="I494" s="61"/>
      <c r="J494" s="1"/>
      <c r="K494" s="1"/>
    </row>
    <row r="495" spans="1:11" ht="15.75" customHeight="1">
      <c r="A495" s="2"/>
      <c r="B495" s="1"/>
      <c r="C495" s="1"/>
      <c r="D495" s="1"/>
      <c r="E495" s="1"/>
      <c r="F495" s="1"/>
      <c r="G495" s="1"/>
      <c r="H495" s="1"/>
      <c r="I495" s="61"/>
      <c r="J495" s="1"/>
      <c r="K495" s="1"/>
    </row>
    <row r="496" spans="1:11" ht="15.75" customHeight="1">
      <c r="A496" s="2"/>
      <c r="B496" s="1"/>
      <c r="C496" s="1"/>
      <c r="D496" s="1"/>
      <c r="E496" s="1"/>
      <c r="F496" s="1"/>
      <c r="G496" s="1"/>
      <c r="H496" s="1"/>
      <c r="I496" s="61"/>
      <c r="J496" s="1"/>
      <c r="K496" s="1"/>
    </row>
    <row r="497" spans="1:11" ht="15.75" customHeight="1">
      <c r="A497" s="2"/>
      <c r="B497" s="1"/>
      <c r="C497" s="1"/>
      <c r="D497" s="1"/>
      <c r="E497" s="1"/>
      <c r="F497" s="1"/>
      <c r="G497" s="1"/>
      <c r="H497" s="1"/>
      <c r="I497" s="61"/>
      <c r="J497" s="1"/>
      <c r="K497" s="1"/>
    </row>
    <row r="498" spans="1:11" ht="15.75" customHeight="1">
      <c r="A498" s="2"/>
      <c r="B498" s="1"/>
      <c r="C498" s="1"/>
      <c r="D498" s="1"/>
      <c r="E498" s="1"/>
      <c r="F498" s="1"/>
      <c r="G498" s="1"/>
      <c r="H498" s="1"/>
      <c r="I498" s="61"/>
      <c r="J498" s="1"/>
      <c r="K498" s="1"/>
    </row>
    <row r="499" spans="1:11" ht="15.75" customHeight="1">
      <c r="A499" s="2"/>
      <c r="B499" s="1"/>
      <c r="C499" s="1"/>
      <c r="D499" s="1"/>
      <c r="E499" s="1"/>
      <c r="F499" s="1"/>
      <c r="G499" s="1"/>
      <c r="H499" s="1"/>
      <c r="I499" s="61"/>
      <c r="J499" s="1"/>
      <c r="K499" s="1"/>
    </row>
    <row r="500" spans="1:11" ht="15.75" customHeight="1">
      <c r="A500" s="2"/>
      <c r="B500" s="1"/>
      <c r="C500" s="1"/>
      <c r="D500" s="1"/>
      <c r="E500" s="1"/>
      <c r="F500" s="1"/>
      <c r="G500" s="1"/>
      <c r="H500" s="1"/>
      <c r="I500" s="61"/>
      <c r="J500" s="1"/>
      <c r="K500" s="1"/>
    </row>
    <row r="501" spans="1:11" ht="15.75" customHeight="1">
      <c r="A501" s="2"/>
      <c r="B501" s="1"/>
      <c r="C501" s="1"/>
      <c r="D501" s="1"/>
      <c r="E501" s="1"/>
      <c r="F501" s="1"/>
      <c r="G501" s="1"/>
      <c r="H501" s="1"/>
      <c r="I501" s="61"/>
      <c r="J501" s="1"/>
      <c r="K501" s="1"/>
    </row>
    <row r="502" spans="1:11" ht="15.75" customHeight="1">
      <c r="A502" s="2"/>
      <c r="B502" s="1"/>
      <c r="C502" s="1"/>
      <c r="D502" s="1"/>
      <c r="E502" s="1"/>
      <c r="F502" s="1"/>
      <c r="G502" s="1"/>
      <c r="H502" s="1"/>
      <c r="I502" s="61"/>
      <c r="J502" s="1"/>
      <c r="K502" s="1"/>
    </row>
    <row r="503" spans="1:11" ht="15.75" customHeight="1">
      <c r="A503" s="2"/>
      <c r="B503" s="1"/>
      <c r="C503" s="1"/>
      <c r="D503" s="1"/>
      <c r="E503" s="1"/>
      <c r="F503" s="1"/>
      <c r="G503" s="1"/>
      <c r="H503" s="1"/>
      <c r="I503" s="61"/>
      <c r="J503" s="1"/>
      <c r="K503" s="1"/>
    </row>
    <row r="504" spans="1:11" ht="15.75" customHeight="1">
      <c r="A504" s="2"/>
      <c r="B504" s="1"/>
      <c r="C504" s="1"/>
      <c r="D504" s="1"/>
      <c r="E504" s="1"/>
      <c r="F504" s="1"/>
      <c r="G504" s="1"/>
      <c r="H504" s="1"/>
      <c r="I504" s="61"/>
      <c r="J504" s="1"/>
      <c r="K504" s="1"/>
    </row>
    <row r="505" spans="1:11" ht="15.75" customHeight="1">
      <c r="A505" s="2"/>
      <c r="B505" s="1"/>
      <c r="C505" s="1"/>
      <c r="D505" s="1"/>
      <c r="E505" s="1"/>
      <c r="F505" s="1"/>
      <c r="G505" s="1"/>
      <c r="H505" s="1"/>
      <c r="I505" s="61"/>
      <c r="J505" s="1"/>
      <c r="K505" s="1"/>
    </row>
    <row r="506" spans="1:11" ht="15.75" customHeight="1">
      <c r="A506" s="2"/>
      <c r="B506" s="1"/>
      <c r="C506" s="1"/>
      <c r="D506" s="1"/>
      <c r="E506" s="1"/>
      <c r="F506" s="1"/>
      <c r="G506" s="1"/>
      <c r="H506" s="1"/>
      <c r="I506" s="61"/>
      <c r="J506" s="1"/>
      <c r="K506" s="1"/>
    </row>
    <row r="507" spans="1:11" ht="15.75" customHeight="1">
      <c r="A507" s="2"/>
      <c r="B507" s="1"/>
      <c r="C507" s="1"/>
      <c r="D507" s="1"/>
      <c r="E507" s="1"/>
      <c r="F507" s="1"/>
      <c r="G507" s="1"/>
      <c r="H507" s="1"/>
      <c r="I507" s="61"/>
      <c r="J507" s="1"/>
      <c r="K507" s="1"/>
    </row>
    <row r="508" spans="1:11" ht="15.75" customHeight="1">
      <c r="A508" s="2"/>
      <c r="B508" s="1"/>
      <c r="C508" s="1"/>
      <c r="D508" s="1"/>
      <c r="E508" s="1"/>
      <c r="F508" s="1"/>
      <c r="G508" s="1"/>
      <c r="H508" s="1"/>
      <c r="I508" s="61"/>
      <c r="J508" s="1"/>
      <c r="K508" s="1"/>
    </row>
    <row r="509" spans="1:11" ht="15.75" customHeight="1">
      <c r="A509" s="2"/>
      <c r="B509" s="1"/>
      <c r="C509" s="1"/>
      <c r="D509" s="1"/>
      <c r="E509" s="1"/>
      <c r="F509" s="1"/>
      <c r="G509" s="1"/>
      <c r="H509" s="1"/>
      <c r="I509" s="61"/>
      <c r="J509" s="1"/>
      <c r="K509" s="1"/>
    </row>
    <row r="510" spans="1:11" ht="15.75" customHeight="1">
      <c r="A510" s="2"/>
      <c r="B510" s="1"/>
      <c r="C510" s="1"/>
      <c r="D510" s="1"/>
      <c r="E510" s="1"/>
      <c r="F510" s="1"/>
      <c r="G510" s="1"/>
      <c r="H510" s="1"/>
      <c r="I510" s="61"/>
      <c r="J510" s="1"/>
      <c r="K510" s="1"/>
    </row>
    <row r="511" spans="1:11" ht="15.75" customHeight="1">
      <c r="A511" s="2"/>
      <c r="B511" s="1"/>
      <c r="C511" s="1"/>
      <c r="D511" s="1"/>
      <c r="E511" s="1"/>
      <c r="F511" s="1"/>
      <c r="G511" s="1"/>
      <c r="H511" s="1"/>
      <c r="I511" s="61"/>
      <c r="J511" s="1"/>
      <c r="K511" s="1"/>
    </row>
    <row r="512" spans="1:11" ht="15.75" customHeight="1">
      <c r="A512" s="2"/>
      <c r="B512" s="1"/>
      <c r="C512" s="1"/>
      <c r="D512" s="1"/>
      <c r="E512" s="1"/>
      <c r="F512" s="1"/>
      <c r="G512" s="1"/>
      <c r="H512" s="1"/>
      <c r="I512" s="61"/>
      <c r="J512" s="1"/>
      <c r="K512" s="1"/>
    </row>
    <row r="513" spans="1:11" ht="15.75" customHeight="1">
      <c r="A513" s="2"/>
      <c r="B513" s="1"/>
      <c r="C513" s="1"/>
      <c r="D513" s="1"/>
      <c r="E513" s="1"/>
      <c r="F513" s="1"/>
      <c r="G513" s="1"/>
      <c r="H513" s="1"/>
      <c r="I513" s="61"/>
      <c r="J513" s="1"/>
      <c r="K513" s="1"/>
    </row>
    <row r="514" spans="1:11" ht="15.75" customHeight="1">
      <c r="A514" s="2"/>
      <c r="B514" s="1"/>
      <c r="C514" s="1"/>
      <c r="D514" s="1"/>
      <c r="E514" s="1"/>
      <c r="F514" s="1"/>
      <c r="G514" s="1"/>
      <c r="H514" s="1"/>
      <c r="I514" s="61"/>
      <c r="J514" s="1"/>
      <c r="K514" s="1"/>
    </row>
    <row r="515" spans="1:11" ht="15.75" customHeight="1">
      <c r="A515" s="2"/>
      <c r="B515" s="1"/>
      <c r="C515" s="1"/>
      <c r="D515" s="1"/>
      <c r="E515" s="1"/>
      <c r="F515" s="1"/>
      <c r="G515" s="1"/>
      <c r="H515" s="1"/>
      <c r="I515" s="61"/>
      <c r="J515" s="1"/>
      <c r="K515" s="1"/>
    </row>
    <row r="516" spans="1:11" ht="15.75" customHeight="1">
      <c r="A516" s="2"/>
      <c r="B516" s="1"/>
      <c r="C516" s="1"/>
      <c r="D516" s="1"/>
      <c r="E516" s="1"/>
      <c r="F516" s="1"/>
      <c r="G516" s="1"/>
      <c r="H516" s="1"/>
      <c r="I516" s="61"/>
      <c r="J516" s="1"/>
      <c r="K516" s="1"/>
    </row>
    <row r="517" spans="1:11" ht="15.75" customHeight="1">
      <c r="A517" s="2"/>
      <c r="B517" s="1"/>
      <c r="C517" s="1"/>
      <c r="D517" s="1"/>
      <c r="E517" s="1"/>
      <c r="F517" s="1"/>
      <c r="G517" s="1"/>
      <c r="H517" s="1"/>
      <c r="I517" s="61"/>
      <c r="J517" s="1"/>
      <c r="K517" s="1"/>
    </row>
    <row r="518" spans="1:11" ht="15.75" customHeight="1">
      <c r="A518" s="2"/>
      <c r="B518" s="1"/>
      <c r="C518" s="1"/>
      <c r="D518" s="1"/>
      <c r="E518" s="1"/>
      <c r="F518" s="1"/>
      <c r="G518" s="1"/>
      <c r="H518" s="1"/>
      <c r="I518" s="61"/>
      <c r="J518" s="1"/>
      <c r="K518" s="1"/>
    </row>
    <row r="519" spans="1:11" ht="15.75" customHeight="1">
      <c r="A519" s="2"/>
      <c r="B519" s="1"/>
      <c r="C519" s="1"/>
      <c r="D519" s="1"/>
      <c r="E519" s="1"/>
      <c r="F519" s="1"/>
      <c r="G519" s="1"/>
      <c r="H519" s="1"/>
      <c r="I519" s="61"/>
      <c r="J519" s="1"/>
      <c r="K519" s="1"/>
    </row>
    <row r="520" spans="1:11" ht="15.75" customHeight="1">
      <c r="A520" s="2"/>
      <c r="B520" s="1"/>
      <c r="C520" s="1"/>
      <c r="D520" s="1"/>
      <c r="E520" s="1"/>
      <c r="F520" s="1"/>
      <c r="G520" s="1"/>
      <c r="H520" s="1"/>
      <c r="I520" s="61"/>
      <c r="J520" s="1"/>
      <c r="K520" s="1"/>
    </row>
    <row r="521" spans="1:11" ht="15.75" customHeight="1">
      <c r="A521" s="2"/>
      <c r="B521" s="1"/>
      <c r="C521" s="1"/>
      <c r="D521" s="1"/>
      <c r="E521" s="1"/>
      <c r="F521" s="1"/>
      <c r="G521" s="1"/>
      <c r="H521" s="1"/>
      <c r="I521" s="61"/>
      <c r="J521" s="1"/>
      <c r="K521" s="1"/>
    </row>
    <row r="522" spans="1:11" ht="15.75" customHeight="1">
      <c r="A522" s="2"/>
      <c r="B522" s="1"/>
      <c r="C522" s="1"/>
      <c r="D522" s="1"/>
      <c r="E522" s="1"/>
      <c r="F522" s="1"/>
      <c r="G522" s="1"/>
      <c r="H522" s="1"/>
      <c r="I522" s="61"/>
      <c r="J522" s="1"/>
      <c r="K522" s="1"/>
    </row>
    <row r="523" spans="1:11" ht="15.75" customHeight="1">
      <c r="A523" s="2"/>
      <c r="B523" s="1"/>
      <c r="C523" s="1"/>
      <c r="D523" s="1"/>
      <c r="E523" s="1"/>
      <c r="F523" s="1"/>
      <c r="G523" s="1"/>
      <c r="H523" s="1"/>
      <c r="I523" s="61"/>
      <c r="J523" s="1"/>
      <c r="K523" s="1"/>
    </row>
    <row r="524" spans="1:11" ht="15.75" customHeight="1">
      <c r="A524" s="2"/>
      <c r="B524" s="1"/>
      <c r="C524" s="1"/>
      <c r="D524" s="1"/>
      <c r="E524" s="1"/>
      <c r="F524" s="1"/>
      <c r="G524" s="1"/>
      <c r="H524" s="1"/>
      <c r="I524" s="61"/>
      <c r="J524" s="1"/>
      <c r="K524" s="1"/>
    </row>
    <row r="525" spans="1:11" ht="15.75" customHeight="1">
      <c r="A525" s="2"/>
      <c r="B525" s="1"/>
      <c r="C525" s="1"/>
      <c r="D525" s="1"/>
      <c r="E525" s="1"/>
      <c r="F525" s="1"/>
      <c r="G525" s="1"/>
      <c r="H525" s="1"/>
      <c r="I525" s="61"/>
      <c r="J525" s="1"/>
      <c r="K525" s="1"/>
    </row>
    <row r="526" spans="1:11" ht="15.75" customHeight="1">
      <c r="A526" s="2"/>
      <c r="B526" s="1"/>
      <c r="C526" s="1"/>
      <c r="D526" s="1"/>
      <c r="E526" s="1"/>
      <c r="F526" s="1"/>
      <c r="G526" s="1"/>
      <c r="H526" s="1"/>
      <c r="I526" s="61"/>
      <c r="J526" s="1"/>
      <c r="K526" s="1"/>
    </row>
    <row r="527" spans="1:11" ht="15.75" customHeight="1">
      <c r="A527" s="2"/>
      <c r="B527" s="1"/>
      <c r="C527" s="1"/>
      <c r="D527" s="1"/>
      <c r="E527" s="1"/>
      <c r="F527" s="1"/>
      <c r="G527" s="1"/>
      <c r="H527" s="1"/>
      <c r="I527" s="61"/>
      <c r="J527" s="1"/>
      <c r="K527" s="1"/>
    </row>
    <row r="528" spans="1:11" ht="15.75" customHeight="1">
      <c r="A528" s="2"/>
      <c r="B528" s="1"/>
      <c r="C528" s="1"/>
      <c r="D528" s="1"/>
      <c r="E528" s="1"/>
      <c r="F528" s="1"/>
      <c r="G528" s="1"/>
      <c r="H528" s="1"/>
      <c r="I528" s="61"/>
      <c r="J528" s="1"/>
      <c r="K528" s="1"/>
    </row>
    <row r="529" spans="1:11" ht="15.75" customHeight="1">
      <c r="A529" s="2"/>
      <c r="B529" s="1"/>
      <c r="C529" s="1"/>
      <c r="D529" s="1"/>
      <c r="E529" s="1"/>
      <c r="F529" s="1"/>
      <c r="G529" s="1"/>
      <c r="H529" s="1"/>
      <c r="I529" s="61"/>
      <c r="J529" s="1"/>
      <c r="K529" s="1"/>
    </row>
    <row r="530" spans="1:11" ht="15.75" customHeight="1">
      <c r="A530" s="2"/>
      <c r="B530" s="1"/>
      <c r="C530" s="1"/>
      <c r="D530" s="1"/>
      <c r="E530" s="1"/>
      <c r="F530" s="1"/>
      <c r="G530" s="1"/>
      <c r="H530" s="1"/>
      <c r="I530" s="61"/>
      <c r="J530" s="1"/>
      <c r="K530" s="1"/>
    </row>
    <row r="531" spans="1:11" ht="15.75" customHeight="1">
      <c r="A531" s="2"/>
      <c r="B531" s="1"/>
      <c r="C531" s="1"/>
      <c r="D531" s="1"/>
      <c r="E531" s="1"/>
      <c r="F531" s="1"/>
      <c r="G531" s="1"/>
      <c r="H531" s="1"/>
      <c r="I531" s="61"/>
      <c r="J531" s="1"/>
      <c r="K531" s="1"/>
    </row>
    <row r="532" spans="1:11" ht="15.75" customHeight="1">
      <c r="A532" s="2"/>
      <c r="B532" s="1"/>
      <c r="C532" s="1"/>
      <c r="D532" s="1"/>
      <c r="E532" s="1"/>
      <c r="F532" s="1"/>
      <c r="G532" s="1"/>
      <c r="H532" s="1"/>
      <c r="I532" s="61"/>
      <c r="J532" s="1"/>
      <c r="K532" s="1"/>
    </row>
    <row r="533" spans="1:11" ht="15.75" customHeight="1">
      <c r="A533" s="2"/>
      <c r="B533" s="1"/>
      <c r="C533" s="1"/>
      <c r="D533" s="1"/>
      <c r="E533" s="1"/>
      <c r="F533" s="1"/>
      <c r="G533" s="1"/>
      <c r="H533" s="1"/>
      <c r="I533" s="61"/>
      <c r="J533" s="1"/>
      <c r="K533" s="1"/>
    </row>
    <row r="534" spans="1:11" ht="15.75" customHeight="1">
      <c r="A534" s="2"/>
      <c r="B534" s="1"/>
      <c r="C534" s="1"/>
      <c r="D534" s="1"/>
      <c r="E534" s="1"/>
      <c r="F534" s="1"/>
      <c r="G534" s="1"/>
      <c r="H534" s="1"/>
      <c r="I534" s="61"/>
      <c r="J534" s="1"/>
      <c r="K534" s="1"/>
    </row>
    <row r="535" spans="1:11" ht="15.75" customHeight="1">
      <c r="A535" s="2"/>
      <c r="B535" s="1"/>
      <c r="C535" s="1"/>
      <c r="D535" s="1"/>
      <c r="E535" s="1"/>
      <c r="F535" s="1"/>
      <c r="G535" s="1"/>
      <c r="H535" s="1"/>
      <c r="I535" s="61"/>
      <c r="J535" s="1"/>
      <c r="K535" s="1"/>
    </row>
    <row r="536" spans="1:11" ht="15.75" customHeight="1">
      <c r="A536" s="2"/>
      <c r="B536" s="1"/>
      <c r="C536" s="1"/>
      <c r="D536" s="1"/>
      <c r="E536" s="1"/>
      <c r="F536" s="1"/>
      <c r="G536" s="1"/>
      <c r="H536" s="1"/>
      <c r="I536" s="61"/>
      <c r="J536" s="1"/>
      <c r="K536" s="1"/>
    </row>
    <row r="537" spans="1:11" ht="15.75" customHeight="1">
      <c r="A537" s="2"/>
      <c r="B537" s="1"/>
      <c r="C537" s="1"/>
      <c r="D537" s="1"/>
      <c r="E537" s="1"/>
      <c r="F537" s="1"/>
      <c r="G537" s="1"/>
      <c r="H537" s="1"/>
      <c r="I537" s="61"/>
      <c r="J537" s="1"/>
      <c r="K537" s="1"/>
    </row>
    <row r="538" spans="1:11" ht="15.75" customHeight="1">
      <c r="A538" s="2"/>
      <c r="B538" s="1"/>
      <c r="C538" s="1"/>
      <c r="D538" s="1"/>
      <c r="E538" s="1"/>
      <c r="F538" s="1"/>
      <c r="G538" s="1"/>
      <c r="H538" s="1"/>
      <c r="I538" s="61"/>
      <c r="J538" s="1"/>
      <c r="K538" s="1"/>
    </row>
    <row r="539" spans="1:11" ht="15.75" customHeight="1">
      <c r="A539" s="2"/>
      <c r="B539" s="1"/>
      <c r="C539" s="1"/>
      <c r="D539" s="1"/>
      <c r="E539" s="1"/>
      <c r="F539" s="1"/>
      <c r="G539" s="1"/>
      <c r="H539" s="1"/>
      <c r="I539" s="61"/>
      <c r="J539" s="1"/>
      <c r="K539" s="1"/>
    </row>
    <row r="540" spans="1:11" ht="15.75" customHeight="1">
      <c r="A540" s="2"/>
      <c r="B540" s="1"/>
      <c r="C540" s="1"/>
      <c r="D540" s="1"/>
      <c r="E540" s="1"/>
      <c r="F540" s="1"/>
      <c r="G540" s="1"/>
      <c r="H540" s="1"/>
      <c r="I540" s="61"/>
      <c r="J540" s="1"/>
      <c r="K540" s="1"/>
    </row>
    <row r="541" spans="1:11" ht="15.75" customHeight="1">
      <c r="A541" s="2"/>
      <c r="B541" s="1"/>
      <c r="C541" s="1"/>
      <c r="D541" s="1"/>
      <c r="E541" s="1"/>
      <c r="F541" s="1"/>
      <c r="G541" s="1"/>
      <c r="H541" s="1"/>
      <c r="I541" s="61"/>
      <c r="J541" s="1"/>
      <c r="K541" s="1"/>
    </row>
    <row r="542" spans="1:11" ht="15.75" customHeight="1">
      <c r="A542" s="2"/>
      <c r="B542" s="1"/>
      <c r="C542" s="1"/>
      <c r="D542" s="1"/>
      <c r="E542" s="1"/>
      <c r="F542" s="1"/>
      <c r="G542" s="1"/>
      <c r="H542" s="1"/>
      <c r="I542" s="61"/>
      <c r="J542" s="1"/>
      <c r="K542" s="1"/>
    </row>
    <row r="543" spans="1:11" ht="15.75" customHeight="1">
      <c r="A543" s="2"/>
      <c r="B543" s="1"/>
      <c r="C543" s="1"/>
      <c r="D543" s="1"/>
      <c r="E543" s="1"/>
      <c r="F543" s="1"/>
      <c r="G543" s="1"/>
      <c r="H543" s="1"/>
      <c r="I543" s="61"/>
      <c r="J543" s="1"/>
      <c r="K543" s="1"/>
    </row>
    <row r="544" spans="1:11" ht="15.75" customHeight="1">
      <c r="A544" s="2"/>
      <c r="B544" s="1"/>
      <c r="C544" s="1"/>
      <c r="D544" s="1"/>
      <c r="E544" s="1"/>
      <c r="F544" s="1"/>
      <c r="G544" s="1"/>
      <c r="H544" s="1"/>
      <c r="I544" s="61"/>
      <c r="J544" s="1"/>
      <c r="K544" s="1"/>
    </row>
    <row r="545" spans="1:11" ht="15.75" customHeight="1">
      <c r="A545" s="2"/>
      <c r="B545" s="1"/>
      <c r="C545" s="1"/>
      <c r="D545" s="1"/>
      <c r="E545" s="1"/>
      <c r="F545" s="1"/>
      <c r="G545" s="1"/>
      <c r="H545" s="1"/>
      <c r="I545" s="61"/>
      <c r="J545" s="1"/>
      <c r="K545" s="1"/>
    </row>
    <row r="546" spans="1:11" ht="15.75" customHeight="1">
      <c r="A546" s="2"/>
      <c r="B546" s="1"/>
      <c r="C546" s="1"/>
      <c r="D546" s="1"/>
      <c r="E546" s="1"/>
      <c r="F546" s="1"/>
      <c r="G546" s="1"/>
      <c r="H546" s="1"/>
      <c r="I546" s="61"/>
      <c r="J546" s="1"/>
      <c r="K546" s="1"/>
    </row>
    <row r="547" spans="1:11" ht="15.75" customHeight="1">
      <c r="A547" s="2"/>
      <c r="B547" s="1"/>
      <c r="C547" s="1"/>
      <c r="D547" s="1"/>
      <c r="E547" s="1"/>
      <c r="F547" s="1"/>
      <c r="G547" s="1"/>
      <c r="H547" s="1"/>
      <c r="I547" s="61"/>
      <c r="J547" s="1"/>
      <c r="K547" s="1"/>
    </row>
    <row r="548" spans="1:11" ht="15.75" customHeight="1">
      <c r="A548" s="2"/>
      <c r="B548" s="1"/>
      <c r="C548" s="1"/>
      <c r="D548" s="1"/>
      <c r="E548" s="1"/>
      <c r="F548" s="1"/>
      <c r="G548" s="1"/>
      <c r="H548" s="1"/>
      <c r="I548" s="61"/>
      <c r="J548" s="1"/>
      <c r="K548" s="1"/>
    </row>
    <row r="549" spans="1:11" ht="15.75" customHeight="1">
      <c r="A549" s="2"/>
      <c r="B549" s="1"/>
      <c r="C549" s="1"/>
      <c r="D549" s="1"/>
      <c r="E549" s="1"/>
      <c r="F549" s="1"/>
      <c r="G549" s="1"/>
      <c r="H549" s="1"/>
      <c r="I549" s="61"/>
      <c r="J549" s="1"/>
      <c r="K549" s="1"/>
    </row>
    <row r="550" spans="1:11" ht="15.75" customHeight="1">
      <c r="A550" s="2"/>
      <c r="B550" s="1"/>
      <c r="C550" s="1"/>
      <c r="D550" s="1"/>
      <c r="E550" s="1"/>
      <c r="F550" s="1"/>
      <c r="G550" s="1"/>
      <c r="H550" s="1"/>
      <c r="I550" s="61"/>
      <c r="J550" s="1"/>
      <c r="K550" s="1"/>
    </row>
    <row r="551" spans="1:11" ht="15.75" customHeight="1">
      <c r="A551" s="2"/>
      <c r="B551" s="1"/>
      <c r="C551" s="1"/>
      <c r="D551" s="1"/>
      <c r="E551" s="1"/>
      <c r="F551" s="1"/>
      <c r="G551" s="1"/>
      <c r="H551" s="1"/>
      <c r="I551" s="61"/>
      <c r="J551" s="1"/>
      <c r="K551" s="1"/>
    </row>
    <row r="552" spans="1:11" ht="15.75" customHeight="1">
      <c r="A552" s="2"/>
      <c r="B552" s="1"/>
      <c r="C552" s="1"/>
      <c r="D552" s="1"/>
      <c r="E552" s="1"/>
      <c r="F552" s="1"/>
      <c r="G552" s="1"/>
      <c r="H552" s="1"/>
      <c r="I552" s="61"/>
      <c r="J552" s="1"/>
      <c r="K552" s="1"/>
    </row>
    <row r="553" spans="1:11" ht="15.75" customHeight="1">
      <c r="A553" s="2"/>
      <c r="B553" s="1"/>
      <c r="C553" s="1"/>
      <c r="D553" s="1"/>
      <c r="E553" s="1"/>
      <c r="F553" s="1"/>
      <c r="G553" s="1"/>
      <c r="H553" s="1"/>
      <c r="I553" s="61"/>
      <c r="J553" s="1"/>
      <c r="K553" s="1"/>
    </row>
    <row r="554" spans="1:11" ht="15.75" customHeight="1">
      <c r="A554" s="2"/>
      <c r="B554" s="1"/>
      <c r="C554" s="1"/>
      <c r="D554" s="1"/>
      <c r="E554" s="1"/>
      <c r="F554" s="1"/>
      <c r="G554" s="1"/>
      <c r="H554" s="1"/>
      <c r="I554" s="61"/>
      <c r="J554" s="1"/>
      <c r="K554" s="1"/>
    </row>
    <row r="555" spans="1:11" ht="15.75" customHeight="1">
      <c r="A555" s="2"/>
      <c r="B555" s="1"/>
      <c r="C555" s="1"/>
      <c r="D555" s="1"/>
      <c r="E555" s="1"/>
      <c r="F555" s="1"/>
      <c r="G555" s="1"/>
      <c r="H555" s="1"/>
      <c r="I555" s="61"/>
      <c r="J555" s="1"/>
      <c r="K555" s="1"/>
    </row>
    <row r="556" spans="1:11" ht="15.75" customHeight="1">
      <c r="A556" s="2"/>
      <c r="B556" s="1"/>
      <c r="C556" s="1"/>
      <c r="D556" s="1"/>
      <c r="E556" s="1"/>
      <c r="F556" s="1"/>
      <c r="G556" s="1"/>
      <c r="H556" s="1"/>
      <c r="I556" s="61"/>
      <c r="J556" s="1"/>
      <c r="K556" s="1"/>
    </row>
    <row r="557" spans="1:11" ht="15.75" customHeight="1">
      <c r="A557" s="2"/>
      <c r="B557" s="1"/>
      <c r="C557" s="1"/>
      <c r="D557" s="1"/>
      <c r="E557" s="1"/>
      <c r="F557" s="1"/>
      <c r="G557" s="1"/>
      <c r="H557" s="1"/>
      <c r="I557" s="61"/>
      <c r="J557" s="1"/>
      <c r="K557" s="1"/>
    </row>
    <row r="558" spans="1:11" ht="15.75" customHeight="1">
      <c r="A558" s="2"/>
      <c r="B558" s="1"/>
      <c r="C558" s="1"/>
      <c r="D558" s="1"/>
      <c r="E558" s="1"/>
      <c r="F558" s="1"/>
      <c r="G558" s="1"/>
      <c r="H558" s="1"/>
      <c r="I558" s="61"/>
      <c r="J558" s="1"/>
      <c r="K558" s="1"/>
    </row>
    <row r="559" spans="1:11" ht="15.75" customHeight="1">
      <c r="A559" s="2"/>
      <c r="B559" s="1"/>
      <c r="C559" s="1"/>
      <c r="D559" s="1"/>
      <c r="E559" s="1"/>
      <c r="F559" s="1"/>
      <c r="G559" s="1"/>
      <c r="H559" s="1"/>
      <c r="I559" s="61"/>
      <c r="J559" s="1"/>
      <c r="K559" s="1"/>
    </row>
    <row r="560" spans="1:11" ht="15.75" customHeight="1">
      <c r="A560" s="2"/>
      <c r="B560" s="1"/>
      <c r="C560" s="1"/>
      <c r="D560" s="1"/>
      <c r="E560" s="1"/>
      <c r="F560" s="1"/>
      <c r="G560" s="1"/>
      <c r="H560" s="1"/>
      <c r="I560" s="61"/>
      <c r="J560" s="1"/>
      <c r="K560" s="1"/>
    </row>
    <row r="561" spans="1:11" ht="15.75" customHeight="1">
      <c r="A561" s="2"/>
      <c r="B561" s="1"/>
      <c r="C561" s="1"/>
      <c r="D561" s="1"/>
      <c r="E561" s="1"/>
      <c r="F561" s="1"/>
      <c r="G561" s="1"/>
      <c r="H561" s="1"/>
      <c r="I561" s="61"/>
      <c r="J561" s="1"/>
      <c r="K561" s="1"/>
    </row>
    <row r="562" spans="1:11" ht="15.75" customHeight="1">
      <c r="A562" s="2"/>
      <c r="B562" s="1"/>
      <c r="C562" s="1"/>
      <c r="D562" s="1"/>
      <c r="E562" s="1"/>
      <c r="F562" s="1"/>
      <c r="G562" s="1"/>
      <c r="H562" s="1"/>
      <c r="I562" s="61"/>
      <c r="J562" s="1"/>
      <c r="K562" s="1"/>
    </row>
    <row r="563" spans="1:11" ht="15.75" customHeight="1">
      <c r="A563" s="2"/>
      <c r="B563" s="1"/>
      <c r="C563" s="1"/>
      <c r="D563" s="1"/>
      <c r="E563" s="1"/>
      <c r="F563" s="1"/>
      <c r="G563" s="1"/>
      <c r="H563" s="1"/>
      <c r="I563" s="61"/>
      <c r="J563" s="1"/>
      <c r="K563" s="1"/>
    </row>
    <row r="564" spans="1:11" ht="15.75" customHeight="1">
      <c r="A564" s="2"/>
      <c r="B564" s="1"/>
      <c r="C564" s="1"/>
      <c r="D564" s="1"/>
      <c r="E564" s="1"/>
      <c r="F564" s="1"/>
      <c r="G564" s="1"/>
      <c r="H564" s="1"/>
      <c r="I564" s="61"/>
      <c r="J564" s="1"/>
      <c r="K564" s="1"/>
    </row>
    <row r="565" spans="1:11" ht="15.75" customHeight="1">
      <c r="A565" s="2"/>
      <c r="B565" s="1"/>
      <c r="C565" s="1"/>
      <c r="D565" s="1"/>
      <c r="E565" s="1"/>
      <c r="F565" s="1"/>
      <c r="G565" s="1"/>
      <c r="H565" s="1"/>
      <c r="I565" s="61"/>
      <c r="J565" s="1"/>
      <c r="K565" s="1"/>
    </row>
    <row r="566" spans="1:11" ht="15.75" customHeight="1">
      <c r="A566" s="2"/>
      <c r="B566" s="1"/>
      <c r="C566" s="1"/>
      <c r="D566" s="1"/>
      <c r="E566" s="1"/>
      <c r="F566" s="1"/>
      <c r="G566" s="1"/>
      <c r="H566" s="1"/>
      <c r="I566" s="61"/>
      <c r="J566" s="1"/>
      <c r="K566" s="1"/>
    </row>
    <row r="567" spans="1:11" ht="15.75" customHeight="1">
      <c r="A567" s="2"/>
      <c r="B567" s="1"/>
      <c r="C567" s="1"/>
      <c r="D567" s="1"/>
      <c r="E567" s="1"/>
      <c r="F567" s="1"/>
      <c r="G567" s="1"/>
      <c r="H567" s="1"/>
      <c r="I567" s="61"/>
      <c r="J567" s="1"/>
      <c r="K567" s="1"/>
    </row>
    <row r="568" spans="1:11" ht="15.75" customHeight="1">
      <c r="A568" s="2"/>
      <c r="B568" s="1"/>
      <c r="C568" s="1"/>
      <c r="D568" s="1"/>
      <c r="E568" s="1"/>
      <c r="F568" s="1"/>
      <c r="G568" s="1"/>
      <c r="H568" s="1"/>
      <c r="I568" s="61"/>
      <c r="J568" s="1"/>
      <c r="K568" s="1"/>
    </row>
    <row r="569" spans="1:11" ht="15.75" customHeight="1">
      <c r="A569" s="2"/>
      <c r="B569" s="1"/>
      <c r="C569" s="1"/>
      <c r="D569" s="1"/>
      <c r="E569" s="1"/>
      <c r="F569" s="1"/>
      <c r="G569" s="1"/>
      <c r="H569" s="1"/>
      <c r="I569" s="61"/>
      <c r="J569" s="1"/>
      <c r="K569" s="1"/>
    </row>
    <row r="570" spans="1:11" ht="15.75" customHeight="1">
      <c r="A570" s="2"/>
      <c r="B570" s="1"/>
      <c r="C570" s="1"/>
      <c r="D570" s="1"/>
      <c r="E570" s="1"/>
      <c r="F570" s="1"/>
      <c r="G570" s="1"/>
      <c r="H570" s="1"/>
      <c r="I570" s="61"/>
      <c r="J570" s="1"/>
      <c r="K570" s="1"/>
    </row>
    <row r="571" spans="1:11" ht="15.75" customHeight="1">
      <c r="A571" s="2"/>
      <c r="B571" s="1"/>
      <c r="C571" s="1"/>
      <c r="D571" s="1"/>
      <c r="E571" s="1"/>
      <c r="F571" s="1"/>
      <c r="G571" s="1"/>
      <c r="H571" s="1"/>
      <c r="I571" s="61"/>
      <c r="J571" s="1"/>
      <c r="K571" s="1"/>
    </row>
    <row r="572" spans="1:11" ht="15.75" customHeight="1">
      <c r="A572" s="2"/>
      <c r="B572" s="1"/>
      <c r="C572" s="1"/>
      <c r="D572" s="1"/>
      <c r="E572" s="1"/>
      <c r="F572" s="1"/>
      <c r="G572" s="1"/>
      <c r="H572" s="1"/>
      <c r="I572" s="61"/>
      <c r="J572" s="1"/>
      <c r="K572" s="1"/>
    </row>
    <row r="573" spans="1:11" ht="15.75" customHeight="1">
      <c r="A573" s="2"/>
      <c r="B573" s="1"/>
      <c r="C573" s="1"/>
      <c r="D573" s="1"/>
      <c r="E573" s="1"/>
      <c r="F573" s="1"/>
      <c r="G573" s="1"/>
      <c r="H573" s="1"/>
      <c r="I573" s="61"/>
      <c r="J573" s="1"/>
      <c r="K573" s="1"/>
    </row>
    <row r="574" spans="1:11" ht="15.75" customHeight="1">
      <c r="A574" s="2"/>
      <c r="B574" s="1"/>
      <c r="C574" s="1"/>
      <c r="D574" s="1"/>
      <c r="E574" s="1"/>
      <c r="F574" s="1"/>
      <c r="G574" s="1"/>
      <c r="H574" s="1"/>
      <c r="I574" s="61"/>
      <c r="J574" s="1"/>
      <c r="K574" s="1"/>
    </row>
    <row r="575" spans="1:11" ht="15.75" customHeight="1">
      <c r="A575" s="2"/>
      <c r="B575" s="1"/>
      <c r="C575" s="1"/>
      <c r="D575" s="1"/>
      <c r="E575" s="1"/>
      <c r="F575" s="1"/>
      <c r="G575" s="1"/>
      <c r="H575" s="1"/>
      <c r="I575" s="61"/>
      <c r="J575" s="1"/>
      <c r="K575" s="1"/>
    </row>
    <row r="576" spans="1:11" ht="15.75" customHeight="1">
      <c r="A576" s="2"/>
      <c r="B576" s="1"/>
      <c r="C576" s="1"/>
      <c r="D576" s="1"/>
      <c r="E576" s="1"/>
      <c r="F576" s="1"/>
      <c r="G576" s="1"/>
      <c r="H576" s="1"/>
      <c r="I576" s="61"/>
      <c r="J576" s="1"/>
      <c r="K576" s="1"/>
    </row>
    <row r="577" spans="1:11" ht="15.75" customHeight="1">
      <c r="A577" s="2"/>
      <c r="B577" s="1"/>
      <c r="C577" s="1"/>
      <c r="D577" s="1"/>
      <c r="E577" s="1"/>
      <c r="F577" s="1"/>
      <c r="G577" s="1"/>
      <c r="H577" s="1"/>
      <c r="I577" s="61"/>
      <c r="J577" s="1"/>
      <c r="K577" s="1"/>
    </row>
    <row r="578" spans="1:11" ht="15.75" customHeight="1">
      <c r="A578" s="2"/>
      <c r="B578" s="1"/>
      <c r="C578" s="1"/>
      <c r="D578" s="1"/>
      <c r="E578" s="1"/>
      <c r="F578" s="1"/>
      <c r="G578" s="1"/>
      <c r="H578" s="1"/>
      <c r="I578" s="61"/>
      <c r="J578" s="1"/>
      <c r="K578" s="1"/>
    </row>
    <row r="579" spans="1:11" ht="15.75" customHeight="1">
      <c r="A579" s="2"/>
      <c r="B579" s="1"/>
      <c r="C579" s="1"/>
      <c r="D579" s="1"/>
      <c r="E579" s="1"/>
      <c r="F579" s="1"/>
      <c r="G579" s="1"/>
      <c r="H579" s="1"/>
      <c r="I579" s="61"/>
      <c r="J579" s="1"/>
      <c r="K579" s="1"/>
    </row>
    <row r="580" spans="1:11" ht="15.75" customHeight="1">
      <c r="A580" s="2"/>
      <c r="B580" s="1"/>
      <c r="C580" s="1"/>
      <c r="D580" s="1"/>
      <c r="E580" s="1"/>
      <c r="F580" s="1"/>
      <c r="G580" s="1"/>
      <c r="H580" s="1"/>
      <c r="I580" s="61"/>
      <c r="J580" s="1"/>
      <c r="K580" s="1"/>
    </row>
    <row r="581" spans="1:11" ht="15.75" customHeight="1">
      <c r="A581" s="2"/>
      <c r="B581" s="1"/>
      <c r="C581" s="1"/>
      <c r="D581" s="1"/>
      <c r="E581" s="1"/>
      <c r="F581" s="1"/>
      <c r="G581" s="1"/>
      <c r="H581" s="1"/>
      <c r="I581" s="61"/>
      <c r="J581" s="1"/>
      <c r="K581" s="1"/>
    </row>
    <row r="582" spans="1:11" ht="15.75" customHeight="1">
      <c r="A582" s="2"/>
      <c r="B582" s="1"/>
      <c r="C582" s="1"/>
      <c r="D582" s="1"/>
      <c r="E582" s="1"/>
      <c r="F582" s="1"/>
      <c r="G582" s="1"/>
      <c r="H582" s="1"/>
      <c r="I582" s="61"/>
      <c r="J582" s="1"/>
      <c r="K582" s="1"/>
    </row>
    <row r="583" spans="1:11" ht="15.75" customHeight="1">
      <c r="A583" s="2"/>
      <c r="B583" s="1"/>
      <c r="C583" s="1"/>
      <c r="D583" s="1"/>
      <c r="E583" s="1"/>
      <c r="F583" s="1"/>
      <c r="G583" s="1"/>
      <c r="H583" s="1"/>
      <c r="I583" s="61"/>
      <c r="J583" s="1"/>
      <c r="K583" s="1"/>
    </row>
    <row r="584" spans="1:11" ht="15.75" customHeight="1">
      <c r="A584" s="2"/>
      <c r="B584" s="1"/>
      <c r="C584" s="1"/>
      <c r="D584" s="1"/>
      <c r="E584" s="1"/>
      <c r="F584" s="1"/>
      <c r="G584" s="1"/>
      <c r="H584" s="1"/>
      <c r="I584" s="61"/>
      <c r="J584" s="1"/>
      <c r="K584" s="1"/>
    </row>
    <row r="585" spans="1:11" ht="15.75" customHeight="1">
      <c r="A585" s="2"/>
      <c r="B585" s="1"/>
      <c r="C585" s="1"/>
      <c r="D585" s="1"/>
      <c r="E585" s="1"/>
      <c r="F585" s="1"/>
      <c r="G585" s="1"/>
      <c r="H585" s="1"/>
      <c r="I585" s="61"/>
      <c r="J585" s="1"/>
      <c r="K585" s="1"/>
    </row>
    <row r="586" spans="1:11" ht="15.75" customHeight="1">
      <c r="A586" s="2"/>
      <c r="B586" s="1"/>
      <c r="C586" s="1"/>
      <c r="D586" s="1"/>
      <c r="E586" s="1"/>
      <c r="F586" s="1"/>
      <c r="G586" s="1"/>
      <c r="H586" s="1"/>
      <c r="I586" s="61"/>
      <c r="J586" s="1"/>
      <c r="K586" s="1"/>
    </row>
    <row r="587" spans="1:11" ht="15.75" customHeight="1">
      <c r="A587" s="2"/>
      <c r="B587" s="1"/>
      <c r="C587" s="1"/>
      <c r="D587" s="1"/>
      <c r="E587" s="1"/>
      <c r="F587" s="1"/>
      <c r="G587" s="1"/>
      <c r="H587" s="1"/>
      <c r="I587" s="61"/>
      <c r="J587" s="1"/>
      <c r="K587" s="1"/>
    </row>
    <row r="588" spans="1:11" ht="15.75" customHeight="1">
      <c r="A588" s="2"/>
      <c r="B588" s="1"/>
      <c r="C588" s="1"/>
      <c r="D588" s="1"/>
      <c r="E588" s="1"/>
      <c r="F588" s="1"/>
      <c r="G588" s="1"/>
      <c r="H588" s="1"/>
      <c r="I588" s="61"/>
      <c r="J588" s="1"/>
      <c r="K588" s="1"/>
    </row>
    <row r="589" spans="1:11" ht="15.75" customHeight="1">
      <c r="A589" s="2"/>
      <c r="B589" s="1"/>
      <c r="C589" s="1"/>
      <c r="D589" s="1"/>
      <c r="E589" s="1"/>
      <c r="F589" s="1"/>
      <c r="G589" s="1"/>
      <c r="H589" s="1"/>
      <c r="I589" s="61"/>
      <c r="J589" s="1"/>
      <c r="K589" s="1"/>
    </row>
    <row r="590" spans="1:11" ht="15.75" customHeight="1">
      <c r="A590" s="2"/>
      <c r="B590" s="1"/>
      <c r="C590" s="1"/>
      <c r="D590" s="1"/>
      <c r="E590" s="1"/>
      <c r="F590" s="1"/>
      <c r="G590" s="1"/>
      <c r="H590" s="1"/>
      <c r="I590" s="61"/>
      <c r="J590" s="1"/>
      <c r="K590" s="1"/>
    </row>
    <row r="591" spans="1:11" ht="15.75" customHeight="1">
      <c r="A591" s="2"/>
      <c r="B591" s="1"/>
      <c r="C591" s="1"/>
      <c r="D591" s="1"/>
      <c r="E591" s="1"/>
      <c r="F591" s="1"/>
      <c r="G591" s="1"/>
      <c r="H591" s="1"/>
      <c r="I591" s="61"/>
      <c r="J591" s="1"/>
      <c r="K591" s="1"/>
    </row>
    <row r="592" spans="1:11" ht="15.75" customHeight="1">
      <c r="A592" s="2"/>
      <c r="B592" s="1"/>
      <c r="C592" s="1"/>
      <c r="D592" s="1"/>
      <c r="E592" s="1"/>
      <c r="F592" s="1"/>
      <c r="G592" s="1"/>
      <c r="H592" s="1"/>
      <c r="I592" s="61"/>
      <c r="J592" s="1"/>
      <c r="K592" s="1"/>
    </row>
    <row r="593" spans="1:11" ht="15.75" customHeight="1">
      <c r="A593" s="2"/>
      <c r="B593" s="1"/>
      <c r="C593" s="1"/>
      <c r="D593" s="1"/>
      <c r="E593" s="1"/>
      <c r="F593" s="1"/>
      <c r="G593" s="1"/>
      <c r="H593" s="1"/>
      <c r="I593" s="61"/>
      <c r="J593" s="1"/>
      <c r="K593" s="1"/>
    </row>
    <row r="594" spans="1:11" ht="15.75" customHeight="1">
      <c r="A594" s="2"/>
      <c r="B594" s="1"/>
      <c r="C594" s="1"/>
      <c r="D594" s="1"/>
      <c r="E594" s="1"/>
      <c r="F594" s="1"/>
      <c r="G594" s="1"/>
      <c r="H594" s="1"/>
      <c r="I594" s="61"/>
      <c r="J594" s="1"/>
      <c r="K594" s="1"/>
    </row>
    <row r="595" spans="1:11" ht="15.75" customHeight="1">
      <c r="A595" s="2"/>
      <c r="B595" s="1"/>
      <c r="C595" s="1"/>
      <c r="D595" s="1"/>
      <c r="E595" s="1"/>
      <c r="F595" s="1"/>
      <c r="G595" s="1"/>
      <c r="H595" s="1"/>
      <c r="I595" s="61"/>
      <c r="J595" s="1"/>
      <c r="K595" s="1"/>
    </row>
    <row r="596" spans="1:11" ht="15.75" customHeight="1">
      <c r="A596" s="2"/>
      <c r="B596" s="1"/>
      <c r="C596" s="1"/>
      <c r="D596" s="1"/>
      <c r="E596" s="1"/>
      <c r="F596" s="1"/>
      <c r="G596" s="1"/>
      <c r="H596" s="1"/>
      <c r="I596" s="61"/>
      <c r="J596" s="1"/>
      <c r="K596" s="1"/>
    </row>
    <row r="597" spans="1:11" ht="15.75" customHeight="1">
      <c r="A597" s="2"/>
      <c r="B597" s="1"/>
      <c r="C597" s="1"/>
      <c r="D597" s="1"/>
      <c r="E597" s="1"/>
      <c r="F597" s="1"/>
      <c r="G597" s="1"/>
      <c r="H597" s="1"/>
      <c r="I597" s="61"/>
      <c r="J597" s="1"/>
      <c r="K597" s="1"/>
    </row>
    <row r="598" spans="1:11" ht="15.75" customHeight="1">
      <c r="A598" s="2"/>
      <c r="B598" s="1"/>
      <c r="C598" s="1"/>
      <c r="D598" s="1"/>
      <c r="E598" s="1"/>
      <c r="F598" s="1"/>
      <c r="G598" s="1"/>
      <c r="H598" s="1"/>
      <c r="I598" s="61"/>
      <c r="J598" s="1"/>
      <c r="K598" s="1"/>
    </row>
    <row r="599" spans="1:11" ht="15.75" customHeight="1">
      <c r="A599" s="2"/>
      <c r="B599" s="1"/>
      <c r="C599" s="1"/>
      <c r="D599" s="1"/>
      <c r="E599" s="1"/>
      <c r="F599" s="1"/>
      <c r="G599" s="1"/>
      <c r="H599" s="1"/>
      <c r="I599" s="61"/>
      <c r="J599" s="1"/>
      <c r="K599" s="1"/>
    </row>
    <row r="600" spans="1:11" ht="15.75" customHeight="1">
      <c r="A600" s="2"/>
      <c r="B600" s="1"/>
      <c r="C600" s="1"/>
      <c r="D600" s="1"/>
      <c r="E600" s="1"/>
      <c r="F600" s="1"/>
      <c r="G600" s="1"/>
      <c r="H600" s="1"/>
      <c r="I600" s="61"/>
      <c r="J600" s="1"/>
      <c r="K600" s="1"/>
    </row>
    <row r="601" spans="1:11" ht="15.75" customHeight="1">
      <c r="A601" s="2"/>
      <c r="B601" s="1"/>
      <c r="C601" s="1"/>
      <c r="D601" s="1"/>
      <c r="E601" s="1"/>
      <c r="F601" s="1"/>
      <c r="G601" s="1"/>
      <c r="H601" s="1"/>
      <c r="I601" s="61"/>
      <c r="J601" s="1"/>
      <c r="K601" s="1"/>
    </row>
    <row r="602" spans="1:11" ht="15.75" customHeight="1">
      <c r="A602" s="2"/>
      <c r="B602" s="1"/>
      <c r="C602" s="1"/>
      <c r="D602" s="1"/>
      <c r="E602" s="1"/>
      <c r="F602" s="1"/>
      <c r="G602" s="1"/>
      <c r="H602" s="1"/>
      <c r="I602" s="61"/>
      <c r="J602" s="1"/>
      <c r="K602" s="1"/>
    </row>
    <row r="603" spans="1:11" ht="15.75" customHeight="1">
      <c r="A603" s="2"/>
      <c r="B603" s="1"/>
      <c r="C603" s="1"/>
      <c r="D603" s="1"/>
      <c r="E603" s="1"/>
      <c r="F603" s="1"/>
      <c r="G603" s="1"/>
      <c r="H603" s="1"/>
      <c r="I603" s="61"/>
      <c r="J603" s="1"/>
      <c r="K603" s="1"/>
    </row>
    <row r="604" spans="1:11" ht="15.75" customHeight="1">
      <c r="A604" s="2"/>
      <c r="B604" s="1"/>
      <c r="C604" s="1"/>
      <c r="D604" s="1"/>
      <c r="E604" s="1"/>
      <c r="F604" s="1"/>
      <c r="G604" s="1"/>
      <c r="H604" s="1"/>
      <c r="I604" s="61"/>
      <c r="J604" s="1"/>
      <c r="K604" s="1"/>
    </row>
    <row r="605" spans="1:11" ht="15.75" customHeight="1">
      <c r="A605" s="2"/>
      <c r="B605" s="1"/>
      <c r="C605" s="1"/>
      <c r="D605" s="1"/>
      <c r="E605" s="1"/>
      <c r="F605" s="1"/>
      <c r="G605" s="1"/>
      <c r="H605" s="1"/>
      <c r="I605" s="61"/>
      <c r="J605" s="1"/>
      <c r="K605" s="1"/>
    </row>
    <row r="606" spans="1:11" ht="15.75" customHeight="1">
      <c r="A606" s="2"/>
      <c r="B606" s="1"/>
      <c r="C606" s="1"/>
      <c r="D606" s="1"/>
      <c r="E606" s="1"/>
      <c r="F606" s="1"/>
      <c r="G606" s="1"/>
      <c r="H606" s="1"/>
      <c r="I606" s="61"/>
      <c r="J606" s="1"/>
      <c r="K606" s="1"/>
    </row>
    <row r="607" spans="1:11" ht="15.75" customHeight="1">
      <c r="A607" s="2"/>
      <c r="B607" s="1"/>
      <c r="C607" s="1"/>
      <c r="D607" s="1"/>
      <c r="E607" s="1"/>
      <c r="F607" s="1"/>
      <c r="G607" s="1"/>
      <c r="H607" s="1"/>
      <c r="I607" s="61"/>
      <c r="J607" s="1"/>
      <c r="K607" s="1"/>
    </row>
    <row r="608" spans="1:11" ht="15.75" customHeight="1">
      <c r="A608" s="2"/>
      <c r="B608" s="1"/>
      <c r="C608" s="1"/>
      <c r="D608" s="1"/>
      <c r="E608" s="1"/>
      <c r="F608" s="1"/>
      <c r="G608" s="1"/>
      <c r="H608" s="1"/>
      <c r="I608" s="61"/>
      <c r="J608" s="1"/>
      <c r="K608" s="1"/>
    </row>
    <row r="609" spans="1:11" ht="15.75" customHeight="1">
      <c r="A609" s="2"/>
      <c r="B609" s="1"/>
      <c r="C609" s="1"/>
      <c r="D609" s="1"/>
      <c r="E609" s="1"/>
      <c r="F609" s="1"/>
      <c r="G609" s="1"/>
      <c r="H609" s="1"/>
      <c r="I609" s="61"/>
      <c r="J609" s="1"/>
      <c r="K609" s="1"/>
    </row>
    <row r="610" spans="1:11" ht="15.75" customHeight="1">
      <c r="A610" s="2"/>
      <c r="B610" s="1"/>
      <c r="C610" s="1"/>
      <c r="D610" s="1"/>
      <c r="E610" s="1"/>
      <c r="F610" s="1"/>
      <c r="G610" s="1"/>
      <c r="H610" s="1"/>
      <c r="I610" s="61"/>
      <c r="J610" s="1"/>
      <c r="K610" s="1"/>
    </row>
    <row r="611" spans="1:11" ht="15.75" customHeight="1">
      <c r="A611" s="2"/>
      <c r="B611" s="1"/>
      <c r="C611" s="1"/>
      <c r="D611" s="1"/>
      <c r="E611" s="1"/>
      <c r="F611" s="1"/>
      <c r="G611" s="1"/>
      <c r="H611" s="1"/>
      <c r="I611" s="61"/>
      <c r="J611" s="1"/>
      <c r="K611" s="1"/>
    </row>
    <row r="612" spans="1:11" ht="15.75" customHeight="1">
      <c r="A612" s="2"/>
      <c r="B612" s="1"/>
      <c r="C612" s="1"/>
      <c r="D612" s="1"/>
      <c r="E612" s="1"/>
      <c r="F612" s="1"/>
      <c r="G612" s="1"/>
      <c r="H612" s="1"/>
      <c r="I612" s="61"/>
      <c r="J612" s="1"/>
      <c r="K612" s="1"/>
    </row>
    <row r="613" spans="1:11" ht="15.75" customHeight="1">
      <c r="A613" s="2"/>
      <c r="B613" s="1"/>
      <c r="C613" s="1"/>
      <c r="D613" s="1"/>
      <c r="E613" s="1"/>
      <c r="F613" s="1"/>
      <c r="G613" s="1"/>
      <c r="H613" s="1"/>
      <c r="I613" s="61"/>
      <c r="J613" s="1"/>
      <c r="K613" s="1"/>
    </row>
    <row r="614" spans="1:11" ht="15.75" customHeight="1">
      <c r="A614" s="2"/>
      <c r="B614" s="1"/>
      <c r="C614" s="1"/>
      <c r="D614" s="1"/>
      <c r="E614" s="1"/>
      <c r="F614" s="1"/>
      <c r="G614" s="1"/>
      <c r="H614" s="1"/>
      <c r="I614" s="61"/>
      <c r="J614" s="1"/>
      <c r="K614" s="1"/>
    </row>
    <row r="615" spans="1:11" ht="15.75" customHeight="1">
      <c r="A615" s="2"/>
      <c r="B615" s="1"/>
      <c r="C615" s="1"/>
      <c r="D615" s="1"/>
      <c r="E615" s="1"/>
      <c r="F615" s="1"/>
      <c r="G615" s="1"/>
      <c r="H615" s="1"/>
      <c r="I615" s="61"/>
      <c r="J615" s="1"/>
      <c r="K615" s="1"/>
    </row>
    <row r="616" spans="1:11" ht="15.75" customHeight="1">
      <c r="A616" s="2"/>
      <c r="B616" s="1"/>
      <c r="C616" s="1"/>
      <c r="D616" s="1"/>
      <c r="E616" s="1"/>
      <c r="F616" s="1"/>
      <c r="G616" s="1"/>
      <c r="H616" s="1"/>
      <c r="I616" s="61"/>
      <c r="J616" s="1"/>
      <c r="K616" s="1"/>
    </row>
    <row r="617" spans="1:11" ht="15.75" customHeight="1">
      <c r="A617" s="2"/>
      <c r="B617" s="1"/>
      <c r="C617" s="1"/>
      <c r="D617" s="1"/>
      <c r="E617" s="1"/>
      <c r="F617" s="1"/>
      <c r="G617" s="1"/>
      <c r="H617" s="1"/>
      <c r="I617" s="61"/>
      <c r="J617" s="1"/>
      <c r="K617" s="1"/>
    </row>
    <row r="618" spans="1:11" ht="15.75" customHeight="1">
      <c r="A618" s="2"/>
      <c r="B618" s="1"/>
      <c r="C618" s="1"/>
      <c r="D618" s="1"/>
      <c r="E618" s="1"/>
      <c r="F618" s="1"/>
      <c r="G618" s="1"/>
      <c r="H618" s="1"/>
      <c r="I618" s="61"/>
      <c r="J618" s="1"/>
      <c r="K618" s="1"/>
    </row>
    <row r="619" spans="1:11" ht="15.75" customHeight="1">
      <c r="A619" s="2"/>
      <c r="B619" s="1"/>
      <c r="C619" s="1"/>
      <c r="D619" s="1"/>
      <c r="E619" s="1"/>
      <c r="F619" s="1"/>
      <c r="G619" s="1"/>
      <c r="H619" s="1"/>
      <c r="I619" s="61"/>
      <c r="J619" s="1"/>
      <c r="K619" s="1"/>
    </row>
    <row r="620" spans="1:11" ht="15.75" customHeight="1">
      <c r="A620" s="2"/>
      <c r="B620" s="1"/>
      <c r="C620" s="1"/>
      <c r="D620" s="1"/>
      <c r="E620" s="1"/>
      <c r="F620" s="1"/>
      <c r="G620" s="1"/>
      <c r="H620" s="1"/>
      <c r="I620" s="61"/>
      <c r="J620" s="1"/>
      <c r="K620" s="1"/>
    </row>
    <row r="621" spans="1:11" ht="15.75" customHeight="1">
      <c r="A621" s="2"/>
      <c r="B621" s="1"/>
      <c r="C621" s="1"/>
      <c r="D621" s="1"/>
      <c r="E621" s="1"/>
      <c r="F621" s="1"/>
      <c r="G621" s="1"/>
      <c r="H621" s="1"/>
      <c r="I621" s="61"/>
      <c r="J621" s="1"/>
      <c r="K621" s="1"/>
    </row>
    <row r="622" spans="1:11" ht="15.75" customHeight="1">
      <c r="A622" s="2"/>
      <c r="B622" s="1"/>
      <c r="C622" s="1"/>
      <c r="D622" s="1"/>
      <c r="E622" s="1"/>
      <c r="F622" s="1"/>
      <c r="G622" s="1"/>
      <c r="H622" s="1"/>
      <c r="I622" s="61"/>
      <c r="J622" s="1"/>
      <c r="K622" s="1"/>
    </row>
    <row r="623" spans="1:11" ht="15.75" customHeight="1">
      <c r="A623" s="2"/>
      <c r="B623" s="1"/>
      <c r="C623" s="1"/>
      <c r="D623" s="1"/>
      <c r="E623" s="1"/>
      <c r="F623" s="1"/>
      <c r="G623" s="1"/>
      <c r="H623" s="1"/>
      <c r="I623" s="61"/>
      <c r="J623" s="1"/>
      <c r="K623" s="1"/>
    </row>
    <row r="624" spans="1:11" ht="15.75" customHeight="1">
      <c r="A624" s="2"/>
      <c r="B624" s="1"/>
      <c r="C624" s="1"/>
      <c r="D624" s="1"/>
      <c r="E624" s="1"/>
      <c r="F624" s="1"/>
      <c r="G624" s="1"/>
      <c r="H624" s="1"/>
      <c r="I624" s="61"/>
      <c r="J624" s="1"/>
      <c r="K624" s="1"/>
    </row>
    <row r="625" spans="1:11" ht="15.75" customHeight="1">
      <c r="A625" s="2"/>
      <c r="B625" s="1"/>
      <c r="C625" s="1"/>
      <c r="D625" s="1"/>
      <c r="E625" s="1"/>
      <c r="F625" s="1"/>
      <c r="G625" s="1"/>
      <c r="H625" s="1"/>
      <c r="I625" s="61"/>
      <c r="J625" s="1"/>
      <c r="K625" s="1"/>
    </row>
    <row r="626" spans="1:11" ht="15.75" customHeight="1">
      <c r="A626" s="2"/>
      <c r="B626" s="1"/>
      <c r="C626" s="1"/>
      <c r="D626" s="1"/>
      <c r="E626" s="1"/>
      <c r="F626" s="1"/>
      <c r="G626" s="1"/>
      <c r="H626" s="1"/>
      <c r="I626" s="61"/>
      <c r="J626" s="1"/>
      <c r="K626" s="1"/>
    </row>
    <row r="627" spans="1:11" ht="15.75" customHeight="1">
      <c r="A627" s="2"/>
      <c r="B627" s="1"/>
      <c r="C627" s="1"/>
      <c r="D627" s="1"/>
      <c r="E627" s="1"/>
      <c r="F627" s="1"/>
      <c r="G627" s="1"/>
      <c r="H627" s="1"/>
      <c r="I627" s="61"/>
      <c r="J627" s="1"/>
      <c r="K627" s="1"/>
    </row>
    <row r="628" spans="1:11" ht="15.75" customHeight="1">
      <c r="A628" s="2"/>
      <c r="B628" s="1"/>
      <c r="C628" s="1"/>
      <c r="D628" s="1"/>
      <c r="E628" s="1"/>
      <c r="F628" s="1"/>
      <c r="G628" s="1"/>
      <c r="H628" s="1"/>
      <c r="I628" s="61"/>
      <c r="J628" s="1"/>
      <c r="K628" s="1"/>
    </row>
    <row r="629" spans="1:11" ht="15.75" customHeight="1">
      <c r="A629" s="2"/>
      <c r="B629" s="1"/>
      <c r="C629" s="1"/>
      <c r="D629" s="1"/>
      <c r="E629" s="1"/>
      <c r="F629" s="1"/>
      <c r="G629" s="1"/>
      <c r="H629" s="1"/>
      <c r="I629" s="61"/>
      <c r="J629" s="1"/>
      <c r="K629" s="1"/>
    </row>
    <row r="630" spans="1:11" ht="15.75" customHeight="1">
      <c r="A630" s="2"/>
      <c r="B630" s="1"/>
      <c r="C630" s="1"/>
      <c r="D630" s="1"/>
      <c r="E630" s="1"/>
      <c r="F630" s="1"/>
      <c r="G630" s="1"/>
      <c r="H630" s="1"/>
      <c r="I630" s="61"/>
      <c r="J630" s="1"/>
      <c r="K630" s="1"/>
    </row>
    <row r="631" spans="1:11" ht="15.75" customHeight="1">
      <c r="A631" s="2"/>
      <c r="B631" s="1"/>
      <c r="C631" s="1"/>
      <c r="D631" s="1"/>
      <c r="E631" s="1"/>
      <c r="F631" s="1"/>
      <c r="G631" s="1"/>
      <c r="H631" s="1"/>
      <c r="I631" s="61"/>
      <c r="J631" s="1"/>
      <c r="K631" s="1"/>
    </row>
    <row r="632" spans="1:11" ht="15.75" customHeight="1">
      <c r="A632" s="2"/>
      <c r="B632" s="1"/>
      <c r="C632" s="1"/>
      <c r="D632" s="1"/>
      <c r="E632" s="1"/>
      <c r="F632" s="1"/>
      <c r="G632" s="1"/>
      <c r="H632" s="1"/>
      <c r="I632" s="61"/>
      <c r="J632" s="1"/>
      <c r="K632" s="1"/>
    </row>
    <row r="633" spans="1:11" ht="15.75" customHeight="1">
      <c r="A633" s="2"/>
      <c r="B633" s="1"/>
      <c r="C633" s="1"/>
      <c r="D633" s="1"/>
      <c r="E633" s="1"/>
      <c r="F633" s="1"/>
      <c r="G633" s="1"/>
      <c r="H633" s="1"/>
      <c r="I633" s="61"/>
      <c r="J633" s="1"/>
      <c r="K633" s="1"/>
    </row>
    <row r="634" spans="1:11" ht="15.75" customHeight="1">
      <c r="A634" s="2"/>
      <c r="B634" s="1"/>
      <c r="C634" s="1"/>
      <c r="D634" s="1"/>
      <c r="E634" s="1"/>
      <c r="F634" s="1"/>
      <c r="G634" s="1"/>
      <c r="H634" s="1"/>
      <c r="I634" s="61"/>
      <c r="J634" s="1"/>
      <c r="K634" s="1"/>
    </row>
    <row r="635" spans="1:11" ht="15.75" customHeight="1">
      <c r="A635" s="2"/>
      <c r="B635" s="1"/>
      <c r="C635" s="1"/>
      <c r="D635" s="1"/>
      <c r="E635" s="1"/>
      <c r="F635" s="1"/>
      <c r="G635" s="1"/>
      <c r="H635" s="1"/>
      <c r="I635" s="61"/>
      <c r="J635" s="1"/>
      <c r="K635" s="1"/>
    </row>
    <row r="636" spans="1:11" ht="15.75" customHeight="1">
      <c r="A636" s="2"/>
      <c r="B636" s="1"/>
      <c r="C636" s="1"/>
      <c r="D636" s="1"/>
      <c r="E636" s="1"/>
      <c r="F636" s="1"/>
      <c r="G636" s="1"/>
      <c r="H636" s="1"/>
      <c r="I636" s="61"/>
      <c r="J636" s="1"/>
      <c r="K636" s="1"/>
    </row>
    <row r="637" spans="1:11" ht="15.75" customHeight="1">
      <c r="A637" s="2"/>
      <c r="B637" s="1"/>
      <c r="C637" s="1"/>
      <c r="D637" s="1"/>
      <c r="E637" s="1"/>
      <c r="F637" s="1"/>
      <c r="G637" s="1"/>
      <c r="H637" s="1"/>
      <c r="I637" s="61"/>
      <c r="J637" s="1"/>
      <c r="K637" s="1"/>
    </row>
    <row r="638" spans="1:11" ht="15.75" customHeight="1">
      <c r="A638" s="2"/>
      <c r="B638" s="1"/>
      <c r="C638" s="1"/>
      <c r="D638" s="1"/>
      <c r="E638" s="1"/>
      <c r="F638" s="1"/>
      <c r="G638" s="1"/>
      <c r="H638" s="1"/>
      <c r="I638" s="61"/>
      <c r="J638" s="1"/>
      <c r="K638" s="1"/>
    </row>
    <row r="639" spans="1:11" ht="15.75" customHeight="1">
      <c r="A639" s="2"/>
      <c r="B639" s="1"/>
      <c r="C639" s="1"/>
      <c r="D639" s="1"/>
      <c r="E639" s="1"/>
      <c r="F639" s="1"/>
      <c r="G639" s="1"/>
      <c r="H639" s="1"/>
      <c r="I639" s="61"/>
      <c r="J639" s="1"/>
      <c r="K639" s="1"/>
    </row>
    <row r="640" spans="1:11" ht="15.75" customHeight="1">
      <c r="A640" s="2"/>
      <c r="B640" s="1"/>
      <c r="C640" s="1"/>
      <c r="D640" s="1"/>
      <c r="E640" s="1"/>
      <c r="F640" s="1"/>
      <c r="G640" s="1"/>
      <c r="H640" s="1"/>
      <c r="I640" s="61"/>
      <c r="J640" s="1"/>
      <c r="K640" s="1"/>
    </row>
    <row r="641" spans="1:11" ht="15.75" customHeight="1">
      <c r="A641" s="2"/>
      <c r="B641" s="1"/>
      <c r="C641" s="1"/>
      <c r="D641" s="1"/>
      <c r="E641" s="1"/>
      <c r="F641" s="1"/>
      <c r="G641" s="1"/>
      <c r="H641" s="1"/>
      <c r="I641" s="61"/>
      <c r="J641" s="1"/>
      <c r="K641" s="1"/>
    </row>
    <row r="642" spans="1:11" ht="15.75" customHeight="1">
      <c r="A642" s="2"/>
      <c r="B642" s="1"/>
      <c r="C642" s="1"/>
      <c r="D642" s="1"/>
      <c r="E642" s="1"/>
      <c r="F642" s="1"/>
      <c r="G642" s="1"/>
      <c r="H642" s="1"/>
      <c r="I642" s="61"/>
      <c r="J642" s="1"/>
      <c r="K642" s="1"/>
    </row>
    <row r="643" spans="1:11" ht="15.75" customHeight="1">
      <c r="A643" s="2"/>
      <c r="B643" s="1"/>
      <c r="C643" s="1"/>
      <c r="D643" s="1"/>
      <c r="E643" s="1"/>
      <c r="F643" s="1"/>
      <c r="G643" s="1"/>
      <c r="H643" s="1"/>
      <c r="I643" s="61"/>
      <c r="J643" s="1"/>
      <c r="K643" s="1"/>
    </row>
    <row r="644" spans="1:11" ht="15.75" customHeight="1">
      <c r="A644" s="2"/>
      <c r="B644" s="1"/>
      <c r="C644" s="1"/>
      <c r="D644" s="1"/>
      <c r="E644" s="1"/>
      <c r="F644" s="1"/>
      <c r="G644" s="1"/>
      <c r="H644" s="1"/>
      <c r="I644" s="61"/>
      <c r="J644" s="1"/>
      <c r="K644" s="1"/>
    </row>
    <row r="645" spans="1:11" ht="15.75" customHeight="1">
      <c r="A645" s="2"/>
      <c r="B645" s="1"/>
      <c r="C645" s="1"/>
      <c r="D645" s="1"/>
      <c r="E645" s="1"/>
      <c r="F645" s="1"/>
      <c r="G645" s="1"/>
      <c r="H645" s="1"/>
      <c r="I645" s="61"/>
      <c r="J645" s="1"/>
      <c r="K645" s="1"/>
    </row>
    <row r="646" spans="1:11" ht="15.75" customHeight="1">
      <c r="A646" s="2"/>
      <c r="B646" s="1"/>
      <c r="C646" s="1"/>
      <c r="D646" s="1"/>
      <c r="E646" s="1"/>
      <c r="F646" s="1"/>
      <c r="G646" s="1"/>
      <c r="H646" s="1"/>
      <c r="I646" s="61"/>
      <c r="J646" s="1"/>
      <c r="K646" s="1"/>
    </row>
    <row r="647" spans="1:11" ht="15.75" customHeight="1">
      <c r="A647" s="2"/>
      <c r="B647" s="1"/>
      <c r="C647" s="1"/>
      <c r="D647" s="1"/>
      <c r="E647" s="1"/>
      <c r="F647" s="1"/>
      <c r="G647" s="1"/>
      <c r="H647" s="1"/>
      <c r="I647" s="61"/>
      <c r="J647" s="1"/>
      <c r="K647" s="1"/>
    </row>
    <row r="648" spans="1:11" ht="15.75" customHeight="1">
      <c r="A648" s="2"/>
      <c r="B648" s="1"/>
      <c r="C648" s="1"/>
      <c r="D648" s="1"/>
      <c r="E648" s="1"/>
      <c r="F648" s="1"/>
      <c r="G648" s="1"/>
      <c r="H648" s="1"/>
      <c r="I648" s="61"/>
      <c r="J648" s="1"/>
      <c r="K648" s="1"/>
    </row>
    <row r="649" spans="1:11" ht="15.75" customHeight="1">
      <c r="A649" s="2"/>
      <c r="B649" s="1"/>
      <c r="C649" s="1"/>
      <c r="D649" s="1"/>
      <c r="E649" s="1"/>
      <c r="F649" s="1"/>
      <c r="G649" s="1"/>
      <c r="H649" s="1"/>
      <c r="I649" s="61"/>
      <c r="J649" s="1"/>
      <c r="K649" s="1"/>
    </row>
    <row r="650" spans="1:11" ht="15.75" customHeight="1">
      <c r="A650" s="2"/>
      <c r="B650" s="1"/>
      <c r="C650" s="1"/>
      <c r="D650" s="1"/>
      <c r="E650" s="1"/>
      <c r="F650" s="1"/>
      <c r="G650" s="1"/>
      <c r="H650" s="1"/>
      <c r="I650" s="61"/>
      <c r="J650" s="1"/>
      <c r="K650" s="1"/>
    </row>
    <row r="651" spans="1:11" ht="15.75" customHeight="1">
      <c r="A651" s="2"/>
      <c r="B651" s="1"/>
      <c r="C651" s="1"/>
      <c r="D651" s="1"/>
      <c r="E651" s="1"/>
      <c r="F651" s="1"/>
      <c r="G651" s="1"/>
      <c r="H651" s="1"/>
      <c r="I651" s="61"/>
      <c r="J651" s="1"/>
      <c r="K651" s="1"/>
    </row>
    <row r="652" spans="1:11" ht="15.75" customHeight="1">
      <c r="A652" s="2"/>
      <c r="B652" s="1"/>
      <c r="C652" s="1"/>
      <c r="D652" s="1"/>
      <c r="E652" s="1"/>
      <c r="F652" s="1"/>
      <c r="G652" s="1"/>
      <c r="H652" s="1"/>
      <c r="I652" s="61"/>
      <c r="J652" s="1"/>
      <c r="K652" s="1"/>
    </row>
    <row r="653" spans="1:11" ht="15.75" customHeight="1">
      <c r="A653" s="2"/>
      <c r="B653" s="1"/>
      <c r="C653" s="1"/>
      <c r="D653" s="1"/>
      <c r="E653" s="1"/>
      <c r="F653" s="1"/>
      <c r="G653" s="1"/>
      <c r="H653" s="1"/>
      <c r="I653" s="61"/>
      <c r="J653" s="1"/>
      <c r="K653" s="1"/>
    </row>
    <row r="654" spans="1:11" ht="15.75" customHeight="1">
      <c r="A654" s="2"/>
      <c r="B654" s="1"/>
      <c r="C654" s="1"/>
      <c r="D654" s="1"/>
      <c r="E654" s="1"/>
      <c r="F654" s="1"/>
      <c r="G654" s="1"/>
      <c r="H654" s="1"/>
      <c r="I654" s="61"/>
      <c r="J654" s="1"/>
      <c r="K654" s="1"/>
    </row>
    <row r="655" spans="1:11" ht="15.75" customHeight="1">
      <c r="A655" s="2"/>
      <c r="B655" s="1"/>
      <c r="C655" s="1"/>
      <c r="D655" s="1"/>
      <c r="E655" s="1"/>
      <c r="F655" s="1"/>
      <c r="G655" s="1"/>
      <c r="H655" s="1"/>
      <c r="I655" s="61"/>
      <c r="J655" s="1"/>
      <c r="K655" s="1"/>
    </row>
    <row r="656" spans="1:11" ht="15.75" customHeight="1">
      <c r="A656" s="2"/>
      <c r="B656" s="1"/>
      <c r="C656" s="1"/>
      <c r="D656" s="1"/>
      <c r="E656" s="1"/>
      <c r="F656" s="1"/>
      <c r="G656" s="1"/>
      <c r="H656" s="1"/>
      <c r="I656" s="61"/>
      <c r="J656" s="1"/>
      <c r="K656" s="1"/>
    </row>
    <row r="657" spans="1:11" ht="15.75" customHeight="1">
      <c r="A657" s="2"/>
      <c r="B657" s="1"/>
      <c r="C657" s="1"/>
      <c r="D657" s="1"/>
      <c r="E657" s="1"/>
      <c r="F657" s="1"/>
      <c r="G657" s="1"/>
      <c r="H657" s="1"/>
      <c r="I657" s="61"/>
      <c r="J657" s="1"/>
      <c r="K657" s="1"/>
    </row>
    <row r="658" spans="1:11" ht="15.75" customHeight="1">
      <c r="A658" s="2"/>
      <c r="B658" s="1"/>
      <c r="C658" s="1"/>
      <c r="D658" s="1"/>
      <c r="E658" s="1"/>
      <c r="F658" s="1"/>
      <c r="G658" s="1"/>
      <c r="H658" s="1"/>
      <c r="I658" s="61"/>
      <c r="J658" s="1"/>
      <c r="K658" s="1"/>
    </row>
    <row r="659" spans="1:11" ht="15.75" customHeight="1">
      <c r="A659" s="2"/>
      <c r="B659" s="1"/>
      <c r="C659" s="1"/>
      <c r="D659" s="1"/>
      <c r="E659" s="1"/>
      <c r="F659" s="1"/>
      <c r="G659" s="1"/>
      <c r="H659" s="1"/>
      <c r="I659" s="61"/>
      <c r="J659" s="1"/>
      <c r="K659" s="1"/>
    </row>
    <row r="660" spans="1:11" ht="15.75" customHeight="1">
      <c r="A660" s="2"/>
      <c r="B660" s="1"/>
      <c r="C660" s="1"/>
      <c r="D660" s="1"/>
      <c r="E660" s="1"/>
      <c r="F660" s="1"/>
      <c r="G660" s="1"/>
      <c r="H660" s="1"/>
      <c r="I660" s="61"/>
      <c r="J660" s="1"/>
      <c r="K660" s="1"/>
    </row>
    <row r="661" spans="1:11" ht="15.75" customHeight="1">
      <c r="A661" s="2"/>
      <c r="B661" s="1"/>
      <c r="C661" s="1"/>
      <c r="D661" s="1"/>
      <c r="E661" s="1"/>
      <c r="F661" s="1"/>
      <c r="G661" s="1"/>
      <c r="H661" s="1"/>
      <c r="I661" s="61"/>
      <c r="J661" s="1"/>
      <c r="K661" s="1"/>
    </row>
    <row r="662" spans="1:11" ht="15.75" customHeight="1">
      <c r="A662" s="2"/>
      <c r="B662" s="1"/>
      <c r="C662" s="1"/>
      <c r="D662" s="1"/>
      <c r="E662" s="1"/>
      <c r="F662" s="1"/>
      <c r="G662" s="1"/>
      <c r="H662" s="1"/>
      <c r="I662" s="61"/>
      <c r="J662" s="1"/>
      <c r="K662" s="1"/>
    </row>
    <row r="663" spans="1:11" ht="15.75" customHeight="1">
      <c r="A663" s="2"/>
      <c r="B663" s="1"/>
      <c r="C663" s="1"/>
      <c r="D663" s="1"/>
      <c r="E663" s="1"/>
      <c r="F663" s="1"/>
      <c r="G663" s="1"/>
      <c r="H663" s="1"/>
      <c r="I663" s="61"/>
      <c r="J663" s="1"/>
      <c r="K663" s="1"/>
    </row>
    <row r="664" spans="1:11" ht="15.75" customHeight="1">
      <c r="A664" s="2"/>
      <c r="B664" s="1"/>
      <c r="C664" s="1"/>
      <c r="D664" s="1"/>
      <c r="E664" s="1"/>
      <c r="F664" s="1"/>
      <c r="G664" s="1"/>
      <c r="H664" s="1"/>
      <c r="I664" s="61"/>
      <c r="J664" s="1"/>
      <c r="K664" s="1"/>
    </row>
    <row r="665" spans="1:11" ht="15.75" customHeight="1">
      <c r="A665" s="2"/>
      <c r="B665" s="1"/>
      <c r="C665" s="1"/>
      <c r="D665" s="1"/>
      <c r="E665" s="1"/>
      <c r="F665" s="1"/>
      <c r="G665" s="1"/>
      <c r="H665" s="1"/>
      <c r="I665" s="61"/>
      <c r="J665" s="1"/>
      <c r="K665" s="1"/>
    </row>
    <row r="666" spans="1:11" ht="15.75" customHeight="1">
      <c r="A666" s="2"/>
      <c r="B666" s="1"/>
      <c r="C666" s="1"/>
      <c r="D666" s="1"/>
      <c r="E666" s="1"/>
      <c r="F666" s="1"/>
      <c r="G666" s="1"/>
      <c r="H666" s="1"/>
      <c r="I666" s="61"/>
      <c r="J666" s="1"/>
      <c r="K666" s="1"/>
    </row>
    <row r="667" spans="1:11" ht="15.75" customHeight="1">
      <c r="A667" s="2"/>
      <c r="B667" s="1"/>
      <c r="C667" s="1"/>
      <c r="D667" s="1"/>
      <c r="E667" s="1"/>
      <c r="F667" s="1"/>
      <c r="G667" s="1"/>
      <c r="H667" s="1"/>
      <c r="I667" s="61"/>
      <c r="J667" s="1"/>
      <c r="K667" s="1"/>
    </row>
    <row r="668" spans="1:11" ht="15.75" customHeight="1">
      <c r="A668" s="2"/>
      <c r="B668" s="1"/>
      <c r="C668" s="1"/>
      <c r="D668" s="1"/>
      <c r="E668" s="1"/>
      <c r="F668" s="1"/>
      <c r="G668" s="1"/>
      <c r="H668" s="1"/>
      <c r="I668" s="61"/>
      <c r="J668" s="1"/>
      <c r="K668" s="1"/>
    </row>
    <row r="669" spans="1:11" ht="15.75" customHeight="1">
      <c r="A669" s="2"/>
      <c r="B669" s="1"/>
      <c r="C669" s="1"/>
      <c r="D669" s="1"/>
      <c r="E669" s="1"/>
      <c r="F669" s="1"/>
      <c r="G669" s="1"/>
      <c r="H669" s="1"/>
      <c r="I669" s="61"/>
      <c r="J669" s="1"/>
      <c r="K669" s="1"/>
    </row>
    <row r="670" spans="1:11" ht="15.75" customHeight="1">
      <c r="A670" s="2"/>
      <c r="B670" s="1"/>
      <c r="C670" s="1"/>
      <c r="D670" s="1"/>
      <c r="E670" s="1"/>
      <c r="F670" s="1"/>
      <c r="G670" s="1"/>
      <c r="H670" s="1"/>
      <c r="I670" s="61"/>
      <c r="J670" s="1"/>
      <c r="K670" s="1"/>
    </row>
    <row r="671" spans="1:11" ht="15.75" customHeight="1">
      <c r="A671" s="2"/>
      <c r="B671" s="1"/>
      <c r="C671" s="1"/>
      <c r="D671" s="1"/>
      <c r="E671" s="1"/>
      <c r="F671" s="1"/>
      <c r="G671" s="1"/>
      <c r="H671" s="1"/>
      <c r="I671" s="61"/>
      <c r="J671" s="1"/>
      <c r="K671" s="1"/>
    </row>
    <row r="672" spans="1:11" ht="15.75" customHeight="1">
      <c r="A672" s="2"/>
      <c r="B672" s="1"/>
      <c r="C672" s="1"/>
      <c r="D672" s="1"/>
      <c r="E672" s="1"/>
      <c r="F672" s="1"/>
      <c r="G672" s="1"/>
      <c r="H672" s="1"/>
      <c r="I672" s="61"/>
      <c r="J672" s="1"/>
      <c r="K672" s="1"/>
    </row>
    <row r="673" spans="1:11" ht="15.75" customHeight="1">
      <c r="A673" s="2"/>
      <c r="B673" s="1"/>
      <c r="C673" s="1"/>
      <c r="D673" s="1"/>
      <c r="E673" s="1"/>
      <c r="F673" s="1"/>
      <c r="G673" s="1"/>
      <c r="H673" s="1"/>
      <c r="I673" s="61"/>
      <c r="J673" s="1"/>
      <c r="K673" s="1"/>
    </row>
    <row r="674" spans="1:11" ht="15.75" customHeight="1">
      <c r="A674" s="2"/>
      <c r="B674" s="1"/>
      <c r="C674" s="1"/>
      <c r="D674" s="1"/>
      <c r="E674" s="1"/>
      <c r="F674" s="1"/>
      <c r="G674" s="1"/>
      <c r="H674" s="1"/>
      <c r="I674" s="61"/>
      <c r="J674" s="1"/>
      <c r="K674" s="1"/>
    </row>
    <row r="675" spans="1:11" ht="15.75" customHeight="1">
      <c r="A675" s="2"/>
      <c r="B675" s="1"/>
      <c r="C675" s="1"/>
      <c r="D675" s="1"/>
      <c r="E675" s="1"/>
      <c r="F675" s="1"/>
      <c r="G675" s="1"/>
      <c r="H675" s="1"/>
      <c r="I675" s="61"/>
      <c r="J675" s="1"/>
      <c r="K675" s="1"/>
    </row>
    <row r="676" spans="1:11" ht="15.75" customHeight="1">
      <c r="A676" s="2"/>
      <c r="B676" s="1"/>
      <c r="C676" s="1"/>
      <c r="D676" s="1"/>
      <c r="E676" s="1"/>
      <c r="F676" s="1"/>
      <c r="G676" s="1"/>
      <c r="H676" s="1"/>
      <c r="I676" s="61"/>
      <c r="J676" s="1"/>
      <c r="K676" s="1"/>
    </row>
    <row r="677" spans="1:11" ht="15.75" customHeight="1">
      <c r="A677" s="2"/>
      <c r="B677" s="1"/>
      <c r="C677" s="1"/>
      <c r="D677" s="1"/>
      <c r="E677" s="1"/>
      <c r="F677" s="1"/>
      <c r="G677" s="1"/>
      <c r="H677" s="1"/>
      <c r="I677" s="61"/>
      <c r="J677" s="1"/>
      <c r="K677" s="1"/>
    </row>
    <row r="678" spans="1:11" ht="15.75" customHeight="1">
      <c r="A678" s="2"/>
      <c r="B678" s="1"/>
      <c r="C678" s="1"/>
      <c r="D678" s="1"/>
      <c r="E678" s="1"/>
      <c r="F678" s="1"/>
      <c r="G678" s="1"/>
      <c r="H678" s="1"/>
      <c r="I678" s="61"/>
      <c r="J678" s="1"/>
      <c r="K678" s="1"/>
    </row>
    <row r="679" spans="1:11" ht="15.75" customHeight="1">
      <c r="A679" s="2"/>
      <c r="B679" s="1"/>
      <c r="C679" s="1"/>
      <c r="D679" s="1"/>
      <c r="E679" s="1"/>
      <c r="F679" s="1"/>
      <c r="G679" s="1"/>
      <c r="H679" s="1"/>
      <c r="I679" s="61"/>
      <c r="J679" s="1"/>
      <c r="K679" s="1"/>
    </row>
    <row r="680" spans="1:11" ht="15.75" customHeight="1">
      <c r="A680" s="2"/>
      <c r="B680" s="1"/>
      <c r="C680" s="1"/>
      <c r="D680" s="1"/>
      <c r="E680" s="1"/>
      <c r="F680" s="1"/>
      <c r="G680" s="1"/>
      <c r="H680" s="1"/>
      <c r="I680" s="61"/>
      <c r="J680" s="1"/>
      <c r="K680" s="1"/>
    </row>
    <row r="681" spans="1:11" ht="15.75" customHeight="1">
      <c r="A681" s="2"/>
      <c r="B681" s="1"/>
      <c r="C681" s="1"/>
      <c r="D681" s="1"/>
      <c r="E681" s="1"/>
      <c r="F681" s="1"/>
      <c r="G681" s="1"/>
      <c r="H681" s="1"/>
      <c r="I681" s="61"/>
      <c r="J681" s="1"/>
      <c r="K681" s="1"/>
    </row>
    <row r="682" spans="1:11" ht="15.75" customHeight="1">
      <c r="A682" s="2"/>
      <c r="B682" s="1"/>
      <c r="C682" s="1"/>
      <c r="D682" s="1"/>
      <c r="E682" s="1"/>
      <c r="F682" s="1"/>
      <c r="G682" s="1"/>
      <c r="H682" s="1"/>
      <c r="I682" s="61"/>
      <c r="J682" s="1"/>
      <c r="K682" s="1"/>
    </row>
    <row r="683" spans="1:11" ht="15.75" customHeight="1">
      <c r="A683" s="2"/>
      <c r="B683" s="1"/>
      <c r="C683" s="1"/>
      <c r="D683" s="1"/>
      <c r="E683" s="1"/>
      <c r="F683" s="1"/>
      <c r="G683" s="1"/>
      <c r="H683" s="1"/>
      <c r="I683" s="61"/>
      <c r="J683" s="1"/>
      <c r="K683" s="1"/>
    </row>
    <row r="684" spans="1:11" ht="15.75" customHeight="1">
      <c r="A684" s="2"/>
      <c r="B684" s="1"/>
      <c r="C684" s="1"/>
      <c r="D684" s="1"/>
      <c r="E684" s="1"/>
      <c r="F684" s="1"/>
      <c r="G684" s="1"/>
      <c r="H684" s="1"/>
      <c r="I684" s="61"/>
      <c r="J684" s="1"/>
      <c r="K684" s="1"/>
    </row>
    <row r="685" spans="1:11" ht="15.75" customHeight="1">
      <c r="A685" s="2"/>
      <c r="B685" s="1"/>
      <c r="C685" s="1"/>
      <c r="D685" s="1"/>
      <c r="E685" s="1"/>
      <c r="F685" s="1"/>
      <c r="G685" s="1"/>
      <c r="H685" s="1"/>
      <c r="I685" s="61"/>
      <c r="J685" s="1"/>
      <c r="K685" s="1"/>
    </row>
    <row r="686" spans="1:11" ht="15.75" customHeight="1">
      <c r="A686" s="2"/>
      <c r="B686" s="1"/>
      <c r="C686" s="1"/>
      <c r="D686" s="1"/>
      <c r="E686" s="1"/>
      <c r="F686" s="1"/>
      <c r="G686" s="1"/>
      <c r="H686" s="1"/>
      <c r="I686" s="61"/>
      <c r="J686" s="1"/>
      <c r="K686" s="1"/>
    </row>
    <row r="687" spans="1:11" ht="15.75" customHeight="1">
      <c r="A687" s="2"/>
      <c r="B687" s="1"/>
      <c r="C687" s="1"/>
      <c r="D687" s="1"/>
      <c r="E687" s="1"/>
      <c r="F687" s="1"/>
      <c r="G687" s="1"/>
      <c r="H687" s="1"/>
      <c r="I687" s="61"/>
      <c r="J687" s="1"/>
      <c r="K687" s="1"/>
    </row>
    <row r="688" spans="1:11" ht="15.75" customHeight="1">
      <c r="A688" s="2"/>
      <c r="B688" s="1"/>
      <c r="C688" s="1"/>
      <c r="D688" s="1"/>
      <c r="E688" s="1"/>
      <c r="F688" s="1"/>
      <c r="G688" s="1"/>
      <c r="H688" s="1"/>
      <c r="I688" s="61"/>
      <c r="J688" s="1"/>
      <c r="K688" s="1"/>
    </row>
    <row r="689" spans="1:11" ht="15.75" customHeight="1">
      <c r="A689" s="2"/>
      <c r="B689" s="1"/>
      <c r="C689" s="1"/>
      <c r="D689" s="1"/>
      <c r="E689" s="1"/>
      <c r="F689" s="1"/>
      <c r="G689" s="1"/>
      <c r="H689" s="1"/>
      <c r="I689" s="61"/>
      <c r="J689" s="1"/>
      <c r="K689" s="1"/>
    </row>
    <row r="690" spans="1:11" ht="15.75" customHeight="1">
      <c r="A690" s="2"/>
      <c r="B690" s="1"/>
      <c r="C690" s="1"/>
      <c r="D690" s="1"/>
      <c r="E690" s="1"/>
      <c r="F690" s="1"/>
      <c r="G690" s="1"/>
      <c r="H690" s="1"/>
      <c r="I690" s="61"/>
      <c r="J690" s="1"/>
      <c r="K690" s="1"/>
    </row>
    <row r="691" spans="1:11" ht="15.75" customHeight="1">
      <c r="A691" s="2"/>
      <c r="B691" s="1"/>
      <c r="C691" s="1"/>
      <c r="D691" s="1"/>
      <c r="E691" s="1"/>
      <c r="F691" s="1"/>
      <c r="G691" s="1"/>
      <c r="H691" s="1"/>
      <c r="I691" s="61"/>
      <c r="J691" s="1"/>
      <c r="K691" s="1"/>
    </row>
    <row r="692" spans="1:11" ht="15.75" customHeight="1">
      <c r="A692" s="2"/>
      <c r="B692" s="1"/>
      <c r="C692" s="1"/>
      <c r="D692" s="1"/>
      <c r="E692" s="1"/>
      <c r="F692" s="1"/>
      <c r="G692" s="1"/>
      <c r="H692" s="1"/>
      <c r="I692" s="61"/>
      <c r="J692" s="1"/>
      <c r="K692" s="1"/>
    </row>
    <row r="693" spans="1:11" ht="15.75" customHeight="1">
      <c r="A693" s="2"/>
      <c r="B693" s="1"/>
      <c r="C693" s="1"/>
      <c r="D693" s="1"/>
      <c r="E693" s="1"/>
      <c r="F693" s="1"/>
      <c r="G693" s="1"/>
      <c r="H693" s="1"/>
      <c r="I693" s="61"/>
      <c r="J693" s="1"/>
      <c r="K693" s="1"/>
    </row>
    <row r="694" spans="1:11" ht="15.75" customHeight="1">
      <c r="A694" s="2"/>
      <c r="B694" s="1"/>
      <c r="C694" s="1"/>
      <c r="D694" s="1"/>
      <c r="E694" s="1"/>
      <c r="F694" s="1"/>
      <c r="G694" s="1"/>
      <c r="H694" s="1"/>
      <c r="I694" s="61"/>
      <c r="J694" s="1"/>
      <c r="K694" s="1"/>
    </row>
    <row r="695" spans="1:11" ht="15.75" customHeight="1">
      <c r="A695" s="2"/>
      <c r="B695" s="1"/>
      <c r="C695" s="1"/>
      <c r="D695" s="1"/>
      <c r="E695" s="1"/>
      <c r="F695" s="1"/>
      <c r="G695" s="1"/>
      <c r="H695" s="1"/>
      <c r="I695" s="61"/>
      <c r="J695" s="1"/>
      <c r="K695" s="1"/>
    </row>
    <row r="696" spans="1:11" ht="15.75" customHeight="1">
      <c r="A696" s="2"/>
      <c r="B696" s="1"/>
      <c r="C696" s="1"/>
      <c r="D696" s="1"/>
      <c r="E696" s="1"/>
      <c r="F696" s="1"/>
      <c r="G696" s="1"/>
      <c r="H696" s="1"/>
      <c r="I696" s="61"/>
      <c r="J696" s="1"/>
      <c r="K696" s="1"/>
    </row>
    <row r="697" spans="1:11" ht="15.75" customHeight="1">
      <c r="A697" s="2"/>
      <c r="B697" s="1"/>
      <c r="C697" s="1"/>
      <c r="D697" s="1"/>
      <c r="E697" s="1"/>
      <c r="F697" s="1"/>
      <c r="G697" s="1"/>
      <c r="H697" s="1"/>
      <c r="I697" s="61"/>
      <c r="J697" s="1"/>
      <c r="K697" s="1"/>
    </row>
    <row r="698" spans="1:11" ht="15.75" customHeight="1">
      <c r="A698" s="2"/>
      <c r="B698" s="1"/>
      <c r="C698" s="1"/>
      <c r="D698" s="1"/>
      <c r="E698" s="1"/>
      <c r="F698" s="1"/>
      <c r="G698" s="1"/>
      <c r="H698" s="1"/>
      <c r="I698" s="61"/>
      <c r="J698" s="1"/>
      <c r="K698" s="1"/>
    </row>
    <row r="699" spans="1:11" ht="15.75" customHeight="1">
      <c r="A699" s="2"/>
      <c r="B699" s="1"/>
      <c r="C699" s="1"/>
      <c r="D699" s="1"/>
      <c r="E699" s="1"/>
      <c r="F699" s="1"/>
      <c r="G699" s="1"/>
      <c r="H699" s="1"/>
      <c r="I699" s="61"/>
      <c r="J699" s="1"/>
      <c r="K699" s="1"/>
    </row>
    <row r="700" spans="1:11" ht="15.75" customHeight="1">
      <c r="A700" s="2"/>
      <c r="B700" s="1"/>
      <c r="C700" s="1"/>
      <c r="D700" s="1"/>
      <c r="E700" s="1"/>
      <c r="F700" s="1"/>
      <c r="G700" s="1"/>
      <c r="H700" s="1"/>
      <c r="I700" s="61"/>
      <c r="J700" s="1"/>
      <c r="K700" s="1"/>
    </row>
    <row r="701" spans="1:11" ht="15.75" customHeight="1">
      <c r="A701" s="2"/>
      <c r="B701" s="1"/>
      <c r="C701" s="1"/>
      <c r="D701" s="1"/>
      <c r="E701" s="1"/>
      <c r="F701" s="1"/>
      <c r="G701" s="1"/>
      <c r="H701" s="1"/>
      <c r="I701" s="61"/>
      <c r="J701" s="1"/>
      <c r="K701" s="1"/>
    </row>
    <row r="702" spans="1:11" ht="15.75" customHeight="1">
      <c r="A702" s="2"/>
      <c r="B702" s="1"/>
      <c r="C702" s="1"/>
      <c r="D702" s="1"/>
      <c r="E702" s="1"/>
      <c r="F702" s="1"/>
      <c r="G702" s="1"/>
      <c r="H702" s="1"/>
      <c r="I702" s="61"/>
      <c r="J702" s="1"/>
      <c r="K702" s="1"/>
    </row>
    <row r="703" spans="1:11" ht="15.75" customHeight="1">
      <c r="A703" s="2"/>
      <c r="B703" s="1"/>
      <c r="C703" s="1"/>
      <c r="D703" s="1"/>
      <c r="E703" s="1"/>
      <c r="F703" s="1"/>
      <c r="G703" s="1"/>
      <c r="H703" s="1"/>
      <c r="I703" s="61"/>
      <c r="J703" s="1"/>
      <c r="K703" s="1"/>
    </row>
    <row r="704" spans="1:11" ht="15.75" customHeight="1">
      <c r="A704" s="2"/>
      <c r="B704" s="1"/>
      <c r="C704" s="1"/>
      <c r="D704" s="1"/>
      <c r="E704" s="1"/>
      <c r="F704" s="1"/>
      <c r="G704" s="1"/>
      <c r="H704" s="1"/>
      <c r="I704" s="61"/>
      <c r="J704" s="1"/>
      <c r="K704" s="1"/>
    </row>
    <row r="705" spans="1:11" ht="15.75" customHeight="1">
      <c r="A705" s="2"/>
      <c r="B705" s="1"/>
      <c r="C705" s="1"/>
      <c r="D705" s="1"/>
      <c r="E705" s="1"/>
      <c r="F705" s="1"/>
      <c r="G705" s="1"/>
      <c r="H705" s="1"/>
      <c r="I705" s="61"/>
      <c r="J705" s="1"/>
      <c r="K705" s="1"/>
    </row>
    <row r="706" spans="1:11" ht="15.75" customHeight="1">
      <c r="A706" s="2"/>
      <c r="B706" s="1"/>
      <c r="C706" s="1"/>
      <c r="D706" s="1"/>
      <c r="E706" s="1"/>
      <c r="F706" s="1"/>
      <c r="G706" s="1"/>
      <c r="H706" s="1"/>
      <c r="I706" s="61"/>
      <c r="J706" s="1"/>
      <c r="K706" s="1"/>
    </row>
    <row r="707" spans="1:11" ht="15.75" customHeight="1">
      <c r="A707" s="2"/>
      <c r="B707" s="1"/>
      <c r="C707" s="1"/>
      <c r="D707" s="1"/>
      <c r="E707" s="1"/>
      <c r="F707" s="1"/>
      <c r="G707" s="1"/>
      <c r="H707" s="1"/>
      <c r="I707" s="61"/>
      <c r="J707" s="1"/>
      <c r="K707" s="1"/>
    </row>
    <row r="708" spans="1:11" ht="15.75" customHeight="1">
      <c r="A708" s="2"/>
      <c r="B708" s="1"/>
      <c r="C708" s="1"/>
      <c r="D708" s="1"/>
      <c r="E708" s="1"/>
      <c r="F708" s="1"/>
      <c r="G708" s="1"/>
      <c r="H708" s="1"/>
      <c r="I708" s="61"/>
      <c r="J708" s="1"/>
      <c r="K708" s="1"/>
    </row>
    <row r="709" spans="1:11" ht="15.75" customHeight="1">
      <c r="A709" s="2"/>
      <c r="B709" s="1"/>
      <c r="C709" s="1"/>
      <c r="D709" s="1"/>
      <c r="E709" s="1"/>
      <c r="F709" s="1"/>
      <c r="G709" s="1"/>
      <c r="H709" s="1"/>
      <c r="I709" s="61"/>
      <c r="J709" s="1"/>
      <c r="K709" s="1"/>
    </row>
    <row r="710" spans="1:11" ht="15.75" customHeight="1">
      <c r="A710" s="2"/>
      <c r="B710" s="1"/>
      <c r="C710" s="1"/>
      <c r="D710" s="1"/>
      <c r="E710" s="1"/>
      <c r="F710" s="1"/>
      <c r="G710" s="1"/>
      <c r="H710" s="1"/>
      <c r="I710" s="61"/>
      <c r="J710" s="1"/>
      <c r="K710" s="1"/>
    </row>
    <row r="711" spans="1:11" ht="15.75" customHeight="1">
      <c r="A711" s="2"/>
      <c r="B711" s="1"/>
      <c r="C711" s="1"/>
      <c r="D711" s="1"/>
      <c r="E711" s="1"/>
      <c r="F711" s="1"/>
      <c r="G711" s="1"/>
      <c r="H711" s="1"/>
      <c r="I711" s="61"/>
      <c r="J711" s="1"/>
      <c r="K711" s="1"/>
    </row>
    <row r="712" spans="1:11" ht="15.75" customHeight="1">
      <c r="A712" s="2"/>
      <c r="B712" s="1"/>
      <c r="C712" s="1"/>
      <c r="D712" s="1"/>
      <c r="E712" s="1"/>
      <c r="F712" s="1"/>
      <c r="G712" s="1"/>
      <c r="H712" s="1"/>
      <c r="I712" s="61"/>
      <c r="J712" s="1"/>
      <c r="K712" s="1"/>
    </row>
    <row r="713" spans="1:11" ht="15.75" customHeight="1">
      <c r="A713" s="2"/>
      <c r="B713" s="1"/>
      <c r="C713" s="1"/>
      <c r="D713" s="1"/>
      <c r="E713" s="1"/>
      <c r="F713" s="1"/>
      <c r="G713" s="1"/>
      <c r="H713" s="1"/>
      <c r="I713" s="61"/>
      <c r="J713" s="1"/>
      <c r="K713" s="1"/>
    </row>
    <row r="714" spans="1:11" ht="15.75" customHeight="1">
      <c r="A714" s="2"/>
      <c r="B714" s="1"/>
      <c r="C714" s="1"/>
      <c r="D714" s="1"/>
      <c r="E714" s="1"/>
      <c r="F714" s="1"/>
      <c r="G714" s="1"/>
      <c r="H714" s="1"/>
      <c r="I714" s="61"/>
      <c r="J714" s="1"/>
      <c r="K714" s="1"/>
    </row>
    <row r="715" spans="1:11" ht="15.75" customHeight="1">
      <c r="A715" s="2"/>
      <c r="B715" s="1"/>
      <c r="C715" s="1"/>
      <c r="D715" s="1"/>
      <c r="E715" s="1"/>
      <c r="F715" s="1"/>
      <c r="G715" s="1"/>
      <c r="H715" s="1"/>
      <c r="I715" s="61"/>
      <c r="J715" s="1"/>
      <c r="K715" s="1"/>
    </row>
    <row r="716" spans="1:11" ht="15.75" customHeight="1">
      <c r="A716" s="2"/>
      <c r="B716" s="1"/>
      <c r="C716" s="1"/>
      <c r="D716" s="1"/>
      <c r="E716" s="1"/>
      <c r="F716" s="1"/>
      <c r="G716" s="1"/>
      <c r="H716" s="1"/>
      <c r="I716" s="61"/>
      <c r="J716" s="1"/>
      <c r="K716" s="1"/>
    </row>
    <row r="717" spans="1:11" ht="15.75" customHeight="1">
      <c r="A717" s="2"/>
      <c r="B717" s="1"/>
      <c r="C717" s="1"/>
      <c r="D717" s="1"/>
      <c r="E717" s="1"/>
      <c r="F717" s="1"/>
      <c r="G717" s="1"/>
      <c r="H717" s="1"/>
      <c r="I717" s="61"/>
      <c r="J717" s="1"/>
      <c r="K717" s="1"/>
    </row>
    <row r="718" spans="1:11" ht="15.75" customHeight="1">
      <c r="A718" s="2"/>
      <c r="B718" s="1"/>
      <c r="C718" s="1"/>
      <c r="D718" s="1"/>
      <c r="E718" s="1"/>
      <c r="F718" s="1"/>
      <c r="G718" s="1"/>
      <c r="H718" s="1"/>
      <c r="I718" s="61"/>
      <c r="J718" s="1"/>
      <c r="K718" s="1"/>
    </row>
    <row r="719" spans="1:11" ht="15.75" customHeight="1">
      <c r="A719" s="2"/>
      <c r="B719" s="1"/>
      <c r="C719" s="1"/>
      <c r="D719" s="1"/>
      <c r="E719" s="1"/>
      <c r="F719" s="1"/>
      <c r="G719" s="1"/>
      <c r="H719" s="1"/>
      <c r="I719" s="61"/>
      <c r="J719" s="1"/>
      <c r="K719" s="1"/>
    </row>
    <row r="720" spans="1:11" ht="15.75" customHeight="1">
      <c r="A720" s="2"/>
      <c r="B720" s="1"/>
      <c r="C720" s="1"/>
      <c r="D720" s="1"/>
      <c r="E720" s="1"/>
      <c r="F720" s="1"/>
      <c r="G720" s="1"/>
      <c r="H720" s="1"/>
      <c r="I720" s="61"/>
      <c r="J720" s="1"/>
      <c r="K720" s="1"/>
    </row>
    <row r="721" spans="1:11" ht="15.75" customHeight="1">
      <c r="A721" s="2"/>
      <c r="B721" s="1"/>
      <c r="C721" s="1"/>
      <c r="D721" s="1"/>
      <c r="E721" s="1"/>
      <c r="F721" s="1"/>
      <c r="G721" s="1"/>
      <c r="H721" s="1"/>
      <c r="I721" s="61"/>
      <c r="J721" s="1"/>
      <c r="K721" s="1"/>
    </row>
    <row r="722" spans="1:11" ht="15.75" customHeight="1">
      <c r="A722" s="2"/>
      <c r="B722" s="1"/>
      <c r="C722" s="1"/>
      <c r="D722" s="1"/>
      <c r="E722" s="1"/>
      <c r="F722" s="1"/>
      <c r="G722" s="1"/>
      <c r="H722" s="1"/>
      <c r="I722" s="61"/>
      <c r="J722" s="1"/>
      <c r="K722" s="1"/>
    </row>
    <row r="723" spans="1:11" ht="15.75" customHeight="1">
      <c r="A723" s="2"/>
      <c r="B723" s="1"/>
      <c r="C723" s="1"/>
      <c r="D723" s="1"/>
      <c r="E723" s="1"/>
      <c r="F723" s="1"/>
      <c r="G723" s="1"/>
      <c r="H723" s="1"/>
      <c r="I723" s="61"/>
      <c r="J723" s="1"/>
      <c r="K723" s="1"/>
    </row>
    <row r="724" spans="1:11" ht="15.75" customHeight="1">
      <c r="A724" s="2"/>
      <c r="B724" s="1"/>
      <c r="C724" s="1"/>
      <c r="D724" s="1"/>
      <c r="E724" s="1"/>
      <c r="F724" s="1"/>
      <c r="G724" s="1"/>
      <c r="H724" s="1"/>
      <c r="I724" s="61"/>
      <c r="J724" s="1"/>
      <c r="K724" s="1"/>
    </row>
    <row r="725" spans="1:11" ht="15.75" customHeight="1">
      <c r="A725" s="2"/>
      <c r="B725" s="1"/>
      <c r="C725" s="1"/>
      <c r="D725" s="1"/>
      <c r="E725" s="1"/>
      <c r="F725" s="1"/>
      <c r="G725" s="1"/>
      <c r="H725" s="1"/>
      <c r="I725" s="61"/>
      <c r="J725" s="1"/>
      <c r="K725" s="1"/>
    </row>
    <row r="726" spans="1:11" ht="15.75" customHeight="1">
      <c r="A726" s="2"/>
      <c r="B726" s="1"/>
      <c r="C726" s="1"/>
      <c r="D726" s="1"/>
      <c r="E726" s="1"/>
      <c r="F726" s="1"/>
      <c r="G726" s="1"/>
      <c r="H726" s="1"/>
      <c r="I726" s="61"/>
      <c r="J726" s="1"/>
      <c r="K726" s="1"/>
    </row>
    <row r="727" spans="1:11" ht="15.75" customHeight="1">
      <c r="A727" s="2"/>
      <c r="B727" s="1"/>
      <c r="C727" s="1"/>
      <c r="D727" s="1"/>
      <c r="E727" s="1"/>
      <c r="F727" s="1"/>
      <c r="G727" s="1"/>
      <c r="H727" s="1"/>
      <c r="I727" s="61"/>
      <c r="J727" s="1"/>
      <c r="K727" s="1"/>
    </row>
    <row r="728" spans="1:11" ht="15.75" customHeight="1">
      <c r="A728" s="2"/>
      <c r="B728" s="1"/>
      <c r="C728" s="1"/>
      <c r="D728" s="1"/>
      <c r="E728" s="1"/>
      <c r="F728" s="1"/>
      <c r="G728" s="1"/>
      <c r="H728" s="1"/>
      <c r="I728" s="61"/>
      <c r="J728" s="1"/>
      <c r="K728" s="1"/>
    </row>
    <row r="729" spans="1:11" ht="15.75" customHeight="1">
      <c r="A729" s="2"/>
      <c r="B729" s="1"/>
      <c r="C729" s="1"/>
      <c r="D729" s="1"/>
      <c r="E729" s="1"/>
      <c r="F729" s="1"/>
      <c r="G729" s="1"/>
      <c r="H729" s="1"/>
      <c r="I729" s="61"/>
      <c r="J729" s="1"/>
      <c r="K729" s="1"/>
    </row>
    <row r="730" spans="1:11" ht="15.75" customHeight="1">
      <c r="A730" s="2"/>
      <c r="B730" s="1"/>
      <c r="C730" s="1"/>
      <c r="D730" s="1"/>
      <c r="E730" s="1"/>
      <c r="F730" s="1"/>
      <c r="G730" s="1"/>
      <c r="H730" s="1"/>
      <c r="I730" s="61"/>
      <c r="J730" s="1"/>
      <c r="K730" s="1"/>
    </row>
    <row r="731" spans="1:11" ht="15.75" customHeight="1">
      <c r="A731" s="2"/>
      <c r="B731" s="1"/>
      <c r="C731" s="1"/>
      <c r="D731" s="1"/>
      <c r="E731" s="1"/>
      <c r="F731" s="1"/>
      <c r="G731" s="1"/>
      <c r="H731" s="1"/>
      <c r="I731" s="61"/>
      <c r="J731" s="1"/>
      <c r="K731" s="1"/>
    </row>
    <row r="732" spans="1:11" ht="15.75" customHeight="1">
      <c r="A732" s="2"/>
      <c r="B732" s="1"/>
      <c r="C732" s="1"/>
      <c r="D732" s="1"/>
      <c r="E732" s="1"/>
      <c r="F732" s="1"/>
      <c r="G732" s="1"/>
      <c r="H732" s="1"/>
      <c r="I732" s="61"/>
      <c r="J732" s="1"/>
      <c r="K732" s="1"/>
    </row>
    <row r="733" spans="1:11" ht="15.75" customHeight="1">
      <c r="A733" s="2"/>
      <c r="B733" s="1"/>
      <c r="C733" s="1"/>
      <c r="D733" s="1"/>
      <c r="E733" s="1"/>
      <c r="F733" s="1"/>
      <c r="G733" s="1"/>
      <c r="H733" s="1"/>
      <c r="I733" s="61"/>
      <c r="J733" s="1"/>
      <c r="K733" s="1"/>
    </row>
    <row r="734" spans="1:11" ht="15.75" customHeight="1">
      <c r="A734" s="2"/>
      <c r="B734" s="1"/>
      <c r="C734" s="1"/>
      <c r="D734" s="1"/>
      <c r="E734" s="1"/>
      <c r="F734" s="1"/>
      <c r="G734" s="1"/>
      <c r="H734" s="1"/>
      <c r="I734" s="61"/>
      <c r="J734" s="1"/>
      <c r="K734" s="1"/>
    </row>
    <row r="735" spans="1:11" ht="15.75" customHeight="1">
      <c r="A735" s="2"/>
      <c r="B735" s="1"/>
      <c r="C735" s="1"/>
      <c r="D735" s="1"/>
      <c r="E735" s="1"/>
      <c r="F735" s="1"/>
      <c r="G735" s="1"/>
      <c r="H735" s="1"/>
      <c r="I735" s="61"/>
      <c r="J735" s="1"/>
      <c r="K735" s="1"/>
    </row>
    <row r="736" spans="1:11" ht="15.75" customHeight="1">
      <c r="A736" s="2"/>
      <c r="B736" s="1"/>
      <c r="C736" s="1"/>
      <c r="D736" s="1"/>
      <c r="E736" s="1"/>
      <c r="F736" s="1"/>
      <c r="G736" s="1"/>
      <c r="H736" s="1"/>
      <c r="I736" s="61"/>
      <c r="J736" s="1"/>
      <c r="K736" s="1"/>
    </row>
    <row r="737" spans="1:11" ht="15.75" customHeight="1">
      <c r="A737" s="2"/>
      <c r="B737" s="1"/>
      <c r="C737" s="1"/>
      <c r="D737" s="1"/>
      <c r="E737" s="1"/>
      <c r="F737" s="1"/>
      <c r="G737" s="1"/>
      <c r="H737" s="1"/>
      <c r="I737" s="61"/>
      <c r="J737" s="1"/>
      <c r="K737" s="1"/>
    </row>
    <row r="738" spans="1:11" ht="15.75" customHeight="1">
      <c r="A738" s="2"/>
      <c r="B738" s="1"/>
      <c r="C738" s="1"/>
      <c r="D738" s="1"/>
      <c r="E738" s="1"/>
      <c r="F738" s="1"/>
      <c r="G738" s="1"/>
      <c r="H738" s="1"/>
      <c r="I738" s="61"/>
      <c r="J738" s="1"/>
      <c r="K738" s="1"/>
    </row>
    <row r="739" spans="1:11" ht="15.75" customHeight="1">
      <c r="A739" s="2"/>
      <c r="B739" s="1"/>
      <c r="C739" s="1"/>
      <c r="D739" s="1"/>
      <c r="E739" s="1"/>
      <c r="F739" s="1"/>
      <c r="G739" s="1"/>
      <c r="H739" s="1"/>
      <c r="I739" s="61"/>
      <c r="J739" s="1"/>
      <c r="K739" s="1"/>
    </row>
    <row r="740" spans="1:11" ht="15.75" customHeight="1">
      <c r="A740" s="2"/>
      <c r="B740" s="1"/>
      <c r="C740" s="1"/>
      <c r="D740" s="1"/>
      <c r="E740" s="1"/>
      <c r="F740" s="1"/>
      <c r="G740" s="1"/>
      <c r="H740" s="1"/>
      <c r="I740" s="61"/>
      <c r="J740" s="1"/>
      <c r="K740" s="1"/>
    </row>
    <row r="741" spans="1:11" ht="15.75" customHeight="1">
      <c r="A741" s="2"/>
      <c r="B741" s="1"/>
      <c r="C741" s="1"/>
      <c r="D741" s="1"/>
      <c r="E741" s="1"/>
      <c r="F741" s="1"/>
      <c r="G741" s="1"/>
      <c r="H741" s="1"/>
      <c r="I741" s="61"/>
      <c r="J741" s="1"/>
      <c r="K741" s="1"/>
    </row>
    <row r="742" spans="1:11" ht="15.75" customHeight="1">
      <c r="A742" s="2"/>
      <c r="B742" s="1"/>
      <c r="C742" s="1"/>
      <c r="D742" s="1"/>
      <c r="E742" s="1"/>
      <c r="F742" s="1"/>
      <c r="G742" s="1"/>
      <c r="H742" s="1"/>
      <c r="I742" s="61"/>
      <c r="J742" s="1"/>
      <c r="K742" s="1"/>
    </row>
    <row r="743" spans="1:11" ht="15.75" customHeight="1">
      <c r="A743" s="2"/>
      <c r="B743" s="1"/>
      <c r="C743" s="1"/>
      <c r="D743" s="1"/>
      <c r="E743" s="1"/>
      <c r="F743" s="1"/>
      <c r="G743" s="1"/>
      <c r="H743" s="1"/>
      <c r="I743" s="61"/>
      <c r="J743" s="1"/>
      <c r="K743" s="1"/>
    </row>
    <row r="744" spans="1:11" ht="15.75" customHeight="1">
      <c r="A744" s="2"/>
      <c r="B744" s="1"/>
      <c r="C744" s="1"/>
      <c r="D744" s="1"/>
      <c r="E744" s="1"/>
      <c r="F744" s="1"/>
      <c r="G744" s="1"/>
      <c r="H744" s="1"/>
      <c r="I744" s="61"/>
      <c r="J744" s="1"/>
      <c r="K744" s="1"/>
    </row>
    <row r="745" spans="1:11" ht="15.75" customHeight="1">
      <c r="A745" s="2"/>
      <c r="B745" s="1"/>
      <c r="C745" s="1"/>
      <c r="D745" s="1"/>
      <c r="E745" s="1"/>
      <c r="F745" s="1"/>
      <c r="G745" s="1"/>
      <c r="H745" s="1"/>
      <c r="I745" s="61"/>
      <c r="J745" s="1"/>
      <c r="K745" s="1"/>
    </row>
    <row r="746" spans="1:11" ht="15.75" customHeight="1">
      <c r="A746" s="2"/>
      <c r="B746" s="1"/>
      <c r="C746" s="1"/>
      <c r="D746" s="1"/>
      <c r="E746" s="1"/>
      <c r="F746" s="1"/>
      <c r="G746" s="1"/>
      <c r="H746" s="1"/>
      <c r="I746" s="61"/>
      <c r="J746" s="1"/>
      <c r="K746" s="1"/>
    </row>
    <row r="747" spans="1:11" ht="15.75" customHeight="1">
      <c r="A747" s="2"/>
      <c r="B747" s="1"/>
      <c r="C747" s="1"/>
      <c r="D747" s="1"/>
      <c r="E747" s="1"/>
      <c r="F747" s="1"/>
      <c r="G747" s="1"/>
      <c r="H747" s="1"/>
      <c r="I747" s="61"/>
      <c r="J747" s="1"/>
      <c r="K747" s="1"/>
    </row>
    <row r="748" spans="1:11" ht="15.75" customHeight="1">
      <c r="A748" s="2"/>
      <c r="B748" s="1"/>
      <c r="C748" s="1"/>
      <c r="D748" s="1"/>
      <c r="E748" s="1"/>
      <c r="F748" s="1"/>
      <c r="G748" s="1"/>
      <c r="H748" s="1"/>
      <c r="I748" s="61"/>
      <c r="J748" s="1"/>
      <c r="K748" s="1"/>
    </row>
    <row r="749" spans="1:11" ht="15.75" customHeight="1">
      <c r="A749" s="2"/>
      <c r="B749" s="1"/>
      <c r="C749" s="1"/>
      <c r="D749" s="1"/>
      <c r="E749" s="1"/>
      <c r="F749" s="1"/>
      <c r="G749" s="1"/>
      <c r="H749" s="1"/>
      <c r="I749" s="61"/>
      <c r="J749" s="1"/>
      <c r="K749" s="1"/>
    </row>
    <row r="750" spans="1:11" ht="15.75" customHeight="1">
      <c r="A750" s="2"/>
      <c r="B750" s="1"/>
      <c r="C750" s="1"/>
      <c r="D750" s="1"/>
      <c r="E750" s="1"/>
      <c r="F750" s="1"/>
      <c r="G750" s="1"/>
      <c r="H750" s="1"/>
      <c r="I750" s="61"/>
      <c r="J750" s="1"/>
      <c r="K750" s="1"/>
    </row>
    <row r="751" spans="1:11" ht="15.75" customHeight="1">
      <c r="A751" s="2"/>
      <c r="B751" s="1"/>
      <c r="C751" s="1"/>
      <c r="D751" s="1"/>
      <c r="E751" s="1"/>
      <c r="F751" s="1"/>
      <c r="G751" s="1"/>
      <c r="H751" s="1"/>
      <c r="I751" s="61"/>
      <c r="J751" s="1"/>
      <c r="K751" s="1"/>
    </row>
    <row r="752" spans="1:11" ht="15.75" customHeight="1">
      <c r="A752" s="2"/>
      <c r="B752" s="1"/>
      <c r="C752" s="1"/>
      <c r="D752" s="1"/>
      <c r="E752" s="1"/>
      <c r="F752" s="1"/>
      <c r="G752" s="1"/>
      <c r="H752" s="1"/>
      <c r="I752" s="61"/>
      <c r="J752" s="1"/>
      <c r="K752" s="1"/>
    </row>
    <row r="753" spans="1:11" ht="15.75" customHeight="1">
      <c r="A753" s="2"/>
      <c r="B753" s="1"/>
      <c r="C753" s="1"/>
      <c r="D753" s="1"/>
      <c r="E753" s="1"/>
      <c r="F753" s="1"/>
      <c r="G753" s="1"/>
      <c r="H753" s="1"/>
      <c r="I753" s="61"/>
      <c r="J753" s="1"/>
      <c r="K753" s="1"/>
    </row>
    <row r="754" spans="1:11" ht="15.75" customHeight="1">
      <c r="A754" s="2"/>
      <c r="B754" s="1"/>
      <c r="C754" s="1"/>
      <c r="D754" s="1"/>
      <c r="E754" s="1"/>
      <c r="F754" s="1"/>
      <c r="G754" s="1"/>
      <c r="H754" s="1"/>
      <c r="I754" s="61"/>
      <c r="J754" s="1"/>
      <c r="K754" s="1"/>
    </row>
    <row r="755" spans="1:11" ht="15.75" customHeight="1">
      <c r="A755" s="2"/>
      <c r="B755" s="1"/>
      <c r="C755" s="1"/>
      <c r="D755" s="1"/>
      <c r="E755" s="1"/>
      <c r="F755" s="1"/>
      <c r="G755" s="1"/>
      <c r="H755" s="1"/>
      <c r="I755" s="61"/>
      <c r="J755" s="1"/>
      <c r="K755" s="1"/>
    </row>
    <row r="756" spans="1:11" ht="15.75" customHeight="1">
      <c r="A756" s="2"/>
      <c r="B756" s="1"/>
      <c r="C756" s="1"/>
      <c r="D756" s="1"/>
      <c r="E756" s="1"/>
      <c r="F756" s="1"/>
      <c r="G756" s="1"/>
      <c r="H756" s="1"/>
      <c r="I756" s="61"/>
      <c r="J756" s="1"/>
      <c r="K756" s="1"/>
    </row>
    <row r="757" spans="1:11" ht="15.75" customHeight="1">
      <c r="A757" s="2"/>
      <c r="B757" s="1"/>
      <c r="C757" s="1"/>
      <c r="D757" s="1"/>
      <c r="E757" s="1"/>
      <c r="F757" s="1"/>
      <c r="G757" s="1"/>
      <c r="H757" s="1"/>
      <c r="I757" s="61"/>
      <c r="J757" s="1"/>
      <c r="K757" s="1"/>
    </row>
    <row r="758" spans="1:11" ht="15.75" customHeight="1">
      <c r="A758" s="2"/>
      <c r="B758" s="1"/>
      <c r="C758" s="1"/>
      <c r="D758" s="1"/>
      <c r="E758" s="1"/>
      <c r="F758" s="1"/>
      <c r="G758" s="1"/>
      <c r="H758" s="1"/>
      <c r="I758" s="61"/>
      <c r="J758" s="1"/>
      <c r="K758" s="1"/>
    </row>
    <row r="759" spans="1:11" ht="15.75" customHeight="1">
      <c r="A759" s="2"/>
      <c r="B759" s="1"/>
      <c r="C759" s="1"/>
      <c r="D759" s="1"/>
      <c r="E759" s="1"/>
      <c r="F759" s="1"/>
      <c r="G759" s="1"/>
      <c r="H759" s="1"/>
      <c r="I759" s="61"/>
      <c r="J759" s="1"/>
      <c r="K759" s="1"/>
    </row>
    <row r="760" spans="1:11" ht="15.75" customHeight="1">
      <c r="A760" s="2"/>
      <c r="B760" s="1"/>
      <c r="C760" s="1"/>
      <c r="D760" s="1"/>
      <c r="E760" s="1"/>
      <c r="F760" s="1"/>
      <c r="G760" s="1"/>
      <c r="H760" s="1"/>
      <c r="I760" s="61"/>
      <c r="J760" s="1"/>
      <c r="K760" s="1"/>
    </row>
    <row r="761" spans="1:11" ht="15.75" customHeight="1">
      <c r="A761" s="2"/>
      <c r="B761" s="1"/>
      <c r="C761" s="1"/>
      <c r="D761" s="1"/>
      <c r="E761" s="1"/>
      <c r="F761" s="1"/>
      <c r="G761" s="1"/>
      <c r="H761" s="1"/>
      <c r="I761" s="61"/>
      <c r="J761" s="1"/>
      <c r="K761" s="1"/>
    </row>
    <row r="762" spans="1:11" ht="15.75" customHeight="1">
      <c r="A762" s="2"/>
      <c r="B762" s="1"/>
      <c r="C762" s="1"/>
      <c r="D762" s="1"/>
      <c r="E762" s="1"/>
      <c r="F762" s="1"/>
      <c r="G762" s="1"/>
      <c r="H762" s="1"/>
      <c r="I762" s="61"/>
      <c r="J762" s="1"/>
      <c r="K762" s="1"/>
    </row>
    <row r="763" spans="1:11" ht="15.75" customHeight="1">
      <c r="A763" s="2"/>
      <c r="B763" s="1"/>
      <c r="C763" s="1"/>
      <c r="D763" s="1"/>
      <c r="E763" s="1"/>
      <c r="F763" s="1"/>
      <c r="G763" s="1"/>
      <c r="H763" s="1"/>
      <c r="I763" s="61"/>
      <c r="J763" s="1"/>
      <c r="K763" s="1"/>
    </row>
    <row r="764" spans="1:11" ht="15.75" customHeight="1">
      <c r="A764" s="2"/>
      <c r="B764" s="1"/>
      <c r="C764" s="1"/>
      <c r="D764" s="1"/>
      <c r="E764" s="1"/>
      <c r="F764" s="1"/>
      <c r="G764" s="1"/>
      <c r="H764" s="1"/>
      <c r="I764" s="61"/>
      <c r="J764" s="1"/>
      <c r="K764" s="1"/>
    </row>
    <row r="765" spans="1:11" ht="15.75" customHeight="1">
      <c r="A765" s="2"/>
      <c r="B765" s="1"/>
      <c r="C765" s="1"/>
      <c r="D765" s="1"/>
      <c r="E765" s="1"/>
      <c r="F765" s="1"/>
      <c r="G765" s="1"/>
      <c r="H765" s="1"/>
      <c r="I765" s="61"/>
      <c r="J765" s="1"/>
      <c r="K765" s="1"/>
    </row>
    <row r="766" spans="1:11" ht="15.75" customHeight="1">
      <c r="A766" s="2"/>
      <c r="B766" s="1"/>
      <c r="C766" s="1"/>
      <c r="D766" s="1"/>
      <c r="E766" s="1"/>
      <c r="F766" s="1"/>
      <c r="G766" s="1"/>
      <c r="H766" s="1"/>
      <c r="I766" s="61"/>
      <c r="J766" s="1"/>
      <c r="K766" s="1"/>
    </row>
    <row r="767" spans="1:11" ht="15.75" customHeight="1">
      <c r="A767" s="2"/>
      <c r="B767" s="1"/>
      <c r="C767" s="1"/>
      <c r="D767" s="1"/>
      <c r="E767" s="1"/>
      <c r="F767" s="1"/>
      <c r="G767" s="1"/>
      <c r="H767" s="1"/>
      <c r="I767" s="61"/>
      <c r="J767" s="1"/>
      <c r="K767" s="1"/>
    </row>
    <row r="768" spans="1:11" ht="15.75" customHeight="1">
      <c r="A768" s="2"/>
      <c r="B768" s="1"/>
      <c r="C768" s="1"/>
      <c r="D768" s="1"/>
      <c r="E768" s="1"/>
      <c r="F768" s="1"/>
      <c r="G768" s="1"/>
      <c r="H768" s="1"/>
      <c r="I768" s="61"/>
      <c r="J768" s="1"/>
      <c r="K768" s="1"/>
    </row>
    <row r="769" spans="1:11" ht="15.75" customHeight="1">
      <c r="A769" s="2"/>
      <c r="B769" s="1"/>
      <c r="C769" s="1"/>
      <c r="D769" s="1"/>
      <c r="E769" s="1"/>
      <c r="F769" s="1"/>
      <c r="G769" s="1"/>
      <c r="H769" s="1"/>
      <c r="I769" s="61"/>
      <c r="J769" s="1"/>
      <c r="K769" s="1"/>
    </row>
    <row r="770" spans="1:11" ht="15.75" customHeight="1">
      <c r="A770" s="2"/>
      <c r="B770" s="1"/>
      <c r="C770" s="1"/>
      <c r="D770" s="1"/>
      <c r="E770" s="1"/>
      <c r="F770" s="1"/>
      <c r="G770" s="1"/>
      <c r="H770" s="1"/>
      <c r="I770" s="61"/>
      <c r="J770" s="1"/>
      <c r="K770" s="1"/>
    </row>
    <row r="771" spans="1:11" ht="15.75" customHeight="1">
      <c r="A771" s="2"/>
      <c r="B771" s="1"/>
      <c r="C771" s="1"/>
      <c r="D771" s="1"/>
      <c r="E771" s="1"/>
      <c r="F771" s="1"/>
      <c r="G771" s="1"/>
      <c r="H771" s="1"/>
      <c r="I771" s="61"/>
      <c r="J771" s="1"/>
      <c r="K771" s="1"/>
    </row>
    <row r="772" spans="1:11" ht="15.75" customHeight="1">
      <c r="A772" s="2"/>
      <c r="B772" s="1"/>
      <c r="C772" s="1"/>
      <c r="D772" s="1"/>
      <c r="E772" s="1"/>
      <c r="F772" s="1"/>
      <c r="G772" s="1"/>
      <c r="H772" s="1"/>
      <c r="I772" s="61"/>
      <c r="J772" s="1"/>
      <c r="K772" s="1"/>
    </row>
    <row r="773" spans="1:11" ht="15.75" customHeight="1">
      <c r="A773" s="2"/>
      <c r="B773" s="1"/>
      <c r="C773" s="1"/>
      <c r="D773" s="1"/>
      <c r="E773" s="1"/>
      <c r="F773" s="1"/>
      <c r="G773" s="1"/>
      <c r="H773" s="1"/>
      <c r="I773" s="61"/>
      <c r="J773" s="1"/>
      <c r="K773" s="1"/>
    </row>
    <row r="774" spans="1:11" ht="15.75" customHeight="1">
      <c r="A774" s="2"/>
      <c r="B774" s="1"/>
      <c r="C774" s="1"/>
      <c r="D774" s="1"/>
      <c r="E774" s="1"/>
      <c r="F774" s="1"/>
      <c r="G774" s="1"/>
      <c r="H774" s="1"/>
      <c r="I774" s="61"/>
      <c r="J774" s="1"/>
      <c r="K774" s="1"/>
    </row>
    <row r="775" spans="1:11" ht="15.75" customHeight="1">
      <c r="A775" s="2"/>
      <c r="B775" s="1"/>
      <c r="C775" s="1"/>
      <c r="D775" s="1"/>
      <c r="E775" s="1"/>
      <c r="F775" s="1"/>
      <c r="G775" s="1"/>
      <c r="H775" s="1"/>
      <c r="I775" s="61"/>
      <c r="J775" s="1"/>
      <c r="K775" s="1"/>
    </row>
    <row r="776" spans="1:11" ht="15.75" customHeight="1">
      <c r="A776" s="2"/>
      <c r="B776" s="1"/>
      <c r="C776" s="1"/>
      <c r="D776" s="1"/>
      <c r="E776" s="1"/>
      <c r="F776" s="1"/>
      <c r="G776" s="1"/>
      <c r="H776" s="1"/>
      <c r="I776" s="61"/>
      <c r="J776" s="1"/>
      <c r="K776" s="1"/>
    </row>
    <row r="777" spans="1:11" ht="15.75" customHeight="1">
      <c r="A777" s="2"/>
      <c r="B777" s="1"/>
      <c r="C777" s="1"/>
      <c r="D777" s="1"/>
      <c r="E777" s="1"/>
      <c r="F777" s="1"/>
      <c r="G777" s="1"/>
      <c r="H777" s="1"/>
      <c r="I777" s="61"/>
      <c r="J777" s="1"/>
      <c r="K777" s="1"/>
    </row>
    <row r="778" spans="1:11" ht="15.75" customHeight="1">
      <c r="A778" s="2"/>
      <c r="B778" s="1"/>
      <c r="C778" s="1"/>
      <c r="D778" s="1"/>
      <c r="E778" s="1"/>
      <c r="F778" s="1"/>
      <c r="G778" s="1"/>
      <c r="H778" s="1"/>
      <c r="I778" s="61"/>
      <c r="J778" s="1"/>
      <c r="K778" s="1"/>
    </row>
    <row r="779" spans="1:11" ht="15.75" customHeight="1">
      <c r="A779" s="2"/>
      <c r="B779" s="1"/>
      <c r="C779" s="1"/>
      <c r="D779" s="1"/>
      <c r="E779" s="1"/>
      <c r="F779" s="1"/>
      <c r="G779" s="1"/>
      <c r="H779" s="1"/>
      <c r="I779" s="61"/>
      <c r="J779" s="1"/>
      <c r="K779" s="1"/>
    </row>
    <row r="780" spans="1:11" ht="15.75" customHeight="1">
      <c r="A780" s="2"/>
      <c r="B780" s="1"/>
      <c r="C780" s="1"/>
      <c r="D780" s="1"/>
      <c r="E780" s="1"/>
      <c r="F780" s="1"/>
      <c r="G780" s="1"/>
      <c r="H780" s="1"/>
      <c r="I780" s="61"/>
      <c r="J780" s="1"/>
      <c r="K780" s="1"/>
    </row>
    <row r="781" spans="1:11" ht="15.75" customHeight="1">
      <c r="A781" s="2"/>
      <c r="B781" s="1"/>
      <c r="C781" s="1"/>
      <c r="D781" s="1"/>
      <c r="E781" s="1"/>
      <c r="F781" s="1"/>
      <c r="G781" s="1"/>
      <c r="H781" s="1"/>
      <c r="I781" s="61"/>
      <c r="J781" s="1"/>
      <c r="K781" s="1"/>
    </row>
    <row r="782" spans="1:11" ht="15.75" customHeight="1">
      <c r="A782" s="2"/>
      <c r="B782" s="1"/>
      <c r="C782" s="1"/>
      <c r="D782" s="1"/>
      <c r="E782" s="1"/>
      <c r="F782" s="1"/>
      <c r="G782" s="1"/>
      <c r="H782" s="1"/>
      <c r="I782" s="61"/>
      <c r="J782" s="1"/>
      <c r="K782" s="1"/>
    </row>
    <row r="783" spans="1:11" ht="15.75" customHeight="1">
      <c r="A783" s="2"/>
      <c r="B783" s="1"/>
      <c r="C783" s="1"/>
      <c r="D783" s="1"/>
      <c r="E783" s="1"/>
      <c r="F783" s="1"/>
      <c r="G783" s="1"/>
      <c r="H783" s="1"/>
      <c r="I783" s="61"/>
      <c r="J783" s="1"/>
      <c r="K783" s="1"/>
    </row>
    <row r="784" spans="1:11" ht="15.75" customHeight="1">
      <c r="A784" s="2"/>
      <c r="B784" s="1"/>
      <c r="C784" s="1"/>
      <c r="D784" s="1"/>
      <c r="E784" s="1"/>
      <c r="F784" s="1"/>
      <c r="G784" s="1"/>
      <c r="H784" s="1"/>
      <c r="I784" s="61"/>
      <c r="J784" s="1"/>
      <c r="K784" s="1"/>
    </row>
    <row r="785" spans="1:11" ht="15.75" customHeight="1">
      <c r="A785" s="2"/>
      <c r="B785" s="1"/>
      <c r="C785" s="1"/>
      <c r="D785" s="1"/>
      <c r="E785" s="1"/>
      <c r="F785" s="1"/>
      <c r="G785" s="1"/>
      <c r="H785" s="1"/>
      <c r="I785" s="61"/>
      <c r="J785" s="1"/>
      <c r="K785" s="1"/>
    </row>
    <row r="786" spans="1:11" ht="15.75" customHeight="1">
      <c r="A786" s="2"/>
      <c r="B786" s="1"/>
      <c r="C786" s="1"/>
      <c r="D786" s="1"/>
      <c r="E786" s="1"/>
      <c r="F786" s="1"/>
      <c r="G786" s="1"/>
      <c r="H786" s="1"/>
      <c r="I786" s="61"/>
      <c r="J786" s="1"/>
      <c r="K786" s="1"/>
    </row>
    <row r="787" spans="1:11" ht="15.75" customHeight="1">
      <c r="A787" s="2"/>
      <c r="B787" s="1"/>
      <c r="C787" s="1"/>
      <c r="D787" s="1"/>
      <c r="E787" s="1"/>
      <c r="F787" s="1"/>
      <c r="G787" s="1"/>
      <c r="H787" s="1"/>
      <c r="I787" s="61"/>
      <c r="J787" s="1"/>
      <c r="K787" s="1"/>
    </row>
    <row r="788" spans="1:11" ht="15.75" customHeight="1">
      <c r="A788" s="2"/>
      <c r="B788" s="1"/>
      <c r="C788" s="1"/>
      <c r="D788" s="1"/>
      <c r="E788" s="1"/>
      <c r="F788" s="1"/>
      <c r="G788" s="1"/>
      <c r="H788" s="1"/>
      <c r="I788" s="61"/>
      <c r="J788" s="1"/>
      <c r="K788" s="1"/>
    </row>
    <row r="789" spans="1:11" ht="15.75" customHeight="1">
      <c r="A789" s="2"/>
      <c r="B789" s="1"/>
      <c r="C789" s="1"/>
      <c r="D789" s="1"/>
      <c r="E789" s="1"/>
      <c r="F789" s="1"/>
      <c r="G789" s="1"/>
      <c r="H789" s="1"/>
      <c r="I789" s="61"/>
      <c r="J789" s="1"/>
      <c r="K789" s="1"/>
    </row>
    <row r="790" spans="1:11" ht="15.75" customHeight="1">
      <c r="A790" s="2"/>
      <c r="B790" s="1"/>
      <c r="C790" s="1"/>
      <c r="D790" s="1"/>
      <c r="E790" s="1"/>
      <c r="F790" s="1"/>
      <c r="G790" s="1"/>
      <c r="H790" s="1"/>
      <c r="I790" s="61"/>
      <c r="J790" s="1"/>
      <c r="K790" s="1"/>
    </row>
    <row r="791" spans="1:11" ht="15.75" customHeight="1">
      <c r="A791" s="2"/>
      <c r="B791" s="1"/>
      <c r="C791" s="1"/>
      <c r="D791" s="1"/>
      <c r="E791" s="1"/>
      <c r="F791" s="1"/>
      <c r="G791" s="1"/>
      <c r="H791" s="1"/>
      <c r="I791" s="61"/>
      <c r="J791" s="1"/>
      <c r="K791" s="1"/>
    </row>
    <row r="792" spans="1:11" ht="15.75" customHeight="1">
      <c r="A792" s="2"/>
      <c r="B792" s="1"/>
      <c r="C792" s="1"/>
      <c r="D792" s="1"/>
      <c r="E792" s="1"/>
      <c r="F792" s="1"/>
      <c r="G792" s="1"/>
      <c r="H792" s="1"/>
      <c r="I792" s="61"/>
      <c r="J792" s="1"/>
      <c r="K792" s="1"/>
    </row>
    <row r="793" spans="1:11" ht="15.75" customHeight="1">
      <c r="A793" s="2"/>
      <c r="B793" s="1"/>
      <c r="C793" s="1"/>
      <c r="D793" s="1"/>
      <c r="E793" s="1"/>
      <c r="F793" s="1"/>
      <c r="G793" s="1"/>
      <c r="H793" s="1"/>
      <c r="I793" s="61"/>
      <c r="J793" s="1"/>
      <c r="K793" s="1"/>
    </row>
    <row r="794" spans="1:11" ht="15.75" customHeight="1">
      <c r="A794" s="2"/>
      <c r="B794" s="1"/>
      <c r="C794" s="1"/>
      <c r="D794" s="1"/>
      <c r="E794" s="1"/>
      <c r="F794" s="1"/>
      <c r="G794" s="1"/>
      <c r="H794" s="1"/>
      <c r="I794" s="61"/>
      <c r="J794" s="1"/>
      <c r="K794" s="1"/>
    </row>
    <row r="795" spans="1:11" ht="15.75" customHeight="1">
      <c r="A795" s="2"/>
      <c r="B795" s="1"/>
      <c r="C795" s="1"/>
      <c r="D795" s="1"/>
      <c r="E795" s="1"/>
      <c r="F795" s="1"/>
      <c r="G795" s="1"/>
      <c r="H795" s="1"/>
      <c r="I795" s="61"/>
      <c r="J795" s="1"/>
      <c r="K795" s="1"/>
    </row>
    <row r="796" spans="1:11" ht="15.75" customHeight="1">
      <c r="A796" s="2"/>
      <c r="B796" s="1"/>
      <c r="C796" s="1"/>
      <c r="D796" s="1"/>
      <c r="E796" s="1"/>
      <c r="F796" s="1"/>
      <c r="G796" s="1"/>
      <c r="H796" s="1"/>
      <c r="I796" s="61"/>
      <c r="J796" s="1"/>
      <c r="K796" s="1"/>
    </row>
    <row r="797" spans="1:11" ht="15.75" customHeight="1">
      <c r="A797" s="2"/>
      <c r="B797" s="1"/>
      <c r="C797" s="1"/>
      <c r="D797" s="1"/>
      <c r="E797" s="1"/>
      <c r="F797" s="1"/>
      <c r="G797" s="1"/>
      <c r="H797" s="1"/>
      <c r="I797" s="61"/>
      <c r="J797" s="1"/>
      <c r="K797" s="1"/>
    </row>
    <row r="798" spans="1:11" ht="15.75" customHeight="1">
      <c r="A798" s="2"/>
      <c r="B798" s="1"/>
      <c r="C798" s="1"/>
      <c r="D798" s="1"/>
      <c r="E798" s="1"/>
      <c r="F798" s="1"/>
      <c r="G798" s="1"/>
      <c r="H798" s="1"/>
      <c r="I798" s="61"/>
      <c r="J798" s="1"/>
      <c r="K798" s="1"/>
    </row>
    <row r="799" spans="1:11" ht="15.75" customHeight="1">
      <c r="A799" s="2"/>
      <c r="B799" s="1"/>
      <c r="C799" s="1"/>
      <c r="D799" s="1"/>
      <c r="E799" s="1"/>
      <c r="F799" s="1"/>
      <c r="G799" s="1"/>
      <c r="H799" s="1"/>
      <c r="I799" s="61"/>
      <c r="J799" s="1"/>
      <c r="K799" s="1"/>
    </row>
    <row r="800" spans="1:11" ht="15.75" customHeight="1">
      <c r="A800" s="2"/>
      <c r="B800" s="1"/>
      <c r="C800" s="1"/>
      <c r="D800" s="1"/>
      <c r="E800" s="1"/>
      <c r="F800" s="1"/>
      <c r="G800" s="1"/>
      <c r="H800" s="1"/>
      <c r="I800" s="61"/>
      <c r="J800" s="1"/>
      <c r="K800" s="1"/>
    </row>
    <row r="801" spans="1:11" ht="15.75" customHeight="1">
      <c r="A801" s="2"/>
      <c r="B801" s="1"/>
      <c r="C801" s="1"/>
      <c r="D801" s="1"/>
      <c r="E801" s="1"/>
      <c r="F801" s="1"/>
      <c r="G801" s="1"/>
      <c r="H801" s="1"/>
      <c r="I801" s="61"/>
      <c r="J801" s="1"/>
      <c r="K801" s="1"/>
    </row>
    <row r="802" spans="1:11" ht="15.75" customHeight="1">
      <c r="A802" s="2"/>
      <c r="B802" s="1"/>
      <c r="C802" s="1"/>
      <c r="D802" s="1"/>
      <c r="E802" s="1"/>
      <c r="F802" s="1"/>
      <c r="G802" s="1"/>
      <c r="H802" s="1"/>
      <c r="I802" s="61"/>
      <c r="J802" s="1"/>
      <c r="K802" s="1"/>
    </row>
    <row r="803" spans="1:11" ht="15.75" customHeight="1">
      <c r="A803" s="2"/>
      <c r="B803" s="1"/>
      <c r="C803" s="1"/>
      <c r="D803" s="1"/>
      <c r="E803" s="1"/>
      <c r="F803" s="1"/>
      <c r="G803" s="1"/>
      <c r="H803" s="1"/>
      <c r="I803" s="61"/>
      <c r="J803" s="1"/>
      <c r="K803" s="1"/>
    </row>
    <row r="804" spans="1:11" ht="15.75" customHeight="1">
      <c r="A804" s="2"/>
      <c r="B804" s="1"/>
      <c r="C804" s="1"/>
      <c r="D804" s="1"/>
      <c r="E804" s="1"/>
      <c r="F804" s="1"/>
      <c r="G804" s="1"/>
      <c r="H804" s="1"/>
      <c r="I804" s="61"/>
      <c r="J804" s="1"/>
      <c r="K804" s="1"/>
    </row>
    <row r="805" spans="1:11" ht="15.75" customHeight="1">
      <c r="A805" s="2"/>
      <c r="B805" s="1"/>
      <c r="C805" s="1"/>
      <c r="D805" s="1"/>
      <c r="E805" s="1"/>
      <c r="F805" s="1"/>
      <c r="G805" s="1"/>
      <c r="H805" s="1"/>
      <c r="I805" s="61"/>
      <c r="J805" s="1"/>
      <c r="K805" s="1"/>
    </row>
    <row r="806" spans="1:11" ht="15.75" customHeight="1">
      <c r="A806" s="2"/>
      <c r="B806" s="1"/>
      <c r="C806" s="1"/>
      <c r="D806" s="1"/>
      <c r="E806" s="1"/>
      <c r="F806" s="1"/>
      <c r="G806" s="1"/>
      <c r="H806" s="1"/>
      <c r="I806" s="61"/>
      <c r="J806" s="1"/>
      <c r="K806" s="1"/>
    </row>
    <row r="807" spans="1:11" ht="15.75" customHeight="1">
      <c r="A807" s="2"/>
      <c r="B807" s="1"/>
      <c r="C807" s="1"/>
      <c r="D807" s="1"/>
      <c r="E807" s="1"/>
      <c r="F807" s="1"/>
      <c r="G807" s="1"/>
      <c r="H807" s="1"/>
      <c r="I807" s="61"/>
      <c r="J807" s="1"/>
      <c r="K807" s="1"/>
    </row>
    <row r="808" spans="1:11" ht="15.75" customHeight="1">
      <c r="A808" s="2"/>
      <c r="B808" s="1"/>
      <c r="C808" s="1"/>
      <c r="D808" s="1"/>
      <c r="E808" s="1"/>
      <c r="F808" s="1"/>
      <c r="G808" s="1"/>
      <c r="H808" s="1"/>
      <c r="I808" s="61"/>
      <c r="J808" s="1"/>
      <c r="K808" s="1"/>
    </row>
    <row r="809" spans="1:11" ht="15.75" customHeight="1">
      <c r="A809" s="2"/>
      <c r="B809" s="1"/>
      <c r="C809" s="1"/>
      <c r="D809" s="1"/>
      <c r="E809" s="1"/>
      <c r="F809" s="1"/>
      <c r="G809" s="1"/>
      <c r="H809" s="1"/>
      <c r="I809" s="61"/>
      <c r="J809" s="1"/>
      <c r="K809" s="1"/>
    </row>
    <row r="810" spans="1:11" ht="15.75" customHeight="1">
      <c r="A810" s="2"/>
      <c r="B810" s="1"/>
      <c r="C810" s="1"/>
      <c r="D810" s="1"/>
      <c r="E810" s="1"/>
      <c r="F810" s="1"/>
      <c r="G810" s="1"/>
      <c r="H810" s="1"/>
      <c r="I810" s="61"/>
      <c r="J810" s="1"/>
      <c r="K810" s="1"/>
    </row>
    <row r="811" spans="1:11" ht="15.75" customHeight="1">
      <c r="A811" s="2"/>
      <c r="B811" s="1"/>
      <c r="C811" s="1"/>
      <c r="D811" s="1"/>
      <c r="E811" s="1"/>
      <c r="F811" s="1"/>
      <c r="G811" s="1"/>
      <c r="H811" s="1"/>
      <c r="I811" s="61"/>
      <c r="J811" s="1"/>
      <c r="K811" s="1"/>
    </row>
    <row r="812" spans="1:11" ht="15.75" customHeight="1">
      <c r="A812" s="2"/>
      <c r="B812" s="1"/>
      <c r="C812" s="1"/>
      <c r="D812" s="1"/>
      <c r="E812" s="1"/>
      <c r="F812" s="1"/>
      <c r="G812" s="1"/>
      <c r="H812" s="1"/>
      <c r="I812" s="61"/>
      <c r="J812" s="1"/>
      <c r="K812" s="1"/>
    </row>
    <row r="813" spans="1:11" ht="15.75" customHeight="1">
      <c r="A813" s="2"/>
      <c r="B813" s="1"/>
      <c r="C813" s="1"/>
      <c r="D813" s="1"/>
      <c r="E813" s="1"/>
      <c r="F813" s="1"/>
      <c r="G813" s="1"/>
      <c r="H813" s="1"/>
      <c r="I813" s="61"/>
      <c r="J813" s="1"/>
      <c r="K813" s="1"/>
    </row>
    <row r="814" spans="1:11" ht="15.75" customHeight="1">
      <c r="A814" s="2"/>
      <c r="B814" s="1"/>
      <c r="C814" s="1"/>
      <c r="D814" s="1"/>
      <c r="E814" s="1"/>
      <c r="F814" s="1"/>
      <c r="G814" s="1"/>
      <c r="H814" s="1"/>
      <c r="I814" s="61"/>
      <c r="J814" s="1"/>
      <c r="K814" s="1"/>
    </row>
    <row r="815" spans="1:11" ht="15.75" customHeight="1">
      <c r="A815" s="2"/>
      <c r="B815" s="1"/>
      <c r="C815" s="1"/>
      <c r="D815" s="1"/>
      <c r="E815" s="1"/>
      <c r="F815" s="1"/>
      <c r="G815" s="1"/>
      <c r="H815" s="1"/>
      <c r="I815" s="61"/>
      <c r="J815" s="1"/>
      <c r="K815" s="1"/>
    </row>
    <row r="816" spans="1:11" ht="15.75" customHeight="1">
      <c r="A816" s="2"/>
      <c r="B816" s="1"/>
      <c r="C816" s="1"/>
      <c r="D816" s="1"/>
      <c r="E816" s="1"/>
      <c r="F816" s="1"/>
      <c r="G816" s="1"/>
      <c r="H816" s="1"/>
      <c r="I816" s="61"/>
      <c r="J816" s="1"/>
      <c r="K816" s="1"/>
    </row>
    <row r="817" spans="1:11" ht="15.75" customHeight="1">
      <c r="A817" s="2"/>
      <c r="B817" s="1"/>
      <c r="C817" s="1"/>
      <c r="D817" s="1"/>
      <c r="E817" s="1"/>
      <c r="F817" s="1"/>
      <c r="G817" s="1"/>
      <c r="H817" s="1"/>
      <c r="I817" s="61"/>
      <c r="J817" s="1"/>
      <c r="K817" s="1"/>
    </row>
    <row r="818" spans="1:11" ht="15.75" customHeight="1">
      <c r="A818" s="2"/>
      <c r="B818" s="1"/>
      <c r="C818" s="1"/>
      <c r="D818" s="1"/>
      <c r="E818" s="1"/>
      <c r="F818" s="1"/>
      <c r="G818" s="1"/>
      <c r="H818" s="1"/>
      <c r="I818" s="61"/>
      <c r="J818" s="1"/>
      <c r="K818" s="1"/>
    </row>
    <row r="819" spans="1:11" ht="15.75" customHeight="1">
      <c r="A819" s="2"/>
      <c r="B819" s="1"/>
      <c r="C819" s="1"/>
      <c r="D819" s="1"/>
      <c r="E819" s="1"/>
      <c r="F819" s="1"/>
      <c r="G819" s="1"/>
      <c r="H819" s="1"/>
      <c r="I819" s="61"/>
      <c r="J819" s="1"/>
      <c r="K819" s="1"/>
    </row>
    <row r="820" spans="1:11" ht="15.75" customHeight="1">
      <c r="A820" s="2"/>
      <c r="B820" s="1"/>
      <c r="C820" s="1"/>
      <c r="D820" s="1"/>
      <c r="E820" s="1"/>
      <c r="F820" s="1"/>
      <c r="G820" s="1"/>
      <c r="H820" s="1"/>
      <c r="I820" s="61"/>
      <c r="J820" s="1"/>
      <c r="K820" s="1"/>
    </row>
    <row r="821" spans="1:11" ht="15.75" customHeight="1">
      <c r="A821" s="2"/>
      <c r="B821" s="1"/>
      <c r="C821" s="1"/>
      <c r="D821" s="1"/>
      <c r="E821" s="1"/>
      <c r="F821" s="1"/>
      <c r="G821" s="1"/>
      <c r="H821" s="1"/>
      <c r="I821" s="61"/>
      <c r="J821" s="1"/>
      <c r="K821" s="1"/>
    </row>
    <row r="822" spans="1:11" ht="15.75" customHeight="1">
      <c r="A822" s="2"/>
      <c r="B822" s="1"/>
      <c r="C822" s="1"/>
      <c r="D822" s="1"/>
      <c r="E822" s="1"/>
      <c r="F822" s="1"/>
      <c r="G822" s="1"/>
      <c r="H822" s="1"/>
      <c r="I822" s="61"/>
      <c r="J822" s="1"/>
      <c r="K822" s="1"/>
    </row>
    <row r="823" spans="1:11" ht="15.75" customHeight="1">
      <c r="A823" s="2"/>
      <c r="B823" s="1"/>
      <c r="C823" s="1"/>
      <c r="D823" s="1"/>
      <c r="E823" s="1"/>
      <c r="F823" s="1"/>
      <c r="G823" s="1"/>
      <c r="H823" s="1"/>
      <c r="I823" s="61"/>
      <c r="J823" s="1"/>
      <c r="K823" s="1"/>
    </row>
    <row r="824" spans="1:11" ht="15.75" customHeight="1">
      <c r="A824" s="2"/>
      <c r="B824" s="1"/>
      <c r="C824" s="1"/>
      <c r="D824" s="1"/>
      <c r="E824" s="1"/>
      <c r="F824" s="1"/>
      <c r="G824" s="1"/>
      <c r="H824" s="1"/>
      <c r="I824" s="61"/>
      <c r="J824" s="1"/>
      <c r="K824" s="1"/>
    </row>
    <row r="825" spans="1:11" ht="15.75" customHeight="1">
      <c r="A825" s="2"/>
      <c r="B825" s="1"/>
      <c r="C825" s="1"/>
      <c r="D825" s="1"/>
      <c r="E825" s="1"/>
      <c r="F825" s="1"/>
      <c r="G825" s="1"/>
      <c r="H825" s="1"/>
      <c r="I825" s="61"/>
      <c r="J825" s="1"/>
      <c r="K825" s="1"/>
    </row>
    <row r="826" spans="1:11" ht="15.75" customHeight="1">
      <c r="A826" s="2"/>
      <c r="B826" s="1"/>
      <c r="C826" s="1"/>
      <c r="D826" s="1"/>
      <c r="E826" s="1"/>
      <c r="F826" s="1"/>
      <c r="G826" s="1"/>
      <c r="H826" s="1"/>
      <c r="I826" s="61"/>
      <c r="J826" s="1"/>
      <c r="K826" s="1"/>
    </row>
    <row r="827" spans="1:11" ht="15.75" customHeight="1">
      <c r="A827" s="2"/>
      <c r="B827" s="1"/>
      <c r="C827" s="1"/>
      <c r="D827" s="1"/>
      <c r="E827" s="1"/>
      <c r="F827" s="1"/>
      <c r="G827" s="1"/>
      <c r="H827" s="1"/>
      <c r="I827" s="61"/>
      <c r="J827" s="1"/>
      <c r="K827" s="1"/>
    </row>
    <row r="828" spans="1:11" ht="15.75" customHeight="1">
      <c r="A828" s="2"/>
      <c r="B828" s="1"/>
      <c r="C828" s="1"/>
      <c r="D828" s="1"/>
      <c r="E828" s="1"/>
      <c r="F828" s="1"/>
      <c r="G828" s="1"/>
      <c r="H828" s="1"/>
      <c r="I828" s="61"/>
      <c r="J828" s="1"/>
      <c r="K828" s="1"/>
    </row>
    <row r="829" spans="1:11" ht="15.75" customHeight="1">
      <c r="A829" s="2"/>
      <c r="B829" s="1"/>
      <c r="C829" s="1"/>
      <c r="D829" s="1"/>
      <c r="E829" s="1"/>
      <c r="F829" s="1"/>
      <c r="G829" s="1"/>
      <c r="H829" s="1"/>
      <c r="I829" s="61"/>
      <c r="J829" s="1"/>
      <c r="K829" s="1"/>
    </row>
    <row r="830" spans="1:11" ht="15.75" customHeight="1">
      <c r="A830" s="2"/>
      <c r="B830" s="1"/>
      <c r="C830" s="1"/>
      <c r="D830" s="1"/>
      <c r="E830" s="1"/>
      <c r="F830" s="1"/>
      <c r="G830" s="1"/>
      <c r="H830" s="1"/>
      <c r="I830" s="61"/>
      <c r="J830" s="1"/>
      <c r="K830" s="1"/>
    </row>
    <row r="831" spans="1:11" ht="15.75" customHeight="1">
      <c r="A831" s="2"/>
      <c r="B831" s="1"/>
      <c r="C831" s="1"/>
      <c r="D831" s="1"/>
      <c r="E831" s="1"/>
      <c r="F831" s="1"/>
      <c r="G831" s="1"/>
      <c r="H831" s="1"/>
      <c r="I831" s="61"/>
      <c r="J831" s="1"/>
      <c r="K831" s="1"/>
    </row>
    <row r="832" spans="1:11" ht="15.75" customHeight="1">
      <c r="A832" s="2"/>
      <c r="B832" s="1"/>
      <c r="C832" s="1"/>
      <c r="D832" s="1"/>
      <c r="E832" s="1"/>
      <c r="F832" s="1"/>
      <c r="G832" s="1"/>
      <c r="H832" s="1"/>
      <c r="I832" s="61"/>
      <c r="J832" s="1"/>
      <c r="K832" s="1"/>
    </row>
    <row r="833" spans="1:11" ht="15.75" customHeight="1">
      <c r="A833" s="2"/>
      <c r="B833" s="1"/>
      <c r="C833" s="1"/>
      <c r="D833" s="1"/>
      <c r="E833" s="1"/>
      <c r="F833" s="1"/>
      <c r="G833" s="1"/>
      <c r="H833" s="1"/>
      <c r="I833" s="61"/>
      <c r="J833" s="1"/>
      <c r="K833" s="1"/>
    </row>
    <row r="834" spans="1:11" ht="15.75" customHeight="1">
      <c r="A834" s="2"/>
      <c r="B834" s="1"/>
      <c r="C834" s="1"/>
      <c r="D834" s="1"/>
      <c r="E834" s="1"/>
      <c r="F834" s="1"/>
      <c r="G834" s="1"/>
      <c r="H834" s="1"/>
      <c r="I834" s="61"/>
      <c r="J834" s="1"/>
      <c r="K834" s="1"/>
    </row>
    <row r="835" spans="1:11" ht="15.75" customHeight="1">
      <c r="A835" s="2"/>
      <c r="B835" s="1"/>
      <c r="C835" s="1"/>
      <c r="D835" s="1"/>
      <c r="E835" s="1"/>
      <c r="F835" s="1"/>
      <c r="G835" s="1"/>
      <c r="H835" s="1"/>
      <c r="I835" s="61"/>
      <c r="J835" s="1"/>
      <c r="K835" s="1"/>
    </row>
    <row r="836" spans="1:11" ht="15.75" customHeight="1">
      <c r="A836" s="2"/>
      <c r="B836" s="1"/>
      <c r="C836" s="1"/>
      <c r="D836" s="1"/>
      <c r="E836" s="1"/>
      <c r="F836" s="1"/>
      <c r="G836" s="1"/>
      <c r="H836" s="1"/>
      <c r="I836" s="61"/>
      <c r="J836" s="1"/>
      <c r="K836" s="1"/>
    </row>
    <row r="837" spans="1:11" ht="15.75" customHeight="1">
      <c r="A837" s="2"/>
      <c r="B837" s="1"/>
      <c r="C837" s="1"/>
      <c r="D837" s="1"/>
      <c r="E837" s="1"/>
      <c r="F837" s="1"/>
      <c r="G837" s="1"/>
      <c r="H837" s="1"/>
      <c r="I837" s="61"/>
      <c r="J837" s="1"/>
      <c r="K837" s="1"/>
    </row>
    <row r="838" spans="1:11" ht="15.75" customHeight="1">
      <c r="A838" s="2"/>
      <c r="B838" s="1"/>
      <c r="C838" s="1"/>
      <c r="D838" s="1"/>
      <c r="E838" s="1"/>
      <c r="F838" s="1"/>
      <c r="G838" s="1"/>
      <c r="H838" s="1"/>
      <c r="I838" s="61"/>
      <c r="J838" s="1"/>
      <c r="K838" s="1"/>
    </row>
    <row r="839" spans="1:11" ht="15.75" customHeight="1">
      <c r="A839" s="2"/>
      <c r="B839" s="1"/>
      <c r="C839" s="1"/>
      <c r="D839" s="1"/>
      <c r="E839" s="1"/>
      <c r="F839" s="1"/>
      <c r="G839" s="1"/>
      <c r="H839" s="1"/>
      <c r="I839" s="61"/>
      <c r="J839" s="1"/>
      <c r="K839" s="1"/>
    </row>
    <row r="840" spans="1:11" ht="15.75" customHeight="1">
      <c r="A840" s="2"/>
      <c r="B840" s="1"/>
      <c r="C840" s="1"/>
      <c r="D840" s="1"/>
      <c r="E840" s="1"/>
      <c r="F840" s="1"/>
      <c r="G840" s="1"/>
      <c r="H840" s="1"/>
      <c r="I840" s="61"/>
      <c r="J840" s="1"/>
      <c r="K840" s="1"/>
    </row>
    <row r="841" spans="1:11" ht="15.75" customHeight="1">
      <c r="A841" s="2"/>
      <c r="B841" s="1"/>
      <c r="C841" s="1"/>
      <c r="D841" s="1"/>
      <c r="E841" s="1"/>
      <c r="F841" s="1"/>
      <c r="G841" s="1"/>
      <c r="H841" s="1"/>
      <c r="I841" s="61"/>
      <c r="J841" s="1"/>
      <c r="K841" s="1"/>
    </row>
    <row r="842" spans="1:11" ht="15.75" customHeight="1">
      <c r="A842" s="2"/>
      <c r="B842" s="1"/>
      <c r="C842" s="1"/>
      <c r="D842" s="1"/>
      <c r="E842" s="1"/>
      <c r="F842" s="1"/>
      <c r="G842" s="1"/>
      <c r="H842" s="1"/>
      <c r="I842" s="61"/>
      <c r="J842" s="1"/>
      <c r="K842" s="1"/>
    </row>
    <row r="843" spans="1:11" ht="15.75" customHeight="1">
      <c r="A843" s="2"/>
      <c r="B843" s="1"/>
      <c r="C843" s="1"/>
      <c r="D843" s="1"/>
      <c r="E843" s="1"/>
      <c r="F843" s="1"/>
      <c r="G843" s="1"/>
      <c r="H843" s="1"/>
      <c r="I843" s="61"/>
      <c r="J843" s="1"/>
      <c r="K843" s="1"/>
    </row>
    <row r="844" spans="1:11" ht="15.75" customHeight="1">
      <c r="A844" s="2"/>
      <c r="B844" s="1"/>
      <c r="C844" s="1"/>
      <c r="D844" s="1"/>
      <c r="E844" s="1"/>
      <c r="F844" s="1"/>
      <c r="G844" s="1"/>
      <c r="H844" s="1"/>
      <c r="I844" s="61"/>
      <c r="J844" s="1"/>
      <c r="K844" s="1"/>
    </row>
    <row r="845" spans="1:11" ht="15.75" customHeight="1">
      <c r="A845" s="2"/>
      <c r="B845" s="1"/>
      <c r="C845" s="1"/>
      <c r="D845" s="1"/>
      <c r="E845" s="1"/>
      <c r="F845" s="1"/>
      <c r="G845" s="1"/>
      <c r="H845" s="1"/>
      <c r="I845" s="61"/>
      <c r="J845" s="1"/>
      <c r="K845" s="1"/>
    </row>
    <row r="846" spans="1:11" ht="15.75" customHeight="1">
      <c r="A846" s="2"/>
      <c r="B846" s="1"/>
      <c r="C846" s="1"/>
      <c r="D846" s="1"/>
      <c r="E846" s="1"/>
      <c r="F846" s="1"/>
      <c r="G846" s="1"/>
      <c r="H846" s="1"/>
      <c r="I846" s="61"/>
      <c r="J846" s="1"/>
      <c r="K846" s="1"/>
    </row>
    <row r="847" spans="1:11" ht="15.75" customHeight="1">
      <c r="A847" s="2"/>
      <c r="B847" s="1"/>
      <c r="C847" s="1"/>
      <c r="D847" s="1"/>
      <c r="E847" s="1"/>
      <c r="F847" s="1"/>
      <c r="G847" s="1"/>
      <c r="H847" s="1"/>
      <c r="I847" s="61"/>
      <c r="J847" s="1"/>
      <c r="K847" s="1"/>
    </row>
    <row r="848" spans="1:11" ht="15.75" customHeight="1">
      <c r="A848" s="2"/>
      <c r="B848" s="1"/>
      <c r="C848" s="1"/>
      <c r="D848" s="1"/>
      <c r="E848" s="1"/>
      <c r="F848" s="1"/>
      <c r="G848" s="1"/>
      <c r="H848" s="1"/>
      <c r="I848" s="61"/>
      <c r="J848" s="1"/>
      <c r="K848" s="1"/>
    </row>
    <row r="849" spans="1:11" ht="15.75" customHeight="1">
      <c r="A849" s="2"/>
      <c r="B849" s="1"/>
      <c r="C849" s="1"/>
      <c r="D849" s="1"/>
      <c r="E849" s="1"/>
      <c r="F849" s="1"/>
      <c r="G849" s="1"/>
      <c r="H849" s="1"/>
      <c r="I849" s="61"/>
      <c r="J849" s="1"/>
      <c r="K849" s="1"/>
    </row>
    <row r="850" spans="1:11" ht="15.75" customHeight="1">
      <c r="A850" s="2"/>
      <c r="B850" s="1"/>
      <c r="C850" s="1"/>
      <c r="D850" s="1"/>
      <c r="E850" s="1"/>
      <c r="F850" s="1"/>
      <c r="G850" s="1"/>
      <c r="H850" s="1"/>
      <c r="I850" s="61"/>
      <c r="J850" s="1"/>
      <c r="K850" s="1"/>
    </row>
    <row r="851" spans="1:11" ht="15.75" customHeight="1">
      <c r="A851" s="2"/>
      <c r="B851" s="1"/>
      <c r="C851" s="1"/>
      <c r="D851" s="1"/>
      <c r="E851" s="1"/>
      <c r="F851" s="1"/>
      <c r="G851" s="1"/>
      <c r="H851" s="1"/>
      <c r="I851" s="61"/>
      <c r="J851" s="1"/>
      <c r="K851" s="1"/>
    </row>
    <row r="852" spans="1:11" ht="15.75" customHeight="1">
      <c r="A852" s="2"/>
      <c r="B852" s="1"/>
      <c r="C852" s="1"/>
      <c r="D852" s="1"/>
      <c r="E852" s="1"/>
      <c r="F852" s="1"/>
      <c r="G852" s="1"/>
      <c r="H852" s="1"/>
      <c r="I852" s="61"/>
      <c r="J852" s="1"/>
      <c r="K852" s="1"/>
    </row>
    <row r="853" spans="1:11" ht="15.75" customHeight="1">
      <c r="A853" s="2"/>
      <c r="B853" s="1"/>
      <c r="C853" s="1"/>
      <c r="D853" s="1"/>
      <c r="E853" s="1"/>
      <c r="F853" s="1"/>
      <c r="G853" s="1"/>
      <c r="H853" s="1"/>
      <c r="I853" s="61"/>
      <c r="J853" s="1"/>
      <c r="K853" s="1"/>
    </row>
    <row r="854" spans="1:11" ht="15.75" customHeight="1">
      <c r="A854" s="2"/>
      <c r="B854" s="1"/>
      <c r="C854" s="1"/>
      <c r="D854" s="1"/>
      <c r="E854" s="1"/>
      <c r="F854" s="1"/>
      <c r="G854" s="1"/>
      <c r="H854" s="1"/>
      <c r="I854" s="61"/>
      <c r="J854" s="1"/>
      <c r="K854" s="1"/>
    </row>
    <row r="855" spans="1:11" ht="15.75" customHeight="1">
      <c r="A855" s="2"/>
      <c r="B855" s="1"/>
      <c r="C855" s="1"/>
      <c r="D855" s="1"/>
      <c r="E855" s="1"/>
      <c r="F855" s="1"/>
      <c r="G855" s="1"/>
      <c r="H855" s="1"/>
      <c r="I855" s="61"/>
      <c r="J855" s="1"/>
      <c r="K855" s="1"/>
    </row>
    <row r="856" spans="1:11" ht="15.75" customHeight="1">
      <c r="A856" s="2"/>
      <c r="B856" s="1"/>
      <c r="C856" s="1"/>
      <c r="D856" s="1"/>
      <c r="E856" s="1"/>
      <c r="F856" s="1"/>
      <c r="G856" s="1"/>
      <c r="H856" s="1"/>
      <c r="I856" s="61"/>
      <c r="J856" s="1"/>
      <c r="K856" s="1"/>
    </row>
    <row r="857" spans="1:11" ht="15.75" customHeight="1">
      <c r="A857" s="2"/>
      <c r="B857" s="1"/>
      <c r="C857" s="1"/>
      <c r="D857" s="1"/>
      <c r="E857" s="1"/>
      <c r="F857" s="1"/>
      <c r="G857" s="1"/>
      <c r="H857" s="1"/>
      <c r="I857" s="61"/>
      <c r="J857" s="1"/>
      <c r="K857" s="1"/>
    </row>
    <row r="858" spans="1:11" ht="15.75" customHeight="1">
      <c r="A858" s="2"/>
      <c r="B858" s="1"/>
      <c r="C858" s="1"/>
      <c r="D858" s="1"/>
      <c r="E858" s="1"/>
      <c r="F858" s="1"/>
      <c r="G858" s="1"/>
      <c r="H858" s="1"/>
      <c r="I858" s="61"/>
      <c r="J858" s="1"/>
      <c r="K858" s="1"/>
    </row>
    <row r="859" spans="1:11" ht="15.75" customHeight="1">
      <c r="A859" s="2"/>
      <c r="B859" s="1"/>
      <c r="C859" s="1"/>
      <c r="D859" s="1"/>
      <c r="E859" s="1"/>
      <c r="F859" s="1"/>
      <c r="G859" s="1"/>
      <c r="H859" s="1"/>
      <c r="I859" s="61"/>
      <c r="J859" s="1"/>
      <c r="K859" s="1"/>
    </row>
    <row r="860" spans="1:11" ht="15.75" customHeight="1">
      <c r="A860" s="2"/>
      <c r="B860" s="1"/>
      <c r="C860" s="1"/>
      <c r="D860" s="1"/>
      <c r="E860" s="1"/>
      <c r="F860" s="1"/>
      <c r="G860" s="1"/>
      <c r="H860" s="1"/>
      <c r="I860" s="61"/>
      <c r="J860" s="1"/>
      <c r="K860" s="1"/>
    </row>
    <row r="861" spans="1:11" ht="15.75" customHeight="1">
      <c r="A861" s="2"/>
      <c r="B861" s="1"/>
      <c r="C861" s="1"/>
      <c r="D861" s="1"/>
      <c r="E861" s="1"/>
      <c r="F861" s="1"/>
      <c r="G861" s="1"/>
      <c r="H861" s="1"/>
      <c r="I861" s="61"/>
      <c r="J861" s="1"/>
      <c r="K861" s="1"/>
    </row>
    <row r="862" spans="1:11" ht="15.75" customHeight="1">
      <c r="A862" s="2"/>
      <c r="B862" s="1"/>
      <c r="C862" s="1"/>
      <c r="D862" s="1"/>
      <c r="E862" s="1"/>
      <c r="F862" s="1"/>
      <c r="G862" s="1"/>
      <c r="H862" s="1"/>
      <c r="I862" s="61"/>
      <c r="J862" s="1"/>
      <c r="K862" s="1"/>
    </row>
    <row r="863" spans="1:11" ht="15.75" customHeight="1">
      <c r="A863" s="2"/>
      <c r="B863" s="1"/>
      <c r="C863" s="1"/>
      <c r="D863" s="1"/>
      <c r="E863" s="1"/>
      <c r="F863" s="1"/>
      <c r="G863" s="1"/>
      <c r="H863" s="1"/>
      <c r="I863" s="61"/>
      <c r="J863" s="1"/>
      <c r="K863" s="1"/>
    </row>
    <row r="864" spans="1:11" ht="15.75" customHeight="1">
      <c r="A864" s="2"/>
      <c r="B864" s="1"/>
      <c r="C864" s="1"/>
      <c r="D864" s="1"/>
      <c r="E864" s="1"/>
      <c r="F864" s="1"/>
      <c r="G864" s="1"/>
      <c r="H864" s="1"/>
      <c r="I864" s="61"/>
      <c r="J864" s="1"/>
      <c r="K864" s="1"/>
    </row>
    <row r="865" spans="1:11" ht="15.75" customHeight="1">
      <c r="A865" s="2"/>
      <c r="B865" s="1"/>
      <c r="C865" s="1"/>
      <c r="D865" s="1"/>
      <c r="E865" s="1"/>
      <c r="F865" s="1"/>
      <c r="G865" s="1"/>
      <c r="H865" s="1"/>
      <c r="I865" s="61"/>
      <c r="J865" s="1"/>
      <c r="K865" s="1"/>
    </row>
    <row r="866" spans="1:11" ht="15.75" customHeight="1">
      <c r="A866" s="2"/>
      <c r="B866" s="1"/>
      <c r="C866" s="1"/>
      <c r="D866" s="1"/>
      <c r="E866" s="1"/>
      <c r="F866" s="1"/>
      <c r="G866" s="1"/>
      <c r="H866" s="1"/>
      <c r="I866" s="61"/>
      <c r="J866" s="1"/>
      <c r="K866" s="1"/>
    </row>
    <row r="867" spans="1:11" ht="15.75" customHeight="1">
      <c r="A867" s="2"/>
      <c r="B867" s="1"/>
      <c r="C867" s="1"/>
      <c r="D867" s="1"/>
      <c r="E867" s="1"/>
      <c r="F867" s="1"/>
      <c r="G867" s="1"/>
      <c r="H867" s="1"/>
      <c r="I867" s="61"/>
      <c r="J867" s="1"/>
      <c r="K867" s="1"/>
    </row>
    <row r="868" spans="1:11" ht="15.75" customHeight="1">
      <c r="A868" s="2"/>
      <c r="B868" s="1"/>
      <c r="C868" s="1"/>
      <c r="D868" s="1"/>
      <c r="E868" s="1"/>
      <c r="F868" s="1"/>
      <c r="G868" s="1"/>
      <c r="H868" s="1"/>
      <c r="I868" s="61"/>
      <c r="J868" s="1"/>
      <c r="K868" s="1"/>
    </row>
    <row r="869" spans="1:11" ht="15.75" customHeight="1">
      <c r="A869" s="2"/>
      <c r="B869" s="1"/>
      <c r="C869" s="1"/>
      <c r="D869" s="1"/>
      <c r="E869" s="1"/>
      <c r="F869" s="1"/>
      <c r="G869" s="1"/>
      <c r="H869" s="1"/>
      <c r="I869" s="61"/>
      <c r="J869" s="1"/>
      <c r="K869" s="1"/>
    </row>
    <row r="870" spans="1:11" ht="15.75" customHeight="1">
      <c r="A870" s="2"/>
      <c r="B870" s="1"/>
      <c r="C870" s="1"/>
      <c r="D870" s="1"/>
      <c r="E870" s="1"/>
      <c r="F870" s="1"/>
      <c r="G870" s="1"/>
      <c r="H870" s="1"/>
      <c r="I870" s="61"/>
      <c r="J870" s="1"/>
      <c r="K870" s="1"/>
    </row>
    <row r="871" spans="1:11" ht="15.75" customHeight="1">
      <c r="A871" s="2"/>
      <c r="B871" s="1"/>
      <c r="C871" s="1"/>
      <c r="D871" s="1"/>
      <c r="E871" s="1"/>
      <c r="F871" s="1"/>
      <c r="G871" s="1"/>
      <c r="H871" s="1"/>
      <c r="I871" s="61"/>
      <c r="J871" s="1"/>
      <c r="K871" s="1"/>
    </row>
    <row r="872" spans="1:11" ht="15.75" customHeight="1">
      <c r="A872" s="2"/>
      <c r="B872" s="1"/>
      <c r="C872" s="1"/>
      <c r="D872" s="1"/>
      <c r="E872" s="1"/>
      <c r="F872" s="1"/>
      <c r="G872" s="1"/>
      <c r="H872" s="1"/>
      <c r="I872" s="61"/>
      <c r="J872" s="1"/>
      <c r="K872" s="1"/>
    </row>
    <row r="873" spans="1:11" ht="15.75" customHeight="1">
      <c r="A873" s="2"/>
      <c r="B873" s="1"/>
      <c r="C873" s="1"/>
      <c r="D873" s="1"/>
      <c r="E873" s="1"/>
      <c r="F873" s="1"/>
      <c r="G873" s="1"/>
      <c r="H873" s="1"/>
      <c r="I873" s="61"/>
      <c r="J873" s="1"/>
      <c r="K873" s="1"/>
    </row>
    <row r="874" spans="1:11" ht="15.75" customHeight="1">
      <c r="A874" s="2"/>
      <c r="B874" s="1"/>
      <c r="C874" s="1"/>
      <c r="D874" s="1"/>
      <c r="E874" s="1"/>
      <c r="F874" s="1"/>
      <c r="G874" s="1"/>
      <c r="H874" s="1"/>
      <c r="I874" s="61"/>
      <c r="J874" s="1"/>
      <c r="K874" s="1"/>
    </row>
    <row r="875" spans="1:11" ht="15.75" customHeight="1">
      <c r="A875" s="2"/>
      <c r="B875" s="1"/>
      <c r="C875" s="1"/>
      <c r="D875" s="1"/>
      <c r="E875" s="1"/>
      <c r="F875" s="1"/>
      <c r="G875" s="1"/>
      <c r="H875" s="1"/>
      <c r="I875" s="61"/>
      <c r="J875" s="1"/>
      <c r="K875" s="1"/>
    </row>
    <row r="876" spans="1:11" ht="15.75" customHeight="1">
      <c r="A876" s="2"/>
      <c r="B876" s="1"/>
      <c r="C876" s="1"/>
      <c r="D876" s="1"/>
      <c r="E876" s="1"/>
      <c r="F876" s="1"/>
      <c r="G876" s="1"/>
      <c r="H876" s="1"/>
      <c r="I876" s="61"/>
      <c r="J876" s="1"/>
      <c r="K876" s="1"/>
    </row>
    <row r="877" spans="1:11" ht="15.75" customHeight="1">
      <c r="A877" s="2"/>
      <c r="B877" s="1"/>
      <c r="C877" s="1"/>
      <c r="D877" s="1"/>
      <c r="E877" s="1"/>
      <c r="F877" s="1"/>
      <c r="G877" s="1"/>
      <c r="H877" s="1"/>
      <c r="I877" s="61"/>
      <c r="J877" s="1"/>
      <c r="K877" s="1"/>
    </row>
    <row r="878" spans="1:11" ht="15.75" customHeight="1">
      <c r="A878" s="2"/>
      <c r="B878" s="1"/>
      <c r="C878" s="1"/>
      <c r="D878" s="1"/>
      <c r="E878" s="1"/>
      <c r="F878" s="1"/>
      <c r="G878" s="1"/>
      <c r="H878" s="1"/>
      <c r="I878" s="61"/>
      <c r="J878" s="1"/>
      <c r="K878" s="1"/>
    </row>
    <row r="879" spans="1:11" ht="15.75" customHeight="1">
      <c r="A879" s="2"/>
      <c r="B879" s="1"/>
      <c r="C879" s="1"/>
      <c r="D879" s="1"/>
      <c r="E879" s="1"/>
      <c r="F879" s="1"/>
      <c r="G879" s="1"/>
      <c r="H879" s="1"/>
      <c r="I879" s="61"/>
      <c r="J879" s="1"/>
      <c r="K879" s="1"/>
    </row>
    <row r="880" spans="1:11" ht="15.75" customHeight="1">
      <c r="A880" s="2"/>
      <c r="B880" s="1"/>
      <c r="C880" s="1"/>
      <c r="D880" s="1"/>
      <c r="E880" s="1"/>
      <c r="F880" s="1"/>
      <c r="G880" s="1"/>
      <c r="H880" s="1"/>
      <c r="I880" s="61"/>
      <c r="J880" s="1"/>
      <c r="K880" s="1"/>
    </row>
    <row r="881" spans="1:11" ht="15.75" customHeight="1">
      <c r="A881" s="2"/>
      <c r="B881" s="1"/>
      <c r="C881" s="1"/>
      <c r="D881" s="1"/>
      <c r="E881" s="1"/>
      <c r="F881" s="1"/>
      <c r="G881" s="1"/>
      <c r="H881" s="1"/>
      <c r="I881" s="61"/>
      <c r="J881" s="1"/>
      <c r="K881" s="1"/>
    </row>
    <row r="882" spans="1:11" ht="15.75" customHeight="1">
      <c r="A882" s="2"/>
      <c r="B882" s="1"/>
      <c r="C882" s="1"/>
      <c r="D882" s="1"/>
      <c r="E882" s="1"/>
      <c r="F882" s="1"/>
      <c r="G882" s="1"/>
      <c r="H882" s="1"/>
      <c r="I882" s="61"/>
      <c r="J882" s="1"/>
      <c r="K882" s="1"/>
    </row>
    <row r="883" spans="1:11" ht="15.75" customHeight="1">
      <c r="A883" s="2"/>
      <c r="B883" s="1"/>
      <c r="C883" s="1"/>
      <c r="D883" s="1"/>
      <c r="E883" s="1"/>
      <c r="F883" s="1"/>
      <c r="G883" s="1"/>
      <c r="H883" s="1"/>
      <c r="I883" s="61"/>
      <c r="J883" s="1"/>
      <c r="K883" s="1"/>
    </row>
    <row r="884" spans="1:11" ht="15.75" customHeight="1">
      <c r="A884" s="2"/>
      <c r="B884" s="1"/>
      <c r="C884" s="1"/>
      <c r="D884" s="1"/>
      <c r="E884" s="1"/>
      <c r="F884" s="1"/>
      <c r="G884" s="1"/>
      <c r="H884" s="1"/>
      <c r="I884" s="61"/>
      <c r="J884" s="1"/>
      <c r="K884" s="1"/>
    </row>
    <row r="885" spans="1:11" ht="15.75" customHeight="1">
      <c r="A885" s="2"/>
      <c r="B885" s="1"/>
      <c r="C885" s="1"/>
      <c r="D885" s="1"/>
      <c r="E885" s="1"/>
      <c r="F885" s="1"/>
      <c r="G885" s="1"/>
      <c r="H885" s="1"/>
      <c r="I885" s="61"/>
      <c r="J885" s="1"/>
      <c r="K885" s="1"/>
    </row>
    <row r="886" spans="1:11" ht="15.75" customHeight="1">
      <c r="A886" s="2"/>
      <c r="B886" s="1"/>
      <c r="C886" s="1"/>
      <c r="D886" s="1"/>
      <c r="E886" s="1"/>
      <c r="F886" s="1"/>
      <c r="G886" s="1"/>
      <c r="H886" s="1"/>
      <c r="I886" s="61"/>
      <c r="J886" s="1"/>
      <c r="K886" s="1"/>
    </row>
    <row r="887" spans="1:11" ht="15.75" customHeight="1">
      <c r="A887" s="2"/>
      <c r="B887" s="1"/>
      <c r="C887" s="1"/>
      <c r="D887" s="1"/>
      <c r="E887" s="1"/>
      <c r="F887" s="1"/>
      <c r="G887" s="1"/>
      <c r="H887" s="1"/>
      <c r="I887" s="61"/>
      <c r="J887" s="1"/>
      <c r="K887" s="1"/>
    </row>
    <row r="888" spans="1:11" ht="15.75" customHeight="1">
      <c r="A888" s="2"/>
      <c r="B888" s="1"/>
      <c r="C888" s="1"/>
      <c r="D888" s="1"/>
      <c r="E888" s="1"/>
      <c r="F888" s="1"/>
      <c r="G888" s="1"/>
      <c r="H888" s="1"/>
      <c r="I888" s="61"/>
      <c r="J888" s="1"/>
      <c r="K888" s="1"/>
    </row>
    <row r="889" spans="1:11" ht="15.75" customHeight="1">
      <c r="A889" s="2"/>
      <c r="B889" s="1"/>
      <c r="C889" s="1"/>
      <c r="D889" s="1"/>
      <c r="E889" s="1"/>
      <c r="F889" s="1"/>
      <c r="G889" s="1"/>
      <c r="H889" s="1"/>
      <c r="I889" s="61"/>
      <c r="J889" s="1"/>
      <c r="K889" s="1"/>
    </row>
    <row r="890" spans="1:11" ht="15.75" customHeight="1">
      <c r="A890" s="2"/>
      <c r="B890" s="1"/>
      <c r="C890" s="1"/>
      <c r="D890" s="1"/>
      <c r="E890" s="1"/>
      <c r="F890" s="1"/>
      <c r="G890" s="1"/>
      <c r="H890" s="1"/>
      <c r="I890" s="61"/>
      <c r="J890" s="1"/>
      <c r="K890" s="1"/>
    </row>
    <row r="891" spans="1:11" ht="15.75" customHeight="1">
      <c r="A891" s="2"/>
      <c r="B891" s="1"/>
      <c r="C891" s="1"/>
      <c r="D891" s="1"/>
      <c r="E891" s="1"/>
      <c r="F891" s="1"/>
      <c r="G891" s="1"/>
      <c r="H891" s="1"/>
      <c r="I891" s="61"/>
      <c r="J891" s="1"/>
      <c r="K891" s="1"/>
    </row>
    <row r="892" spans="1:11" ht="15.75" customHeight="1">
      <c r="A892" s="2"/>
      <c r="B892" s="1"/>
      <c r="C892" s="1"/>
      <c r="D892" s="1"/>
      <c r="E892" s="1"/>
      <c r="F892" s="1"/>
      <c r="G892" s="1"/>
      <c r="H892" s="1"/>
      <c r="I892" s="61"/>
      <c r="J892" s="1"/>
      <c r="K892" s="1"/>
    </row>
    <row r="893" spans="1:11" ht="15.75" customHeight="1">
      <c r="A893" s="2"/>
      <c r="B893" s="1"/>
      <c r="C893" s="1"/>
      <c r="D893" s="1"/>
      <c r="E893" s="1"/>
      <c r="F893" s="1"/>
      <c r="G893" s="1"/>
      <c r="H893" s="1"/>
      <c r="I893" s="61"/>
      <c r="J893" s="1"/>
      <c r="K893" s="1"/>
    </row>
    <row r="894" spans="1:11" ht="15.75" customHeight="1">
      <c r="A894" s="2"/>
      <c r="B894" s="1"/>
      <c r="C894" s="1"/>
      <c r="D894" s="1"/>
      <c r="E894" s="1"/>
      <c r="F894" s="1"/>
      <c r="G894" s="1"/>
      <c r="H894" s="1"/>
      <c r="I894" s="61"/>
      <c r="J894" s="1"/>
      <c r="K894" s="1"/>
    </row>
    <row r="895" spans="1:11" ht="15.75" customHeight="1">
      <c r="A895" s="2"/>
      <c r="B895" s="1"/>
      <c r="C895" s="1"/>
      <c r="D895" s="1"/>
      <c r="E895" s="1"/>
      <c r="F895" s="1"/>
      <c r="G895" s="1"/>
      <c r="H895" s="1"/>
      <c r="I895" s="61"/>
      <c r="J895" s="1"/>
      <c r="K895" s="1"/>
    </row>
    <row r="896" spans="1:11" ht="15.75" customHeight="1">
      <c r="A896" s="2"/>
      <c r="B896" s="1"/>
      <c r="C896" s="1"/>
      <c r="D896" s="1"/>
      <c r="E896" s="1"/>
      <c r="F896" s="1"/>
      <c r="G896" s="1"/>
      <c r="H896" s="1"/>
      <c r="I896" s="61"/>
      <c r="J896" s="1"/>
      <c r="K896" s="1"/>
    </row>
    <row r="897" spans="1:11" ht="15.75" customHeight="1">
      <c r="A897" s="2"/>
      <c r="B897" s="1"/>
      <c r="C897" s="1"/>
      <c r="D897" s="1"/>
      <c r="E897" s="1"/>
      <c r="F897" s="1"/>
      <c r="G897" s="1"/>
      <c r="H897" s="1"/>
      <c r="I897" s="61"/>
      <c r="J897" s="1"/>
      <c r="K897" s="1"/>
    </row>
    <row r="898" spans="1:11" ht="15.75" customHeight="1">
      <c r="A898" s="2"/>
      <c r="B898" s="1"/>
      <c r="C898" s="1"/>
      <c r="D898" s="1"/>
      <c r="E898" s="1"/>
      <c r="F898" s="1"/>
      <c r="G898" s="1"/>
      <c r="H898" s="1"/>
      <c r="I898" s="61"/>
      <c r="J898" s="1"/>
      <c r="K898" s="1"/>
    </row>
    <row r="899" spans="1:11" ht="15.75" customHeight="1">
      <c r="A899" s="2"/>
      <c r="B899" s="1"/>
      <c r="C899" s="1"/>
      <c r="D899" s="1"/>
      <c r="E899" s="1"/>
      <c r="F899" s="1"/>
      <c r="G899" s="1"/>
      <c r="H899" s="1"/>
      <c r="I899" s="61"/>
      <c r="J899" s="1"/>
      <c r="K899" s="1"/>
    </row>
    <row r="900" spans="1:11" ht="15.75" customHeight="1">
      <c r="A900" s="2"/>
      <c r="B900" s="1"/>
      <c r="C900" s="1"/>
      <c r="D900" s="1"/>
      <c r="E900" s="1"/>
      <c r="F900" s="1"/>
      <c r="G900" s="1"/>
      <c r="H900" s="1"/>
      <c r="I900" s="61"/>
      <c r="J900" s="1"/>
      <c r="K900" s="1"/>
    </row>
    <row r="901" spans="1:11" ht="15.75" customHeight="1">
      <c r="A901" s="2"/>
      <c r="B901" s="1"/>
      <c r="C901" s="1"/>
      <c r="D901" s="1"/>
      <c r="E901" s="1"/>
      <c r="F901" s="1"/>
      <c r="G901" s="1"/>
      <c r="H901" s="1"/>
      <c r="I901" s="61"/>
      <c r="J901" s="1"/>
      <c r="K901" s="1"/>
    </row>
    <row r="902" spans="1:11" ht="15.75" customHeight="1">
      <c r="A902" s="2"/>
      <c r="B902" s="1"/>
      <c r="C902" s="1"/>
      <c r="D902" s="1"/>
      <c r="E902" s="1"/>
      <c r="F902" s="1"/>
      <c r="G902" s="1"/>
      <c r="H902" s="1"/>
      <c r="I902" s="61"/>
      <c r="J902" s="1"/>
      <c r="K902" s="1"/>
    </row>
    <row r="903" spans="1:11" ht="15.75" customHeight="1">
      <c r="A903" s="2"/>
      <c r="B903" s="1"/>
      <c r="C903" s="1"/>
      <c r="D903" s="1"/>
      <c r="E903" s="1"/>
      <c r="F903" s="1"/>
      <c r="G903" s="1"/>
      <c r="H903" s="1"/>
      <c r="I903" s="61"/>
      <c r="J903" s="1"/>
      <c r="K903" s="1"/>
    </row>
    <row r="904" spans="1:11" ht="15.75" customHeight="1">
      <c r="A904" s="2"/>
      <c r="B904" s="1"/>
      <c r="C904" s="1"/>
      <c r="D904" s="1"/>
      <c r="E904" s="1"/>
      <c r="F904" s="1"/>
      <c r="G904" s="1"/>
      <c r="H904" s="1"/>
      <c r="I904" s="61"/>
      <c r="J904" s="1"/>
      <c r="K904" s="1"/>
    </row>
    <row r="905" spans="1:11" ht="15.75" customHeight="1">
      <c r="A905" s="2"/>
      <c r="B905" s="1"/>
      <c r="C905" s="1"/>
      <c r="D905" s="1"/>
      <c r="E905" s="1"/>
      <c r="F905" s="1"/>
      <c r="G905" s="1"/>
      <c r="H905" s="1"/>
      <c r="I905" s="61"/>
      <c r="J905" s="1"/>
      <c r="K905" s="1"/>
    </row>
    <row r="906" spans="1:11" ht="15.75" customHeight="1">
      <c r="A906" s="2"/>
      <c r="B906" s="1"/>
      <c r="C906" s="1"/>
      <c r="D906" s="1"/>
      <c r="E906" s="1"/>
      <c r="F906" s="1"/>
      <c r="G906" s="1"/>
      <c r="H906" s="1"/>
      <c r="I906" s="61"/>
      <c r="J906" s="1"/>
      <c r="K906" s="1"/>
    </row>
    <row r="907" spans="1:11" ht="15.75" customHeight="1">
      <c r="A907" s="2"/>
      <c r="B907" s="1"/>
      <c r="C907" s="1"/>
      <c r="D907" s="1"/>
      <c r="E907" s="1"/>
      <c r="F907" s="1"/>
      <c r="G907" s="1"/>
      <c r="H907" s="1"/>
      <c r="I907" s="61"/>
      <c r="J907" s="1"/>
      <c r="K907" s="1"/>
    </row>
    <row r="908" spans="1:11" ht="15.75" customHeight="1">
      <c r="A908" s="2"/>
      <c r="B908" s="1"/>
      <c r="C908" s="1"/>
      <c r="D908" s="1"/>
      <c r="E908" s="1"/>
      <c r="F908" s="1"/>
      <c r="G908" s="1"/>
      <c r="H908" s="1"/>
      <c r="I908" s="61"/>
      <c r="J908" s="1"/>
      <c r="K908" s="1"/>
    </row>
    <row r="909" spans="1:11" ht="15.75" customHeight="1">
      <c r="A909" s="2"/>
      <c r="B909" s="1"/>
      <c r="C909" s="1"/>
      <c r="D909" s="1"/>
      <c r="E909" s="1"/>
      <c r="F909" s="1"/>
      <c r="G909" s="1"/>
      <c r="H909" s="1"/>
      <c r="I909" s="61"/>
      <c r="J909" s="1"/>
      <c r="K909" s="1"/>
    </row>
    <row r="910" spans="1:11" ht="15.75" customHeight="1">
      <c r="A910" s="2"/>
      <c r="B910" s="1"/>
      <c r="C910" s="1"/>
      <c r="D910" s="1"/>
      <c r="E910" s="1"/>
      <c r="F910" s="1"/>
      <c r="G910" s="1"/>
      <c r="H910" s="1"/>
      <c r="I910" s="61"/>
      <c r="J910" s="1"/>
      <c r="K910" s="1"/>
    </row>
    <row r="911" spans="1:11" ht="15.75" customHeight="1">
      <c r="A911" s="2"/>
      <c r="B911" s="1"/>
      <c r="C911" s="1"/>
      <c r="D911" s="1"/>
      <c r="E911" s="1"/>
      <c r="F911" s="1"/>
      <c r="G911" s="1"/>
      <c r="H911" s="1"/>
      <c r="I911" s="61"/>
      <c r="J911" s="1"/>
      <c r="K911" s="1"/>
    </row>
    <row r="912" spans="1:11" ht="15.75" customHeight="1">
      <c r="A912" s="2"/>
      <c r="B912" s="1"/>
      <c r="C912" s="1"/>
      <c r="D912" s="1"/>
      <c r="E912" s="1"/>
      <c r="F912" s="1"/>
      <c r="G912" s="1"/>
      <c r="H912" s="1"/>
      <c r="I912" s="61"/>
      <c r="J912" s="1"/>
      <c r="K912" s="1"/>
    </row>
    <row r="913" spans="1:11" ht="15.75" customHeight="1">
      <c r="A913" s="2"/>
      <c r="B913" s="1"/>
      <c r="C913" s="1"/>
      <c r="D913" s="1"/>
      <c r="E913" s="1"/>
      <c r="F913" s="1"/>
      <c r="G913" s="1"/>
      <c r="H913" s="1"/>
      <c r="I913" s="61"/>
      <c r="J913" s="1"/>
      <c r="K913" s="1"/>
    </row>
    <row r="914" spans="1:11" ht="15.75" customHeight="1">
      <c r="A914" s="2"/>
      <c r="B914" s="1"/>
      <c r="C914" s="1"/>
      <c r="D914" s="1"/>
      <c r="E914" s="1"/>
      <c r="F914" s="1"/>
      <c r="G914" s="1"/>
      <c r="H914" s="1"/>
      <c r="I914" s="61"/>
      <c r="J914" s="1"/>
      <c r="K914" s="1"/>
    </row>
    <row r="915" spans="1:11" ht="15.75" customHeight="1">
      <c r="A915" s="2"/>
      <c r="B915" s="1"/>
      <c r="C915" s="1"/>
      <c r="D915" s="1"/>
      <c r="E915" s="1"/>
      <c r="F915" s="1"/>
      <c r="G915" s="1"/>
      <c r="H915" s="1"/>
      <c r="I915" s="61"/>
      <c r="J915" s="1"/>
      <c r="K915" s="1"/>
    </row>
    <row r="916" spans="1:11" ht="15.75" customHeight="1">
      <c r="A916" s="2"/>
      <c r="B916" s="1"/>
      <c r="C916" s="1"/>
      <c r="D916" s="1"/>
      <c r="E916" s="1"/>
      <c r="F916" s="1"/>
      <c r="G916" s="1"/>
      <c r="H916" s="1"/>
      <c r="I916" s="61"/>
      <c r="J916" s="1"/>
      <c r="K916" s="1"/>
    </row>
    <row r="917" spans="1:11" ht="15.75" customHeight="1">
      <c r="A917" s="2"/>
      <c r="B917" s="1"/>
      <c r="C917" s="1"/>
      <c r="D917" s="1"/>
      <c r="E917" s="1"/>
      <c r="F917" s="1"/>
      <c r="G917" s="1"/>
      <c r="H917" s="1"/>
      <c r="I917" s="61"/>
      <c r="J917" s="1"/>
      <c r="K917" s="1"/>
    </row>
    <row r="918" spans="1:11" ht="15.75" customHeight="1">
      <c r="A918" s="2"/>
      <c r="B918" s="1"/>
      <c r="C918" s="1"/>
      <c r="D918" s="1"/>
      <c r="E918" s="1"/>
      <c r="F918" s="1"/>
      <c r="G918" s="1"/>
      <c r="H918" s="1"/>
      <c r="I918" s="61"/>
      <c r="J918" s="1"/>
      <c r="K918" s="1"/>
    </row>
    <row r="919" spans="1:11" ht="15.75" customHeight="1">
      <c r="A919" s="2"/>
      <c r="B919" s="1"/>
      <c r="C919" s="1"/>
      <c r="D919" s="1"/>
      <c r="E919" s="1"/>
      <c r="F919" s="1"/>
      <c r="G919" s="1"/>
      <c r="H919" s="1"/>
      <c r="I919" s="61"/>
      <c r="J919" s="1"/>
      <c r="K919" s="1"/>
    </row>
    <row r="920" spans="1:11" ht="15.75" customHeight="1">
      <c r="A920" s="2"/>
      <c r="B920" s="1"/>
      <c r="C920" s="1"/>
      <c r="D920" s="1"/>
      <c r="E920" s="1"/>
      <c r="F920" s="1"/>
      <c r="G920" s="1"/>
      <c r="H920" s="1"/>
      <c r="I920" s="61"/>
      <c r="J920" s="1"/>
      <c r="K920" s="1"/>
    </row>
    <row r="921" spans="1:11" ht="15.75" customHeight="1">
      <c r="A921" s="2"/>
      <c r="B921" s="1"/>
      <c r="C921" s="1"/>
      <c r="D921" s="1"/>
      <c r="E921" s="1"/>
      <c r="F921" s="1"/>
      <c r="G921" s="1"/>
      <c r="H921" s="1"/>
      <c r="I921" s="61"/>
      <c r="J921" s="1"/>
      <c r="K921" s="1"/>
    </row>
    <row r="922" spans="1:11" ht="15.75" customHeight="1">
      <c r="A922" s="2"/>
      <c r="B922" s="1"/>
      <c r="C922" s="1"/>
      <c r="D922" s="1"/>
      <c r="E922" s="1"/>
      <c r="F922" s="1"/>
      <c r="G922" s="1"/>
      <c r="H922" s="1"/>
      <c r="I922" s="61"/>
      <c r="J922" s="1"/>
      <c r="K922" s="1"/>
    </row>
    <row r="923" spans="1:11" ht="15.75" customHeight="1">
      <c r="A923" s="2"/>
      <c r="B923" s="1"/>
      <c r="C923" s="1"/>
      <c r="D923" s="1"/>
      <c r="E923" s="1"/>
      <c r="F923" s="1"/>
      <c r="G923" s="1"/>
      <c r="H923" s="1"/>
      <c r="I923" s="61"/>
      <c r="J923" s="1"/>
      <c r="K923" s="1"/>
    </row>
    <row r="924" spans="1:11" ht="15.75" customHeight="1">
      <c r="A924" s="2"/>
      <c r="B924" s="1"/>
      <c r="C924" s="1"/>
      <c r="D924" s="1"/>
      <c r="E924" s="1"/>
      <c r="F924" s="1"/>
      <c r="G924" s="1"/>
      <c r="H924" s="1"/>
      <c r="I924" s="61"/>
      <c r="J924" s="1"/>
      <c r="K924" s="1"/>
    </row>
    <row r="925" spans="1:11" ht="15.75" customHeight="1">
      <c r="A925" s="2"/>
      <c r="B925" s="1"/>
      <c r="C925" s="1"/>
      <c r="D925" s="1"/>
      <c r="E925" s="1"/>
      <c r="F925" s="1"/>
      <c r="G925" s="1"/>
      <c r="H925" s="1"/>
      <c r="I925" s="61"/>
      <c r="J925" s="1"/>
      <c r="K925" s="1"/>
    </row>
    <row r="926" spans="1:11" ht="15.75" customHeight="1">
      <c r="A926" s="2"/>
      <c r="B926" s="1"/>
      <c r="C926" s="1"/>
      <c r="D926" s="1"/>
      <c r="E926" s="1"/>
      <c r="F926" s="1"/>
      <c r="G926" s="1"/>
      <c r="H926" s="1"/>
      <c r="I926" s="61"/>
      <c r="J926" s="1"/>
      <c r="K926" s="1"/>
    </row>
    <row r="927" spans="1:11" ht="15.75" customHeight="1">
      <c r="A927" s="2"/>
      <c r="B927" s="1"/>
      <c r="C927" s="1"/>
      <c r="D927" s="1"/>
      <c r="E927" s="1"/>
      <c r="F927" s="1"/>
      <c r="G927" s="1"/>
      <c r="H927" s="1"/>
      <c r="I927" s="61"/>
      <c r="J927" s="1"/>
      <c r="K927" s="1"/>
    </row>
    <row r="928" spans="1:11" ht="15.75" customHeight="1">
      <c r="A928" s="2"/>
      <c r="B928" s="1"/>
      <c r="C928" s="1"/>
      <c r="D928" s="1"/>
      <c r="E928" s="1"/>
      <c r="F928" s="1"/>
      <c r="G928" s="1"/>
      <c r="H928" s="1"/>
      <c r="I928" s="61"/>
      <c r="J928" s="1"/>
      <c r="K928" s="1"/>
    </row>
    <row r="929" spans="1:11" ht="15.75" customHeight="1">
      <c r="A929" s="2"/>
      <c r="B929" s="1"/>
      <c r="C929" s="1"/>
      <c r="D929" s="1"/>
      <c r="E929" s="1"/>
      <c r="F929" s="1"/>
      <c r="G929" s="1"/>
      <c r="H929" s="1"/>
      <c r="I929" s="61"/>
      <c r="J929" s="1"/>
      <c r="K929" s="1"/>
    </row>
    <row r="930" spans="1:11" ht="15.75" customHeight="1">
      <c r="A930" s="2"/>
      <c r="B930" s="1"/>
      <c r="C930" s="1"/>
      <c r="D930" s="1"/>
      <c r="E930" s="1"/>
      <c r="F930" s="1"/>
      <c r="G930" s="1"/>
      <c r="H930" s="1"/>
      <c r="I930" s="61"/>
      <c r="J930" s="1"/>
      <c r="K930" s="1"/>
    </row>
    <row r="931" spans="1:11" ht="15.75" customHeight="1">
      <c r="A931" s="2"/>
      <c r="B931" s="1"/>
      <c r="C931" s="1"/>
      <c r="D931" s="1"/>
      <c r="E931" s="1"/>
      <c r="F931" s="1"/>
      <c r="G931" s="1"/>
      <c r="H931" s="1"/>
      <c r="I931" s="61"/>
      <c r="J931" s="1"/>
      <c r="K931" s="1"/>
    </row>
    <row r="932" spans="1:11" ht="15.75" customHeight="1">
      <c r="A932" s="2"/>
      <c r="B932" s="1"/>
      <c r="C932" s="1"/>
      <c r="D932" s="1"/>
      <c r="E932" s="1"/>
      <c r="F932" s="1"/>
      <c r="G932" s="1"/>
      <c r="H932" s="1"/>
      <c r="I932" s="61"/>
      <c r="J932" s="1"/>
      <c r="K932" s="1"/>
    </row>
    <row r="933" spans="1:11" ht="15.75" customHeight="1">
      <c r="A933" s="2"/>
      <c r="B933" s="1"/>
      <c r="C933" s="1"/>
      <c r="D933" s="1"/>
      <c r="E933" s="1"/>
      <c r="F933" s="1"/>
      <c r="G933" s="1"/>
      <c r="H933" s="1"/>
      <c r="I933" s="61"/>
      <c r="J933" s="1"/>
      <c r="K933" s="1"/>
    </row>
    <row r="934" spans="1:11" ht="15.75" customHeight="1">
      <c r="A934" s="2"/>
      <c r="B934" s="1"/>
      <c r="C934" s="1"/>
      <c r="D934" s="1"/>
      <c r="E934" s="1"/>
      <c r="F934" s="1"/>
      <c r="G934" s="1"/>
      <c r="H934" s="1"/>
      <c r="I934" s="61"/>
      <c r="J934" s="1"/>
      <c r="K934" s="1"/>
    </row>
    <row r="935" spans="1:11" ht="15.75" customHeight="1">
      <c r="A935" s="2"/>
      <c r="B935" s="1"/>
      <c r="C935" s="1"/>
      <c r="D935" s="1"/>
      <c r="E935" s="1"/>
      <c r="F935" s="1"/>
      <c r="G935" s="1"/>
      <c r="H935" s="1"/>
      <c r="I935" s="61"/>
      <c r="J935" s="1"/>
      <c r="K935" s="1"/>
    </row>
    <row r="936" spans="1:11" ht="15.75" customHeight="1">
      <c r="A936" s="2"/>
      <c r="B936" s="1"/>
      <c r="C936" s="1"/>
      <c r="D936" s="1"/>
      <c r="E936" s="1"/>
      <c r="F936" s="1"/>
      <c r="G936" s="1"/>
      <c r="H936" s="1"/>
      <c r="I936" s="61"/>
      <c r="J936" s="1"/>
      <c r="K936" s="1"/>
    </row>
    <row r="937" spans="1:11" ht="15.75" customHeight="1">
      <c r="A937" s="2"/>
      <c r="B937" s="1"/>
      <c r="C937" s="1"/>
      <c r="D937" s="1"/>
      <c r="E937" s="1"/>
      <c r="F937" s="1"/>
      <c r="G937" s="1"/>
      <c r="H937" s="1"/>
      <c r="I937" s="61"/>
      <c r="J937" s="1"/>
      <c r="K937" s="1"/>
    </row>
    <row r="938" spans="1:11" ht="15.75" customHeight="1">
      <c r="A938" s="2"/>
      <c r="B938" s="1"/>
      <c r="C938" s="1"/>
      <c r="D938" s="1"/>
      <c r="E938" s="1"/>
      <c r="F938" s="1"/>
      <c r="G938" s="1"/>
      <c r="H938" s="1"/>
      <c r="I938" s="61"/>
      <c r="J938" s="1"/>
      <c r="K938" s="1"/>
    </row>
    <row r="939" spans="1:11" ht="15.75" customHeight="1">
      <c r="A939" s="2"/>
      <c r="B939" s="1"/>
      <c r="C939" s="1"/>
      <c r="D939" s="1"/>
      <c r="E939" s="1"/>
      <c r="F939" s="1"/>
      <c r="G939" s="1"/>
      <c r="H939" s="1"/>
      <c r="I939" s="61"/>
      <c r="J939" s="1"/>
      <c r="K939" s="1"/>
    </row>
    <row r="940" spans="1:11" ht="15.75" customHeight="1">
      <c r="A940" s="2"/>
      <c r="B940" s="1"/>
      <c r="C940" s="1"/>
      <c r="D940" s="1"/>
      <c r="E940" s="1"/>
      <c r="F940" s="1"/>
      <c r="G940" s="1"/>
      <c r="H940" s="1"/>
      <c r="I940" s="61"/>
      <c r="J940" s="1"/>
      <c r="K940" s="1"/>
    </row>
    <row r="941" spans="1:11" ht="15.75" customHeight="1">
      <c r="A941" s="2"/>
      <c r="B941" s="1"/>
      <c r="C941" s="1"/>
      <c r="D941" s="1"/>
      <c r="E941" s="1"/>
      <c r="F941" s="1"/>
      <c r="G941" s="1"/>
      <c r="H941" s="1"/>
      <c r="I941" s="61"/>
      <c r="J941" s="1"/>
      <c r="K941" s="1"/>
    </row>
    <row r="942" spans="1:11" ht="15.75" customHeight="1">
      <c r="A942" s="2"/>
      <c r="B942" s="1"/>
      <c r="C942" s="1"/>
      <c r="D942" s="1"/>
      <c r="E942" s="1"/>
      <c r="F942" s="1"/>
      <c r="G942" s="1"/>
      <c r="H942" s="1"/>
      <c r="I942" s="61"/>
      <c r="J942" s="1"/>
      <c r="K942" s="1"/>
    </row>
    <row r="943" spans="1:11" ht="15.75" customHeight="1">
      <c r="A943" s="2"/>
      <c r="B943" s="1"/>
      <c r="C943" s="1"/>
      <c r="D943" s="1"/>
      <c r="E943" s="1"/>
      <c r="F943" s="1"/>
      <c r="G943" s="1"/>
      <c r="H943" s="1"/>
      <c r="I943" s="61"/>
      <c r="J943" s="1"/>
      <c r="K943" s="1"/>
    </row>
    <row r="944" spans="1:11" ht="15.75" customHeight="1">
      <c r="A944" s="2"/>
      <c r="B944" s="1"/>
      <c r="C944" s="1"/>
      <c r="D944" s="1"/>
      <c r="E944" s="1"/>
      <c r="F944" s="1"/>
      <c r="G944" s="1"/>
      <c r="H944" s="1"/>
      <c r="I944" s="61"/>
      <c r="J944" s="1"/>
      <c r="K944" s="1"/>
    </row>
    <row r="945" spans="1:11" ht="15.75" customHeight="1">
      <c r="A945" s="2"/>
      <c r="B945" s="1"/>
      <c r="C945" s="1"/>
      <c r="D945" s="1"/>
      <c r="E945" s="1"/>
      <c r="F945" s="1"/>
      <c r="G945" s="1"/>
      <c r="H945" s="1"/>
      <c r="I945" s="61"/>
      <c r="J945" s="1"/>
      <c r="K945" s="1"/>
    </row>
    <row r="946" spans="1:11" ht="15.75" customHeight="1">
      <c r="A946" s="2"/>
      <c r="B946" s="1"/>
      <c r="C946" s="1"/>
      <c r="D946" s="1"/>
      <c r="E946" s="1"/>
      <c r="F946" s="1"/>
      <c r="G946" s="1"/>
      <c r="H946" s="1"/>
      <c r="I946" s="61"/>
      <c r="J946" s="1"/>
      <c r="K946" s="1"/>
    </row>
    <row r="947" spans="1:11" ht="15.75" customHeight="1">
      <c r="A947" s="2"/>
      <c r="B947" s="1"/>
      <c r="C947" s="1"/>
      <c r="D947" s="1"/>
      <c r="E947" s="1"/>
      <c r="F947" s="1"/>
      <c r="G947" s="1"/>
      <c r="H947" s="1"/>
      <c r="I947" s="61"/>
      <c r="J947" s="1"/>
      <c r="K947" s="1"/>
    </row>
    <row r="948" spans="1:11" ht="15.75" customHeight="1">
      <c r="A948" s="2"/>
      <c r="B948" s="1"/>
      <c r="C948" s="1"/>
      <c r="D948" s="1"/>
      <c r="E948" s="1"/>
      <c r="F948" s="1"/>
      <c r="G948" s="1"/>
      <c r="H948" s="1"/>
      <c r="I948" s="61"/>
      <c r="J948" s="1"/>
      <c r="K948" s="1"/>
    </row>
    <row r="949" spans="1:11" ht="15.75" customHeight="1">
      <c r="A949" s="2"/>
      <c r="B949" s="1"/>
      <c r="C949" s="1"/>
      <c r="D949" s="1"/>
      <c r="E949" s="1"/>
      <c r="F949" s="1"/>
      <c r="G949" s="1"/>
      <c r="H949" s="1"/>
      <c r="I949" s="61"/>
      <c r="J949" s="1"/>
      <c r="K949" s="1"/>
    </row>
    <row r="950" spans="1:11" ht="15.75" customHeight="1">
      <c r="A950" s="2"/>
      <c r="B950" s="1"/>
      <c r="C950" s="1"/>
      <c r="D950" s="1"/>
      <c r="E950" s="1"/>
      <c r="F950" s="1"/>
      <c r="G950" s="1"/>
      <c r="H950" s="1"/>
      <c r="I950" s="61"/>
      <c r="J950" s="1"/>
      <c r="K950" s="1"/>
    </row>
    <row r="951" spans="1:11" ht="15.75" customHeight="1">
      <c r="A951" s="2"/>
      <c r="B951" s="1"/>
      <c r="C951" s="1"/>
      <c r="D951" s="1"/>
      <c r="E951" s="1"/>
      <c r="F951" s="1"/>
      <c r="G951" s="1"/>
      <c r="H951" s="1"/>
      <c r="I951" s="61"/>
      <c r="J951" s="1"/>
      <c r="K951" s="1"/>
    </row>
    <row r="952" spans="1:11" ht="15.75" customHeight="1">
      <c r="A952" s="2"/>
      <c r="B952" s="1"/>
      <c r="C952" s="1"/>
      <c r="D952" s="1"/>
      <c r="E952" s="1"/>
      <c r="F952" s="1"/>
      <c r="G952" s="1"/>
      <c r="H952" s="1"/>
      <c r="I952" s="61"/>
      <c r="J952" s="1"/>
      <c r="K952" s="1"/>
    </row>
    <row r="953" spans="1:11" ht="15.75" customHeight="1">
      <c r="A953" s="2"/>
      <c r="B953" s="1"/>
      <c r="C953" s="1"/>
      <c r="D953" s="1"/>
      <c r="E953" s="1"/>
      <c r="F953" s="1"/>
      <c r="G953" s="1"/>
      <c r="H953" s="1"/>
      <c r="I953" s="61"/>
      <c r="J953" s="1"/>
      <c r="K953" s="1"/>
    </row>
    <row r="954" spans="1:11" ht="15.75" customHeight="1">
      <c r="A954" s="2"/>
      <c r="B954" s="1"/>
      <c r="C954" s="1"/>
      <c r="D954" s="1"/>
      <c r="E954" s="1"/>
      <c r="F954" s="1"/>
      <c r="G954" s="1"/>
      <c r="H954" s="1"/>
      <c r="I954" s="61"/>
      <c r="J954" s="1"/>
      <c r="K954" s="1"/>
    </row>
    <row r="955" spans="1:11" ht="15.75" customHeight="1">
      <c r="A955" s="2"/>
      <c r="B955" s="1"/>
      <c r="C955" s="1"/>
      <c r="D955" s="1"/>
      <c r="E955" s="1"/>
      <c r="F955" s="1"/>
      <c r="G955" s="1"/>
      <c r="H955" s="1"/>
      <c r="I955" s="61"/>
      <c r="J955" s="1"/>
      <c r="K955" s="1"/>
    </row>
    <row r="956" spans="1:11" ht="15.75" customHeight="1">
      <c r="A956" s="2"/>
      <c r="B956" s="1"/>
      <c r="C956" s="1"/>
      <c r="D956" s="1"/>
      <c r="E956" s="1"/>
      <c r="F956" s="1"/>
      <c r="G956" s="1"/>
      <c r="H956" s="1"/>
      <c r="I956" s="61"/>
      <c r="J956" s="1"/>
      <c r="K956" s="1"/>
    </row>
    <row r="957" spans="1:11" ht="15.75" customHeight="1">
      <c r="A957" s="2"/>
      <c r="B957" s="1"/>
      <c r="C957" s="1"/>
      <c r="D957" s="1"/>
      <c r="E957" s="1"/>
      <c r="F957" s="1"/>
      <c r="G957" s="1"/>
      <c r="H957" s="1"/>
      <c r="I957" s="61"/>
      <c r="J957" s="1"/>
      <c r="K957" s="1"/>
    </row>
    <row r="958" spans="1:11" ht="15.75" customHeight="1">
      <c r="A958" s="2"/>
      <c r="B958" s="1"/>
      <c r="C958" s="1"/>
      <c r="D958" s="1"/>
      <c r="E958" s="1"/>
      <c r="F958" s="1"/>
      <c r="G958" s="1"/>
      <c r="H958" s="1"/>
      <c r="I958" s="61"/>
      <c r="J958" s="1"/>
      <c r="K958" s="1"/>
    </row>
    <row r="959" spans="1:11" ht="15.75" customHeight="1">
      <c r="A959" s="2"/>
      <c r="B959" s="1"/>
      <c r="C959" s="1"/>
      <c r="D959" s="1"/>
      <c r="E959" s="1"/>
      <c r="F959" s="1"/>
      <c r="G959" s="1"/>
      <c r="H959" s="1"/>
      <c r="I959" s="61"/>
      <c r="J959" s="1"/>
      <c r="K959" s="1"/>
    </row>
    <row r="960" spans="1:11" ht="15.75" customHeight="1">
      <c r="A960" s="2"/>
      <c r="B960" s="1"/>
      <c r="C960" s="1"/>
      <c r="D960" s="1"/>
      <c r="E960" s="1"/>
      <c r="F960" s="1"/>
      <c r="G960" s="1"/>
      <c r="H960" s="1"/>
      <c r="I960" s="61"/>
      <c r="J960" s="1"/>
      <c r="K960" s="1"/>
    </row>
    <row r="961" spans="1:11" ht="15.75" customHeight="1">
      <c r="A961" s="2"/>
      <c r="B961" s="1"/>
      <c r="C961" s="1"/>
      <c r="D961" s="1"/>
      <c r="E961" s="1"/>
      <c r="F961" s="1"/>
      <c r="G961" s="1"/>
      <c r="H961" s="1"/>
      <c r="I961" s="61"/>
      <c r="J961" s="1"/>
      <c r="K961" s="1"/>
    </row>
    <row r="962" spans="1:11" ht="15.75" customHeight="1">
      <c r="A962" s="2"/>
      <c r="B962" s="1"/>
      <c r="C962" s="1"/>
      <c r="D962" s="1"/>
      <c r="E962" s="1"/>
      <c r="F962" s="1"/>
      <c r="G962" s="1"/>
      <c r="H962" s="1"/>
      <c r="I962" s="61"/>
      <c r="J962" s="1"/>
      <c r="K962" s="1"/>
    </row>
    <row r="963" spans="1:11" ht="15.75" customHeight="1">
      <c r="A963" s="2"/>
      <c r="B963" s="1"/>
      <c r="C963" s="1"/>
      <c r="D963" s="1"/>
      <c r="E963" s="1"/>
      <c r="F963" s="1"/>
      <c r="G963" s="1"/>
      <c r="H963" s="1"/>
      <c r="I963" s="61"/>
      <c r="J963" s="1"/>
      <c r="K963" s="1"/>
    </row>
    <row r="964" spans="1:11" ht="15.75" customHeight="1">
      <c r="A964" s="2"/>
      <c r="B964" s="1"/>
      <c r="C964" s="1"/>
      <c r="D964" s="1"/>
      <c r="E964" s="1"/>
      <c r="F964" s="1"/>
      <c r="G964" s="1"/>
      <c r="H964" s="1"/>
      <c r="I964" s="61"/>
      <c r="J964" s="1"/>
      <c r="K964" s="1"/>
    </row>
    <row r="965" spans="1:11" ht="15.75" customHeight="1">
      <c r="A965" s="2"/>
      <c r="B965" s="1"/>
      <c r="C965" s="1"/>
      <c r="D965" s="1"/>
      <c r="E965" s="1"/>
      <c r="F965" s="1"/>
      <c r="G965" s="1"/>
      <c r="H965" s="1"/>
      <c r="I965" s="61"/>
      <c r="J965" s="1"/>
      <c r="K965" s="1"/>
    </row>
    <row r="966" spans="1:11" ht="15.75" customHeight="1">
      <c r="A966" s="2"/>
      <c r="B966" s="1"/>
      <c r="C966" s="1"/>
      <c r="D966" s="1"/>
      <c r="E966" s="1"/>
      <c r="F966" s="1"/>
      <c r="G966" s="1"/>
      <c r="H966" s="1"/>
      <c r="I966" s="61"/>
      <c r="J966" s="1"/>
      <c r="K966" s="1"/>
    </row>
    <row r="967" spans="1:11" ht="15.75" customHeight="1">
      <c r="A967" s="2"/>
      <c r="B967" s="1"/>
      <c r="C967" s="1"/>
      <c r="D967" s="1"/>
      <c r="E967" s="1"/>
      <c r="F967" s="1"/>
      <c r="G967" s="1"/>
      <c r="H967" s="1"/>
      <c r="I967" s="61"/>
      <c r="J967" s="1"/>
      <c r="K967" s="1"/>
    </row>
    <row r="968" spans="1:11" ht="15.75" customHeight="1">
      <c r="A968" s="2"/>
      <c r="B968" s="1"/>
      <c r="C968" s="1"/>
      <c r="D968" s="1"/>
      <c r="E968" s="1"/>
      <c r="F968" s="1"/>
      <c r="G968" s="1"/>
      <c r="H968" s="1"/>
      <c r="I968" s="61"/>
      <c r="J968" s="1"/>
      <c r="K968" s="1"/>
    </row>
    <row r="969" spans="1:11" ht="15.75" customHeight="1">
      <c r="A969" s="2"/>
      <c r="B969" s="1"/>
      <c r="C969" s="1"/>
      <c r="D969" s="1"/>
      <c r="E969" s="1"/>
      <c r="F969" s="1"/>
      <c r="G969" s="1"/>
      <c r="H969" s="1"/>
      <c r="I969" s="61"/>
      <c r="J969" s="1"/>
      <c r="K969" s="1"/>
    </row>
    <row r="970" spans="1:11" ht="15.75" customHeight="1">
      <c r="A970" s="2"/>
      <c r="B970" s="1"/>
      <c r="C970" s="1"/>
      <c r="D970" s="1"/>
      <c r="E970" s="1"/>
      <c r="F970" s="1"/>
      <c r="G970" s="1"/>
      <c r="H970" s="1"/>
      <c r="I970" s="61"/>
      <c r="J970" s="1"/>
      <c r="K970" s="1"/>
    </row>
    <row r="971" spans="1:11" ht="15.75" customHeight="1">
      <c r="A971" s="2"/>
      <c r="B971" s="1"/>
      <c r="C971" s="1"/>
      <c r="D971" s="1"/>
      <c r="E971" s="1"/>
      <c r="F971" s="1"/>
      <c r="G971" s="1"/>
      <c r="H971" s="1"/>
      <c r="I971" s="61"/>
      <c r="J971" s="1"/>
      <c r="K971" s="1"/>
    </row>
    <row r="972" spans="1:11" ht="15.75" customHeight="1">
      <c r="A972" s="2"/>
      <c r="B972" s="1"/>
      <c r="C972" s="1"/>
      <c r="D972" s="1"/>
      <c r="E972" s="1"/>
      <c r="F972" s="1"/>
      <c r="G972" s="1"/>
      <c r="H972" s="1"/>
      <c r="I972" s="61"/>
      <c r="J972" s="1"/>
      <c r="K972" s="1"/>
    </row>
    <row r="973" spans="1:11" ht="15.75" customHeight="1">
      <c r="A973" s="2"/>
      <c r="B973" s="1"/>
      <c r="C973" s="1"/>
      <c r="D973" s="1"/>
      <c r="E973" s="1"/>
      <c r="F973" s="1"/>
      <c r="G973" s="1"/>
      <c r="H973" s="1"/>
      <c r="I973" s="61"/>
      <c r="J973" s="1"/>
      <c r="K973" s="1"/>
    </row>
    <row r="974" spans="1:11" ht="15.75" customHeight="1">
      <c r="A974" s="2"/>
      <c r="B974" s="1"/>
      <c r="C974" s="1"/>
      <c r="D974" s="1"/>
      <c r="E974" s="1"/>
      <c r="F974" s="1"/>
      <c r="G974" s="1"/>
      <c r="H974" s="1"/>
      <c r="I974" s="61"/>
      <c r="J974" s="1"/>
      <c r="K974" s="1"/>
    </row>
    <row r="975" spans="1:11" ht="15.75" customHeight="1">
      <c r="A975" s="2"/>
      <c r="B975" s="1"/>
      <c r="C975" s="1"/>
      <c r="D975" s="1"/>
      <c r="E975" s="1"/>
      <c r="F975" s="1"/>
      <c r="G975" s="1"/>
      <c r="H975" s="1"/>
      <c r="I975" s="61"/>
      <c r="J975" s="1"/>
      <c r="K975" s="1"/>
    </row>
    <row r="976" spans="1:11" ht="15.75" customHeight="1">
      <c r="A976" s="2"/>
      <c r="B976" s="1"/>
      <c r="C976" s="1"/>
      <c r="D976" s="1"/>
      <c r="E976" s="1"/>
      <c r="F976" s="1"/>
      <c r="G976" s="1"/>
      <c r="H976" s="1"/>
      <c r="I976" s="61"/>
      <c r="J976" s="1"/>
      <c r="K976" s="1"/>
    </row>
    <row r="977" spans="1:11" ht="15.75" customHeight="1">
      <c r="A977" s="2"/>
      <c r="B977" s="1"/>
      <c r="C977" s="1"/>
      <c r="D977" s="1"/>
      <c r="E977" s="1"/>
      <c r="F977" s="1"/>
      <c r="G977" s="1"/>
      <c r="H977" s="1"/>
      <c r="I977" s="61"/>
      <c r="J977" s="1"/>
      <c r="K977" s="1"/>
    </row>
    <row r="978" spans="1:11" ht="15.75" customHeight="1">
      <c r="A978" s="2"/>
      <c r="B978" s="1"/>
      <c r="C978" s="1"/>
      <c r="D978" s="1"/>
      <c r="E978" s="1"/>
      <c r="F978" s="1"/>
      <c r="G978" s="1"/>
      <c r="H978" s="1"/>
      <c r="I978" s="61"/>
      <c r="J978" s="1"/>
      <c r="K978" s="1"/>
    </row>
    <row r="979" spans="1:11" ht="15.75" customHeight="1">
      <c r="A979" s="2"/>
      <c r="B979" s="1"/>
      <c r="C979" s="1"/>
      <c r="D979" s="1"/>
      <c r="E979" s="1"/>
      <c r="F979" s="1"/>
      <c r="G979" s="1"/>
      <c r="H979" s="1"/>
      <c r="I979" s="61"/>
      <c r="J979" s="1"/>
      <c r="K979" s="1"/>
    </row>
    <row r="980" spans="1:11" ht="15.75" customHeight="1">
      <c r="A980" s="2"/>
      <c r="B980" s="1"/>
      <c r="C980" s="1"/>
      <c r="D980" s="1"/>
      <c r="E980" s="1"/>
      <c r="F980" s="1"/>
      <c r="G980" s="1"/>
      <c r="H980" s="1"/>
      <c r="I980" s="61"/>
      <c r="J980" s="1"/>
      <c r="K980" s="1"/>
    </row>
    <row r="981" spans="1:11" ht="15.75" customHeight="1">
      <c r="A981" s="2"/>
      <c r="B981" s="1"/>
      <c r="C981" s="1"/>
      <c r="D981" s="1"/>
      <c r="E981" s="1"/>
      <c r="F981" s="1"/>
      <c r="G981" s="1"/>
      <c r="H981" s="1"/>
      <c r="I981" s="61"/>
      <c r="J981" s="1"/>
      <c r="K981" s="1"/>
    </row>
    <row r="982" spans="1:11" ht="15.75" customHeight="1">
      <c r="A982" s="2"/>
      <c r="B982" s="1"/>
      <c r="C982" s="1"/>
      <c r="D982" s="1"/>
      <c r="E982" s="1"/>
      <c r="F982" s="1"/>
      <c r="G982" s="1"/>
      <c r="H982" s="1"/>
      <c r="I982" s="61"/>
      <c r="J982" s="1"/>
      <c r="K982" s="1"/>
    </row>
    <row r="983" spans="1:11" ht="15.75" customHeight="1">
      <c r="A983" s="2"/>
      <c r="B983" s="1"/>
      <c r="C983" s="1"/>
      <c r="D983" s="1"/>
      <c r="E983" s="1"/>
      <c r="F983" s="1"/>
      <c r="G983" s="1"/>
      <c r="H983" s="1"/>
      <c r="I983" s="61"/>
      <c r="J983" s="1"/>
      <c r="K983" s="1"/>
    </row>
    <row r="984" spans="1:11" ht="15.75" customHeight="1">
      <c r="A984" s="2"/>
      <c r="B984" s="1"/>
      <c r="C984" s="1"/>
      <c r="D984" s="1"/>
      <c r="E984" s="1"/>
      <c r="F984" s="1"/>
      <c r="G984" s="1"/>
      <c r="H984" s="1"/>
      <c r="I984" s="61"/>
      <c r="J984" s="1"/>
      <c r="K984" s="1"/>
    </row>
    <row r="985" spans="1:11" ht="15.75" customHeight="1">
      <c r="A985" s="2"/>
      <c r="B985" s="1"/>
      <c r="C985" s="1"/>
      <c r="D985" s="1"/>
      <c r="E985" s="1"/>
      <c r="F985" s="1"/>
      <c r="G985" s="1"/>
      <c r="H985" s="1"/>
      <c r="I985" s="61"/>
      <c r="J985" s="1"/>
      <c r="K985" s="1"/>
    </row>
    <row r="986" spans="1:11" ht="15.75" customHeight="1">
      <c r="A986" s="2"/>
      <c r="B986" s="1"/>
      <c r="C986" s="1"/>
      <c r="D986" s="1"/>
      <c r="E986" s="1"/>
      <c r="F986" s="1"/>
      <c r="G986" s="1"/>
      <c r="H986" s="1"/>
      <c r="I986" s="61"/>
      <c r="J986" s="1"/>
      <c r="K986" s="1"/>
    </row>
    <row r="987" spans="1:11" ht="15.75" customHeight="1">
      <c r="A987" s="2"/>
      <c r="B987" s="1"/>
      <c r="C987" s="1"/>
      <c r="D987" s="1"/>
      <c r="E987" s="1"/>
      <c r="F987" s="1"/>
      <c r="G987" s="1"/>
      <c r="H987" s="1"/>
      <c r="I987" s="61"/>
      <c r="J987" s="1"/>
      <c r="K987" s="1"/>
    </row>
    <row r="988" spans="1:11" ht="15.75" customHeight="1">
      <c r="A988" s="2"/>
      <c r="B988" s="1"/>
      <c r="C988" s="1"/>
      <c r="D988" s="1"/>
      <c r="E988" s="1"/>
      <c r="F988" s="1"/>
      <c r="G988" s="1"/>
      <c r="H988" s="1"/>
      <c r="I988" s="61"/>
      <c r="J988" s="1"/>
      <c r="K988" s="1"/>
    </row>
    <row r="989" spans="1:11" ht="15.75" customHeight="1">
      <c r="A989" s="2"/>
      <c r="B989" s="1"/>
      <c r="C989" s="1"/>
      <c r="D989" s="1"/>
      <c r="E989" s="1"/>
      <c r="F989" s="1"/>
      <c r="G989" s="1"/>
      <c r="H989" s="1"/>
      <c r="I989" s="61"/>
      <c r="J989" s="1"/>
      <c r="K989" s="1"/>
    </row>
    <row r="990" spans="1:11" ht="15.75" customHeight="1">
      <c r="A990" s="2"/>
      <c r="B990" s="1"/>
      <c r="C990" s="1"/>
      <c r="D990" s="1"/>
      <c r="E990" s="1"/>
      <c r="F990" s="1"/>
      <c r="G990" s="1"/>
      <c r="H990" s="1"/>
      <c r="I990" s="61"/>
      <c r="J990" s="1"/>
      <c r="K990" s="1"/>
    </row>
    <row r="991" spans="1:11" ht="15.75" customHeight="1">
      <c r="A991" s="2"/>
      <c r="B991" s="1"/>
      <c r="C991" s="1"/>
      <c r="D991" s="1"/>
      <c r="E991" s="1"/>
      <c r="F991" s="1"/>
      <c r="G991" s="1"/>
      <c r="H991" s="1"/>
      <c r="I991" s="61"/>
      <c r="J991" s="1"/>
      <c r="K991" s="1"/>
    </row>
    <row r="992" spans="1:11" ht="15.75" customHeight="1">
      <c r="A992" s="2"/>
      <c r="B992" s="1"/>
      <c r="C992" s="1"/>
      <c r="D992" s="1"/>
      <c r="E992" s="1"/>
      <c r="F992" s="1"/>
      <c r="G992" s="1"/>
      <c r="H992" s="1"/>
      <c r="I992" s="61"/>
      <c r="J992" s="1"/>
      <c r="K992" s="1"/>
    </row>
    <row r="993" spans="1:11" ht="15.75" customHeight="1">
      <c r="A993" s="2"/>
      <c r="B993" s="1"/>
      <c r="C993" s="1"/>
      <c r="D993" s="1"/>
      <c r="E993" s="1"/>
      <c r="F993" s="1"/>
      <c r="G993" s="1"/>
      <c r="H993" s="1"/>
      <c r="I993" s="61"/>
      <c r="J993" s="1"/>
      <c r="K993" s="1"/>
    </row>
    <row r="994" spans="1:11" ht="15.75" customHeight="1">
      <c r="A994" s="2"/>
      <c r="B994" s="1"/>
      <c r="C994" s="1"/>
      <c r="D994" s="1"/>
      <c r="E994" s="1"/>
      <c r="F994" s="1"/>
      <c r="G994" s="1"/>
      <c r="H994" s="1"/>
      <c r="I994" s="61"/>
      <c r="J994" s="1"/>
      <c r="K994" s="1"/>
    </row>
    <row r="995" spans="1:11" ht="15.75" customHeight="1">
      <c r="A995" s="2"/>
      <c r="B995" s="1"/>
      <c r="C995" s="1"/>
      <c r="D995" s="1"/>
      <c r="E995" s="1"/>
      <c r="F995" s="1"/>
      <c r="G995" s="1"/>
      <c r="H995" s="1"/>
      <c r="I995" s="61"/>
      <c r="J995" s="1"/>
      <c r="K995" s="1"/>
    </row>
    <row r="996" spans="1:11" ht="15.75" customHeight="1">
      <c r="A996" s="2"/>
      <c r="B996" s="1"/>
      <c r="C996" s="1"/>
      <c r="D996" s="1"/>
      <c r="E996" s="1"/>
      <c r="F996" s="1"/>
      <c r="G996" s="1"/>
      <c r="H996" s="1"/>
      <c r="I996" s="61"/>
      <c r="J996" s="1"/>
      <c r="K996" s="1"/>
    </row>
    <row r="997" spans="1:11" ht="15.75" customHeight="1">
      <c r="A997" s="2"/>
      <c r="B997" s="1"/>
      <c r="C997" s="1"/>
      <c r="D997" s="1"/>
      <c r="E997" s="1"/>
      <c r="F997" s="1"/>
      <c r="G997" s="1"/>
      <c r="H997" s="1"/>
      <c r="I997" s="61"/>
      <c r="J997" s="1"/>
      <c r="K997" s="1"/>
    </row>
    <row r="998" spans="1:11" ht="15.75" customHeight="1">
      <c r="A998" s="2"/>
      <c r="B998" s="1"/>
      <c r="C998" s="1"/>
      <c r="D998" s="1"/>
      <c r="E998" s="1"/>
      <c r="F998" s="1"/>
      <c r="G998" s="1"/>
      <c r="H998" s="1"/>
      <c r="I998" s="61"/>
      <c r="J998" s="1"/>
      <c r="K998" s="1"/>
    </row>
    <row r="999" spans="1:11" ht="15.75" customHeight="1">
      <c r="A999" s="2"/>
      <c r="B999" s="1"/>
      <c r="C999" s="1"/>
      <c r="D999" s="1"/>
      <c r="E999" s="1"/>
      <c r="F999" s="1"/>
      <c r="G999" s="1"/>
      <c r="H999" s="1"/>
      <c r="I999" s="61"/>
      <c r="J999" s="1"/>
      <c r="K999" s="1"/>
    </row>
    <row r="1000" spans="1:11" ht="15.75" customHeight="1">
      <c r="A1000" s="2"/>
      <c r="B1000" s="1"/>
      <c r="C1000" s="1"/>
      <c r="D1000" s="1"/>
      <c r="E1000" s="1"/>
      <c r="F1000" s="1"/>
      <c r="G1000" s="1"/>
      <c r="H1000" s="1"/>
      <c r="I1000" s="61"/>
      <c r="J1000" s="1"/>
      <c r="K1000" s="1"/>
    </row>
  </sheetData>
  <mergeCells count="8">
    <mergeCell ref="A8:B8"/>
    <mergeCell ref="E215:H215"/>
    <mergeCell ref="E216:H216"/>
    <mergeCell ref="A1:K1"/>
    <mergeCell ref="A2:K2"/>
    <mergeCell ref="A6:B6"/>
    <mergeCell ref="F7:H7"/>
    <mergeCell ref="J7:K7"/>
  </mergeCells>
  <printOptions horizontalCentered="1"/>
  <pageMargins left="0.5" right="0.5" top="0.75" bottom="0.75" header="0" footer="0"/>
  <pageSetup paperSize="5"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70C0"/>
  </sheetPr>
  <dimension ref="A1:O1000"/>
  <sheetViews>
    <sheetView workbookViewId="0">
      <selection sqref="A1:L1"/>
    </sheetView>
  </sheetViews>
  <sheetFormatPr defaultColWidth="14.42578125" defaultRowHeight="15" customHeight="1"/>
  <cols>
    <col min="1" max="1" width="4.7109375" customWidth="1"/>
    <col min="2" max="2" width="24.28515625" customWidth="1"/>
    <col min="3" max="3" width="7.28515625" customWidth="1"/>
    <col min="4" max="4" width="15.7109375" customWidth="1"/>
    <col min="5" max="5" width="14.85546875" customWidth="1"/>
    <col min="6" max="6" width="16.140625" customWidth="1"/>
    <col min="7" max="7" width="21.85546875" customWidth="1"/>
    <col min="8" max="8" width="12.42578125" customWidth="1"/>
    <col min="9" max="9" width="16.5703125" customWidth="1"/>
    <col min="10" max="10" width="13.7109375" customWidth="1"/>
    <col min="11" max="11" width="8.28515625" customWidth="1"/>
    <col min="12" max="12" width="18.140625" customWidth="1"/>
    <col min="13" max="26" width="8.7109375" customWidth="1"/>
  </cols>
  <sheetData>
    <row r="1" spans="1:15" ht="23.25">
      <c r="A1" s="555" t="s">
        <v>0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</row>
    <row r="2" spans="1:15" ht="18">
      <c r="A2" s="604" t="s">
        <v>3225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</row>
    <row r="3" spans="1:15">
      <c r="A3" s="2"/>
      <c r="B3" s="3"/>
      <c r="C3" s="71"/>
      <c r="D3" s="3"/>
      <c r="E3" s="3"/>
      <c r="G3" s="3"/>
      <c r="H3" s="71"/>
      <c r="I3" s="45"/>
      <c r="J3" s="72"/>
      <c r="K3" s="557" t="s">
        <v>3226</v>
      </c>
      <c r="L3" s="558"/>
    </row>
    <row r="4" spans="1:15">
      <c r="A4" s="2"/>
      <c r="B4" s="3"/>
      <c r="C4" s="71"/>
      <c r="D4" s="3"/>
      <c r="E4" s="3"/>
      <c r="G4" s="3"/>
      <c r="H4" s="71"/>
      <c r="I4" s="45"/>
      <c r="J4" s="72"/>
      <c r="K4" s="73" t="s">
        <v>3227</v>
      </c>
      <c r="L4" s="294">
        <v>1</v>
      </c>
    </row>
    <row r="5" spans="1:15">
      <c r="A5" s="2"/>
      <c r="B5" s="3"/>
      <c r="C5" s="71"/>
      <c r="D5" s="3"/>
      <c r="E5" s="3"/>
      <c r="G5" s="3"/>
      <c r="H5" s="71"/>
      <c r="I5" s="45"/>
      <c r="J5" s="72"/>
      <c r="K5" s="73" t="s">
        <v>3228</v>
      </c>
      <c r="L5" s="294">
        <v>1</v>
      </c>
    </row>
    <row r="6" spans="1:15" ht="18">
      <c r="A6" s="567" t="s">
        <v>360</v>
      </c>
      <c r="B6" s="560"/>
      <c r="C6" s="75"/>
      <c r="D6" s="3"/>
      <c r="E6" s="10"/>
      <c r="F6" s="76"/>
      <c r="G6" s="3"/>
      <c r="H6" s="71"/>
      <c r="I6" s="45"/>
      <c r="J6" s="72"/>
      <c r="K6" s="77" t="s">
        <v>3229</v>
      </c>
      <c r="L6" s="53"/>
    </row>
    <row r="7" spans="1:15">
      <c r="A7" s="11"/>
      <c r="B7" s="12"/>
      <c r="C7" s="78" t="s">
        <v>362</v>
      </c>
      <c r="D7" s="14"/>
      <c r="E7" s="14"/>
      <c r="F7" s="79" t="s">
        <v>363</v>
      </c>
      <c r="G7" s="78" t="s">
        <v>364</v>
      </c>
      <c r="H7" s="563" t="s">
        <v>365</v>
      </c>
      <c r="I7" s="558"/>
      <c r="J7" s="80"/>
      <c r="K7" s="550" t="s">
        <v>8</v>
      </c>
      <c r="L7" s="551"/>
    </row>
    <row r="8" spans="1:15">
      <c r="A8" s="565" t="s">
        <v>366</v>
      </c>
      <c r="B8" s="566"/>
      <c r="C8" s="79" t="s">
        <v>367</v>
      </c>
      <c r="D8" s="17" t="s">
        <v>11</v>
      </c>
      <c r="E8" s="18" t="s">
        <v>12</v>
      </c>
      <c r="F8" s="79" t="s">
        <v>368</v>
      </c>
      <c r="G8" s="81" t="s">
        <v>369</v>
      </c>
      <c r="H8" s="82"/>
      <c r="I8" s="83" t="s">
        <v>14</v>
      </c>
      <c r="J8" s="84" t="s">
        <v>15</v>
      </c>
      <c r="K8" s="24"/>
      <c r="L8" s="85"/>
    </row>
    <row r="9" spans="1:15">
      <c r="A9" s="25"/>
      <c r="B9" s="26"/>
      <c r="C9" s="79" t="s">
        <v>370</v>
      </c>
      <c r="D9" s="27"/>
      <c r="E9" s="26"/>
      <c r="F9" s="79" t="s">
        <v>371</v>
      </c>
      <c r="G9" s="81" t="s">
        <v>372</v>
      </c>
      <c r="H9" s="86" t="s">
        <v>17</v>
      </c>
      <c r="I9" s="83" t="s">
        <v>18</v>
      </c>
      <c r="J9" s="87"/>
      <c r="K9" s="17" t="s">
        <v>19</v>
      </c>
      <c r="L9" s="17" t="s">
        <v>20</v>
      </c>
    </row>
    <row r="10" spans="1:15">
      <c r="A10" s="30"/>
      <c r="B10" s="31"/>
      <c r="C10" s="88"/>
      <c r="D10" s="33"/>
      <c r="E10" s="33"/>
      <c r="F10" s="89" t="s">
        <v>373</v>
      </c>
      <c r="G10" s="38"/>
      <c r="H10" s="90"/>
      <c r="I10" s="91" t="s">
        <v>374</v>
      </c>
      <c r="J10" s="92"/>
      <c r="K10" s="34"/>
      <c r="L10" s="38" t="s">
        <v>22</v>
      </c>
    </row>
    <row r="11" spans="1:15">
      <c r="A11" s="39" t="s">
        <v>23</v>
      </c>
      <c r="B11" s="57"/>
      <c r="C11" s="93"/>
      <c r="D11" s="57"/>
      <c r="E11" s="57"/>
      <c r="F11" s="40"/>
      <c r="G11" s="57"/>
      <c r="H11" s="93"/>
      <c r="I11" s="44"/>
      <c r="J11" s="94"/>
      <c r="K11" s="40"/>
      <c r="L11" s="40"/>
    </row>
    <row r="12" spans="1:15">
      <c r="A12" s="95">
        <v>15</v>
      </c>
      <c r="B12" s="333" t="s">
        <v>1980</v>
      </c>
      <c r="C12" s="334"/>
      <c r="D12" s="97" t="s">
        <v>2295</v>
      </c>
      <c r="E12" s="97" t="s">
        <v>42</v>
      </c>
      <c r="F12" s="99" t="s">
        <v>3230</v>
      </c>
      <c r="G12" s="96" t="s">
        <v>3231</v>
      </c>
      <c r="H12" s="295" t="s">
        <v>29</v>
      </c>
      <c r="I12" s="101">
        <v>2500</v>
      </c>
      <c r="J12" s="335" t="s">
        <v>822</v>
      </c>
      <c r="K12" s="98" t="s">
        <v>30</v>
      </c>
      <c r="L12" s="96" t="s">
        <v>31</v>
      </c>
    </row>
    <row r="13" spans="1:15">
      <c r="A13" s="95">
        <v>22</v>
      </c>
      <c r="B13" s="97" t="s">
        <v>3232</v>
      </c>
      <c r="C13" s="336"/>
      <c r="D13" s="97"/>
      <c r="E13" s="103" t="s">
        <v>60</v>
      </c>
      <c r="F13" s="99" t="s">
        <v>3233</v>
      </c>
      <c r="G13" s="96" t="s">
        <v>3234</v>
      </c>
      <c r="H13" s="295" t="s">
        <v>29</v>
      </c>
      <c r="I13" s="101">
        <v>50000</v>
      </c>
      <c r="J13" s="337" t="s">
        <v>822</v>
      </c>
      <c r="K13" s="98"/>
      <c r="L13" s="96" t="s">
        <v>31</v>
      </c>
      <c r="O13" s="65"/>
    </row>
    <row r="14" spans="1:15">
      <c r="A14" s="95"/>
      <c r="B14" s="333"/>
      <c r="C14" s="334"/>
      <c r="D14" s="95"/>
      <c r="E14" s="95"/>
      <c r="F14" s="97"/>
      <c r="G14" s="341"/>
      <c r="H14" s="338"/>
      <c r="I14" s="339"/>
      <c r="J14" s="406"/>
      <c r="K14" s="95"/>
      <c r="L14" s="341"/>
    </row>
    <row r="15" spans="1:15">
      <c r="I15" s="111" t="s">
        <v>335</v>
      </c>
      <c r="J15" s="63"/>
    </row>
    <row r="16" spans="1:15">
      <c r="I16" s="63" t="s">
        <v>338</v>
      </c>
      <c r="J16" s="291">
        <v>0</v>
      </c>
    </row>
    <row r="17" spans="2:10">
      <c r="I17" s="63" t="s">
        <v>340</v>
      </c>
      <c r="J17" s="291" t="s">
        <v>2284</v>
      </c>
    </row>
    <row r="18" spans="2:10">
      <c r="B18" s="157" t="s">
        <v>336</v>
      </c>
      <c r="E18" s="157" t="s">
        <v>337</v>
      </c>
      <c r="I18" s="63" t="s">
        <v>342</v>
      </c>
      <c r="J18" s="292">
        <v>0</v>
      </c>
    </row>
    <row r="19" spans="2:10">
      <c r="I19" s="63" t="s">
        <v>3235</v>
      </c>
      <c r="J19" s="292">
        <v>0</v>
      </c>
    </row>
    <row r="20" spans="2:10">
      <c r="I20" s="63" t="s">
        <v>349</v>
      </c>
      <c r="J20" s="292">
        <v>0</v>
      </c>
    </row>
    <row r="21" spans="2:10" ht="15.75" customHeight="1">
      <c r="B21" s="70" t="s">
        <v>343</v>
      </c>
      <c r="E21" s="568" t="s">
        <v>344</v>
      </c>
      <c r="F21" s="553"/>
      <c r="G21" s="553"/>
      <c r="H21" s="553"/>
      <c r="I21" s="63" t="s">
        <v>406</v>
      </c>
      <c r="J21" s="292">
        <v>0</v>
      </c>
    </row>
    <row r="22" spans="2:10" ht="15.75" customHeight="1">
      <c r="B22" s="157" t="s">
        <v>347</v>
      </c>
      <c r="E22" s="552" t="s">
        <v>348</v>
      </c>
      <c r="F22" s="553"/>
      <c r="G22" s="553"/>
      <c r="H22" s="553"/>
      <c r="I22" s="63" t="s">
        <v>353</v>
      </c>
      <c r="J22" s="293"/>
    </row>
    <row r="23" spans="2:10" ht="15.75" customHeight="1">
      <c r="I23" s="4" t="s">
        <v>407</v>
      </c>
      <c r="J23" s="291"/>
    </row>
    <row r="24" spans="2:10" ht="15.75" customHeight="1">
      <c r="I24" s="4" t="s">
        <v>3236</v>
      </c>
      <c r="J24" s="291"/>
    </row>
    <row r="25" spans="2:10" ht="15.75" customHeight="1"/>
    <row r="26" spans="2:10" ht="15.75" customHeight="1"/>
    <row r="27" spans="2:10" ht="15.75" customHeight="1"/>
    <row r="28" spans="2:10" ht="15.75" customHeight="1"/>
    <row r="29" spans="2:10" ht="15.75" customHeight="1"/>
    <row r="30" spans="2:10" ht="15.75" customHeight="1"/>
    <row r="31" spans="2:10" ht="15.75" customHeight="1"/>
    <row r="32" spans="2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E21:H21"/>
    <mergeCell ref="E22:H22"/>
    <mergeCell ref="A1:L1"/>
    <mergeCell ref="A2:L2"/>
    <mergeCell ref="K3:L3"/>
    <mergeCell ref="A6:B6"/>
    <mergeCell ref="H7:I7"/>
    <mergeCell ref="K7:L7"/>
    <mergeCell ref="A8:B8"/>
  </mergeCells>
  <pageMargins left="0.25" right="0.25" top="0.75" bottom="0.75" header="0" footer="0"/>
  <pageSetup scale="91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70C0"/>
  </sheetPr>
  <dimension ref="A1:Z1000"/>
  <sheetViews>
    <sheetView workbookViewId="0">
      <selection sqref="A1:K1"/>
    </sheetView>
  </sheetViews>
  <sheetFormatPr defaultColWidth="14.42578125" defaultRowHeight="15" customHeight="1"/>
  <cols>
    <col min="1" max="1" width="4.7109375" customWidth="1"/>
    <col min="2" max="2" width="26" customWidth="1"/>
    <col min="3" max="3" width="7.28515625" customWidth="1"/>
    <col min="4" max="4" width="16.140625" customWidth="1"/>
    <col min="5" max="5" width="14.5703125" customWidth="1"/>
    <col min="6" max="6" width="14.85546875" customWidth="1"/>
    <col min="7" max="7" width="14" customWidth="1"/>
    <col min="8" max="8" width="16.42578125" customWidth="1"/>
    <col min="9" max="9" width="16.85546875" customWidth="1"/>
    <col min="10" max="10" width="9.5703125" customWidth="1"/>
    <col min="11" max="11" width="17.85546875" customWidth="1"/>
    <col min="12" max="26" width="8.7109375" customWidth="1"/>
  </cols>
  <sheetData>
    <row r="1" spans="1:17" ht="23.25">
      <c r="A1" s="555" t="s">
        <v>0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</row>
    <row r="2" spans="1:17" ht="18">
      <c r="A2" s="604" t="s">
        <v>3237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</row>
    <row r="3" spans="1:17">
      <c r="A3" s="2"/>
      <c r="B3" s="3"/>
      <c r="C3" s="4"/>
      <c r="D3" s="3"/>
      <c r="E3" s="3"/>
      <c r="F3" s="1"/>
      <c r="G3" s="4"/>
      <c r="H3" s="5"/>
      <c r="I3" s="6"/>
      <c r="J3" s="371" t="s">
        <v>3238</v>
      </c>
      <c r="K3" s="372"/>
    </row>
    <row r="4" spans="1:17">
      <c r="A4" s="2"/>
      <c r="B4" s="3"/>
      <c r="C4" s="4"/>
      <c r="D4" s="3"/>
      <c r="E4" s="3"/>
      <c r="F4" s="1"/>
      <c r="G4" s="4"/>
      <c r="H4" s="5"/>
      <c r="I4" s="7"/>
      <c r="J4" s="373" t="s">
        <v>3</v>
      </c>
      <c r="K4" s="374">
        <v>169</v>
      </c>
    </row>
    <row r="5" spans="1:17">
      <c r="A5" s="2"/>
      <c r="B5" s="3"/>
      <c r="C5" s="4"/>
      <c r="D5" s="3"/>
      <c r="E5" s="3"/>
      <c r="F5" s="1"/>
      <c r="G5" s="4"/>
      <c r="H5" s="5"/>
      <c r="I5" s="7"/>
      <c r="J5" s="373" t="s">
        <v>4</v>
      </c>
      <c r="K5" s="374">
        <v>35</v>
      </c>
    </row>
    <row r="6" spans="1:17">
      <c r="A6" s="559" t="s">
        <v>5</v>
      </c>
      <c r="B6" s="560"/>
      <c r="C6" s="4"/>
      <c r="D6" s="3"/>
      <c r="E6" s="10"/>
      <c r="F6" s="1"/>
      <c r="G6" s="4"/>
      <c r="H6" s="5"/>
      <c r="I6" s="6"/>
      <c r="J6" s="375" t="s">
        <v>3239</v>
      </c>
      <c r="K6" s="376"/>
    </row>
    <row r="7" spans="1:17">
      <c r="A7" s="11"/>
      <c r="B7" s="12"/>
      <c r="C7" s="13"/>
      <c r="D7" s="14"/>
      <c r="E7" s="14"/>
      <c r="F7" s="563" t="s">
        <v>7</v>
      </c>
      <c r="G7" s="564"/>
      <c r="H7" s="558"/>
      <c r="I7" s="15"/>
      <c r="J7" s="550" t="s">
        <v>8</v>
      </c>
      <c r="K7" s="551"/>
    </row>
    <row r="8" spans="1:17">
      <c r="A8" s="565" t="s">
        <v>9</v>
      </c>
      <c r="B8" s="566"/>
      <c r="C8" s="16" t="s">
        <v>10</v>
      </c>
      <c r="D8" s="17" t="s">
        <v>11</v>
      </c>
      <c r="E8" s="18" t="s">
        <v>12</v>
      </c>
      <c r="F8" s="19" t="s">
        <v>13</v>
      </c>
      <c r="G8" s="20"/>
      <c r="H8" s="21" t="s">
        <v>14</v>
      </c>
      <c r="I8" s="22" t="s">
        <v>15</v>
      </c>
      <c r="J8" s="23"/>
      <c r="K8" s="24"/>
    </row>
    <row r="9" spans="1:17">
      <c r="A9" s="25"/>
      <c r="B9" s="26"/>
      <c r="C9" s="20"/>
      <c r="D9" s="27"/>
      <c r="E9" s="26"/>
      <c r="F9" s="28" t="s">
        <v>16</v>
      </c>
      <c r="G9" s="16" t="s">
        <v>17</v>
      </c>
      <c r="H9" s="21" t="s">
        <v>18</v>
      </c>
      <c r="I9" s="29"/>
      <c r="J9" s="17" t="s">
        <v>19</v>
      </c>
      <c r="K9" s="17" t="s">
        <v>20</v>
      </c>
    </row>
    <row r="10" spans="1:17">
      <c r="A10" s="30"/>
      <c r="B10" s="31"/>
      <c r="C10" s="32"/>
      <c r="D10" s="33"/>
      <c r="E10" s="33"/>
      <c r="F10" s="34"/>
      <c r="G10" s="35"/>
      <c r="H10" s="36" t="s">
        <v>21</v>
      </c>
      <c r="I10" s="37"/>
      <c r="J10" s="34"/>
      <c r="K10" s="38" t="s">
        <v>22</v>
      </c>
    </row>
    <row r="11" spans="1:17">
      <c r="A11" s="39" t="s">
        <v>23</v>
      </c>
      <c r="B11" s="40"/>
      <c r="C11" s="40"/>
      <c r="D11" s="40"/>
      <c r="E11" s="40"/>
      <c r="F11" s="40"/>
      <c r="G11" s="40"/>
      <c r="H11" s="40"/>
      <c r="I11" s="41"/>
      <c r="J11" s="40"/>
      <c r="K11" s="40"/>
    </row>
    <row r="12" spans="1:17">
      <c r="A12" s="42">
        <v>3</v>
      </c>
      <c r="B12" s="40" t="s">
        <v>3240</v>
      </c>
      <c r="C12" s="40" t="s">
        <v>25</v>
      </c>
      <c r="D12" s="40" t="s">
        <v>141</v>
      </c>
      <c r="E12" s="40" t="s">
        <v>27</v>
      </c>
      <c r="F12" s="40"/>
      <c r="G12" s="40" t="s">
        <v>1114</v>
      </c>
      <c r="H12" s="44">
        <v>50</v>
      </c>
      <c r="I12" s="41">
        <v>400</v>
      </c>
      <c r="J12" s="40" t="s">
        <v>30</v>
      </c>
      <c r="K12" s="40" t="s">
        <v>31</v>
      </c>
      <c r="M12" s="157">
        <v>150</v>
      </c>
    </row>
    <row r="13" spans="1:17">
      <c r="A13" s="42">
        <v>3</v>
      </c>
      <c r="B13" s="40" t="s">
        <v>3241</v>
      </c>
      <c r="C13" s="40" t="s">
        <v>25</v>
      </c>
      <c r="D13" s="40" t="s">
        <v>3242</v>
      </c>
      <c r="E13" s="40" t="s">
        <v>870</v>
      </c>
      <c r="F13" s="40"/>
      <c r="G13" s="40" t="s">
        <v>29</v>
      </c>
      <c r="H13" s="44">
        <v>500</v>
      </c>
      <c r="I13" s="41">
        <v>100</v>
      </c>
      <c r="J13" s="40" t="s">
        <v>30</v>
      </c>
      <c r="K13" s="40" t="s">
        <v>31</v>
      </c>
      <c r="M13" s="157">
        <v>300</v>
      </c>
      <c r="P13" s="552" t="s">
        <v>3243</v>
      </c>
      <c r="Q13" s="553"/>
    </row>
    <row r="14" spans="1:17">
      <c r="A14" s="42">
        <v>3</v>
      </c>
      <c r="B14" s="40" t="s">
        <v>3244</v>
      </c>
      <c r="C14" s="40" t="s">
        <v>59</v>
      </c>
      <c r="D14" s="40" t="s">
        <v>2075</v>
      </c>
      <c r="E14" s="40" t="s">
        <v>50</v>
      </c>
      <c r="F14" s="40"/>
      <c r="G14" s="40" t="s">
        <v>29</v>
      </c>
      <c r="H14" s="44">
        <v>500</v>
      </c>
      <c r="I14" s="41">
        <v>100</v>
      </c>
      <c r="J14" s="40" t="s">
        <v>30</v>
      </c>
      <c r="K14" s="40" t="s">
        <v>31</v>
      </c>
      <c r="M14" s="157">
        <v>300</v>
      </c>
      <c r="P14" s="157" t="s">
        <v>639</v>
      </c>
      <c r="Q14" s="45">
        <f>SUM(H13:H20,H22:H33,H34:H63,H65:H72,H74,H76:H77,H79:H100,H102:H106,H108:H109,H112:H117,H119:H122,H124:H131,H133:H134,H137:H149,H151:H156,H158:H159,H161:H166,H168:H169,H172:H178,H180,H182,H184:H188,H191:H195,H197,H199:H200,H202,H204:H205,H207,H209)</f>
        <v>508200</v>
      </c>
    </row>
    <row r="15" spans="1:17">
      <c r="A15" s="42">
        <v>3</v>
      </c>
      <c r="B15" s="40" t="s">
        <v>3245</v>
      </c>
      <c r="C15" s="40" t="s">
        <v>25</v>
      </c>
      <c r="D15" s="40" t="s">
        <v>303</v>
      </c>
      <c r="E15" s="40" t="s">
        <v>96</v>
      </c>
      <c r="F15" s="40"/>
      <c r="G15" s="40" t="s">
        <v>29</v>
      </c>
      <c r="H15" s="44">
        <v>700</v>
      </c>
      <c r="I15" s="41">
        <v>140</v>
      </c>
      <c r="J15" s="40" t="s">
        <v>30</v>
      </c>
      <c r="K15" s="40" t="s">
        <v>31</v>
      </c>
      <c r="M15" s="157">
        <v>100</v>
      </c>
      <c r="P15" s="157" t="s">
        <v>642</v>
      </c>
      <c r="Q15" s="157">
        <v>500</v>
      </c>
    </row>
    <row r="16" spans="1:17">
      <c r="A16" s="42">
        <v>3</v>
      </c>
      <c r="B16" s="40" t="s">
        <v>3246</v>
      </c>
      <c r="C16" s="40" t="s">
        <v>25</v>
      </c>
      <c r="D16" s="40" t="s">
        <v>836</v>
      </c>
      <c r="E16" s="40" t="s">
        <v>42</v>
      </c>
      <c r="F16" s="40"/>
      <c r="G16" s="40" t="s">
        <v>29</v>
      </c>
      <c r="H16" s="44">
        <v>800</v>
      </c>
      <c r="I16" s="41">
        <v>160</v>
      </c>
      <c r="J16" s="40" t="s">
        <v>30</v>
      </c>
      <c r="K16" s="40" t="s">
        <v>31</v>
      </c>
      <c r="M16" s="157">
        <v>1000</v>
      </c>
      <c r="P16" s="157" t="s">
        <v>1872</v>
      </c>
      <c r="Q16" s="45">
        <f>SUM(H12,H21,H64,H73,H78,H101,H107,H111,H118,H123,H132,H135:H136,H150,H170:H171,H179,H190,H196,H206,H211)</f>
        <v>926</v>
      </c>
    </row>
    <row r="17" spans="1:22">
      <c r="A17" s="42">
        <v>3</v>
      </c>
      <c r="B17" s="40" t="s">
        <v>3247</v>
      </c>
      <c r="C17" s="40" t="s">
        <v>59</v>
      </c>
      <c r="D17" s="40" t="s">
        <v>1704</v>
      </c>
      <c r="E17" s="40" t="s">
        <v>38</v>
      </c>
      <c r="F17" s="40"/>
      <c r="G17" s="40" t="s">
        <v>29</v>
      </c>
      <c r="H17" s="44">
        <v>1000</v>
      </c>
      <c r="I17" s="41">
        <v>200</v>
      </c>
      <c r="J17" s="40" t="s">
        <v>30</v>
      </c>
      <c r="K17" s="40" t="s">
        <v>31</v>
      </c>
      <c r="M17" s="157">
        <v>1000</v>
      </c>
      <c r="P17" s="157" t="s">
        <v>3248</v>
      </c>
      <c r="Q17" s="65">
        <f>SUM(H110,H157,H160,H167,H181,H183,H189,H198,H201,H203,H208,H210)</f>
        <v>11000</v>
      </c>
    </row>
    <row r="18" spans="1:22">
      <c r="A18" s="42">
        <v>3</v>
      </c>
      <c r="B18" s="40" t="s">
        <v>3249</v>
      </c>
      <c r="C18" s="40" t="s">
        <v>59</v>
      </c>
      <c r="D18" s="40" t="s">
        <v>303</v>
      </c>
      <c r="E18" s="40" t="s">
        <v>96</v>
      </c>
      <c r="F18" s="40"/>
      <c r="G18" s="40" t="s">
        <v>29</v>
      </c>
      <c r="H18" s="44">
        <v>1000</v>
      </c>
      <c r="I18" s="41">
        <v>200</v>
      </c>
      <c r="J18" s="40" t="s">
        <v>30</v>
      </c>
      <c r="K18" s="40" t="s">
        <v>31</v>
      </c>
      <c r="M18" s="157">
        <v>1500</v>
      </c>
    </row>
    <row r="19" spans="1:22">
      <c r="A19" s="42">
        <v>3</v>
      </c>
      <c r="B19" s="40" t="s">
        <v>3250</v>
      </c>
      <c r="C19" s="40" t="s">
        <v>59</v>
      </c>
      <c r="D19" s="40" t="s">
        <v>169</v>
      </c>
      <c r="E19" s="40" t="s">
        <v>42</v>
      </c>
      <c r="F19" s="40"/>
      <c r="G19" s="40" t="s">
        <v>29</v>
      </c>
      <c r="H19" s="44">
        <v>1500</v>
      </c>
      <c r="I19" s="41">
        <v>300</v>
      </c>
      <c r="J19" s="40" t="s">
        <v>30</v>
      </c>
      <c r="K19" s="40" t="s">
        <v>31</v>
      </c>
      <c r="M19" s="157">
        <v>1000</v>
      </c>
      <c r="Q19" s="410">
        <f>SUM(Q14:Q18)</f>
        <v>520626</v>
      </c>
    </row>
    <row r="20" spans="1:22">
      <c r="A20" s="42">
        <v>3</v>
      </c>
      <c r="B20" s="40" t="s">
        <v>3251</v>
      </c>
      <c r="C20" s="40" t="s">
        <v>25</v>
      </c>
      <c r="D20" s="40" t="s">
        <v>63</v>
      </c>
      <c r="E20" s="40" t="s">
        <v>249</v>
      </c>
      <c r="F20" s="40"/>
      <c r="G20" s="40" t="s">
        <v>29</v>
      </c>
      <c r="H20" s="44">
        <v>1500</v>
      </c>
      <c r="I20" s="41">
        <v>300</v>
      </c>
      <c r="J20" s="40" t="s">
        <v>30</v>
      </c>
      <c r="K20" s="40" t="s">
        <v>31</v>
      </c>
      <c r="M20" s="157">
        <v>1300</v>
      </c>
    </row>
    <row r="21" spans="1:22" ht="15.75" customHeight="1">
      <c r="A21" s="42"/>
      <c r="B21" s="40"/>
      <c r="C21" s="40"/>
      <c r="D21" s="40"/>
      <c r="E21" s="40"/>
      <c r="F21" s="40"/>
      <c r="G21" s="40" t="s">
        <v>1114</v>
      </c>
      <c r="H21" s="44">
        <v>20</v>
      </c>
      <c r="I21" s="41">
        <v>100</v>
      </c>
      <c r="J21" s="40" t="s">
        <v>30</v>
      </c>
      <c r="K21" s="40" t="s">
        <v>31</v>
      </c>
      <c r="M21" s="157">
        <v>600</v>
      </c>
    </row>
    <row r="22" spans="1:22" ht="15.75" customHeight="1">
      <c r="A22" s="42">
        <v>3</v>
      </c>
      <c r="B22" s="40" t="s">
        <v>3252</v>
      </c>
      <c r="C22" s="40" t="s">
        <v>25</v>
      </c>
      <c r="D22" s="40" t="s">
        <v>55</v>
      </c>
      <c r="E22" s="40" t="s">
        <v>56</v>
      </c>
      <c r="F22" s="40"/>
      <c r="G22" s="40" t="s">
        <v>29</v>
      </c>
      <c r="H22" s="44">
        <v>1500</v>
      </c>
      <c r="I22" s="41">
        <v>300</v>
      </c>
      <c r="J22" s="40" t="s">
        <v>30</v>
      </c>
      <c r="K22" s="40" t="s">
        <v>31</v>
      </c>
      <c r="M22" s="157">
        <v>5000</v>
      </c>
    </row>
    <row r="23" spans="1:22" ht="15.75" customHeight="1">
      <c r="A23" s="42">
        <v>3</v>
      </c>
      <c r="B23" s="40" t="s">
        <v>3253</v>
      </c>
      <c r="C23" s="40" t="s">
        <v>59</v>
      </c>
      <c r="D23" s="40" t="s">
        <v>110</v>
      </c>
      <c r="E23" s="40" t="s">
        <v>111</v>
      </c>
      <c r="F23" s="40"/>
      <c r="G23" s="40" t="s">
        <v>29</v>
      </c>
      <c r="H23" s="44">
        <v>4000</v>
      </c>
      <c r="I23" s="41">
        <v>800</v>
      </c>
      <c r="J23" s="40" t="s">
        <v>30</v>
      </c>
      <c r="K23" s="40" t="s">
        <v>31</v>
      </c>
      <c r="M23" s="157">
        <v>10000</v>
      </c>
    </row>
    <row r="24" spans="1:22" ht="15.75" customHeight="1">
      <c r="A24" s="42">
        <v>3</v>
      </c>
      <c r="B24" s="40" t="s">
        <v>3254</v>
      </c>
      <c r="C24" s="40" t="s">
        <v>25</v>
      </c>
      <c r="D24" s="40" t="s">
        <v>3255</v>
      </c>
      <c r="E24" s="40" t="s">
        <v>311</v>
      </c>
      <c r="F24" s="40"/>
      <c r="G24" s="40" t="s">
        <v>29</v>
      </c>
      <c r="H24" s="44">
        <v>3000</v>
      </c>
      <c r="I24" s="41">
        <v>600</v>
      </c>
      <c r="J24" s="40" t="s">
        <v>30</v>
      </c>
      <c r="K24" s="40" t="s">
        <v>31</v>
      </c>
      <c r="M24" s="157">
        <v>300</v>
      </c>
      <c r="R24" s="608" t="s">
        <v>3256</v>
      </c>
      <c r="S24" s="576"/>
      <c r="U24" s="608" t="s">
        <v>3257</v>
      </c>
      <c r="V24" s="576"/>
    </row>
    <row r="25" spans="1:22" ht="15.75" customHeight="1">
      <c r="A25" s="42">
        <v>3</v>
      </c>
      <c r="B25" s="40" t="s">
        <v>3258</v>
      </c>
      <c r="C25" s="40" t="s">
        <v>25</v>
      </c>
      <c r="D25" s="40" t="s">
        <v>3259</v>
      </c>
      <c r="E25" s="40" t="s">
        <v>130</v>
      </c>
      <c r="F25" s="40"/>
      <c r="G25" s="40" t="s">
        <v>29</v>
      </c>
      <c r="H25" s="44">
        <v>3000</v>
      </c>
      <c r="I25" s="41">
        <v>600</v>
      </c>
      <c r="J25" s="40" t="s">
        <v>30</v>
      </c>
      <c r="K25" s="40" t="s">
        <v>31</v>
      </c>
      <c r="M25" s="157">
        <v>150</v>
      </c>
      <c r="R25" s="157" t="s">
        <v>639</v>
      </c>
      <c r="S25" s="45">
        <v>407550</v>
      </c>
      <c r="U25" s="157" t="s">
        <v>639</v>
      </c>
      <c r="V25" s="65">
        <f>SUM(H143:H149,H151:H156,H158:H159,H161:H166,H168:H169,H172:H178,H180,H182,H184:H188,H191:H195,H197,H199:H200,H202,H204:H205,H207,H209)</f>
        <v>120650</v>
      </c>
    </row>
    <row r="26" spans="1:22" ht="15.75" customHeight="1">
      <c r="A26" s="42">
        <v>3</v>
      </c>
      <c r="B26" s="40" t="s">
        <v>3260</v>
      </c>
      <c r="C26" s="40" t="s">
        <v>25</v>
      </c>
      <c r="D26" s="40" t="s">
        <v>206</v>
      </c>
      <c r="E26" s="40" t="s">
        <v>96</v>
      </c>
      <c r="F26" s="40"/>
      <c r="G26" s="40" t="s">
        <v>29</v>
      </c>
      <c r="H26" s="44">
        <v>3000</v>
      </c>
      <c r="I26" s="41">
        <v>600</v>
      </c>
      <c r="J26" s="40" t="s">
        <v>30</v>
      </c>
      <c r="K26" s="40" t="s">
        <v>31</v>
      </c>
      <c r="M26" s="157">
        <v>400</v>
      </c>
      <c r="R26" s="157" t="s">
        <v>642</v>
      </c>
      <c r="S26" s="45">
        <v>66000</v>
      </c>
      <c r="U26" s="157" t="s">
        <v>642</v>
      </c>
      <c r="V26" s="157">
        <v>0</v>
      </c>
    </row>
    <row r="27" spans="1:22" ht="15.75" customHeight="1">
      <c r="A27" s="42">
        <v>3</v>
      </c>
      <c r="B27" s="40" t="s">
        <v>3261</v>
      </c>
      <c r="C27" s="40" t="s">
        <v>25</v>
      </c>
      <c r="D27" s="40" t="s">
        <v>3262</v>
      </c>
      <c r="E27" s="40" t="s">
        <v>318</v>
      </c>
      <c r="F27" s="40"/>
      <c r="G27" s="40" t="s">
        <v>29</v>
      </c>
      <c r="H27" s="44">
        <v>5000</v>
      </c>
      <c r="I27" s="41">
        <v>1000</v>
      </c>
      <c r="J27" s="40" t="s">
        <v>30</v>
      </c>
      <c r="K27" s="40" t="s">
        <v>31</v>
      </c>
      <c r="M27" s="157">
        <v>300</v>
      </c>
      <c r="R27" s="157" t="s">
        <v>1872</v>
      </c>
      <c r="S27" s="45">
        <f>SUM(H12,H21,H64,H73,H78,H101,H107,H111,H118,H123,H132,H135:H136)</f>
        <v>586</v>
      </c>
      <c r="U27" s="157" t="s">
        <v>1872</v>
      </c>
      <c r="V27" s="65">
        <f>SUM(H150,H170:H171,H179,H190,H196,H206,H211)</f>
        <v>340</v>
      </c>
    </row>
    <row r="28" spans="1:22" ht="15.75" customHeight="1">
      <c r="A28" s="42">
        <v>3</v>
      </c>
      <c r="B28" s="40" t="s">
        <v>224</v>
      </c>
      <c r="C28" s="40" t="s">
        <v>25</v>
      </c>
      <c r="D28" s="40" t="s">
        <v>63</v>
      </c>
      <c r="E28" s="40" t="s">
        <v>103</v>
      </c>
      <c r="F28" s="40"/>
      <c r="G28" s="40" t="s">
        <v>29</v>
      </c>
      <c r="H28" s="44">
        <v>5000</v>
      </c>
      <c r="I28" s="41">
        <v>1000</v>
      </c>
      <c r="J28" s="40" t="s">
        <v>30</v>
      </c>
      <c r="K28" s="40" t="s">
        <v>31</v>
      </c>
      <c r="M28" s="157">
        <v>400</v>
      </c>
      <c r="R28" s="157" t="s">
        <v>3248</v>
      </c>
      <c r="S28" s="65">
        <f>SUM(H110)</f>
        <v>200</v>
      </c>
      <c r="U28" s="157" t="s">
        <v>3248</v>
      </c>
      <c r="V28" s="65">
        <f>SUM(H157,H160,H167,H181,H183,H189,H198,H201,H203,H208,H210)</f>
        <v>10800</v>
      </c>
    </row>
    <row r="29" spans="1:22" ht="15.75" customHeight="1">
      <c r="A29" s="42">
        <v>3</v>
      </c>
      <c r="B29" s="40" t="s">
        <v>3263</v>
      </c>
      <c r="C29" s="40" t="s">
        <v>25</v>
      </c>
      <c r="D29" s="40" t="s">
        <v>258</v>
      </c>
      <c r="E29" s="40" t="s">
        <v>130</v>
      </c>
      <c r="F29" s="40"/>
      <c r="G29" s="40" t="s">
        <v>29</v>
      </c>
      <c r="H29" s="44">
        <v>8000</v>
      </c>
      <c r="I29" s="41">
        <v>1600</v>
      </c>
      <c r="J29" s="40" t="s">
        <v>30</v>
      </c>
      <c r="K29" s="40" t="s">
        <v>31</v>
      </c>
      <c r="M29" s="157">
        <v>3000</v>
      </c>
      <c r="S29" s="173"/>
    </row>
    <row r="30" spans="1:22" ht="15.75" customHeight="1">
      <c r="A30" s="42">
        <v>3</v>
      </c>
      <c r="B30" s="40" t="s">
        <v>3264</v>
      </c>
      <c r="C30" s="40" t="s">
        <v>25</v>
      </c>
      <c r="D30" s="40" t="s">
        <v>3265</v>
      </c>
      <c r="E30" s="40" t="s">
        <v>130</v>
      </c>
      <c r="F30" s="40"/>
      <c r="G30" s="40" t="s">
        <v>29</v>
      </c>
      <c r="H30" s="44">
        <v>12000</v>
      </c>
      <c r="I30" s="41">
        <v>2400</v>
      </c>
      <c r="J30" s="40" t="s">
        <v>30</v>
      </c>
      <c r="K30" s="40" t="s">
        <v>31</v>
      </c>
      <c r="M30" s="157">
        <v>300</v>
      </c>
    </row>
    <row r="31" spans="1:22" ht="15.75" customHeight="1">
      <c r="A31" s="42">
        <v>3</v>
      </c>
      <c r="B31" s="40" t="s">
        <v>3266</v>
      </c>
      <c r="C31" s="40" t="s">
        <v>25</v>
      </c>
      <c r="D31" s="40" t="s">
        <v>86</v>
      </c>
      <c r="E31" s="40" t="s">
        <v>42</v>
      </c>
      <c r="F31" s="40"/>
      <c r="G31" s="40" t="s">
        <v>29</v>
      </c>
      <c r="H31" s="44">
        <v>18000</v>
      </c>
      <c r="I31" s="41">
        <v>3600</v>
      </c>
      <c r="J31" s="40" t="s">
        <v>30</v>
      </c>
      <c r="K31" s="40" t="s">
        <v>31</v>
      </c>
      <c r="M31" s="157">
        <v>1500</v>
      </c>
    </row>
    <row r="32" spans="1:22" ht="15.75" customHeight="1">
      <c r="A32" s="42">
        <v>3</v>
      </c>
      <c r="B32" s="40" t="s">
        <v>3267</v>
      </c>
      <c r="C32" s="40" t="s">
        <v>25</v>
      </c>
      <c r="D32" s="40" t="s">
        <v>735</v>
      </c>
      <c r="E32" s="40" t="s">
        <v>318</v>
      </c>
      <c r="F32" s="40"/>
      <c r="G32" s="40" t="s">
        <v>29</v>
      </c>
      <c r="H32" s="44">
        <v>10000</v>
      </c>
      <c r="I32" s="41">
        <v>2000</v>
      </c>
      <c r="J32" s="40" t="s">
        <v>30</v>
      </c>
      <c r="K32" s="40" t="s">
        <v>31</v>
      </c>
      <c r="M32" s="157">
        <v>300</v>
      </c>
    </row>
    <row r="33" spans="1:26" ht="15.75" customHeight="1">
      <c r="A33" s="42">
        <v>3</v>
      </c>
      <c r="B33" s="40" t="s">
        <v>1569</v>
      </c>
      <c r="C33" s="40" t="s">
        <v>25</v>
      </c>
      <c r="D33" s="40" t="s">
        <v>86</v>
      </c>
      <c r="E33" s="40" t="s">
        <v>42</v>
      </c>
      <c r="F33" s="40"/>
      <c r="G33" s="40" t="s">
        <v>29</v>
      </c>
      <c r="H33" s="44">
        <v>10000</v>
      </c>
      <c r="I33" s="41">
        <v>2000</v>
      </c>
      <c r="J33" s="40" t="s">
        <v>30</v>
      </c>
      <c r="K33" s="40" t="s">
        <v>31</v>
      </c>
      <c r="M33" s="157">
        <v>150</v>
      </c>
    </row>
    <row r="34" spans="1:26" ht="15.75" customHeight="1">
      <c r="A34" s="42">
        <v>3</v>
      </c>
      <c r="B34" s="40" t="s">
        <v>3268</v>
      </c>
      <c r="C34" s="40" t="s">
        <v>25</v>
      </c>
      <c r="D34" s="40" t="s">
        <v>2471</v>
      </c>
      <c r="E34" s="40" t="s">
        <v>130</v>
      </c>
      <c r="F34" s="40"/>
      <c r="G34" s="40" t="s">
        <v>29</v>
      </c>
      <c r="H34" s="44">
        <v>10000</v>
      </c>
      <c r="I34" s="41">
        <v>2000</v>
      </c>
      <c r="J34" s="40" t="s">
        <v>30</v>
      </c>
      <c r="K34" s="40" t="s">
        <v>31</v>
      </c>
      <c r="M34" s="157">
        <v>200</v>
      </c>
    </row>
    <row r="35" spans="1:26" ht="15.75" customHeight="1">
      <c r="A35" s="42">
        <v>4</v>
      </c>
      <c r="B35" s="40" t="s">
        <v>3269</v>
      </c>
      <c r="C35" s="40" t="s">
        <v>25</v>
      </c>
      <c r="D35" s="40" t="s">
        <v>3046</v>
      </c>
      <c r="E35" s="40" t="s">
        <v>141</v>
      </c>
      <c r="F35" s="40"/>
      <c r="G35" s="40" t="s">
        <v>29</v>
      </c>
      <c r="H35" s="44">
        <v>10000</v>
      </c>
      <c r="I35" s="41">
        <v>2000</v>
      </c>
      <c r="J35" s="40" t="s">
        <v>30</v>
      </c>
      <c r="K35" s="40" t="s">
        <v>31</v>
      </c>
      <c r="M35" s="157">
        <v>800</v>
      </c>
    </row>
    <row r="36" spans="1:26" ht="15.75" customHeight="1">
      <c r="A36" s="42">
        <v>4</v>
      </c>
      <c r="B36" s="40" t="s">
        <v>3270</v>
      </c>
      <c r="C36" s="40" t="s">
        <v>25</v>
      </c>
      <c r="D36" s="40" t="s">
        <v>3271</v>
      </c>
      <c r="E36" s="40" t="s">
        <v>130</v>
      </c>
      <c r="F36" s="40"/>
      <c r="G36" s="40" t="s">
        <v>29</v>
      </c>
      <c r="H36" s="44">
        <v>2000</v>
      </c>
      <c r="I36" s="41">
        <v>400</v>
      </c>
      <c r="J36" s="40" t="s">
        <v>30</v>
      </c>
      <c r="K36" s="40" t="s">
        <v>31</v>
      </c>
      <c r="M36" s="157">
        <v>40</v>
      </c>
    </row>
    <row r="37" spans="1:26" ht="15.75" customHeight="1">
      <c r="A37" s="42">
        <v>4</v>
      </c>
      <c r="B37" s="40" t="s">
        <v>944</v>
      </c>
      <c r="C37" s="40" t="s">
        <v>25</v>
      </c>
      <c r="D37" s="40" t="s">
        <v>63</v>
      </c>
      <c r="E37" s="40" t="s">
        <v>38</v>
      </c>
      <c r="F37" s="40"/>
      <c r="G37" s="40" t="s">
        <v>29</v>
      </c>
      <c r="H37" s="44">
        <v>10000</v>
      </c>
      <c r="I37" s="41">
        <v>2000</v>
      </c>
      <c r="J37" s="40" t="s">
        <v>30</v>
      </c>
      <c r="K37" s="40" t="s">
        <v>31</v>
      </c>
      <c r="M37" s="157">
        <v>12</v>
      </c>
    </row>
    <row r="38" spans="1:26" ht="15.75" customHeight="1">
      <c r="A38" s="42">
        <v>4</v>
      </c>
      <c r="B38" s="40" t="s">
        <v>1384</v>
      </c>
      <c r="C38" s="40" t="s">
        <v>59</v>
      </c>
      <c r="D38" s="40" t="s">
        <v>86</v>
      </c>
      <c r="E38" s="40" t="s">
        <v>42</v>
      </c>
      <c r="F38" s="40"/>
      <c r="G38" s="40" t="s">
        <v>29</v>
      </c>
      <c r="H38" s="44">
        <v>20000</v>
      </c>
      <c r="I38" s="41">
        <v>4000</v>
      </c>
      <c r="J38" s="40" t="s">
        <v>30</v>
      </c>
      <c r="K38" s="40" t="s">
        <v>31</v>
      </c>
      <c r="M38" s="157">
        <v>300</v>
      </c>
    </row>
    <row r="39" spans="1:26" ht="15.75" customHeight="1">
      <c r="A39" s="42">
        <v>4</v>
      </c>
      <c r="B39" s="40" t="s">
        <v>3272</v>
      </c>
      <c r="C39" s="40" t="s">
        <v>59</v>
      </c>
      <c r="D39" s="40" t="s">
        <v>3273</v>
      </c>
      <c r="E39" s="40" t="s">
        <v>1049</v>
      </c>
      <c r="F39" s="40"/>
      <c r="G39" s="40" t="s">
        <v>29</v>
      </c>
      <c r="H39" s="44">
        <v>6000</v>
      </c>
      <c r="I39" s="41">
        <v>1200</v>
      </c>
      <c r="J39" s="40" t="s">
        <v>30</v>
      </c>
      <c r="K39" s="40" t="s">
        <v>31</v>
      </c>
      <c r="M39" s="157">
        <v>1600</v>
      </c>
    </row>
    <row r="40" spans="1:26" ht="15.75" customHeight="1">
      <c r="A40" s="42">
        <v>4</v>
      </c>
      <c r="B40" s="40" t="s">
        <v>3274</v>
      </c>
      <c r="C40" s="40" t="s">
        <v>25</v>
      </c>
      <c r="D40" s="40" t="s">
        <v>532</v>
      </c>
      <c r="E40" s="40" t="s">
        <v>27</v>
      </c>
      <c r="F40" s="40"/>
      <c r="G40" s="40" t="s">
        <v>29</v>
      </c>
      <c r="H40" s="44">
        <v>2500</v>
      </c>
      <c r="I40" s="41">
        <v>500</v>
      </c>
      <c r="J40" s="40" t="s">
        <v>30</v>
      </c>
      <c r="K40" s="40" t="s">
        <v>31</v>
      </c>
      <c r="M40" s="157">
        <v>10000</v>
      </c>
    </row>
    <row r="41" spans="1:26" ht="15.75" customHeight="1">
      <c r="A41" s="42">
        <v>4</v>
      </c>
      <c r="B41" s="40" t="s">
        <v>595</v>
      </c>
      <c r="C41" s="40" t="s">
        <v>25</v>
      </c>
      <c r="D41" s="40" t="s">
        <v>89</v>
      </c>
      <c r="E41" s="40" t="s">
        <v>46</v>
      </c>
      <c r="F41" s="40"/>
      <c r="G41" s="40" t="s">
        <v>29</v>
      </c>
      <c r="H41" s="44">
        <v>900</v>
      </c>
      <c r="I41" s="41">
        <v>180</v>
      </c>
      <c r="J41" s="40" t="s">
        <v>30</v>
      </c>
      <c r="K41" s="40" t="s">
        <v>31</v>
      </c>
      <c r="M41" s="157">
        <v>300</v>
      </c>
    </row>
    <row r="42" spans="1:26" ht="15.75" customHeight="1">
      <c r="A42" s="42">
        <v>4</v>
      </c>
      <c r="B42" s="40" t="s">
        <v>3275</v>
      </c>
      <c r="C42" s="40" t="s">
        <v>25</v>
      </c>
      <c r="D42" s="40" t="s">
        <v>45</v>
      </c>
      <c r="E42" s="40" t="s">
        <v>46</v>
      </c>
      <c r="F42" s="40"/>
      <c r="G42" s="40" t="s">
        <v>29</v>
      </c>
      <c r="H42" s="44">
        <v>700</v>
      </c>
      <c r="I42" s="41">
        <v>140</v>
      </c>
      <c r="J42" s="40" t="s">
        <v>30</v>
      </c>
      <c r="K42" s="40" t="s">
        <v>31</v>
      </c>
      <c r="L42" s="1"/>
      <c r="M42" s="1">
        <v>300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42">
        <v>4</v>
      </c>
      <c r="B43" s="40" t="s">
        <v>3276</v>
      </c>
      <c r="C43" s="40" t="s">
        <v>25</v>
      </c>
      <c r="D43" s="40" t="s">
        <v>3277</v>
      </c>
      <c r="E43" s="40" t="s">
        <v>38</v>
      </c>
      <c r="F43" s="40"/>
      <c r="G43" s="40" t="s">
        <v>29</v>
      </c>
      <c r="H43" s="44">
        <v>1500</v>
      </c>
      <c r="I43" s="41">
        <v>300</v>
      </c>
      <c r="J43" s="40" t="s">
        <v>30</v>
      </c>
      <c r="K43" s="40" t="s">
        <v>31</v>
      </c>
      <c r="M43" s="1">
        <v>1200</v>
      </c>
    </row>
    <row r="44" spans="1:26" ht="15.75" customHeight="1">
      <c r="A44" s="42">
        <v>4</v>
      </c>
      <c r="B44" s="40" t="s">
        <v>1559</v>
      </c>
      <c r="C44" s="40" t="s">
        <v>59</v>
      </c>
      <c r="D44" s="40" t="s">
        <v>110</v>
      </c>
      <c r="E44" s="40" t="s">
        <v>111</v>
      </c>
      <c r="F44" s="40"/>
      <c r="G44" s="40" t="s">
        <v>29</v>
      </c>
      <c r="H44" s="44">
        <v>5000</v>
      </c>
      <c r="I44" s="41">
        <v>1000</v>
      </c>
      <c r="J44" s="40" t="s">
        <v>30</v>
      </c>
      <c r="K44" s="40" t="s">
        <v>31</v>
      </c>
      <c r="M44" s="1">
        <v>400</v>
      </c>
    </row>
    <row r="45" spans="1:26" ht="15.75" customHeight="1">
      <c r="A45" s="42">
        <v>4</v>
      </c>
      <c r="B45" s="40" t="s">
        <v>3278</v>
      </c>
      <c r="C45" s="40" t="s">
        <v>25</v>
      </c>
      <c r="D45" s="40" t="s">
        <v>37</v>
      </c>
      <c r="E45" s="40" t="s">
        <v>38</v>
      </c>
      <c r="F45" s="40"/>
      <c r="G45" s="40" t="s">
        <v>29</v>
      </c>
      <c r="H45" s="44">
        <v>500</v>
      </c>
      <c r="I45" s="41">
        <v>100</v>
      </c>
      <c r="J45" s="40" t="s">
        <v>30</v>
      </c>
      <c r="K45" s="40" t="s">
        <v>31</v>
      </c>
      <c r="M45" s="1">
        <v>15</v>
      </c>
    </row>
    <row r="46" spans="1:26" ht="15.75" customHeight="1">
      <c r="A46" s="42">
        <v>4</v>
      </c>
      <c r="B46" s="40" t="s">
        <v>3279</v>
      </c>
      <c r="C46" s="40" t="s">
        <v>25</v>
      </c>
      <c r="D46" s="40" t="s">
        <v>74</v>
      </c>
      <c r="E46" s="40" t="s">
        <v>38</v>
      </c>
      <c r="F46" s="40"/>
      <c r="G46" s="40" t="s">
        <v>29</v>
      </c>
      <c r="H46" s="44">
        <v>3000</v>
      </c>
      <c r="I46" s="41">
        <v>600</v>
      </c>
      <c r="J46" s="40" t="s">
        <v>30</v>
      </c>
      <c r="K46" s="40" t="s">
        <v>31</v>
      </c>
      <c r="M46" s="1">
        <v>50</v>
      </c>
    </row>
    <row r="47" spans="1:26" ht="15.75" customHeight="1">
      <c r="A47" s="42">
        <v>5</v>
      </c>
      <c r="B47" s="40" t="s">
        <v>3280</v>
      </c>
      <c r="C47" s="40" t="s">
        <v>25</v>
      </c>
      <c r="D47" s="40" t="s">
        <v>68</v>
      </c>
      <c r="E47" s="40" t="s">
        <v>38</v>
      </c>
      <c r="F47" s="40"/>
      <c r="G47" s="40" t="s">
        <v>29</v>
      </c>
      <c r="H47" s="44">
        <v>2000</v>
      </c>
      <c r="I47" s="41">
        <v>400</v>
      </c>
      <c r="J47" s="40" t="s">
        <v>30</v>
      </c>
      <c r="K47" s="40" t="s">
        <v>31</v>
      </c>
      <c r="M47" s="1">
        <v>15</v>
      </c>
    </row>
    <row r="48" spans="1:26" ht="15.75" customHeight="1">
      <c r="A48" s="42">
        <v>5</v>
      </c>
      <c r="B48" s="40" t="s">
        <v>3281</v>
      </c>
      <c r="C48" s="40" t="s">
        <v>25</v>
      </c>
      <c r="D48" s="40" t="s">
        <v>1390</v>
      </c>
      <c r="E48" s="40" t="s">
        <v>50</v>
      </c>
      <c r="F48" s="40"/>
      <c r="G48" s="40" t="s">
        <v>29</v>
      </c>
      <c r="H48" s="44">
        <v>1500</v>
      </c>
      <c r="I48" s="41">
        <v>300</v>
      </c>
      <c r="J48" s="40" t="s">
        <v>30</v>
      </c>
      <c r="K48" s="40" t="s">
        <v>31</v>
      </c>
      <c r="M48" s="1">
        <v>15</v>
      </c>
    </row>
    <row r="49" spans="1:13" ht="15.75" customHeight="1">
      <c r="A49" s="42">
        <v>5</v>
      </c>
      <c r="B49" s="40" t="s">
        <v>3282</v>
      </c>
      <c r="C49" s="40" t="s">
        <v>25</v>
      </c>
      <c r="D49" s="40" t="s">
        <v>103</v>
      </c>
      <c r="E49" s="40" t="s">
        <v>38</v>
      </c>
      <c r="F49" s="40"/>
      <c r="G49" s="40" t="s">
        <v>29</v>
      </c>
      <c r="H49" s="44">
        <v>2000</v>
      </c>
      <c r="I49" s="41">
        <v>400</v>
      </c>
      <c r="J49" s="40" t="s">
        <v>30</v>
      </c>
      <c r="K49" s="40" t="s">
        <v>31</v>
      </c>
      <c r="M49" s="1">
        <v>100</v>
      </c>
    </row>
    <row r="50" spans="1:13" ht="15.75" customHeight="1">
      <c r="A50" s="431">
        <v>5</v>
      </c>
      <c r="B50" s="432" t="s">
        <v>3283</v>
      </c>
      <c r="C50" s="432" t="s">
        <v>59</v>
      </c>
      <c r="D50" s="432" t="s">
        <v>1371</v>
      </c>
      <c r="E50" s="432" t="s">
        <v>96</v>
      </c>
      <c r="F50" s="40"/>
      <c r="G50" s="40" t="s">
        <v>29</v>
      </c>
      <c r="H50" s="44">
        <v>2000</v>
      </c>
      <c r="I50" s="41">
        <v>400</v>
      </c>
      <c r="J50" s="432" t="s">
        <v>30</v>
      </c>
      <c r="K50" s="432" t="s">
        <v>31</v>
      </c>
      <c r="M50" s="1">
        <v>150</v>
      </c>
    </row>
    <row r="51" spans="1:13" ht="15.75" customHeight="1">
      <c r="A51" s="431">
        <v>5</v>
      </c>
      <c r="B51" s="432" t="s">
        <v>3284</v>
      </c>
      <c r="C51" s="432" t="s">
        <v>25</v>
      </c>
      <c r="D51" s="432" t="s">
        <v>103</v>
      </c>
      <c r="E51" s="432" t="s">
        <v>38</v>
      </c>
      <c r="F51" s="40"/>
      <c r="G51" s="40" t="s">
        <v>29</v>
      </c>
      <c r="H51" s="44">
        <v>2000</v>
      </c>
      <c r="I51" s="41">
        <v>400</v>
      </c>
      <c r="J51" s="432" t="s">
        <v>30</v>
      </c>
      <c r="K51" s="432" t="s">
        <v>31</v>
      </c>
      <c r="M51" s="1">
        <v>200</v>
      </c>
    </row>
    <row r="52" spans="1:13" ht="15.75" customHeight="1">
      <c r="A52" s="42">
        <v>5</v>
      </c>
      <c r="B52" s="40" t="s">
        <v>44</v>
      </c>
      <c r="C52" s="40" t="s">
        <v>25</v>
      </c>
      <c r="D52" s="40" t="s">
        <v>45</v>
      </c>
      <c r="E52" s="40" t="s">
        <v>46</v>
      </c>
      <c r="F52" s="40"/>
      <c r="G52" s="40" t="s">
        <v>29</v>
      </c>
      <c r="H52" s="44">
        <v>1000</v>
      </c>
      <c r="I52" s="41">
        <v>200</v>
      </c>
      <c r="J52" s="40" t="s">
        <v>30</v>
      </c>
      <c r="K52" s="40" t="s">
        <v>31</v>
      </c>
      <c r="M52" s="1">
        <v>100</v>
      </c>
    </row>
    <row r="53" spans="1:13" ht="15.75" customHeight="1">
      <c r="A53" s="42">
        <v>5</v>
      </c>
      <c r="B53" s="40" t="s">
        <v>3285</v>
      </c>
      <c r="C53" s="40" t="s">
        <v>25</v>
      </c>
      <c r="D53" s="40" t="s">
        <v>3286</v>
      </c>
      <c r="E53" s="40" t="s">
        <v>34</v>
      </c>
      <c r="F53" s="40"/>
      <c r="G53" s="40" t="s">
        <v>29</v>
      </c>
      <c r="H53" s="44">
        <v>2500</v>
      </c>
      <c r="I53" s="41">
        <v>500</v>
      </c>
      <c r="J53" s="40" t="s">
        <v>30</v>
      </c>
      <c r="K53" s="40" t="s">
        <v>31</v>
      </c>
      <c r="M53" s="1">
        <v>60</v>
      </c>
    </row>
    <row r="54" spans="1:13" ht="15.75" customHeight="1">
      <c r="A54" s="42">
        <v>5</v>
      </c>
      <c r="B54" s="40" t="s">
        <v>3287</v>
      </c>
      <c r="C54" s="40" t="s">
        <v>25</v>
      </c>
      <c r="D54" s="40" t="s">
        <v>63</v>
      </c>
      <c r="E54" s="40" t="s">
        <v>50</v>
      </c>
      <c r="F54" s="40"/>
      <c r="G54" s="40" t="s">
        <v>29</v>
      </c>
      <c r="H54" s="44">
        <v>2000</v>
      </c>
      <c r="I54" s="41">
        <v>400</v>
      </c>
      <c r="J54" s="40" t="s">
        <v>30</v>
      </c>
      <c r="K54" s="40" t="s">
        <v>31</v>
      </c>
      <c r="M54" s="1">
        <v>40</v>
      </c>
    </row>
    <row r="55" spans="1:13" ht="15.75" customHeight="1">
      <c r="A55" s="42">
        <v>5</v>
      </c>
      <c r="B55" s="40" t="s">
        <v>3288</v>
      </c>
      <c r="C55" s="40" t="s">
        <v>59</v>
      </c>
      <c r="D55" s="40" t="s">
        <v>185</v>
      </c>
      <c r="E55" s="40" t="s">
        <v>42</v>
      </c>
      <c r="F55" s="40"/>
      <c r="G55" s="40" t="s">
        <v>29</v>
      </c>
      <c r="H55" s="44">
        <v>1000</v>
      </c>
      <c r="I55" s="41">
        <v>200</v>
      </c>
      <c r="J55" s="40" t="s">
        <v>30</v>
      </c>
      <c r="K55" s="40" t="s">
        <v>31</v>
      </c>
      <c r="M55" s="1">
        <v>50</v>
      </c>
    </row>
    <row r="56" spans="1:13" ht="15.75" customHeight="1">
      <c r="A56" s="42">
        <v>5</v>
      </c>
      <c r="B56" s="40" t="s">
        <v>3289</v>
      </c>
      <c r="C56" s="40" t="s">
        <v>59</v>
      </c>
      <c r="D56" s="40" t="s">
        <v>548</v>
      </c>
      <c r="E56" s="40" t="s">
        <v>42</v>
      </c>
      <c r="F56" s="40"/>
      <c r="G56" s="40" t="s">
        <v>29</v>
      </c>
      <c r="H56" s="44">
        <v>400</v>
      </c>
      <c r="I56" s="41">
        <v>80</v>
      </c>
      <c r="J56" s="40" t="s">
        <v>30</v>
      </c>
      <c r="K56" s="40" t="s">
        <v>31</v>
      </c>
      <c r="M56" s="1">
        <v>200</v>
      </c>
    </row>
    <row r="57" spans="1:13" ht="15.75" customHeight="1">
      <c r="A57" s="42">
        <v>5</v>
      </c>
      <c r="B57" s="40" t="s">
        <v>1115</v>
      </c>
      <c r="C57" s="40" t="s">
        <v>59</v>
      </c>
      <c r="D57" s="40" t="s">
        <v>86</v>
      </c>
      <c r="E57" s="40" t="s">
        <v>42</v>
      </c>
      <c r="F57" s="40"/>
      <c r="G57" s="40" t="s">
        <v>29</v>
      </c>
      <c r="H57" s="44">
        <v>5000</v>
      </c>
      <c r="I57" s="41">
        <v>1000</v>
      </c>
      <c r="J57" s="40" t="s">
        <v>30</v>
      </c>
      <c r="K57" s="40" t="s">
        <v>31</v>
      </c>
      <c r="M57" s="1">
        <v>100</v>
      </c>
    </row>
    <row r="58" spans="1:13" ht="15.75" customHeight="1">
      <c r="A58" s="42">
        <v>6</v>
      </c>
      <c r="B58" s="40" t="s">
        <v>3290</v>
      </c>
      <c r="C58" s="40" t="s">
        <v>25</v>
      </c>
      <c r="D58" s="40" t="s">
        <v>74</v>
      </c>
      <c r="E58" s="40" t="s">
        <v>38</v>
      </c>
      <c r="F58" s="40"/>
      <c r="G58" s="40" t="s">
        <v>29</v>
      </c>
      <c r="H58" s="44">
        <v>2500</v>
      </c>
      <c r="I58" s="41">
        <v>500</v>
      </c>
      <c r="J58" s="40" t="s">
        <v>30</v>
      </c>
      <c r="K58" s="40" t="s">
        <v>31</v>
      </c>
      <c r="M58" s="1">
        <v>100</v>
      </c>
    </row>
    <row r="59" spans="1:13" ht="15.75" customHeight="1">
      <c r="A59" s="42">
        <v>6</v>
      </c>
      <c r="B59" s="40" t="s">
        <v>3291</v>
      </c>
      <c r="C59" s="40" t="s">
        <v>25</v>
      </c>
      <c r="D59" s="40" t="s">
        <v>612</v>
      </c>
      <c r="E59" s="40" t="s">
        <v>78</v>
      </c>
      <c r="F59" s="40"/>
      <c r="G59" s="40" t="s">
        <v>29</v>
      </c>
      <c r="H59" s="44">
        <v>2000</v>
      </c>
      <c r="I59" s="41">
        <v>400</v>
      </c>
      <c r="J59" s="40" t="s">
        <v>30</v>
      </c>
      <c r="K59" s="40" t="s">
        <v>31</v>
      </c>
      <c r="M59" s="1">
        <v>50</v>
      </c>
    </row>
    <row r="60" spans="1:13" ht="15.75" customHeight="1">
      <c r="A60" s="42">
        <v>6</v>
      </c>
      <c r="B60" s="40" t="s">
        <v>3292</v>
      </c>
      <c r="C60" s="40" t="s">
        <v>59</v>
      </c>
      <c r="D60" s="40" t="s">
        <v>855</v>
      </c>
      <c r="E60" s="40" t="s">
        <v>56</v>
      </c>
      <c r="F60" s="40"/>
      <c r="G60" s="40" t="s">
        <v>29</v>
      </c>
      <c r="H60" s="44">
        <v>10000</v>
      </c>
      <c r="I60" s="41">
        <v>2000</v>
      </c>
      <c r="J60" s="40" t="s">
        <v>30</v>
      </c>
      <c r="K60" s="40" t="s">
        <v>31</v>
      </c>
      <c r="M60" s="1">
        <v>100</v>
      </c>
    </row>
    <row r="61" spans="1:13" ht="15.75" customHeight="1">
      <c r="A61" s="42">
        <v>6</v>
      </c>
      <c r="B61" s="40" t="s">
        <v>3293</v>
      </c>
      <c r="C61" s="40" t="s">
        <v>59</v>
      </c>
      <c r="D61" s="40" t="s">
        <v>1675</v>
      </c>
      <c r="E61" s="40" t="s">
        <v>42</v>
      </c>
      <c r="F61" s="40"/>
      <c r="G61" s="40" t="s">
        <v>29</v>
      </c>
      <c r="H61" s="44">
        <v>2000</v>
      </c>
      <c r="I61" s="41">
        <v>400</v>
      </c>
      <c r="J61" s="40" t="s">
        <v>30</v>
      </c>
      <c r="K61" s="40" t="s">
        <v>31</v>
      </c>
      <c r="M61" s="1">
        <v>50</v>
      </c>
    </row>
    <row r="62" spans="1:13" ht="15.75" customHeight="1">
      <c r="A62" s="42">
        <v>6</v>
      </c>
      <c r="B62" s="40" t="s">
        <v>3294</v>
      </c>
      <c r="C62" s="40" t="s">
        <v>25</v>
      </c>
      <c r="D62" s="40" t="s">
        <v>195</v>
      </c>
      <c r="E62" s="40" t="s">
        <v>96</v>
      </c>
      <c r="F62" s="40"/>
      <c r="G62" s="40" t="s">
        <v>29</v>
      </c>
      <c r="H62" s="44">
        <v>1500</v>
      </c>
      <c r="I62" s="41">
        <v>300</v>
      </c>
      <c r="J62" s="40" t="s">
        <v>30</v>
      </c>
      <c r="K62" s="40" t="s">
        <v>31</v>
      </c>
      <c r="M62" s="1">
        <v>100</v>
      </c>
    </row>
    <row r="63" spans="1:13" ht="15.75" customHeight="1">
      <c r="A63" s="42">
        <v>6</v>
      </c>
      <c r="B63" s="40" t="s">
        <v>3295</v>
      </c>
      <c r="C63" s="40" t="s">
        <v>25</v>
      </c>
      <c r="D63" s="40" t="s">
        <v>3296</v>
      </c>
      <c r="E63" s="40" t="s">
        <v>533</v>
      </c>
      <c r="F63" s="40"/>
      <c r="G63" s="40" t="s">
        <v>29</v>
      </c>
      <c r="H63" s="44">
        <v>5000</v>
      </c>
      <c r="I63" s="41">
        <v>1000</v>
      </c>
      <c r="J63" s="40" t="s">
        <v>30</v>
      </c>
      <c r="K63" s="40" t="s">
        <v>31</v>
      </c>
      <c r="M63" s="1">
        <v>500</v>
      </c>
    </row>
    <row r="64" spans="1:13" ht="15.75" customHeight="1">
      <c r="A64" s="42">
        <v>6</v>
      </c>
      <c r="B64" s="40" t="s">
        <v>3297</v>
      </c>
      <c r="C64" s="40" t="s">
        <v>59</v>
      </c>
      <c r="D64" s="40" t="s">
        <v>155</v>
      </c>
      <c r="E64" s="40" t="s">
        <v>42</v>
      </c>
      <c r="F64" s="40"/>
      <c r="G64" s="40" t="s">
        <v>1114</v>
      </c>
      <c r="H64" s="44">
        <v>10</v>
      </c>
      <c r="I64" s="41">
        <v>50</v>
      </c>
      <c r="J64" s="40"/>
      <c r="K64" s="40" t="s">
        <v>31</v>
      </c>
      <c r="M64" s="1">
        <v>100</v>
      </c>
    </row>
    <row r="65" spans="1:13" ht="15.75" customHeight="1">
      <c r="A65" s="42">
        <v>6</v>
      </c>
      <c r="B65" s="40" t="s">
        <v>3298</v>
      </c>
      <c r="C65" s="40" t="s">
        <v>25</v>
      </c>
      <c r="D65" s="40" t="s">
        <v>3299</v>
      </c>
      <c r="E65" s="40" t="s">
        <v>42</v>
      </c>
      <c r="F65" s="40"/>
      <c r="G65" s="40" t="s">
        <v>29</v>
      </c>
      <c r="H65" s="44">
        <v>2500</v>
      </c>
      <c r="I65" s="41">
        <v>500</v>
      </c>
      <c r="J65" s="40" t="s">
        <v>30</v>
      </c>
      <c r="K65" s="40" t="s">
        <v>31</v>
      </c>
      <c r="M65" s="1">
        <v>800</v>
      </c>
    </row>
    <row r="66" spans="1:13" ht="15.75" customHeight="1">
      <c r="A66" s="42">
        <v>6</v>
      </c>
      <c r="B66" s="40" t="s">
        <v>3300</v>
      </c>
      <c r="C66" s="40" t="s">
        <v>25</v>
      </c>
      <c r="D66" s="40" t="s">
        <v>1190</v>
      </c>
      <c r="E66" s="40" t="s">
        <v>42</v>
      </c>
      <c r="F66" s="40"/>
      <c r="G66" s="40" t="s">
        <v>29</v>
      </c>
      <c r="H66" s="44">
        <v>3000</v>
      </c>
      <c r="I66" s="41">
        <v>600</v>
      </c>
      <c r="J66" s="40" t="s">
        <v>30</v>
      </c>
      <c r="K66" s="40" t="s">
        <v>31</v>
      </c>
      <c r="M66" s="1">
        <v>5000</v>
      </c>
    </row>
    <row r="67" spans="1:13" ht="15.75" customHeight="1">
      <c r="A67" s="42">
        <v>6</v>
      </c>
      <c r="B67" s="40" t="s">
        <v>3301</v>
      </c>
      <c r="C67" s="40" t="s">
        <v>59</v>
      </c>
      <c r="D67" s="40" t="s">
        <v>103</v>
      </c>
      <c r="E67" s="40" t="s">
        <v>38</v>
      </c>
      <c r="F67" s="40"/>
      <c r="G67" s="40" t="s">
        <v>29</v>
      </c>
      <c r="H67" s="44">
        <v>4000</v>
      </c>
      <c r="I67" s="41">
        <v>800</v>
      </c>
      <c r="J67" s="40" t="s">
        <v>30</v>
      </c>
      <c r="K67" s="40" t="s">
        <v>31</v>
      </c>
      <c r="M67" s="1">
        <v>1200</v>
      </c>
    </row>
    <row r="68" spans="1:13" ht="15.75" customHeight="1">
      <c r="A68" s="42">
        <v>6</v>
      </c>
      <c r="B68" s="40" t="s">
        <v>3302</v>
      </c>
      <c r="C68" s="40" t="s">
        <v>59</v>
      </c>
      <c r="D68" s="40" t="s">
        <v>3303</v>
      </c>
      <c r="E68" s="40" t="s">
        <v>1491</v>
      </c>
      <c r="F68" s="40"/>
      <c r="G68" s="40" t="s">
        <v>29</v>
      </c>
      <c r="H68" s="44">
        <v>1500</v>
      </c>
      <c r="I68" s="41">
        <v>300</v>
      </c>
      <c r="J68" s="40" t="s">
        <v>30</v>
      </c>
      <c r="K68" s="40" t="s">
        <v>31</v>
      </c>
      <c r="M68" s="1">
        <v>2500</v>
      </c>
    </row>
    <row r="69" spans="1:13" ht="15.75" customHeight="1">
      <c r="A69" s="42">
        <v>6</v>
      </c>
      <c r="B69" s="40" t="s">
        <v>3304</v>
      </c>
      <c r="C69" s="40" t="s">
        <v>59</v>
      </c>
      <c r="D69" s="40" t="s">
        <v>1675</v>
      </c>
      <c r="E69" s="40" t="s">
        <v>42</v>
      </c>
      <c r="F69" s="40"/>
      <c r="G69" s="40" t="s">
        <v>29</v>
      </c>
      <c r="H69" s="44">
        <v>1500</v>
      </c>
      <c r="I69" s="41">
        <v>300</v>
      </c>
      <c r="J69" s="40" t="s">
        <v>30</v>
      </c>
      <c r="K69" s="40" t="s">
        <v>31</v>
      </c>
      <c r="M69" s="1">
        <v>500</v>
      </c>
    </row>
    <row r="70" spans="1:13" ht="15.75" customHeight="1">
      <c r="A70" s="42">
        <v>6</v>
      </c>
      <c r="B70" s="40" t="s">
        <v>3305</v>
      </c>
      <c r="C70" s="40" t="s">
        <v>25</v>
      </c>
      <c r="D70" s="40" t="s">
        <v>92</v>
      </c>
      <c r="E70" s="40" t="s">
        <v>46</v>
      </c>
      <c r="F70" s="40"/>
      <c r="G70" s="40" t="s">
        <v>29</v>
      </c>
      <c r="H70" s="44">
        <v>1000</v>
      </c>
      <c r="I70" s="41">
        <v>200</v>
      </c>
      <c r="J70" s="40" t="s">
        <v>30</v>
      </c>
      <c r="K70" s="40" t="s">
        <v>31</v>
      </c>
      <c r="M70" s="1">
        <v>1200</v>
      </c>
    </row>
    <row r="71" spans="1:13" ht="15.75" customHeight="1">
      <c r="A71" s="42">
        <v>6</v>
      </c>
      <c r="B71" s="40" t="s">
        <v>3306</v>
      </c>
      <c r="C71" s="40" t="s">
        <v>59</v>
      </c>
      <c r="D71" s="40" t="s">
        <v>1082</v>
      </c>
      <c r="E71" s="40" t="s">
        <v>96</v>
      </c>
      <c r="F71" s="40"/>
      <c r="G71" s="40" t="s">
        <v>29</v>
      </c>
      <c r="H71" s="44">
        <v>1000</v>
      </c>
      <c r="I71" s="41">
        <v>200</v>
      </c>
      <c r="J71" s="40" t="s">
        <v>30</v>
      </c>
      <c r="K71" s="40" t="s">
        <v>31</v>
      </c>
      <c r="M71" s="1">
        <v>300</v>
      </c>
    </row>
    <row r="72" spans="1:13" ht="15.75" customHeight="1">
      <c r="A72" s="42">
        <v>6</v>
      </c>
      <c r="B72" s="40" t="s">
        <v>3307</v>
      </c>
      <c r="C72" s="40" t="s">
        <v>25</v>
      </c>
      <c r="D72" s="40" t="s">
        <v>3308</v>
      </c>
      <c r="E72" s="40" t="s">
        <v>56</v>
      </c>
      <c r="F72" s="40"/>
      <c r="G72" s="40" t="s">
        <v>29</v>
      </c>
      <c r="H72" s="44">
        <v>4000</v>
      </c>
      <c r="I72" s="41">
        <v>800</v>
      </c>
      <c r="J72" s="40" t="s">
        <v>30</v>
      </c>
      <c r="K72" s="40" t="s">
        <v>31</v>
      </c>
      <c r="M72" s="1">
        <v>200</v>
      </c>
    </row>
    <row r="73" spans="1:13" ht="15.75" customHeight="1">
      <c r="A73" s="42">
        <v>6</v>
      </c>
      <c r="B73" s="40" t="s">
        <v>3309</v>
      </c>
      <c r="C73" s="40" t="s">
        <v>25</v>
      </c>
      <c r="D73" s="40" t="s">
        <v>63</v>
      </c>
      <c r="E73" s="40" t="s">
        <v>38</v>
      </c>
      <c r="F73" s="40"/>
      <c r="G73" s="40" t="s">
        <v>1114</v>
      </c>
      <c r="H73" s="200">
        <v>30</v>
      </c>
      <c r="I73" s="41">
        <v>200</v>
      </c>
      <c r="J73" s="40" t="s">
        <v>30</v>
      </c>
      <c r="K73" s="40" t="s">
        <v>31</v>
      </c>
      <c r="M73" s="1">
        <v>8000</v>
      </c>
    </row>
    <row r="74" spans="1:13" ht="15.75" customHeight="1">
      <c r="A74" s="42">
        <v>6</v>
      </c>
      <c r="B74" s="40" t="s">
        <v>3310</v>
      </c>
      <c r="C74" s="40" t="s">
        <v>25</v>
      </c>
      <c r="D74" s="40" t="s">
        <v>1831</v>
      </c>
      <c r="E74" s="40" t="s">
        <v>311</v>
      </c>
      <c r="F74" s="40"/>
      <c r="G74" s="40" t="s">
        <v>29</v>
      </c>
      <c r="H74" s="200">
        <v>4000</v>
      </c>
      <c r="I74" s="41">
        <v>800</v>
      </c>
      <c r="J74" s="40" t="s">
        <v>30</v>
      </c>
      <c r="K74" s="40" t="s">
        <v>31</v>
      </c>
      <c r="M74" s="1">
        <v>100</v>
      </c>
    </row>
    <row r="75" spans="1:13" ht="15.75" customHeight="1">
      <c r="A75" s="42">
        <v>6</v>
      </c>
      <c r="B75" s="40" t="s">
        <v>3311</v>
      </c>
      <c r="C75" s="40" t="s">
        <v>25</v>
      </c>
      <c r="D75" s="40" t="s">
        <v>532</v>
      </c>
      <c r="E75" s="40" t="s">
        <v>38</v>
      </c>
      <c r="F75" s="40"/>
      <c r="G75" s="251" t="s">
        <v>29</v>
      </c>
      <c r="H75" s="448">
        <v>500</v>
      </c>
      <c r="I75" s="449" t="s">
        <v>101</v>
      </c>
      <c r="J75" s="40" t="s">
        <v>30</v>
      </c>
      <c r="K75" s="40" t="s">
        <v>31</v>
      </c>
      <c r="M75" s="1">
        <v>3000</v>
      </c>
    </row>
    <row r="76" spans="1:13" ht="15.75" customHeight="1">
      <c r="A76" s="42">
        <v>6</v>
      </c>
      <c r="B76" s="40" t="s">
        <v>3311</v>
      </c>
      <c r="C76" s="40" t="s">
        <v>25</v>
      </c>
      <c r="D76" s="40" t="s">
        <v>532</v>
      </c>
      <c r="E76" s="40" t="s">
        <v>38</v>
      </c>
      <c r="F76" s="40"/>
      <c r="G76" s="40" t="s">
        <v>29</v>
      </c>
      <c r="H76" s="200">
        <v>500</v>
      </c>
      <c r="I76" s="41">
        <v>100</v>
      </c>
      <c r="J76" s="40" t="s">
        <v>30</v>
      </c>
      <c r="K76" s="40" t="s">
        <v>31</v>
      </c>
      <c r="M76" s="1">
        <v>500</v>
      </c>
    </row>
    <row r="77" spans="1:13" ht="15.75" customHeight="1">
      <c r="A77" s="42">
        <v>6</v>
      </c>
      <c r="B77" s="40" t="s">
        <v>1300</v>
      </c>
      <c r="C77" s="40" t="s">
        <v>59</v>
      </c>
      <c r="D77" s="40" t="s">
        <v>1301</v>
      </c>
      <c r="E77" s="40" t="s">
        <v>801</v>
      </c>
      <c r="F77" s="40"/>
      <c r="G77" s="40" t="s">
        <v>29</v>
      </c>
      <c r="H77" s="200">
        <v>6000</v>
      </c>
      <c r="I77" s="41">
        <v>1200</v>
      </c>
      <c r="J77" s="40" t="s">
        <v>30</v>
      </c>
      <c r="K77" s="40" t="s">
        <v>31</v>
      </c>
      <c r="M77" s="1">
        <v>100</v>
      </c>
    </row>
    <row r="78" spans="1:13" ht="15.75" customHeight="1">
      <c r="A78" s="42">
        <v>6</v>
      </c>
      <c r="B78" s="40" t="s">
        <v>1300</v>
      </c>
      <c r="C78" s="40" t="s">
        <v>59</v>
      </c>
      <c r="D78" s="40" t="s">
        <v>1301</v>
      </c>
      <c r="E78" s="40" t="s">
        <v>801</v>
      </c>
      <c r="F78" s="40"/>
      <c r="G78" s="40" t="s">
        <v>1114</v>
      </c>
      <c r="H78" s="200">
        <v>20</v>
      </c>
      <c r="I78" s="41">
        <v>200</v>
      </c>
      <c r="J78" s="40" t="s">
        <v>30</v>
      </c>
      <c r="K78" s="40" t="s">
        <v>31</v>
      </c>
      <c r="M78" s="1">
        <v>100</v>
      </c>
    </row>
    <row r="79" spans="1:13" ht="15.75" customHeight="1">
      <c r="A79" s="42">
        <v>6</v>
      </c>
      <c r="B79" s="40" t="s">
        <v>3312</v>
      </c>
      <c r="C79" s="40" t="s">
        <v>25</v>
      </c>
      <c r="D79" s="40" t="s">
        <v>3313</v>
      </c>
      <c r="E79" s="40" t="s">
        <v>96</v>
      </c>
      <c r="F79" s="40"/>
      <c r="G79" s="40" t="s">
        <v>29</v>
      </c>
      <c r="H79" s="200">
        <v>3000</v>
      </c>
      <c r="I79" s="41">
        <v>600</v>
      </c>
      <c r="J79" s="40" t="s">
        <v>30</v>
      </c>
      <c r="K79" s="40" t="s">
        <v>31</v>
      </c>
      <c r="M79" s="1">
        <v>100</v>
      </c>
    </row>
    <row r="80" spans="1:13" ht="15.75" customHeight="1">
      <c r="A80" s="42">
        <v>6</v>
      </c>
      <c r="B80" s="40" t="s">
        <v>3314</v>
      </c>
      <c r="C80" s="40" t="s">
        <v>25</v>
      </c>
      <c r="D80" s="40" t="s">
        <v>566</v>
      </c>
      <c r="E80" s="40" t="s">
        <v>96</v>
      </c>
      <c r="F80" s="40"/>
      <c r="G80" s="40" t="s">
        <v>29</v>
      </c>
      <c r="H80" s="200">
        <v>50</v>
      </c>
      <c r="I80" s="41">
        <v>10</v>
      </c>
      <c r="J80" s="40" t="s">
        <v>30</v>
      </c>
      <c r="K80" s="40" t="s">
        <v>31</v>
      </c>
      <c r="M80" s="1">
        <v>3000</v>
      </c>
    </row>
    <row r="81" spans="1:13" ht="15.75" customHeight="1">
      <c r="A81" s="42">
        <v>7</v>
      </c>
      <c r="B81" s="40" t="s">
        <v>1559</v>
      </c>
      <c r="C81" s="40" t="s">
        <v>59</v>
      </c>
      <c r="D81" s="40" t="s">
        <v>110</v>
      </c>
      <c r="E81" s="40" t="s">
        <v>111</v>
      </c>
      <c r="F81" s="40"/>
      <c r="G81" s="40" t="s">
        <v>29</v>
      </c>
      <c r="H81" s="200">
        <v>10000</v>
      </c>
      <c r="I81" s="41">
        <v>2000</v>
      </c>
      <c r="J81" s="40" t="s">
        <v>30</v>
      </c>
      <c r="K81" s="40" t="s">
        <v>31</v>
      </c>
      <c r="M81" s="1">
        <v>600</v>
      </c>
    </row>
    <row r="82" spans="1:13" ht="15.75" customHeight="1">
      <c r="A82" s="42">
        <v>7</v>
      </c>
      <c r="B82" s="40" t="s">
        <v>3315</v>
      </c>
      <c r="C82" s="40" t="s">
        <v>25</v>
      </c>
      <c r="D82" s="40" t="s">
        <v>258</v>
      </c>
      <c r="E82" s="40" t="s">
        <v>96</v>
      </c>
      <c r="F82" s="40"/>
      <c r="G82" s="40" t="s">
        <v>29</v>
      </c>
      <c r="H82" s="200">
        <v>500</v>
      </c>
      <c r="I82" s="41">
        <v>100</v>
      </c>
      <c r="J82" s="40" t="s">
        <v>30</v>
      </c>
      <c r="K82" s="40" t="s">
        <v>31</v>
      </c>
      <c r="M82" s="1">
        <v>600</v>
      </c>
    </row>
    <row r="83" spans="1:13" ht="15.75" customHeight="1">
      <c r="A83" s="42">
        <v>7</v>
      </c>
      <c r="B83" s="40" t="s">
        <v>3316</v>
      </c>
      <c r="C83" s="40" t="s">
        <v>25</v>
      </c>
      <c r="D83" s="40" t="s">
        <v>637</v>
      </c>
      <c r="E83" s="40" t="s">
        <v>1491</v>
      </c>
      <c r="F83" s="40"/>
      <c r="G83" s="40" t="s">
        <v>29</v>
      </c>
      <c r="H83" s="200">
        <v>1000</v>
      </c>
      <c r="I83" s="41">
        <v>200</v>
      </c>
      <c r="J83" s="40" t="s">
        <v>30</v>
      </c>
      <c r="K83" s="40" t="s">
        <v>31</v>
      </c>
      <c r="M83" s="1">
        <v>200</v>
      </c>
    </row>
    <row r="84" spans="1:13" ht="15.75" customHeight="1">
      <c r="A84" s="42">
        <v>7</v>
      </c>
      <c r="B84" s="40" t="s">
        <v>3317</v>
      </c>
      <c r="C84" s="40" t="s">
        <v>25</v>
      </c>
      <c r="D84" s="40" t="s">
        <v>2295</v>
      </c>
      <c r="E84" s="40" t="s">
        <v>96</v>
      </c>
      <c r="F84" s="40"/>
      <c r="G84" s="40" t="s">
        <v>29</v>
      </c>
      <c r="H84" s="200">
        <v>2500</v>
      </c>
      <c r="I84" s="41">
        <v>500</v>
      </c>
      <c r="J84" s="40" t="s">
        <v>30</v>
      </c>
      <c r="K84" s="40" t="s">
        <v>31</v>
      </c>
      <c r="M84" s="1">
        <v>600</v>
      </c>
    </row>
    <row r="85" spans="1:13" ht="15.75" customHeight="1">
      <c r="A85" s="42">
        <v>7</v>
      </c>
      <c r="B85" s="40" t="s">
        <v>2465</v>
      </c>
      <c r="C85" s="40" t="s">
        <v>25</v>
      </c>
      <c r="D85" s="40" t="s">
        <v>86</v>
      </c>
      <c r="E85" s="40" t="s">
        <v>42</v>
      </c>
      <c r="F85" s="40"/>
      <c r="G85" s="40" t="s">
        <v>29</v>
      </c>
      <c r="H85" s="200">
        <v>8100</v>
      </c>
      <c r="I85" s="41">
        <v>1620</v>
      </c>
      <c r="J85" s="40" t="s">
        <v>30</v>
      </c>
      <c r="K85" s="40" t="s">
        <v>31</v>
      </c>
      <c r="M85" s="1">
        <v>400</v>
      </c>
    </row>
    <row r="86" spans="1:13" ht="15.75" customHeight="1">
      <c r="A86" s="42">
        <v>7</v>
      </c>
      <c r="B86" s="40" t="s">
        <v>3318</v>
      </c>
      <c r="C86" s="40" t="s">
        <v>25</v>
      </c>
      <c r="D86" s="40" t="s">
        <v>192</v>
      </c>
      <c r="E86" s="40" t="s">
        <v>78</v>
      </c>
      <c r="F86" s="40"/>
      <c r="G86" s="40" t="s">
        <v>29</v>
      </c>
      <c r="H86" s="200">
        <v>2000</v>
      </c>
      <c r="I86" s="41">
        <v>400</v>
      </c>
      <c r="J86" s="40" t="s">
        <v>30</v>
      </c>
      <c r="K86" s="40" t="s">
        <v>31</v>
      </c>
      <c r="M86" s="1">
        <v>200</v>
      </c>
    </row>
    <row r="87" spans="1:13" ht="15.75" customHeight="1">
      <c r="A87" s="42">
        <v>7</v>
      </c>
      <c r="B87" s="40" t="s">
        <v>3319</v>
      </c>
      <c r="C87" s="40" t="s">
        <v>25</v>
      </c>
      <c r="D87" s="40" t="s">
        <v>287</v>
      </c>
      <c r="E87" s="40" t="s">
        <v>78</v>
      </c>
      <c r="F87" s="40"/>
      <c r="G87" s="40" t="s">
        <v>29</v>
      </c>
      <c r="H87" s="200">
        <v>100</v>
      </c>
      <c r="I87" s="41">
        <v>20</v>
      </c>
      <c r="J87" s="40" t="s">
        <v>30</v>
      </c>
      <c r="K87" s="40" t="s">
        <v>31</v>
      </c>
      <c r="M87" s="1">
        <v>200</v>
      </c>
    </row>
    <row r="88" spans="1:13" ht="15.75" customHeight="1">
      <c r="A88" s="42">
        <v>7</v>
      </c>
      <c r="B88" s="40" t="s">
        <v>1071</v>
      </c>
      <c r="C88" s="40" t="s">
        <v>25</v>
      </c>
      <c r="D88" s="40" t="s">
        <v>600</v>
      </c>
      <c r="E88" s="40" t="s">
        <v>60</v>
      </c>
      <c r="F88" s="40"/>
      <c r="G88" s="40" t="s">
        <v>29</v>
      </c>
      <c r="H88" s="200">
        <v>2000</v>
      </c>
      <c r="I88" s="41">
        <v>400</v>
      </c>
      <c r="J88" s="40" t="s">
        <v>30</v>
      </c>
      <c r="K88" s="40" t="s">
        <v>31</v>
      </c>
      <c r="M88" s="1">
        <v>100</v>
      </c>
    </row>
    <row r="89" spans="1:13" ht="15.75" customHeight="1">
      <c r="A89" s="42">
        <v>7</v>
      </c>
      <c r="B89" s="40" t="s">
        <v>3320</v>
      </c>
      <c r="C89" s="40" t="s">
        <v>25</v>
      </c>
      <c r="D89" s="40" t="s">
        <v>133</v>
      </c>
      <c r="E89" s="40" t="s">
        <v>46</v>
      </c>
      <c r="F89" s="40"/>
      <c r="G89" s="40" t="s">
        <v>29</v>
      </c>
      <c r="H89" s="200">
        <v>1500</v>
      </c>
      <c r="I89" s="41">
        <v>300</v>
      </c>
      <c r="J89" s="40" t="s">
        <v>30</v>
      </c>
      <c r="K89" s="40" t="s">
        <v>31</v>
      </c>
      <c r="M89" s="1">
        <v>200</v>
      </c>
    </row>
    <row r="90" spans="1:13" ht="15.75" customHeight="1">
      <c r="A90" s="42">
        <v>7</v>
      </c>
      <c r="B90" s="40" t="s">
        <v>3321</v>
      </c>
      <c r="C90" s="40" t="s">
        <v>25</v>
      </c>
      <c r="D90" s="40" t="s">
        <v>3322</v>
      </c>
      <c r="E90" s="40" t="s">
        <v>119</v>
      </c>
      <c r="F90" s="40"/>
      <c r="G90" s="40" t="s">
        <v>29</v>
      </c>
      <c r="H90" s="200">
        <v>300</v>
      </c>
      <c r="I90" s="41">
        <v>60</v>
      </c>
      <c r="J90" s="40" t="s">
        <v>30</v>
      </c>
      <c r="K90" s="40" t="s">
        <v>31</v>
      </c>
    </row>
    <row r="91" spans="1:13" ht="15.75" customHeight="1">
      <c r="A91" s="42">
        <v>7</v>
      </c>
      <c r="B91" s="40" t="s">
        <v>3323</v>
      </c>
      <c r="C91" s="40" t="s">
        <v>25</v>
      </c>
      <c r="D91" s="40" t="s">
        <v>258</v>
      </c>
      <c r="E91" s="40" t="s">
        <v>96</v>
      </c>
      <c r="F91" s="40"/>
      <c r="G91" s="40" t="s">
        <v>29</v>
      </c>
      <c r="H91" s="200">
        <v>200</v>
      </c>
      <c r="I91" s="41">
        <v>40</v>
      </c>
      <c r="J91" s="40" t="s">
        <v>30</v>
      </c>
      <c r="K91" s="40" t="s">
        <v>31</v>
      </c>
    </row>
    <row r="92" spans="1:13" ht="15.75" customHeight="1">
      <c r="A92" s="284">
        <v>7</v>
      </c>
      <c r="B92" s="40" t="s">
        <v>3324</v>
      </c>
      <c r="C92" s="40" t="s">
        <v>25</v>
      </c>
      <c r="D92" s="40" t="s">
        <v>2295</v>
      </c>
      <c r="E92" s="40" t="s">
        <v>96</v>
      </c>
      <c r="F92" s="40"/>
      <c r="G92" s="40" t="s">
        <v>29</v>
      </c>
      <c r="H92" s="200">
        <v>1500</v>
      </c>
      <c r="I92" s="41">
        <v>300</v>
      </c>
      <c r="J92" s="40" t="s">
        <v>30</v>
      </c>
      <c r="K92" s="40" t="s">
        <v>31</v>
      </c>
    </row>
    <row r="93" spans="1:13" ht="15.75" customHeight="1">
      <c r="A93" s="42">
        <v>7</v>
      </c>
      <c r="B93" s="40" t="s">
        <v>3325</v>
      </c>
      <c r="C93" s="40" t="s">
        <v>59</v>
      </c>
      <c r="D93" s="40" t="s">
        <v>1282</v>
      </c>
      <c r="E93" s="40" t="s">
        <v>38</v>
      </c>
      <c r="F93" s="40"/>
      <c r="G93" s="40" t="s">
        <v>29</v>
      </c>
      <c r="H93" s="200">
        <v>5000</v>
      </c>
      <c r="I93" s="41">
        <v>1000</v>
      </c>
      <c r="J93" s="40" t="s">
        <v>30</v>
      </c>
      <c r="K93" s="40" t="s">
        <v>31</v>
      </c>
    </row>
    <row r="94" spans="1:13" ht="15.75" customHeight="1">
      <c r="A94" s="42">
        <v>7</v>
      </c>
      <c r="B94" s="40" t="s">
        <v>1344</v>
      </c>
      <c r="C94" s="40" t="s">
        <v>25</v>
      </c>
      <c r="D94" s="40" t="s">
        <v>2451</v>
      </c>
      <c r="E94" s="40" t="s">
        <v>96</v>
      </c>
      <c r="F94" s="40"/>
      <c r="G94" s="40" t="s">
        <v>29</v>
      </c>
      <c r="H94" s="200">
        <v>2200</v>
      </c>
      <c r="I94" s="41">
        <v>440</v>
      </c>
      <c r="J94" s="40" t="s">
        <v>30</v>
      </c>
      <c r="K94" s="40" t="s">
        <v>31</v>
      </c>
    </row>
    <row r="95" spans="1:13" ht="15.75" customHeight="1">
      <c r="A95" s="42">
        <v>11</v>
      </c>
      <c r="B95" s="40" t="s">
        <v>3326</v>
      </c>
      <c r="C95" s="40" t="s">
        <v>25</v>
      </c>
      <c r="D95" s="40" t="s">
        <v>245</v>
      </c>
      <c r="E95" s="40" t="s">
        <v>150</v>
      </c>
      <c r="F95" s="40"/>
      <c r="G95" s="40" t="s">
        <v>29</v>
      </c>
      <c r="H95" s="200">
        <v>500</v>
      </c>
      <c r="I95" s="41">
        <v>200</v>
      </c>
      <c r="J95" s="40" t="s">
        <v>30</v>
      </c>
      <c r="K95" s="40" t="s">
        <v>31</v>
      </c>
    </row>
    <row r="96" spans="1:13" ht="15.75" customHeight="1">
      <c r="A96" s="42">
        <v>11</v>
      </c>
      <c r="B96" s="40" t="s">
        <v>3327</v>
      </c>
      <c r="C96" s="40" t="s">
        <v>25</v>
      </c>
      <c r="D96" s="40" t="s">
        <v>49</v>
      </c>
      <c r="E96" s="40" t="s">
        <v>50</v>
      </c>
      <c r="F96" s="40"/>
      <c r="G96" s="40" t="s">
        <v>29</v>
      </c>
      <c r="H96" s="200">
        <v>500</v>
      </c>
      <c r="I96" s="41">
        <v>100</v>
      </c>
      <c r="J96" s="40" t="s">
        <v>30</v>
      </c>
      <c r="K96" s="40" t="s">
        <v>31</v>
      </c>
    </row>
    <row r="97" spans="1:11" ht="15.75" customHeight="1">
      <c r="A97" s="42">
        <v>11</v>
      </c>
      <c r="B97" s="40" t="s">
        <v>3328</v>
      </c>
      <c r="C97" s="40" t="s">
        <v>25</v>
      </c>
      <c r="D97" s="40" t="s">
        <v>99</v>
      </c>
      <c r="E97" s="40" t="s">
        <v>42</v>
      </c>
      <c r="F97" s="40"/>
      <c r="G97" s="40" t="s">
        <v>29</v>
      </c>
      <c r="H97" s="200">
        <v>8000</v>
      </c>
      <c r="I97" s="41">
        <v>1600</v>
      </c>
      <c r="J97" s="40" t="s">
        <v>30</v>
      </c>
      <c r="K97" s="40" t="s">
        <v>31</v>
      </c>
    </row>
    <row r="98" spans="1:11" ht="15.75" customHeight="1">
      <c r="A98" s="42">
        <v>11</v>
      </c>
      <c r="B98" s="40" t="s">
        <v>3329</v>
      </c>
      <c r="C98" s="40" t="s">
        <v>25</v>
      </c>
      <c r="D98" s="40" t="s">
        <v>947</v>
      </c>
      <c r="E98" s="40" t="s">
        <v>96</v>
      </c>
      <c r="F98" s="40"/>
      <c r="G98" s="40" t="s">
        <v>29</v>
      </c>
      <c r="H98" s="200">
        <v>4000</v>
      </c>
      <c r="I98" s="41">
        <v>800</v>
      </c>
      <c r="J98" s="40" t="s">
        <v>30</v>
      </c>
      <c r="K98" s="40" t="s">
        <v>31</v>
      </c>
    </row>
    <row r="99" spans="1:11" ht="15.75" customHeight="1">
      <c r="A99" s="42">
        <v>11</v>
      </c>
      <c r="B99" s="40" t="s">
        <v>3330</v>
      </c>
      <c r="C99" s="40" t="s">
        <v>25</v>
      </c>
      <c r="D99" s="40" t="s">
        <v>1371</v>
      </c>
      <c r="E99" s="40" t="s">
        <v>96</v>
      </c>
      <c r="F99" s="40"/>
      <c r="G99" s="40" t="s">
        <v>29</v>
      </c>
      <c r="H99" s="200">
        <v>900</v>
      </c>
      <c r="I99" s="41">
        <v>180</v>
      </c>
      <c r="J99" s="40" t="s">
        <v>30</v>
      </c>
      <c r="K99" s="40" t="s">
        <v>31</v>
      </c>
    </row>
    <row r="100" spans="1:11" ht="15.75" customHeight="1">
      <c r="A100" s="42">
        <v>11</v>
      </c>
      <c r="B100" s="40" t="s">
        <v>3331</v>
      </c>
      <c r="C100" s="40" t="s">
        <v>59</v>
      </c>
      <c r="D100" s="40" t="s">
        <v>593</v>
      </c>
      <c r="E100" s="40" t="s">
        <v>50</v>
      </c>
      <c r="F100" s="40"/>
      <c r="G100" s="40" t="s">
        <v>29</v>
      </c>
      <c r="H100" s="200">
        <v>6000</v>
      </c>
      <c r="I100" s="41">
        <v>1200</v>
      </c>
      <c r="J100" s="40" t="s">
        <v>30</v>
      </c>
      <c r="K100" s="40" t="s">
        <v>31</v>
      </c>
    </row>
    <row r="101" spans="1:11" ht="15.75" customHeight="1">
      <c r="A101" s="42">
        <v>11</v>
      </c>
      <c r="B101" s="40" t="s">
        <v>3332</v>
      </c>
      <c r="C101" s="40" t="s">
        <v>59</v>
      </c>
      <c r="D101" s="40" t="s">
        <v>942</v>
      </c>
      <c r="E101" s="40" t="s">
        <v>130</v>
      </c>
      <c r="F101" s="40"/>
      <c r="G101" s="40" t="s">
        <v>1114</v>
      </c>
      <c r="H101" s="200">
        <v>300</v>
      </c>
      <c r="I101" s="41">
        <v>1500</v>
      </c>
      <c r="J101" s="40" t="s">
        <v>30</v>
      </c>
      <c r="K101" s="40" t="s">
        <v>31</v>
      </c>
    </row>
    <row r="102" spans="1:11" ht="15.75" customHeight="1">
      <c r="A102" s="42">
        <v>11</v>
      </c>
      <c r="B102" s="40" t="s">
        <v>3333</v>
      </c>
      <c r="C102" s="40" t="s">
        <v>25</v>
      </c>
      <c r="D102" s="40" t="s">
        <v>1637</v>
      </c>
      <c r="E102" s="40" t="s">
        <v>141</v>
      </c>
      <c r="F102" s="40"/>
      <c r="G102" s="40" t="s">
        <v>29</v>
      </c>
      <c r="H102" s="200">
        <v>15000</v>
      </c>
      <c r="I102" s="41">
        <v>3000</v>
      </c>
      <c r="J102" s="40" t="s">
        <v>30</v>
      </c>
      <c r="K102" s="40" t="s">
        <v>31</v>
      </c>
    </row>
    <row r="103" spans="1:11" ht="15.75" customHeight="1">
      <c r="A103" s="42">
        <v>11</v>
      </c>
      <c r="B103" s="40" t="s">
        <v>3334</v>
      </c>
      <c r="C103" s="40" t="s">
        <v>25</v>
      </c>
      <c r="D103" s="40" t="s">
        <v>227</v>
      </c>
      <c r="E103" s="40" t="s">
        <v>46</v>
      </c>
      <c r="F103" s="40"/>
      <c r="G103" s="40" t="s">
        <v>29</v>
      </c>
      <c r="H103" s="200">
        <v>100</v>
      </c>
      <c r="I103" s="41">
        <v>20</v>
      </c>
      <c r="J103" s="40" t="s">
        <v>30</v>
      </c>
      <c r="K103" s="40" t="s">
        <v>31</v>
      </c>
    </row>
    <row r="104" spans="1:11" ht="15.75" customHeight="1">
      <c r="A104" s="42">
        <v>11</v>
      </c>
      <c r="B104" s="40" t="s">
        <v>3335</v>
      </c>
      <c r="C104" s="40" t="s">
        <v>25</v>
      </c>
      <c r="D104" s="40" t="s">
        <v>2246</v>
      </c>
      <c r="E104" s="40" t="s">
        <v>318</v>
      </c>
      <c r="F104" s="40"/>
      <c r="G104" s="40" t="s">
        <v>29</v>
      </c>
      <c r="H104" s="200">
        <v>5000</v>
      </c>
      <c r="I104" s="41">
        <v>1000</v>
      </c>
      <c r="J104" s="40" t="s">
        <v>30</v>
      </c>
      <c r="K104" s="40" t="s">
        <v>31</v>
      </c>
    </row>
    <row r="105" spans="1:11" ht="15.75" customHeight="1">
      <c r="A105" s="42">
        <v>11</v>
      </c>
      <c r="B105" s="40" t="s">
        <v>3336</v>
      </c>
      <c r="C105" s="40" t="s">
        <v>25</v>
      </c>
      <c r="D105" s="40" t="s">
        <v>2844</v>
      </c>
      <c r="E105" s="40" t="s">
        <v>27</v>
      </c>
      <c r="F105" s="40"/>
      <c r="G105" s="40" t="s">
        <v>29</v>
      </c>
      <c r="H105" s="200">
        <v>1250</v>
      </c>
      <c r="I105" s="41">
        <v>250</v>
      </c>
      <c r="J105" s="40" t="s">
        <v>30</v>
      </c>
      <c r="K105" s="40" t="s">
        <v>31</v>
      </c>
    </row>
    <row r="106" spans="1:11" ht="15.75" customHeight="1">
      <c r="A106" s="42">
        <v>11</v>
      </c>
      <c r="B106" s="40" t="s">
        <v>3337</v>
      </c>
      <c r="C106" s="40" t="s">
        <v>59</v>
      </c>
      <c r="D106" s="40" t="s">
        <v>55</v>
      </c>
      <c r="E106" s="40" t="s">
        <v>96</v>
      </c>
      <c r="F106" s="40"/>
      <c r="G106" s="40" t="s">
        <v>29</v>
      </c>
      <c r="H106" s="200">
        <v>1700</v>
      </c>
      <c r="I106" s="41">
        <v>340</v>
      </c>
      <c r="J106" s="40" t="s">
        <v>30</v>
      </c>
      <c r="K106" s="40" t="s">
        <v>31</v>
      </c>
    </row>
    <row r="107" spans="1:11" ht="15.75" customHeight="1">
      <c r="A107" s="42">
        <v>11</v>
      </c>
      <c r="B107" s="40" t="s">
        <v>3337</v>
      </c>
      <c r="C107" s="40" t="s">
        <v>59</v>
      </c>
      <c r="D107" s="40" t="s">
        <v>55</v>
      </c>
      <c r="E107" s="40" t="s">
        <v>96</v>
      </c>
      <c r="F107" s="40"/>
      <c r="G107" s="40" t="s">
        <v>1114</v>
      </c>
      <c r="H107" s="200">
        <v>10</v>
      </c>
      <c r="I107" s="41">
        <v>50</v>
      </c>
      <c r="J107" s="40" t="s">
        <v>30</v>
      </c>
      <c r="K107" s="40" t="s">
        <v>31</v>
      </c>
    </row>
    <row r="108" spans="1:11" ht="15.75" customHeight="1">
      <c r="A108" s="431">
        <v>12</v>
      </c>
      <c r="B108" s="432" t="s">
        <v>2893</v>
      </c>
      <c r="C108" s="40" t="s">
        <v>25</v>
      </c>
      <c r="D108" s="40" t="s">
        <v>63</v>
      </c>
      <c r="E108" s="40" t="s">
        <v>141</v>
      </c>
      <c r="F108" s="40"/>
      <c r="G108" s="40" t="s">
        <v>29</v>
      </c>
      <c r="H108" s="200">
        <v>2000</v>
      </c>
      <c r="I108" s="41">
        <v>400</v>
      </c>
      <c r="J108" s="40" t="s">
        <v>30</v>
      </c>
      <c r="K108" s="40" t="s">
        <v>31</v>
      </c>
    </row>
    <row r="109" spans="1:11" ht="15.75" customHeight="1">
      <c r="A109" s="431">
        <v>12</v>
      </c>
      <c r="B109" s="432" t="s">
        <v>3338</v>
      </c>
      <c r="C109" s="40" t="s">
        <v>25</v>
      </c>
      <c r="D109" s="40" t="s">
        <v>55</v>
      </c>
      <c r="E109" s="40" t="s">
        <v>96</v>
      </c>
      <c r="F109" s="40"/>
      <c r="G109" s="40" t="s">
        <v>29</v>
      </c>
      <c r="H109" s="200">
        <v>8000</v>
      </c>
      <c r="I109" s="41">
        <v>1600</v>
      </c>
      <c r="J109" s="40" t="s">
        <v>30</v>
      </c>
      <c r="K109" s="40" t="s">
        <v>31</v>
      </c>
    </row>
    <row r="110" spans="1:11" ht="15.75" customHeight="1">
      <c r="A110" s="431">
        <v>12</v>
      </c>
      <c r="B110" s="432" t="s">
        <v>3338</v>
      </c>
      <c r="C110" s="40" t="s">
        <v>25</v>
      </c>
      <c r="D110" s="40" t="s">
        <v>55</v>
      </c>
      <c r="E110" s="40" t="s">
        <v>96</v>
      </c>
      <c r="F110" s="40"/>
      <c r="G110" s="40" t="s">
        <v>1112</v>
      </c>
      <c r="H110" s="200">
        <v>200</v>
      </c>
      <c r="I110" s="41">
        <v>120</v>
      </c>
      <c r="J110" s="40" t="s">
        <v>30</v>
      </c>
      <c r="K110" s="40" t="s">
        <v>31</v>
      </c>
    </row>
    <row r="111" spans="1:11" ht="15.75" customHeight="1">
      <c r="A111" s="431">
        <v>12</v>
      </c>
      <c r="B111" s="432" t="s">
        <v>3338</v>
      </c>
      <c r="C111" s="40" t="s">
        <v>25</v>
      </c>
      <c r="D111" s="40" t="s">
        <v>55</v>
      </c>
      <c r="E111" s="40" t="s">
        <v>96</v>
      </c>
      <c r="F111" s="40"/>
      <c r="G111" s="40" t="s">
        <v>1114</v>
      </c>
      <c r="H111" s="200">
        <v>20</v>
      </c>
      <c r="I111" s="41">
        <v>200</v>
      </c>
      <c r="J111" s="40" t="s">
        <v>30</v>
      </c>
      <c r="K111" s="40" t="s">
        <v>31</v>
      </c>
    </row>
    <row r="112" spans="1:11" ht="15.75" customHeight="1">
      <c r="A112" s="42">
        <v>12</v>
      </c>
      <c r="B112" s="40" t="s">
        <v>3339</v>
      </c>
      <c r="C112" s="40" t="s">
        <v>25</v>
      </c>
      <c r="D112" s="40" t="s">
        <v>3340</v>
      </c>
      <c r="E112" s="450" t="s">
        <v>2889</v>
      </c>
      <c r="F112" s="40"/>
      <c r="G112" s="40" t="s">
        <v>29</v>
      </c>
      <c r="H112" s="200">
        <v>20000</v>
      </c>
      <c r="I112" s="41">
        <v>4000</v>
      </c>
      <c r="J112" s="40" t="s">
        <v>30</v>
      </c>
      <c r="K112" s="40" t="s">
        <v>31</v>
      </c>
    </row>
    <row r="113" spans="1:11" ht="15.75" customHeight="1">
      <c r="A113" s="42">
        <v>12</v>
      </c>
      <c r="B113" s="40" t="s">
        <v>3295</v>
      </c>
      <c r="C113" s="40" t="s">
        <v>25</v>
      </c>
      <c r="D113" s="40" t="s">
        <v>3296</v>
      </c>
      <c r="E113" s="40" t="s">
        <v>533</v>
      </c>
      <c r="F113" s="40"/>
      <c r="G113" s="40" t="s">
        <v>29</v>
      </c>
      <c r="H113" s="200">
        <v>5000</v>
      </c>
      <c r="I113" s="41">
        <v>1000</v>
      </c>
      <c r="J113" s="40" t="s">
        <v>30</v>
      </c>
      <c r="K113" s="40" t="s">
        <v>31</v>
      </c>
    </row>
    <row r="114" spans="1:11" ht="15.75" customHeight="1">
      <c r="A114" s="42">
        <v>12</v>
      </c>
      <c r="B114" s="40" t="s">
        <v>3341</v>
      </c>
      <c r="C114" s="40" t="s">
        <v>25</v>
      </c>
      <c r="D114" s="40" t="s">
        <v>1085</v>
      </c>
      <c r="E114" s="40" t="s">
        <v>34</v>
      </c>
      <c r="F114" s="40"/>
      <c r="G114" s="40" t="s">
        <v>29</v>
      </c>
      <c r="H114" s="200">
        <v>1000</v>
      </c>
      <c r="I114" s="41">
        <v>200</v>
      </c>
      <c r="J114" s="40" t="s">
        <v>30</v>
      </c>
      <c r="K114" s="40" t="s">
        <v>31</v>
      </c>
    </row>
    <row r="115" spans="1:11" ht="15.75" customHeight="1">
      <c r="A115" s="42">
        <v>12</v>
      </c>
      <c r="B115" s="40" t="s">
        <v>3342</v>
      </c>
      <c r="C115" s="40" t="s">
        <v>25</v>
      </c>
      <c r="D115" s="40" t="s">
        <v>1287</v>
      </c>
      <c r="E115" s="40" t="s">
        <v>42</v>
      </c>
      <c r="F115" s="40"/>
      <c r="G115" s="40" t="s">
        <v>29</v>
      </c>
      <c r="H115" s="200">
        <v>500</v>
      </c>
      <c r="I115" s="41">
        <v>100</v>
      </c>
      <c r="J115" s="40" t="s">
        <v>30</v>
      </c>
      <c r="K115" s="40" t="s">
        <v>31</v>
      </c>
    </row>
    <row r="116" spans="1:11" ht="15.75" customHeight="1">
      <c r="A116" s="42">
        <v>12</v>
      </c>
      <c r="B116" s="40" t="s">
        <v>3343</v>
      </c>
      <c r="C116" s="40" t="s">
        <v>25</v>
      </c>
      <c r="D116" s="40"/>
      <c r="E116" s="40" t="s">
        <v>3344</v>
      </c>
      <c r="F116" s="40"/>
      <c r="G116" s="40" t="s">
        <v>29</v>
      </c>
      <c r="H116" s="200">
        <v>500</v>
      </c>
      <c r="I116" s="41">
        <v>100</v>
      </c>
      <c r="J116" s="40" t="s">
        <v>30</v>
      </c>
      <c r="K116" s="40" t="s">
        <v>31</v>
      </c>
    </row>
    <row r="117" spans="1:11" ht="15.75" customHeight="1">
      <c r="A117" s="42">
        <v>12</v>
      </c>
      <c r="B117" s="40" t="s">
        <v>3345</v>
      </c>
      <c r="C117" s="40" t="s">
        <v>25</v>
      </c>
      <c r="D117" s="40" t="s">
        <v>2000</v>
      </c>
      <c r="E117" s="40" t="s">
        <v>318</v>
      </c>
      <c r="F117" s="40"/>
      <c r="G117" s="40" t="s">
        <v>29</v>
      </c>
      <c r="H117" s="200">
        <v>3000</v>
      </c>
      <c r="I117" s="41">
        <v>600</v>
      </c>
      <c r="J117" s="40" t="s">
        <v>30</v>
      </c>
      <c r="K117" s="40" t="s">
        <v>31</v>
      </c>
    </row>
    <row r="118" spans="1:11" ht="15.75" customHeight="1">
      <c r="A118" s="42">
        <v>12</v>
      </c>
      <c r="B118" s="40" t="s">
        <v>3346</v>
      </c>
      <c r="C118" s="40" t="s">
        <v>25</v>
      </c>
      <c r="D118" s="40" t="s">
        <v>779</v>
      </c>
      <c r="E118" s="40" t="s">
        <v>42</v>
      </c>
      <c r="F118" s="40"/>
      <c r="G118" s="40" t="s">
        <v>1114</v>
      </c>
      <c r="H118" s="200">
        <v>10</v>
      </c>
      <c r="I118" s="41">
        <v>50</v>
      </c>
      <c r="J118" s="40" t="s">
        <v>30</v>
      </c>
      <c r="K118" s="40" t="s">
        <v>31</v>
      </c>
    </row>
    <row r="119" spans="1:11" ht="15.75" customHeight="1">
      <c r="A119" s="42">
        <v>12</v>
      </c>
      <c r="B119" s="40" t="s">
        <v>1422</v>
      </c>
      <c r="C119" s="40" t="s">
        <v>25</v>
      </c>
      <c r="D119" s="40" t="s">
        <v>1390</v>
      </c>
      <c r="E119" s="40" t="s">
        <v>50</v>
      </c>
      <c r="F119" s="40"/>
      <c r="G119" s="40" t="s">
        <v>29</v>
      </c>
      <c r="H119" s="200">
        <v>200</v>
      </c>
      <c r="I119" s="41">
        <v>40</v>
      </c>
      <c r="J119" s="40" t="s">
        <v>30</v>
      </c>
      <c r="K119" s="40" t="s">
        <v>31</v>
      </c>
    </row>
    <row r="120" spans="1:11" ht="15.75" customHeight="1">
      <c r="A120" s="42">
        <v>12</v>
      </c>
      <c r="B120" s="40" t="s">
        <v>3347</v>
      </c>
      <c r="C120" s="40" t="s">
        <v>25</v>
      </c>
      <c r="D120" s="40" t="s">
        <v>3348</v>
      </c>
      <c r="E120" s="40" t="s">
        <v>249</v>
      </c>
      <c r="F120" s="40"/>
      <c r="G120" s="40" t="s">
        <v>29</v>
      </c>
      <c r="H120" s="200">
        <v>150</v>
      </c>
      <c r="I120" s="41">
        <v>30</v>
      </c>
      <c r="J120" s="40" t="s">
        <v>30</v>
      </c>
      <c r="K120" s="40" t="s">
        <v>31</v>
      </c>
    </row>
    <row r="121" spans="1:11" ht="15.75" customHeight="1">
      <c r="A121" s="42">
        <v>12</v>
      </c>
      <c r="B121" s="40" t="s">
        <v>3349</v>
      </c>
      <c r="C121" s="40" t="s">
        <v>25</v>
      </c>
      <c r="D121" s="40"/>
      <c r="E121" s="450" t="s">
        <v>3350</v>
      </c>
      <c r="F121" s="43" t="s">
        <v>3351</v>
      </c>
      <c r="G121" s="40" t="s">
        <v>29</v>
      </c>
      <c r="H121" s="200">
        <v>20000</v>
      </c>
      <c r="I121" s="41">
        <v>4000</v>
      </c>
      <c r="J121" s="40" t="s">
        <v>30</v>
      </c>
      <c r="K121" s="40" t="s">
        <v>31</v>
      </c>
    </row>
    <row r="122" spans="1:11" ht="15.75" customHeight="1">
      <c r="A122" s="42">
        <v>13</v>
      </c>
      <c r="B122" s="40" t="s">
        <v>3352</v>
      </c>
      <c r="C122" s="40" t="s">
        <v>25</v>
      </c>
      <c r="D122" s="40" t="s">
        <v>3353</v>
      </c>
      <c r="E122" s="40" t="s">
        <v>50</v>
      </c>
      <c r="F122" s="40"/>
      <c r="G122" s="40" t="s">
        <v>29</v>
      </c>
      <c r="H122" s="200">
        <v>700</v>
      </c>
      <c r="I122" s="41">
        <v>140</v>
      </c>
      <c r="J122" s="40" t="s">
        <v>30</v>
      </c>
      <c r="K122" s="40" t="s">
        <v>31</v>
      </c>
    </row>
    <row r="123" spans="1:11" ht="15.75" customHeight="1">
      <c r="A123" s="42">
        <v>13</v>
      </c>
      <c r="B123" s="40" t="s">
        <v>3352</v>
      </c>
      <c r="C123" s="40" t="s">
        <v>25</v>
      </c>
      <c r="D123" s="40" t="s">
        <v>3353</v>
      </c>
      <c r="E123" s="40" t="s">
        <v>50</v>
      </c>
      <c r="F123" s="40"/>
      <c r="G123" s="40" t="s">
        <v>1114</v>
      </c>
      <c r="H123" s="200">
        <v>16</v>
      </c>
      <c r="I123" s="41">
        <v>160</v>
      </c>
      <c r="J123" s="40" t="s">
        <v>30</v>
      </c>
      <c r="K123" s="40" t="s">
        <v>31</v>
      </c>
    </row>
    <row r="124" spans="1:11" ht="15.75" customHeight="1">
      <c r="A124" s="42">
        <v>13</v>
      </c>
      <c r="B124" s="40" t="s">
        <v>3354</v>
      </c>
      <c r="C124" s="40" t="s">
        <v>25</v>
      </c>
      <c r="D124" s="40" t="s">
        <v>3355</v>
      </c>
      <c r="E124" s="40" t="s">
        <v>119</v>
      </c>
      <c r="F124" s="40"/>
      <c r="G124" s="40" t="s">
        <v>29</v>
      </c>
      <c r="H124" s="200">
        <v>700</v>
      </c>
      <c r="I124" s="41">
        <v>140</v>
      </c>
      <c r="J124" s="40" t="s">
        <v>30</v>
      </c>
      <c r="K124" s="40" t="s">
        <v>31</v>
      </c>
    </row>
    <row r="125" spans="1:11" ht="15.75" customHeight="1">
      <c r="A125" s="42">
        <v>13</v>
      </c>
      <c r="B125" s="40" t="s">
        <v>3356</v>
      </c>
      <c r="C125" s="40" t="s">
        <v>25</v>
      </c>
      <c r="D125" s="40" t="s">
        <v>204</v>
      </c>
      <c r="E125" s="40" t="s">
        <v>50</v>
      </c>
      <c r="F125" s="40"/>
      <c r="G125" s="40" t="s">
        <v>29</v>
      </c>
      <c r="H125" s="200">
        <v>1000</v>
      </c>
      <c r="I125" s="41">
        <v>200</v>
      </c>
      <c r="J125" s="40" t="s">
        <v>30</v>
      </c>
      <c r="K125" s="40" t="s">
        <v>31</v>
      </c>
    </row>
    <row r="126" spans="1:11" ht="15.75" customHeight="1">
      <c r="A126" s="42">
        <v>13</v>
      </c>
      <c r="B126" s="40" t="s">
        <v>3357</v>
      </c>
      <c r="C126" s="40" t="s">
        <v>59</v>
      </c>
      <c r="D126" s="40" t="s">
        <v>1505</v>
      </c>
      <c r="E126" s="40" t="s">
        <v>42</v>
      </c>
      <c r="F126" s="40"/>
      <c r="G126" s="40" t="s">
        <v>29</v>
      </c>
      <c r="H126" s="200">
        <v>400</v>
      </c>
      <c r="I126" s="41">
        <v>80</v>
      </c>
      <c r="J126" s="40" t="s">
        <v>30</v>
      </c>
      <c r="K126" s="40" t="s">
        <v>31</v>
      </c>
    </row>
    <row r="127" spans="1:11" ht="15.75" customHeight="1">
      <c r="A127" s="42">
        <v>13</v>
      </c>
      <c r="B127" s="40" t="s">
        <v>3342</v>
      </c>
      <c r="C127" s="40" t="s">
        <v>25</v>
      </c>
      <c r="D127" s="40" t="s">
        <v>1287</v>
      </c>
      <c r="E127" s="40" t="s">
        <v>42</v>
      </c>
      <c r="F127" s="40"/>
      <c r="G127" s="40" t="s">
        <v>29</v>
      </c>
      <c r="H127" s="200">
        <v>300</v>
      </c>
      <c r="I127" s="41">
        <v>60</v>
      </c>
      <c r="J127" s="40" t="s">
        <v>30</v>
      </c>
      <c r="K127" s="40" t="s">
        <v>31</v>
      </c>
    </row>
    <row r="128" spans="1:11" ht="15.75" customHeight="1">
      <c r="A128" s="42">
        <v>13</v>
      </c>
      <c r="B128" s="40" t="s">
        <v>3358</v>
      </c>
      <c r="C128" s="40" t="s">
        <v>25</v>
      </c>
      <c r="D128" s="40" t="s">
        <v>1704</v>
      </c>
      <c r="E128" s="40" t="s">
        <v>38</v>
      </c>
      <c r="F128" s="40"/>
      <c r="G128" s="40" t="s">
        <v>29</v>
      </c>
      <c r="H128" s="200">
        <v>100</v>
      </c>
      <c r="I128" s="41">
        <v>20</v>
      </c>
      <c r="J128" s="40" t="s">
        <v>30</v>
      </c>
      <c r="K128" s="40" t="s">
        <v>31</v>
      </c>
    </row>
    <row r="129" spans="1:11" ht="15.75" customHeight="1">
      <c r="A129" s="42">
        <v>13</v>
      </c>
      <c r="B129" s="40" t="s">
        <v>3359</v>
      </c>
      <c r="C129" s="40" t="s">
        <v>59</v>
      </c>
      <c r="D129" s="40" t="s">
        <v>792</v>
      </c>
      <c r="E129" s="40" t="s">
        <v>60</v>
      </c>
      <c r="F129" s="40"/>
      <c r="G129" s="40" t="s">
        <v>29</v>
      </c>
      <c r="H129" s="200">
        <v>1000</v>
      </c>
      <c r="I129" s="41">
        <v>200</v>
      </c>
      <c r="J129" s="40" t="s">
        <v>30</v>
      </c>
      <c r="K129" s="40" t="s">
        <v>31</v>
      </c>
    </row>
    <row r="130" spans="1:11" ht="15.75" customHeight="1">
      <c r="A130" s="42">
        <v>13</v>
      </c>
      <c r="B130" s="40" t="s">
        <v>3360</v>
      </c>
      <c r="C130" s="40" t="s">
        <v>25</v>
      </c>
      <c r="D130" s="40" t="s">
        <v>1675</v>
      </c>
      <c r="E130" s="40" t="s">
        <v>42</v>
      </c>
      <c r="F130" s="40"/>
      <c r="G130" s="40" t="s">
        <v>29</v>
      </c>
      <c r="H130" s="200">
        <v>600</v>
      </c>
      <c r="I130" s="41">
        <v>120</v>
      </c>
      <c r="J130" s="40" t="s">
        <v>30</v>
      </c>
      <c r="K130" s="40" t="s">
        <v>31</v>
      </c>
    </row>
    <row r="131" spans="1:11" ht="15.75" customHeight="1">
      <c r="A131" s="42">
        <v>13</v>
      </c>
      <c r="B131" s="40" t="s">
        <v>935</v>
      </c>
      <c r="C131" s="40" t="s">
        <v>25</v>
      </c>
      <c r="D131" s="40" t="s">
        <v>195</v>
      </c>
      <c r="E131" s="40" t="s">
        <v>96</v>
      </c>
      <c r="F131" s="40"/>
      <c r="G131" s="40" t="s">
        <v>29</v>
      </c>
      <c r="H131" s="200">
        <v>1000</v>
      </c>
      <c r="I131" s="41">
        <v>200</v>
      </c>
      <c r="J131" s="40" t="s">
        <v>30</v>
      </c>
      <c r="K131" s="40" t="s">
        <v>31</v>
      </c>
    </row>
    <row r="132" spans="1:11" ht="15.75" customHeight="1">
      <c r="A132" s="42">
        <v>13</v>
      </c>
      <c r="B132" s="40" t="s">
        <v>3361</v>
      </c>
      <c r="C132" s="40" t="s">
        <v>25</v>
      </c>
      <c r="D132" s="40" t="s">
        <v>63</v>
      </c>
      <c r="E132" s="40" t="s">
        <v>60</v>
      </c>
      <c r="F132" s="40"/>
      <c r="G132" s="40" t="s">
        <v>1114</v>
      </c>
      <c r="H132" s="200">
        <v>30</v>
      </c>
      <c r="I132" s="41">
        <v>150</v>
      </c>
      <c r="J132" s="40" t="s">
        <v>30</v>
      </c>
      <c r="K132" s="40" t="s">
        <v>31</v>
      </c>
    </row>
    <row r="133" spans="1:11" ht="15.75" customHeight="1">
      <c r="A133" s="42">
        <v>14</v>
      </c>
      <c r="B133" s="40" t="s">
        <v>3362</v>
      </c>
      <c r="C133" s="40" t="s">
        <v>25</v>
      </c>
      <c r="D133" s="40" t="s">
        <v>3363</v>
      </c>
      <c r="E133" s="40" t="s">
        <v>42</v>
      </c>
      <c r="F133" s="43" t="s">
        <v>3364</v>
      </c>
      <c r="G133" s="40" t="s">
        <v>29</v>
      </c>
      <c r="H133" s="200">
        <v>200</v>
      </c>
      <c r="I133" s="41">
        <v>40</v>
      </c>
      <c r="J133" s="40" t="s">
        <v>30</v>
      </c>
      <c r="K133" s="40" t="s">
        <v>31</v>
      </c>
    </row>
    <row r="134" spans="1:11" ht="15.75" customHeight="1">
      <c r="A134" s="438">
        <v>14</v>
      </c>
      <c r="B134" s="439" t="s">
        <v>3365</v>
      </c>
      <c r="C134" s="40" t="s">
        <v>25</v>
      </c>
      <c r="D134" s="40" t="s">
        <v>2978</v>
      </c>
      <c r="E134" s="40" t="s">
        <v>50</v>
      </c>
      <c r="F134" s="43" t="s">
        <v>3366</v>
      </c>
      <c r="G134" s="40" t="s">
        <v>29</v>
      </c>
      <c r="H134" s="200">
        <v>500</v>
      </c>
      <c r="I134" s="41">
        <v>100</v>
      </c>
      <c r="J134" s="40" t="s">
        <v>30</v>
      </c>
      <c r="K134" s="40" t="s">
        <v>31</v>
      </c>
    </row>
    <row r="135" spans="1:11" ht="15.75" customHeight="1">
      <c r="A135" s="438">
        <v>14</v>
      </c>
      <c r="B135" s="439" t="s">
        <v>1446</v>
      </c>
      <c r="C135" s="40" t="s">
        <v>25</v>
      </c>
      <c r="D135" s="40" t="s">
        <v>2246</v>
      </c>
      <c r="E135" s="40" t="s">
        <v>318</v>
      </c>
      <c r="F135" s="43" t="s">
        <v>1448</v>
      </c>
      <c r="G135" s="40" t="s">
        <v>1114</v>
      </c>
      <c r="H135" s="200">
        <v>20</v>
      </c>
      <c r="I135" s="41">
        <v>100</v>
      </c>
      <c r="J135" s="40" t="s">
        <v>30</v>
      </c>
      <c r="K135" s="40" t="s">
        <v>31</v>
      </c>
    </row>
    <row r="136" spans="1:11" ht="15.75" customHeight="1">
      <c r="A136" s="438">
        <v>14</v>
      </c>
      <c r="B136" s="439" t="s">
        <v>3367</v>
      </c>
      <c r="C136" s="40" t="s">
        <v>25</v>
      </c>
      <c r="D136" s="40" t="s">
        <v>55</v>
      </c>
      <c r="E136" s="40" t="s">
        <v>96</v>
      </c>
      <c r="F136" s="40" t="s">
        <v>638</v>
      </c>
      <c r="G136" s="40" t="s">
        <v>1114</v>
      </c>
      <c r="H136" s="200">
        <v>50</v>
      </c>
      <c r="I136" s="41">
        <v>250</v>
      </c>
      <c r="J136" s="40" t="s">
        <v>30</v>
      </c>
      <c r="K136" s="40" t="s">
        <v>31</v>
      </c>
    </row>
    <row r="137" spans="1:11" ht="15.75" customHeight="1">
      <c r="A137" s="438">
        <v>14</v>
      </c>
      <c r="B137" s="439" t="s">
        <v>3368</v>
      </c>
      <c r="C137" s="40" t="s">
        <v>25</v>
      </c>
      <c r="D137" s="40" t="s">
        <v>268</v>
      </c>
      <c r="E137" s="40" t="s">
        <v>78</v>
      </c>
      <c r="F137" s="43" t="s">
        <v>3369</v>
      </c>
      <c r="G137" s="40" t="s">
        <v>29</v>
      </c>
      <c r="H137" s="200">
        <v>500</v>
      </c>
      <c r="I137" s="41">
        <v>100</v>
      </c>
      <c r="J137" s="40" t="s">
        <v>30</v>
      </c>
      <c r="K137" s="40" t="s">
        <v>31</v>
      </c>
    </row>
    <row r="138" spans="1:11" ht="15.75" customHeight="1">
      <c r="A138" s="438">
        <v>14</v>
      </c>
      <c r="B138" s="439" t="s">
        <v>3370</v>
      </c>
      <c r="C138" s="40" t="s">
        <v>25</v>
      </c>
      <c r="D138" s="40" t="s">
        <v>1278</v>
      </c>
      <c r="E138" s="40" t="s">
        <v>42</v>
      </c>
      <c r="F138" s="43" t="s">
        <v>3371</v>
      </c>
      <c r="G138" s="40" t="s">
        <v>29</v>
      </c>
      <c r="H138" s="200">
        <v>200</v>
      </c>
      <c r="I138" s="41">
        <v>40</v>
      </c>
      <c r="J138" s="40" t="s">
        <v>30</v>
      </c>
      <c r="K138" s="40" t="s">
        <v>31</v>
      </c>
    </row>
    <row r="139" spans="1:11" ht="15.75" customHeight="1">
      <c r="A139" s="438">
        <v>14</v>
      </c>
      <c r="B139" s="439" t="s">
        <v>3372</v>
      </c>
      <c r="C139" s="40" t="s">
        <v>25</v>
      </c>
      <c r="D139" s="40" t="s">
        <v>3373</v>
      </c>
      <c r="E139" s="40" t="s">
        <v>311</v>
      </c>
      <c r="F139" s="43" t="s">
        <v>3374</v>
      </c>
      <c r="G139" s="40" t="s">
        <v>29</v>
      </c>
      <c r="H139" s="200">
        <v>500</v>
      </c>
      <c r="I139" s="41">
        <v>100</v>
      </c>
      <c r="J139" s="40" t="s">
        <v>30</v>
      </c>
      <c r="K139" s="40" t="s">
        <v>31</v>
      </c>
    </row>
    <row r="140" spans="1:11" ht="15.75" customHeight="1">
      <c r="A140" s="438">
        <v>14</v>
      </c>
      <c r="B140" s="439" t="s">
        <v>3375</v>
      </c>
      <c r="C140" s="40" t="s">
        <v>25</v>
      </c>
      <c r="D140" s="40" t="s">
        <v>532</v>
      </c>
      <c r="E140" s="40" t="s">
        <v>2502</v>
      </c>
      <c r="F140" s="43" t="s">
        <v>3376</v>
      </c>
      <c r="G140" s="40" t="s">
        <v>29</v>
      </c>
      <c r="H140" s="200">
        <v>500</v>
      </c>
      <c r="I140" s="41">
        <v>100</v>
      </c>
      <c r="J140" s="40" t="s">
        <v>30</v>
      </c>
      <c r="K140" s="40" t="s">
        <v>31</v>
      </c>
    </row>
    <row r="141" spans="1:11" ht="15.75" customHeight="1">
      <c r="A141" s="438">
        <v>14</v>
      </c>
      <c r="B141" s="439" t="s">
        <v>3377</v>
      </c>
      <c r="C141" s="40" t="s">
        <v>59</v>
      </c>
      <c r="D141" s="40" t="s">
        <v>3378</v>
      </c>
      <c r="E141" s="40" t="s">
        <v>96</v>
      </c>
      <c r="F141" s="43" t="s">
        <v>1387</v>
      </c>
      <c r="G141" s="40" t="s">
        <v>29</v>
      </c>
      <c r="H141" s="200">
        <v>300</v>
      </c>
      <c r="I141" s="41">
        <v>60</v>
      </c>
      <c r="J141" s="40" t="s">
        <v>30</v>
      </c>
      <c r="K141" s="40" t="s">
        <v>31</v>
      </c>
    </row>
    <row r="142" spans="1:11" ht="15.75" customHeight="1">
      <c r="A142" s="451">
        <v>14</v>
      </c>
      <c r="B142" s="435" t="s">
        <v>3379</v>
      </c>
      <c r="C142" s="48" t="s">
        <v>25</v>
      </c>
      <c r="D142" s="48" t="s">
        <v>2436</v>
      </c>
      <c r="E142" s="48" t="s">
        <v>50</v>
      </c>
      <c r="F142" s="49" t="s">
        <v>3380</v>
      </c>
      <c r="G142" s="48" t="s">
        <v>29</v>
      </c>
      <c r="H142" s="430">
        <v>300</v>
      </c>
      <c r="I142" s="51">
        <v>60</v>
      </c>
      <c r="J142" s="48" t="s">
        <v>30</v>
      </c>
      <c r="K142" s="48" t="s">
        <v>31</v>
      </c>
    </row>
    <row r="143" spans="1:11" ht="15.75" customHeight="1">
      <c r="A143" s="436">
        <v>17</v>
      </c>
      <c r="B143" s="77" t="s">
        <v>3381</v>
      </c>
      <c r="C143" s="53" t="s">
        <v>25</v>
      </c>
      <c r="D143" s="53" t="s">
        <v>3378</v>
      </c>
      <c r="E143" s="53" t="s">
        <v>96</v>
      </c>
      <c r="F143" s="53" t="s">
        <v>638</v>
      </c>
      <c r="G143" s="53" t="s">
        <v>29</v>
      </c>
      <c r="H143" s="437">
        <v>600</v>
      </c>
      <c r="I143" s="55">
        <v>120</v>
      </c>
      <c r="J143" s="53" t="s">
        <v>30</v>
      </c>
      <c r="K143" s="53" t="s">
        <v>31</v>
      </c>
    </row>
    <row r="144" spans="1:11" ht="15.75" customHeight="1">
      <c r="A144" s="438">
        <v>17</v>
      </c>
      <c r="B144" s="439" t="s">
        <v>3382</v>
      </c>
      <c r="C144" s="40" t="s">
        <v>25</v>
      </c>
      <c r="D144" s="40" t="s">
        <v>532</v>
      </c>
      <c r="E144" s="40" t="s">
        <v>38</v>
      </c>
      <c r="F144" s="43" t="s">
        <v>3383</v>
      </c>
      <c r="G144" s="40" t="s">
        <v>29</v>
      </c>
      <c r="H144" s="200">
        <v>500</v>
      </c>
      <c r="I144" s="41">
        <v>100</v>
      </c>
      <c r="J144" s="40" t="s">
        <v>30</v>
      </c>
      <c r="K144" s="40" t="s">
        <v>31</v>
      </c>
    </row>
    <row r="145" spans="1:14" ht="15.75" customHeight="1">
      <c r="A145" s="438">
        <v>17</v>
      </c>
      <c r="B145" s="439" t="s">
        <v>3384</v>
      </c>
      <c r="C145" s="40" t="s">
        <v>25</v>
      </c>
      <c r="D145" s="40" t="s">
        <v>3385</v>
      </c>
      <c r="E145" s="40" t="s">
        <v>78</v>
      </c>
      <c r="F145" s="43" t="s">
        <v>3386</v>
      </c>
      <c r="G145" s="40" t="s">
        <v>29</v>
      </c>
      <c r="H145" s="200">
        <v>500</v>
      </c>
      <c r="I145" s="41">
        <v>100</v>
      </c>
      <c r="J145" s="40" t="s">
        <v>30</v>
      </c>
      <c r="K145" s="40" t="s">
        <v>31</v>
      </c>
    </row>
    <row r="146" spans="1:14" ht="15.75" customHeight="1">
      <c r="A146" s="438">
        <v>17</v>
      </c>
      <c r="B146" s="439" t="s">
        <v>3387</v>
      </c>
      <c r="C146" s="40" t="s">
        <v>25</v>
      </c>
      <c r="D146" s="40" t="s">
        <v>2744</v>
      </c>
      <c r="E146" s="40" t="s">
        <v>78</v>
      </c>
      <c r="F146" s="43" t="s">
        <v>3388</v>
      </c>
      <c r="G146" s="40" t="s">
        <v>29</v>
      </c>
      <c r="H146" s="200">
        <v>500</v>
      </c>
      <c r="I146" s="41">
        <v>100</v>
      </c>
      <c r="J146" s="40" t="s">
        <v>30</v>
      </c>
      <c r="K146" s="40" t="s">
        <v>31</v>
      </c>
      <c r="N146" s="65"/>
    </row>
    <row r="147" spans="1:14" ht="15.75" customHeight="1">
      <c r="A147" s="438">
        <v>17</v>
      </c>
      <c r="B147" s="439" t="s">
        <v>3389</v>
      </c>
      <c r="C147" s="40" t="s">
        <v>25</v>
      </c>
      <c r="D147" s="40" t="s">
        <v>1137</v>
      </c>
      <c r="E147" s="40" t="s">
        <v>38</v>
      </c>
      <c r="F147" s="43" t="s">
        <v>3390</v>
      </c>
      <c r="G147" s="40" t="s">
        <v>29</v>
      </c>
      <c r="H147" s="200">
        <v>250</v>
      </c>
      <c r="I147" s="41">
        <v>50</v>
      </c>
      <c r="J147" s="40" t="s">
        <v>30</v>
      </c>
      <c r="K147" s="40" t="s">
        <v>31</v>
      </c>
    </row>
    <row r="148" spans="1:14" ht="15.75" customHeight="1">
      <c r="A148" s="438">
        <v>17</v>
      </c>
      <c r="B148" s="439" t="s">
        <v>3391</v>
      </c>
      <c r="C148" s="40" t="s">
        <v>59</v>
      </c>
      <c r="D148" s="40" t="s">
        <v>1365</v>
      </c>
      <c r="E148" s="40" t="s">
        <v>333</v>
      </c>
      <c r="F148" s="43" t="s">
        <v>3392</v>
      </c>
      <c r="G148" s="40" t="s">
        <v>29</v>
      </c>
      <c r="H148" s="200">
        <v>500</v>
      </c>
      <c r="I148" s="41">
        <v>100</v>
      </c>
      <c r="J148" s="40" t="s">
        <v>30</v>
      </c>
      <c r="K148" s="40" t="s">
        <v>31</v>
      </c>
    </row>
    <row r="149" spans="1:14" ht="15.75" customHeight="1">
      <c r="A149" s="438">
        <v>17</v>
      </c>
      <c r="B149" s="439" t="s">
        <v>3393</v>
      </c>
      <c r="C149" s="40" t="s">
        <v>25</v>
      </c>
      <c r="D149" s="40" t="s">
        <v>63</v>
      </c>
      <c r="E149" s="40" t="s">
        <v>103</v>
      </c>
      <c r="F149" s="43" t="s">
        <v>3394</v>
      </c>
      <c r="G149" s="40" t="s">
        <v>29</v>
      </c>
      <c r="H149" s="200">
        <v>500</v>
      </c>
      <c r="I149" s="41">
        <v>100</v>
      </c>
      <c r="J149" s="40" t="s">
        <v>30</v>
      </c>
      <c r="K149" s="40" t="s">
        <v>31</v>
      </c>
    </row>
    <row r="150" spans="1:14" ht="15.75" customHeight="1">
      <c r="A150" s="438"/>
      <c r="B150" s="439"/>
      <c r="C150" s="40"/>
      <c r="D150" s="40"/>
      <c r="E150" s="40"/>
      <c r="F150" s="40"/>
      <c r="G150" s="40" t="s">
        <v>1114</v>
      </c>
      <c r="H150" s="200">
        <v>20</v>
      </c>
      <c r="I150" s="41">
        <v>200</v>
      </c>
      <c r="J150" s="40" t="s">
        <v>30</v>
      </c>
      <c r="K150" s="40" t="s">
        <v>31</v>
      </c>
    </row>
    <row r="151" spans="1:14" ht="15.75" customHeight="1">
      <c r="A151" s="438">
        <v>17</v>
      </c>
      <c r="B151" s="439" t="s">
        <v>3395</v>
      </c>
      <c r="C151" s="40" t="s">
        <v>25</v>
      </c>
      <c r="D151" s="40" t="s">
        <v>235</v>
      </c>
      <c r="E151" s="40" t="s">
        <v>78</v>
      </c>
      <c r="F151" s="43" t="s">
        <v>1355</v>
      </c>
      <c r="G151" s="40" t="s">
        <v>29</v>
      </c>
      <c r="H151" s="200">
        <v>200</v>
      </c>
      <c r="I151" s="41">
        <v>40</v>
      </c>
      <c r="J151" s="40" t="s">
        <v>30</v>
      </c>
      <c r="K151" s="40" t="s">
        <v>31</v>
      </c>
    </row>
    <row r="152" spans="1:14" ht="15.75" customHeight="1">
      <c r="A152" s="438">
        <v>17</v>
      </c>
      <c r="B152" s="439" t="s">
        <v>1009</v>
      </c>
      <c r="C152" s="40" t="s">
        <v>25</v>
      </c>
      <c r="D152" s="40" t="s">
        <v>192</v>
      </c>
      <c r="E152" s="40" t="s">
        <v>78</v>
      </c>
      <c r="F152" s="43" t="s">
        <v>1011</v>
      </c>
      <c r="G152" s="40" t="s">
        <v>29</v>
      </c>
      <c r="H152" s="200">
        <v>500</v>
      </c>
      <c r="I152" s="41">
        <v>100</v>
      </c>
      <c r="J152" s="40" t="s">
        <v>30</v>
      </c>
      <c r="K152" s="40" t="s">
        <v>31</v>
      </c>
    </row>
    <row r="153" spans="1:14" ht="15.75" customHeight="1">
      <c r="A153" s="434">
        <v>17</v>
      </c>
      <c r="B153" s="435" t="s">
        <v>3396</v>
      </c>
      <c r="C153" s="48" t="s">
        <v>25</v>
      </c>
      <c r="D153" s="48" t="s">
        <v>3397</v>
      </c>
      <c r="E153" s="48" t="s">
        <v>311</v>
      </c>
      <c r="F153" s="49" t="s">
        <v>3398</v>
      </c>
      <c r="G153" s="48" t="s">
        <v>29</v>
      </c>
      <c r="H153" s="430">
        <v>3000</v>
      </c>
      <c r="I153" s="51">
        <v>600</v>
      </c>
      <c r="J153" s="48" t="s">
        <v>30</v>
      </c>
      <c r="K153" s="48" t="s">
        <v>31</v>
      </c>
    </row>
    <row r="154" spans="1:14" ht="15.75" customHeight="1">
      <c r="A154" s="436">
        <v>18</v>
      </c>
      <c r="B154" s="77" t="s">
        <v>3399</v>
      </c>
      <c r="C154" s="53" t="s">
        <v>25</v>
      </c>
      <c r="D154" s="53" t="s">
        <v>263</v>
      </c>
      <c r="E154" s="53" t="s">
        <v>42</v>
      </c>
      <c r="F154" s="60" t="s">
        <v>3400</v>
      </c>
      <c r="G154" s="452" t="s">
        <v>29</v>
      </c>
      <c r="H154" s="453">
        <v>500</v>
      </c>
      <c r="I154" s="55">
        <v>100</v>
      </c>
      <c r="J154" s="53" t="s">
        <v>30</v>
      </c>
      <c r="K154" s="53" t="s">
        <v>31</v>
      </c>
    </row>
    <row r="155" spans="1:14" ht="15.75" customHeight="1">
      <c r="A155" s="438">
        <v>18</v>
      </c>
      <c r="B155" s="439" t="s">
        <v>2242</v>
      </c>
      <c r="C155" s="40" t="s">
        <v>25</v>
      </c>
      <c r="D155" s="40" t="s">
        <v>204</v>
      </c>
      <c r="E155" s="40" t="s">
        <v>50</v>
      </c>
      <c r="F155" s="43" t="s">
        <v>2243</v>
      </c>
      <c r="G155" s="454" t="s">
        <v>29</v>
      </c>
      <c r="H155" s="455">
        <v>4000</v>
      </c>
      <c r="I155" s="41">
        <v>800</v>
      </c>
      <c r="J155" s="40" t="s">
        <v>30</v>
      </c>
      <c r="K155" s="40" t="s">
        <v>31</v>
      </c>
    </row>
    <row r="156" spans="1:14" ht="15.75" customHeight="1">
      <c r="A156" s="438">
        <v>18</v>
      </c>
      <c r="B156" s="439" t="s">
        <v>3401</v>
      </c>
      <c r="C156" s="40" t="s">
        <v>25</v>
      </c>
      <c r="D156" s="40" t="s">
        <v>33</v>
      </c>
      <c r="E156" s="40" t="s">
        <v>34</v>
      </c>
      <c r="F156" s="43" t="s">
        <v>3402</v>
      </c>
      <c r="G156" s="454" t="s">
        <v>29</v>
      </c>
      <c r="H156" s="455">
        <v>10000</v>
      </c>
      <c r="I156" s="41">
        <v>2000</v>
      </c>
      <c r="J156" s="40" t="s">
        <v>30</v>
      </c>
      <c r="K156" s="40" t="s">
        <v>31</v>
      </c>
    </row>
    <row r="157" spans="1:14" ht="15.75" customHeight="1">
      <c r="A157" s="438"/>
      <c r="B157" s="439"/>
      <c r="C157" s="40"/>
      <c r="D157" s="40"/>
      <c r="E157" s="40"/>
      <c r="F157" s="40"/>
      <c r="G157" s="166" t="s">
        <v>1112</v>
      </c>
      <c r="H157" s="456">
        <v>2000</v>
      </c>
      <c r="I157" s="41">
        <v>1200</v>
      </c>
      <c r="J157" s="40" t="s">
        <v>30</v>
      </c>
      <c r="K157" s="40" t="s">
        <v>31</v>
      </c>
    </row>
    <row r="158" spans="1:14" ht="15.75" customHeight="1">
      <c r="A158" s="438">
        <v>18</v>
      </c>
      <c r="B158" s="439" t="s">
        <v>1436</v>
      </c>
      <c r="C158" s="40" t="s">
        <v>25</v>
      </c>
      <c r="D158" s="40" t="s">
        <v>63</v>
      </c>
      <c r="E158" s="40" t="s">
        <v>38</v>
      </c>
      <c r="F158" s="40" t="s">
        <v>638</v>
      </c>
      <c r="G158" s="454" t="s">
        <v>29</v>
      </c>
      <c r="H158" s="455">
        <v>6000</v>
      </c>
      <c r="I158" s="41">
        <v>1200</v>
      </c>
      <c r="J158" s="40" t="s">
        <v>30</v>
      </c>
      <c r="K158" s="40" t="s">
        <v>31</v>
      </c>
    </row>
    <row r="159" spans="1:14" ht="15.75" customHeight="1">
      <c r="A159" s="438">
        <v>18</v>
      </c>
      <c r="B159" s="439" t="s">
        <v>3403</v>
      </c>
      <c r="C159" s="40" t="s">
        <v>25</v>
      </c>
      <c r="D159" s="40" t="s">
        <v>258</v>
      </c>
      <c r="E159" s="40" t="s">
        <v>96</v>
      </c>
      <c r="F159" s="43" t="s">
        <v>3404</v>
      </c>
      <c r="G159" s="454" t="s">
        <v>29</v>
      </c>
      <c r="H159" s="455">
        <v>5000</v>
      </c>
      <c r="I159" s="41">
        <v>1000</v>
      </c>
      <c r="J159" s="40" t="s">
        <v>30</v>
      </c>
      <c r="K159" s="40" t="s">
        <v>31</v>
      </c>
    </row>
    <row r="160" spans="1:14" ht="15.75" customHeight="1">
      <c r="A160" s="438"/>
      <c r="B160" s="439"/>
      <c r="C160" s="40"/>
      <c r="D160" s="40"/>
      <c r="E160" s="40"/>
      <c r="F160" s="40"/>
      <c r="G160" s="166" t="s">
        <v>1112</v>
      </c>
      <c r="H160" s="456">
        <v>200</v>
      </c>
      <c r="I160" s="41">
        <v>120</v>
      </c>
      <c r="J160" s="40" t="s">
        <v>30</v>
      </c>
      <c r="K160" s="40" t="s">
        <v>31</v>
      </c>
    </row>
    <row r="161" spans="1:11" ht="15.75" customHeight="1">
      <c r="A161" s="438">
        <v>18</v>
      </c>
      <c r="B161" s="439" t="s">
        <v>3405</v>
      </c>
      <c r="C161" s="40" t="s">
        <v>25</v>
      </c>
      <c r="D161" s="40" t="s">
        <v>55</v>
      </c>
      <c r="E161" s="40" t="s">
        <v>96</v>
      </c>
      <c r="F161" s="43" t="s">
        <v>3406</v>
      </c>
      <c r="G161" s="454" t="s">
        <v>29</v>
      </c>
      <c r="H161" s="455">
        <v>3000</v>
      </c>
      <c r="I161" s="41">
        <v>600</v>
      </c>
      <c r="J161" s="40" t="s">
        <v>30</v>
      </c>
      <c r="K161" s="40" t="s">
        <v>31</v>
      </c>
    </row>
    <row r="162" spans="1:11" ht="15.75" customHeight="1">
      <c r="A162" s="438">
        <v>18</v>
      </c>
      <c r="B162" s="439" t="s">
        <v>3407</v>
      </c>
      <c r="C162" s="40" t="s">
        <v>59</v>
      </c>
      <c r="D162" s="40" t="s">
        <v>55</v>
      </c>
      <c r="E162" s="40" t="s">
        <v>96</v>
      </c>
      <c r="F162" s="43" t="s">
        <v>3408</v>
      </c>
      <c r="G162" s="454" t="s">
        <v>29</v>
      </c>
      <c r="H162" s="455">
        <v>6000</v>
      </c>
      <c r="I162" s="41">
        <v>1200</v>
      </c>
      <c r="J162" s="40" t="s">
        <v>30</v>
      </c>
      <c r="K162" s="40" t="s">
        <v>31</v>
      </c>
    </row>
    <row r="163" spans="1:11" ht="15.75" customHeight="1">
      <c r="A163" s="438">
        <v>18</v>
      </c>
      <c r="B163" s="439" t="s">
        <v>3409</v>
      </c>
      <c r="C163" s="40" t="s">
        <v>59</v>
      </c>
      <c r="D163" s="40" t="s">
        <v>176</v>
      </c>
      <c r="E163" s="40" t="s">
        <v>318</v>
      </c>
      <c r="F163" s="43" t="s">
        <v>3410</v>
      </c>
      <c r="G163" s="454" t="s">
        <v>29</v>
      </c>
      <c r="H163" s="455">
        <v>7000</v>
      </c>
      <c r="I163" s="41">
        <v>1400</v>
      </c>
      <c r="J163" s="40" t="s">
        <v>30</v>
      </c>
      <c r="K163" s="40" t="s">
        <v>31</v>
      </c>
    </row>
    <row r="164" spans="1:11" ht="15.75" customHeight="1">
      <c r="A164" s="438">
        <v>18</v>
      </c>
      <c r="B164" s="439" t="s">
        <v>3411</v>
      </c>
      <c r="C164" s="40" t="s">
        <v>25</v>
      </c>
      <c r="D164" s="40" t="s">
        <v>81</v>
      </c>
      <c r="E164" s="40" t="s">
        <v>50</v>
      </c>
      <c r="F164" s="43" t="s">
        <v>3412</v>
      </c>
      <c r="G164" s="454" t="s">
        <v>29</v>
      </c>
      <c r="H164" s="455">
        <v>1000</v>
      </c>
      <c r="I164" s="41">
        <v>200</v>
      </c>
      <c r="J164" s="40" t="s">
        <v>30</v>
      </c>
      <c r="K164" s="40" t="s">
        <v>31</v>
      </c>
    </row>
    <row r="165" spans="1:11" ht="15.75" customHeight="1">
      <c r="A165" s="438">
        <v>18</v>
      </c>
      <c r="B165" s="439" t="s">
        <v>3413</v>
      </c>
      <c r="C165" s="40" t="s">
        <v>25</v>
      </c>
      <c r="D165" s="40" t="s">
        <v>3414</v>
      </c>
      <c r="E165" s="40" t="s">
        <v>50</v>
      </c>
      <c r="F165" s="43" t="s">
        <v>2941</v>
      </c>
      <c r="G165" s="454" t="s">
        <v>29</v>
      </c>
      <c r="H165" s="455">
        <v>1000</v>
      </c>
      <c r="I165" s="41">
        <v>200</v>
      </c>
      <c r="J165" s="40" t="s">
        <v>30</v>
      </c>
      <c r="K165" s="40" t="s">
        <v>31</v>
      </c>
    </row>
    <row r="166" spans="1:11" ht="15.75" customHeight="1">
      <c r="A166" s="438">
        <v>19</v>
      </c>
      <c r="B166" s="439" t="s">
        <v>1891</v>
      </c>
      <c r="C166" s="40" t="s">
        <v>25</v>
      </c>
      <c r="D166" s="40" t="s">
        <v>942</v>
      </c>
      <c r="E166" s="40" t="s">
        <v>130</v>
      </c>
      <c r="F166" s="43" t="s">
        <v>1892</v>
      </c>
      <c r="G166" s="454" t="s">
        <v>29</v>
      </c>
      <c r="H166" s="455">
        <v>4000</v>
      </c>
      <c r="I166" s="41">
        <v>800</v>
      </c>
      <c r="J166" s="40" t="s">
        <v>30</v>
      </c>
      <c r="K166" s="40" t="s">
        <v>31</v>
      </c>
    </row>
    <row r="167" spans="1:11" ht="15.75" customHeight="1">
      <c r="A167" s="438">
        <v>19</v>
      </c>
      <c r="B167" s="439" t="s">
        <v>3415</v>
      </c>
      <c r="C167" s="40" t="s">
        <v>25</v>
      </c>
      <c r="D167" s="40" t="s">
        <v>1371</v>
      </c>
      <c r="E167" s="40" t="s">
        <v>96</v>
      </c>
      <c r="F167" s="43" t="s">
        <v>3416</v>
      </c>
      <c r="G167" s="166" t="s">
        <v>1112</v>
      </c>
      <c r="H167" s="456">
        <v>300</v>
      </c>
      <c r="I167" s="41">
        <v>180</v>
      </c>
      <c r="J167" s="40" t="s">
        <v>30</v>
      </c>
      <c r="K167" s="40" t="s">
        <v>31</v>
      </c>
    </row>
    <row r="168" spans="1:11" ht="15.75" customHeight="1">
      <c r="A168" s="438">
        <v>19</v>
      </c>
      <c r="B168" s="439" t="s">
        <v>3417</v>
      </c>
      <c r="C168" s="40" t="s">
        <v>25</v>
      </c>
      <c r="D168" s="40" t="s">
        <v>55</v>
      </c>
      <c r="E168" s="40" t="s">
        <v>38</v>
      </c>
      <c r="F168" s="43" t="s">
        <v>3418</v>
      </c>
      <c r="G168" s="454" t="s">
        <v>29</v>
      </c>
      <c r="H168" s="455">
        <v>500</v>
      </c>
      <c r="I168" s="41">
        <v>100</v>
      </c>
      <c r="J168" s="40" t="s">
        <v>30</v>
      </c>
      <c r="K168" s="40" t="s">
        <v>31</v>
      </c>
    </row>
    <row r="169" spans="1:11" ht="15.75" customHeight="1">
      <c r="A169" s="438">
        <v>19</v>
      </c>
      <c r="B169" s="439" t="s">
        <v>3153</v>
      </c>
      <c r="C169" s="40" t="s">
        <v>25</v>
      </c>
      <c r="D169" s="40" t="s">
        <v>86</v>
      </c>
      <c r="E169" s="40" t="s">
        <v>42</v>
      </c>
      <c r="F169" s="43" t="s">
        <v>3419</v>
      </c>
      <c r="G169" s="454" t="s">
        <v>29</v>
      </c>
      <c r="H169" s="455">
        <v>15000</v>
      </c>
      <c r="I169" s="41">
        <v>3000</v>
      </c>
      <c r="J169" s="40" t="s">
        <v>30</v>
      </c>
      <c r="K169" s="40" t="s">
        <v>31</v>
      </c>
    </row>
    <row r="170" spans="1:11" ht="15.75" customHeight="1">
      <c r="A170" s="438">
        <v>19</v>
      </c>
      <c r="B170" s="439" t="s">
        <v>3420</v>
      </c>
      <c r="C170" s="40" t="s">
        <v>59</v>
      </c>
      <c r="D170" s="40" t="s">
        <v>103</v>
      </c>
      <c r="E170" s="40" t="s">
        <v>38</v>
      </c>
      <c r="F170" s="43" t="s">
        <v>3421</v>
      </c>
      <c r="G170" s="457" t="s">
        <v>1114</v>
      </c>
      <c r="H170" s="455">
        <v>20</v>
      </c>
      <c r="I170" s="41">
        <v>200</v>
      </c>
      <c r="J170" s="40" t="s">
        <v>30</v>
      </c>
      <c r="K170" s="40" t="s">
        <v>31</v>
      </c>
    </row>
    <row r="171" spans="1:11" ht="15.75" customHeight="1">
      <c r="A171" s="438">
        <v>19</v>
      </c>
      <c r="B171" s="439" t="s">
        <v>3422</v>
      </c>
      <c r="C171" s="40" t="s">
        <v>25</v>
      </c>
      <c r="D171" s="40" t="s">
        <v>155</v>
      </c>
      <c r="E171" s="40" t="s">
        <v>42</v>
      </c>
      <c r="F171" s="40" t="s">
        <v>638</v>
      </c>
      <c r="G171" s="457" t="s">
        <v>1114</v>
      </c>
      <c r="H171" s="455">
        <v>20</v>
      </c>
      <c r="I171" s="41">
        <v>100</v>
      </c>
      <c r="J171" s="40" t="s">
        <v>30</v>
      </c>
      <c r="K171" s="40" t="s">
        <v>31</v>
      </c>
    </row>
    <row r="172" spans="1:11" ht="15.75" customHeight="1">
      <c r="A172" s="438">
        <v>19</v>
      </c>
      <c r="B172" s="439" t="s">
        <v>3423</v>
      </c>
      <c r="C172" s="40" t="s">
        <v>25</v>
      </c>
      <c r="D172" s="40" t="s">
        <v>718</v>
      </c>
      <c r="E172" s="40" t="s">
        <v>96</v>
      </c>
      <c r="F172" s="43" t="s">
        <v>3424</v>
      </c>
      <c r="G172" s="454" t="s">
        <v>29</v>
      </c>
      <c r="H172" s="455">
        <v>5000</v>
      </c>
      <c r="I172" s="41">
        <v>1000</v>
      </c>
      <c r="J172" s="40" t="s">
        <v>30</v>
      </c>
      <c r="K172" s="40" t="s">
        <v>31</v>
      </c>
    </row>
    <row r="173" spans="1:11" ht="15.75" customHeight="1">
      <c r="A173" s="438">
        <v>19</v>
      </c>
      <c r="B173" s="439" t="s">
        <v>3425</v>
      </c>
      <c r="C173" s="40" t="s">
        <v>25</v>
      </c>
      <c r="D173" s="40" t="s">
        <v>2978</v>
      </c>
      <c r="E173" s="40" t="s">
        <v>50</v>
      </c>
      <c r="F173" s="43" t="s">
        <v>3426</v>
      </c>
      <c r="G173" s="454" t="s">
        <v>29</v>
      </c>
      <c r="H173" s="455">
        <v>2000</v>
      </c>
      <c r="I173" s="41">
        <v>400</v>
      </c>
      <c r="J173" s="40" t="s">
        <v>30</v>
      </c>
      <c r="K173" s="40" t="s">
        <v>31</v>
      </c>
    </row>
    <row r="174" spans="1:11" ht="15.75" customHeight="1">
      <c r="A174" s="438">
        <v>19</v>
      </c>
      <c r="B174" s="439" t="s">
        <v>3427</v>
      </c>
      <c r="C174" s="40" t="s">
        <v>25</v>
      </c>
      <c r="D174" s="40" t="s">
        <v>3428</v>
      </c>
      <c r="E174" s="40" t="s">
        <v>42</v>
      </c>
      <c r="F174" s="40" t="s">
        <v>638</v>
      </c>
      <c r="G174" s="454" t="s">
        <v>29</v>
      </c>
      <c r="H174" s="455">
        <v>500</v>
      </c>
      <c r="I174" s="41">
        <v>100</v>
      </c>
      <c r="J174" s="40" t="s">
        <v>30</v>
      </c>
      <c r="K174" s="40" t="s">
        <v>31</v>
      </c>
    </row>
    <row r="175" spans="1:11" ht="15.75" customHeight="1">
      <c r="A175" s="438">
        <v>19</v>
      </c>
      <c r="B175" s="439" t="s">
        <v>3429</v>
      </c>
      <c r="C175" s="40" t="s">
        <v>25</v>
      </c>
      <c r="D175" s="40" t="s">
        <v>657</v>
      </c>
      <c r="E175" s="40" t="s">
        <v>38</v>
      </c>
      <c r="F175" s="43" t="s">
        <v>3430</v>
      </c>
      <c r="G175" s="454" t="s">
        <v>29</v>
      </c>
      <c r="H175" s="455">
        <v>1000</v>
      </c>
      <c r="I175" s="41">
        <v>200</v>
      </c>
      <c r="J175" s="40" t="s">
        <v>30</v>
      </c>
      <c r="K175" s="40" t="s">
        <v>31</v>
      </c>
    </row>
    <row r="176" spans="1:11" ht="15.75" customHeight="1">
      <c r="A176" s="438">
        <v>20</v>
      </c>
      <c r="B176" s="439" t="s">
        <v>3431</v>
      </c>
      <c r="C176" s="40" t="s">
        <v>25</v>
      </c>
      <c r="D176" s="40" t="s">
        <v>1839</v>
      </c>
      <c r="E176" s="40" t="s">
        <v>38</v>
      </c>
      <c r="F176" s="43" t="s">
        <v>2058</v>
      </c>
      <c r="G176" s="454" t="s">
        <v>29</v>
      </c>
      <c r="H176" s="455">
        <v>300</v>
      </c>
      <c r="I176" s="41">
        <v>60</v>
      </c>
      <c r="J176" s="40" t="s">
        <v>30</v>
      </c>
      <c r="K176" s="40" t="s">
        <v>31</v>
      </c>
    </row>
    <row r="177" spans="1:11" ht="15.75" customHeight="1">
      <c r="A177" s="438">
        <v>20</v>
      </c>
      <c r="B177" s="439" t="s">
        <v>3432</v>
      </c>
      <c r="C177" s="40" t="s">
        <v>25</v>
      </c>
      <c r="D177" s="40" t="s">
        <v>1137</v>
      </c>
      <c r="E177" s="40" t="s">
        <v>38</v>
      </c>
      <c r="F177" s="43" t="s">
        <v>3433</v>
      </c>
      <c r="G177" s="454" t="s">
        <v>29</v>
      </c>
      <c r="H177" s="455">
        <v>500</v>
      </c>
      <c r="I177" s="41">
        <v>100</v>
      </c>
      <c r="J177" s="40" t="s">
        <v>30</v>
      </c>
      <c r="K177" s="40" t="s">
        <v>31</v>
      </c>
    </row>
    <row r="178" spans="1:11" ht="15.75" customHeight="1">
      <c r="A178" s="438">
        <v>20</v>
      </c>
      <c r="B178" s="439" t="s">
        <v>1356</v>
      </c>
      <c r="C178" s="40" t="s">
        <v>25</v>
      </c>
      <c r="D178" s="40" t="s">
        <v>1190</v>
      </c>
      <c r="E178" s="40" t="s">
        <v>42</v>
      </c>
      <c r="F178" s="43" t="s">
        <v>1571</v>
      </c>
      <c r="G178" s="454" t="s">
        <v>29</v>
      </c>
      <c r="H178" s="455">
        <v>9000</v>
      </c>
      <c r="I178" s="41">
        <v>1800</v>
      </c>
      <c r="J178" s="40" t="s">
        <v>30</v>
      </c>
      <c r="K178" s="40" t="s">
        <v>31</v>
      </c>
    </row>
    <row r="179" spans="1:11" ht="15.75" customHeight="1">
      <c r="A179" s="438">
        <v>20</v>
      </c>
      <c r="B179" s="439" t="s">
        <v>3434</v>
      </c>
      <c r="C179" s="40" t="s">
        <v>25</v>
      </c>
      <c r="D179" s="40" t="s">
        <v>77</v>
      </c>
      <c r="E179" s="40" t="s">
        <v>78</v>
      </c>
      <c r="F179" s="40" t="s">
        <v>638</v>
      </c>
      <c r="G179" s="457" t="s">
        <v>1114</v>
      </c>
      <c r="H179" s="455">
        <v>30</v>
      </c>
      <c r="I179" s="41">
        <v>150</v>
      </c>
      <c r="J179" s="40" t="s">
        <v>30</v>
      </c>
      <c r="K179" s="40" t="s">
        <v>31</v>
      </c>
    </row>
    <row r="180" spans="1:11" ht="15.75" customHeight="1">
      <c r="A180" s="438">
        <v>20</v>
      </c>
      <c r="B180" s="439" t="s">
        <v>3435</v>
      </c>
      <c r="C180" s="40" t="s">
        <v>25</v>
      </c>
      <c r="D180" s="40" t="s">
        <v>593</v>
      </c>
      <c r="E180" s="40" t="s">
        <v>50</v>
      </c>
      <c r="F180" s="43" t="s">
        <v>3436</v>
      </c>
      <c r="G180" s="454" t="s">
        <v>29</v>
      </c>
      <c r="H180" s="455">
        <v>500</v>
      </c>
      <c r="I180" s="41">
        <v>100</v>
      </c>
      <c r="J180" s="40" t="s">
        <v>30</v>
      </c>
      <c r="K180" s="40" t="s">
        <v>31</v>
      </c>
    </row>
    <row r="181" spans="1:11" ht="15.75" customHeight="1">
      <c r="A181" s="438"/>
      <c r="B181" s="439"/>
      <c r="C181" s="40"/>
      <c r="D181" s="40"/>
      <c r="E181" s="40"/>
      <c r="F181" s="40"/>
      <c r="G181" s="166" t="s">
        <v>1112</v>
      </c>
      <c r="H181" s="456">
        <v>100</v>
      </c>
      <c r="I181" s="41">
        <v>60</v>
      </c>
      <c r="J181" s="40" t="s">
        <v>30</v>
      </c>
      <c r="K181" s="40" t="s">
        <v>31</v>
      </c>
    </row>
    <row r="182" spans="1:11" ht="15.75" customHeight="1">
      <c r="A182" s="438">
        <v>20</v>
      </c>
      <c r="B182" s="439" t="s">
        <v>3437</v>
      </c>
      <c r="C182" s="40" t="s">
        <v>59</v>
      </c>
      <c r="D182" s="40" t="s">
        <v>3438</v>
      </c>
      <c r="E182" s="40" t="s">
        <v>103</v>
      </c>
      <c r="F182" s="43" t="s">
        <v>3439</v>
      </c>
      <c r="G182" s="454" t="s">
        <v>29</v>
      </c>
      <c r="H182" s="455">
        <v>500</v>
      </c>
      <c r="I182" s="41">
        <v>100</v>
      </c>
      <c r="J182" s="40" t="s">
        <v>30</v>
      </c>
      <c r="K182" s="40" t="s">
        <v>31</v>
      </c>
    </row>
    <row r="183" spans="1:11" ht="15.75" customHeight="1">
      <c r="A183" s="438"/>
      <c r="B183" s="439"/>
      <c r="C183" s="40"/>
      <c r="D183" s="40"/>
      <c r="E183" s="40"/>
      <c r="F183" s="40"/>
      <c r="G183" s="166" t="s">
        <v>1112</v>
      </c>
      <c r="H183" s="456">
        <v>1000</v>
      </c>
      <c r="I183" s="41">
        <v>600</v>
      </c>
      <c r="J183" s="40" t="s">
        <v>30</v>
      </c>
      <c r="K183" s="40" t="s">
        <v>31</v>
      </c>
    </row>
    <row r="184" spans="1:11" ht="15.75" customHeight="1">
      <c r="A184" s="438">
        <v>20</v>
      </c>
      <c r="B184" s="439" t="s">
        <v>3440</v>
      </c>
      <c r="C184" s="40" t="s">
        <v>25</v>
      </c>
      <c r="D184" s="40" t="s">
        <v>3441</v>
      </c>
      <c r="E184" s="40" t="s">
        <v>50</v>
      </c>
      <c r="F184" s="43" t="s">
        <v>3442</v>
      </c>
      <c r="G184" s="454" t="s">
        <v>29</v>
      </c>
      <c r="H184" s="455">
        <v>2000</v>
      </c>
      <c r="I184" s="41">
        <v>400</v>
      </c>
      <c r="J184" s="40" t="s">
        <v>30</v>
      </c>
      <c r="K184" s="40" t="s">
        <v>31</v>
      </c>
    </row>
    <row r="185" spans="1:11" ht="15.75" customHeight="1">
      <c r="A185" s="438">
        <v>20</v>
      </c>
      <c r="B185" s="439" t="s">
        <v>3443</v>
      </c>
      <c r="C185" s="40" t="s">
        <v>25</v>
      </c>
      <c r="D185" s="40" t="s">
        <v>693</v>
      </c>
      <c r="E185" s="40" t="s">
        <v>130</v>
      </c>
      <c r="F185" s="43" t="s">
        <v>3444</v>
      </c>
      <c r="G185" s="454" t="s">
        <v>29</v>
      </c>
      <c r="H185" s="455">
        <v>3000</v>
      </c>
      <c r="I185" s="41">
        <v>600</v>
      </c>
      <c r="J185" s="40" t="s">
        <v>30</v>
      </c>
      <c r="K185" s="40" t="s">
        <v>31</v>
      </c>
    </row>
    <row r="186" spans="1:11" ht="15.75" customHeight="1">
      <c r="A186" s="438">
        <v>20</v>
      </c>
      <c r="B186" s="439" t="s">
        <v>3445</v>
      </c>
      <c r="C186" s="40" t="s">
        <v>25</v>
      </c>
      <c r="D186" s="40" t="s">
        <v>3446</v>
      </c>
      <c r="E186" s="40" t="s">
        <v>219</v>
      </c>
      <c r="F186" s="43" t="s">
        <v>3447</v>
      </c>
      <c r="G186" s="454" t="s">
        <v>29</v>
      </c>
      <c r="H186" s="455">
        <v>1500</v>
      </c>
      <c r="I186" s="41">
        <v>300</v>
      </c>
      <c r="J186" s="40" t="s">
        <v>30</v>
      </c>
      <c r="K186" s="40" t="s">
        <v>31</v>
      </c>
    </row>
    <row r="187" spans="1:11" ht="15.75" customHeight="1">
      <c r="A187" s="438">
        <v>20</v>
      </c>
      <c r="B187" s="439" t="s">
        <v>3448</v>
      </c>
      <c r="C187" s="40" t="s">
        <v>25</v>
      </c>
      <c r="D187" s="40" t="s">
        <v>3170</v>
      </c>
      <c r="E187" s="40" t="s">
        <v>258</v>
      </c>
      <c r="F187" s="43" t="s">
        <v>3449</v>
      </c>
      <c r="G187" s="454" t="s">
        <v>29</v>
      </c>
      <c r="H187" s="455">
        <v>2000</v>
      </c>
      <c r="I187" s="41">
        <v>400</v>
      </c>
      <c r="J187" s="40" t="s">
        <v>30</v>
      </c>
      <c r="K187" s="40" t="s">
        <v>31</v>
      </c>
    </row>
    <row r="188" spans="1:11" ht="15.75" customHeight="1">
      <c r="A188" s="438">
        <v>21</v>
      </c>
      <c r="B188" s="439" t="s">
        <v>3450</v>
      </c>
      <c r="C188" s="40" t="s">
        <v>25</v>
      </c>
      <c r="D188" s="40" t="s">
        <v>1371</v>
      </c>
      <c r="E188" s="40" t="s">
        <v>96</v>
      </c>
      <c r="F188" s="40" t="s">
        <v>638</v>
      </c>
      <c r="G188" s="454" t="s">
        <v>29</v>
      </c>
      <c r="H188" s="455">
        <v>500</v>
      </c>
      <c r="I188" s="41">
        <v>100</v>
      </c>
      <c r="J188" s="40" t="s">
        <v>30</v>
      </c>
      <c r="K188" s="40" t="s">
        <v>31</v>
      </c>
    </row>
    <row r="189" spans="1:11" ht="15.75" customHeight="1">
      <c r="A189" s="438"/>
      <c r="B189" s="439"/>
      <c r="C189" s="40"/>
      <c r="D189" s="40"/>
      <c r="E189" s="40"/>
      <c r="F189" s="40"/>
      <c r="G189" s="166" t="s">
        <v>1112</v>
      </c>
      <c r="H189" s="456">
        <v>500</v>
      </c>
      <c r="I189" s="41">
        <v>300</v>
      </c>
      <c r="J189" s="40" t="s">
        <v>30</v>
      </c>
      <c r="K189" s="40" t="s">
        <v>31</v>
      </c>
    </row>
    <row r="190" spans="1:11" ht="15.75" customHeight="1">
      <c r="A190" s="438">
        <v>21</v>
      </c>
      <c r="B190" s="439" t="s">
        <v>3451</v>
      </c>
      <c r="C190" s="40" t="s">
        <v>25</v>
      </c>
      <c r="D190" s="40" t="s">
        <v>176</v>
      </c>
      <c r="E190" s="40" t="s">
        <v>38</v>
      </c>
      <c r="F190" s="43" t="s">
        <v>3452</v>
      </c>
      <c r="G190" s="457" t="s">
        <v>1114</v>
      </c>
      <c r="H190" s="455">
        <v>20</v>
      </c>
      <c r="I190" s="41">
        <v>200</v>
      </c>
      <c r="J190" s="40" t="s">
        <v>30</v>
      </c>
      <c r="K190" s="40" t="s">
        <v>31</v>
      </c>
    </row>
    <row r="191" spans="1:11" ht="15.75" customHeight="1">
      <c r="A191" s="438">
        <v>21</v>
      </c>
      <c r="B191" s="439" t="s">
        <v>3453</v>
      </c>
      <c r="C191" s="40" t="s">
        <v>59</v>
      </c>
      <c r="D191" s="40" t="s">
        <v>3454</v>
      </c>
      <c r="E191" s="40" t="s">
        <v>130</v>
      </c>
      <c r="F191" s="43" t="s">
        <v>3455</v>
      </c>
      <c r="G191" s="454" t="s">
        <v>29</v>
      </c>
      <c r="H191" s="455">
        <v>5000</v>
      </c>
      <c r="I191" s="41">
        <v>1000</v>
      </c>
      <c r="J191" s="40" t="s">
        <v>30</v>
      </c>
      <c r="K191" s="40" t="s">
        <v>31</v>
      </c>
    </row>
    <row r="192" spans="1:11" ht="15.75" customHeight="1">
      <c r="A192" s="438">
        <v>21</v>
      </c>
      <c r="B192" s="439" t="s">
        <v>778</v>
      </c>
      <c r="C192" s="40" t="s">
        <v>25</v>
      </c>
      <c r="D192" s="40" t="s">
        <v>779</v>
      </c>
      <c r="E192" s="40" t="s">
        <v>42</v>
      </c>
      <c r="F192" s="43" t="s">
        <v>780</v>
      </c>
      <c r="G192" s="454" t="s">
        <v>29</v>
      </c>
      <c r="H192" s="455">
        <v>1500</v>
      </c>
      <c r="I192" s="41">
        <v>300</v>
      </c>
      <c r="J192" s="40" t="s">
        <v>30</v>
      </c>
      <c r="K192" s="40" t="s">
        <v>31</v>
      </c>
    </row>
    <row r="193" spans="1:13" ht="15.75" customHeight="1">
      <c r="A193" s="438">
        <v>21</v>
      </c>
      <c r="B193" s="439" t="s">
        <v>3456</v>
      </c>
      <c r="C193" s="40" t="s">
        <v>25</v>
      </c>
      <c r="D193" s="40" t="s">
        <v>55</v>
      </c>
      <c r="E193" s="40" t="s">
        <v>42</v>
      </c>
      <c r="F193" s="43" t="s">
        <v>3457</v>
      </c>
      <c r="G193" s="454" t="s">
        <v>29</v>
      </c>
      <c r="H193" s="455">
        <v>1000</v>
      </c>
      <c r="I193" s="41">
        <v>200</v>
      </c>
      <c r="J193" s="40" t="s">
        <v>30</v>
      </c>
      <c r="K193" s="40" t="s">
        <v>31</v>
      </c>
    </row>
    <row r="194" spans="1:13" ht="15.75" customHeight="1">
      <c r="A194" s="438">
        <v>21</v>
      </c>
      <c r="B194" s="439" t="s">
        <v>3458</v>
      </c>
      <c r="C194" s="40" t="s">
        <v>25</v>
      </c>
      <c r="D194" s="40" t="s">
        <v>103</v>
      </c>
      <c r="E194" s="40" t="s">
        <v>38</v>
      </c>
      <c r="F194" s="43" t="s">
        <v>3459</v>
      </c>
      <c r="G194" s="454" t="s">
        <v>29</v>
      </c>
      <c r="H194" s="455">
        <v>10000</v>
      </c>
      <c r="I194" s="41">
        <v>2000</v>
      </c>
      <c r="J194" s="40" t="s">
        <v>30</v>
      </c>
      <c r="K194" s="40" t="s">
        <v>31</v>
      </c>
    </row>
    <row r="195" spans="1:13" ht="15.75" customHeight="1">
      <c r="A195" s="438">
        <v>21</v>
      </c>
      <c r="B195" s="439" t="s">
        <v>3460</v>
      </c>
      <c r="C195" s="40" t="s">
        <v>25</v>
      </c>
      <c r="D195" s="40" t="s">
        <v>235</v>
      </c>
      <c r="E195" s="40" t="s">
        <v>78</v>
      </c>
      <c r="F195" s="43" t="s">
        <v>3461</v>
      </c>
      <c r="G195" s="454" t="s">
        <v>29</v>
      </c>
      <c r="H195" s="455">
        <v>500</v>
      </c>
      <c r="I195" s="41">
        <v>100</v>
      </c>
      <c r="J195" s="40" t="s">
        <v>30</v>
      </c>
      <c r="K195" s="40" t="s">
        <v>31</v>
      </c>
    </row>
    <row r="196" spans="1:13" ht="15.75" customHeight="1">
      <c r="A196" s="438"/>
      <c r="B196" s="439"/>
      <c r="C196" s="40"/>
      <c r="D196" s="40"/>
      <c r="E196" s="40"/>
      <c r="F196" s="40"/>
      <c r="G196" s="457" t="s">
        <v>1114</v>
      </c>
      <c r="H196" s="455">
        <v>40</v>
      </c>
      <c r="I196" s="41">
        <v>200</v>
      </c>
      <c r="J196" s="40" t="s">
        <v>30</v>
      </c>
      <c r="K196" s="40" t="s">
        <v>31</v>
      </c>
    </row>
    <row r="197" spans="1:13" ht="15.75" customHeight="1">
      <c r="A197" s="438">
        <v>21</v>
      </c>
      <c r="B197" s="439" t="s">
        <v>3462</v>
      </c>
      <c r="C197" s="40" t="s">
        <v>25</v>
      </c>
      <c r="D197" s="40" t="s">
        <v>3463</v>
      </c>
      <c r="E197" s="40" t="s">
        <v>969</v>
      </c>
      <c r="F197" s="43" t="s">
        <v>3464</v>
      </c>
      <c r="G197" s="454" t="s">
        <v>29</v>
      </c>
      <c r="H197" s="455">
        <v>500</v>
      </c>
      <c r="I197" s="41">
        <v>100</v>
      </c>
      <c r="J197" s="40" t="s">
        <v>30</v>
      </c>
      <c r="K197" s="40" t="s">
        <v>31</v>
      </c>
    </row>
    <row r="198" spans="1:13" ht="15.75" customHeight="1">
      <c r="A198" s="438"/>
      <c r="B198" s="439"/>
      <c r="C198" s="40"/>
      <c r="D198" s="40"/>
      <c r="E198" s="40"/>
      <c r="F198" s="40"/>
      <c r="G198" s="166" t="s">
        <v>1112</v>
      </c>
      <c r="H198" s="456">
        <v>500</v>
      </c>
      <c r="I198" s="41">
        <v>300</v>
      </c>
      <c r="J198" s="40" t="s">
        <v>30</v>
      </c>
      <c r="K198" s="40" t="s">
        <v>31</v>
      </c>
    </row>
    <row r="199" spans="1:13" ht="15.75" customHeight="1">
      <c r="A199" s="438">
        <v>21</v>
      </c>
      <c r="B199" s="439" t="s">
        <v>3465</v>
      </c>
      <c r="C199" s="40" t="s">
        <v>25</v>
      </c>
      <c r="D199" s="40" t="s">
        <v>1371</v>
      </c>
      <c r="E199" s="40" t="s">
        <v>96</v>
      </c>
      <c r="F199" s="43" t="s">
        <v>3466</v>
      </c>
      <c r="G199" s="454" t="s">
        <v>29</v>
      </c>
      <c r="H199" s="455">
        <v>500</v>
      </c>
      <c r="I199" s="41">
        <v>100</v>
      </c>
      <c r="J199" s="40" t="s">
        <v>30</v>
      </c>
      <c r="K199" s="40" t="s">
        <v>31</v>
      </c>
    </row>
    <row r="200" spans="1:13" ht="15.75" customHeight="1">
      <c r="A200" s="438">
        <v>21</v>
      </c>
      <c r="B200" s="439" t="s">
        <v>3467</v>
      </c>
      <c r="C200" s="40" t="s">
        <v>25</v>
      </c>
      <c r="D200" s="40" t="s">
        <v>1371</v>
      </c>
      <c r="E200" s="40" t="s">
        <v>96</v>
      </c>
      <c r="F200" s="43" t="s">
        <v>3468</v>
      </c>
      <c r="G200" s="454" t="s">
        <v>29</v>
      </c>
      <c r="H200" s="455">
        <v>500</v>
      </c>
      <c r="I200" s="41">
        <v>100</v>
      </c>
      <c r="J200" s="40" t="s">
        <v>30</v>
      </c>
      <c r="K200" s="40" t="s">
        <v>31</v>
      </c>
    </row>
    <row r="201" spans="1:13" ht="15.75" customHeight="1">
      <c r="A201" s="438"/>
      <c r="B201" s="439"/>
      <c r="C201" s="40"/>
      <c r="D201" s="40"/>
      <c r="E201" s="40"/>
      <c r="F201" s="40"/>
      <c r="G201" s="166" t="s">
        <v>1112</v>
      </c>
      <c r="H201" s="456">
        <v>250</v>
      </c>
      <c r="I201" s="41">
        <v>150</v>
      </c>
      <c r="J201" s="40" t="s">
        <v>30</v>
      </c>
      <c r="K201" s="40" t="s">
        <v>31</v>
      </c>
    </row>
    <row r="202" spans="1:13" ht="15.75" customHeight="1">
      <c r="A202" s="438">
        <v>21</v>
      </c>
      <c r="B202" s="439" t="s">
        <v>3211</v>
      </c>
      <c r="C202" s="40" t="s">
        <v>25</v>
      </c>
      <c r="D202" s="40" t="s">
        <v>1371</v>
      </c>
      <c r="E202" s="40" t="s">
        <v>96</v>
      </c>
      <c r="F202" s="43" t="s">
        <v>3212</v>
      </c>
      <c r="G202" s="454" t="s">
        <v>29</v>
      </c>
      <c r="H202" s="455">
        <v>500</v>
      </c>
      <c r="I202" s="41">
        <v>100</v>
      </c>
      <c r="J202" s="40" t="s">
        <v>30</v>
      </c>
      <c r="K202" s="40" t="s">
        <v>31</v>
      </c>
      <c r="M202" s="157">
        <v>5000</v>
      </c>
    </row>
    <row r="203" spans="1:13" ht="15.75" customHeight="1">
      <c r="A203" s="438"/>
      <c r="B203" s="439"/>
      <c r="C203" s="40"/>
      <c r="D203" s="40"/>
      <c r="E203" s="40"/>
      <c r="F203" s="40"/>
      <c r="G203" s="166" t="s">
        <v>1112</v>
      </c>
      <c r="H203" s="456">
        <v>2000</v>
      </c>
      <c r="I203" s="41">
        <v>1200</v>
      </c>
      <c r="J203" s="40" t="s">
        <v>30</v>
      </c>
      <c r="K203" s="40" t="s">
        <v>31</v>
      </c>
    </row>
    <row r="204" spans="1:13" ht="15.75" customHeight="1">
      <c r="A204" s="438">
        <v>21</v>
      </c>
      <c r="B204" s="439" t="s">
        <v>1901</v>
      </c>
      <c r="C204" s="40" t="s">
        <v>25</v>
      </c>
      <c r="D204" s="40" t="s">
        <v>3469</v>
      </c>
      <c r="E204" s="40" t="s">
        <v>311</v>
      </c>
      <c r="F204" s="43" t="s">
        <v>1903</v>
      </c>
      <c r="G204" s="454" t="s">
        <v>29</v>
      </c>
      <c r="H204" s="455">
        <v>500</v>
      </c>
      <c r="I204" s="41">
        <v>100</v>
      </c>
      <c r="J204" s="40" t="s">
        <v>30</v>
      </c>
      <c r="K204" s="40" t="s">
        <v>31</v>
      </c>
      <c r="M204" s="157">
        <v>100</v>
      </c>
    </row>
    <row r="205" spans="1:13" ht="15.75" customHeight="1">
      <c r="A205" s="438">
        <v>21</v>
      </c>
      <c r="B205" s="439" t="s">
        <v>3470</v>
      </c>
      <c r="C205" s="40" t="s">
        <v>25</v>
      </c>
      <c r="D205" s="40" t="s">
        <v>89</v>
      </c>
      <c r="E205" s="40" t="s">
        <v>969</v>
      </c>
      <c r="F205" s="43" t="s">
        <v>3471</v>
      </c>
      <c r="G205" s="454" t="s">
        <v>29</v>
      </c>
      <c r="H205" s="455">
        <v>300</v>
      </c>
      <c r="I205" s="41">
        <v>60</v>
      </c>
      <c r="J205" s="40" t="s">
        <v>30</v>
      </c>
      <c r="K205" s="40" t="s">
        <v>31</v>
      </c>
      <c r="M205" s="157">
        <v>300</v>
      </c>
    </row>
    <row r="206" spans="1:13" ht="15.75" customHeight="1">
      <c r="A206" s="438"/>
      <c r="B206" s="439"/>
      <c r="C206" s="40"/>
      <c r="D206" s="40"/>
      <c r="E206" s="40"/>
      <c r="F206" s="40"/>
      <c r="G206" s="457" t="s">
        <v>1114</v>
      </c>
      <c r="H206" s="455">
        <v>150</v>
      </c>
      <c r="I206" s="41">
        <v>750</v>
      </c>
      <c r="J206" s="40" t="s">
        <v>30</v>
      </c>
      <c r="K206" s="40" t="s">
        <v>31</v>
      </c>
    </row>
    <row r="207" spans="1:13" ht="15.75" customHeight="1">
      <c r="A207" s="438">
        <v>21</v>
      </c>
      <c r="B207" s="439" t="s">
        <v>3472</v>
      </c>
      <c r="C207" s="40" t="s">
        <v>25</v>
      </c>
      <c r="D207" s="40" t="s">
        <v>3473</v>
      </c>
      <c r="E207" s="40" t="s">
        <v>38</v>
      </c>
      <c r="F207" s="43" t="s">
        <v>2509</v>
      </c>
      <c r="G207" s="454" t="s">
        <v>29</v>
      </c>
      <c r="H207" s="455">
        <v>700</v>
      </c>
      <c r="I207" s="41">
        <v>140</v>
      </c>
      <c r="J207" s="40" t="s">
        <v>30</v>
      </c>
      <c r="K207" s="40" t="s">
        <v>31</v>
      </c>
      <c r="M207" s="157">
        <v>150</v>
      </c>
    </row>
    <row r="208" spans="1:13" ht="15.75" customHeight="1">
      <c r="A208" s="438">
        <v>21</v>
      </c>
      <c r="B208" s="439" t="s">
        <v>3474</v>
      </c>
      <c r="C208" s="40" t="s">
        <v>25</v>
      </c>
      <c r="D208" s="40" t="s">
        <v>688</v>
      </c>
      <c r="E208" s="40" t="s">
        <v>249</v>
      </c>
      <c r="F208" s="43" t="s">
        <v>3475</v>
      </c>
      <c r="G208" s="166" t="s">
        <v>1112</v>
      </c>
      <c r="H208" s="456">
        <v>3500</v>
      </c>
      <c r="I208" s="41">
        <v>2100</v>
      </c>
      <c r="J208" s="40" t="s">
        <v>30</v>
      </c>
      <c r="K208" s="40" t="s">
        <v>31</v>
      </c>
    </row>
    <row r="209" spans="1:17" ht="15.75" customHeight="1">
      <c r="A209" s="438">
        <v>21</v>
      </c>
      <c r="B209" s="439" t="s">
        <v>3476</v>
      </c>
      <c r="C209" s="40" t="s">
        <v>25</v>
      </c>
      <c r="D209" s="43" t="s">
        <v>3477</v>
      </c>
      <c r="E209" s="40" t="s">
        <v>111</v>
      </c>
      <c r="F209" s="43" t="s">
        <v>3478</v>
      </c>
      <c r="G209" s="454" t="s">
        <v>29</v>
      </c>
      <c r="H209" s="455">
        <v>800</v>
      </c>
      <c r="I209" s="41">
        <v>160</v>
      </c>
      <c r="J209" s="40" t="s">
        <v>30</v>
      </c>
      <c r="K209" s="40" t="s">
        <v>31</v>
      </c>
      <c r="M209" s="157">
        <v>400</v>
      </c>
    </row>
    <row r="210" spans="1:17" ht="15.75" customHeight="1">
      <c r="A210" s="438"/>
      <c r="B210" s="439"/>
      <c r="C210" s="40"/>
      <c r="D210" s="40"/>
      <c r="E210" s="40"/>
      <c r="F210" s="40"/>
      <c r="G210" s="166" t="s">
        <v>1112</v>
      </c>
      <c r="H210" s="456">
        <v>450</v>
      </c>
      <c r="I210" s="41">
        <v>270</v>
      </c>
      <c r="J210" s="40" t="s">
        <v>30</v>
      </c>
      <c r="K210" s="40" t="s">
        <v>31</v>
      </c>
    </row>
    <row r="211" spans="1:17" ht="15.75" customHeight="1">
      <c r="A211" s="434"/>
      <c r="B211" s="435"/>
      <c r="C211" s="48"/>
      <c r="D211" s="48"/>
      <c r="E211" s="48"/>
      <c r="F211" s="48"/>
      <c r="G211" s="458" t="s">
        <v>1114</v>
      </c>
      <c r="H211" s="459">
        <v>40</v>
      </c>
      <c r="I211" s="51">
        <v>400</v>
      </c>
      <c r="J211" s="48" t="s">
        <v>30</v>
      </c>
      <c r="K211" s="48" t="s">
        <v>31</v>
      </c>
    </row>
    <row r="212" spans="1:17" ht="15.75" customHeight="1">
      <c r="A212" s="436">
        <v>24</v>
      </c>
      <c r="B212" s="77" t="s">
        <v>3479</v>
      </c>
      <c r="C212" s="53" t="s">
        <v>25</v>
      </c>
      <c r="D212" s="53" t="s">
        <v>144</v>
      </c>
      <c r="E212" s="53" t="s">
        <v>50</v>
      </c>
      <c r="F212" s="60" t="s">
        <v>3480</v>
      </c>
      <c r="G212" s="452" t="s">
        <v>29</v>
      </c>
      <c r="H212" s="453">
        <v>500</v>
      </c>
      <c r="I212" s="55">
        <v>100</v>
      </c>
      <c r="J212" s="53" t="s">
        <v>30</v>
      </c>
      <c r="K212" s="53" t="s">
        <v>31</v>
      </c>
    </row>
    <row r="213" spans="1:17" ht="15.75" customHeight="1">
      <c r="A213" s="438"/>
      <c r="B213" s="439"/>
      <c r="C213" s="40"/>
      <c r="D213" s="40"/>
      <c r="E213" s="40"/>
      <c r="F213" s="40"/>
      <c r="G213" s="457" t="s">
        <v>1114</v>
      </c>
      <c r="H213" s="455">
        <v>10</v>
      </c>
      <c r="I213" s="41">
        <v>100</v>
      </c>
      <c r="J213" s="40"/>
      <c r="K213" s="40"/>
    </row>
    <row r="214" spans="1:17" ht="15.75" customHeight="1">
      <c r="A214" s="438">
        <v>24</v>
      </c>
      <c r="B214" s="439" t="s">
        <v>3481</v>
      </c>
      <c r="C214" s="40" t="s">
        <v>59</v>
      </c>
      <c r="D214" s="40" t="s">
        <v>3482</v>
      </c>
      <c r="E214" s="40" t="s">
        <v>78</v>
      </c>
      <c r="F214" s="43" t="s">
        <v>3483</v>
      </c>
      <c r="G214" s="454" t="s">
        <v>29</v>
      </c>
      <c r="H214" s="455">
        <v>500</v>
      </c>
      <c r="I214" s="41">
        <v>100</v>
      </c>
      <c r="J214" s="40" t="s">
        <v>30</v>
      </c>
      <c r="K214" s="40" t="s">
        <v>31</v>
      </c>
      <c r="M214" s="157">
        <v>100</v>
      </c>
    </row>
    <row r="215" spans="1:17" ht="15.75" customHeight="1">
      <c r="A215" s="438">
        <v>24</v>
      </c>
      <c r="B215" s="439" t="s">
        <v>3484</v>
      </c>
      <c r="C215" s="40" t="s">
        <v>25</v>
      </c>
      <c r="D215" s="40" t="s">
        <v>1961</v>
      </c>
      <c r="E215" s="40" t="s">
        <v>38</v>
      </c>
      <c r="F215" s="43" t="s">
        <v>3485</v>
      </c>
      <c r="G215" s="166" t="s">
        <v>1112</v>
      </c>
      <c r="H215" s="456">
        <v>500</v>
      </c>
      <c r="I215" s="41">
        <v>300</v>
      </c>
      <c r="J215" s="40" t="s">
        <v>30</v>
      </c>
      <c r="K215" s="40" t="s">
        <v>31</v>
      </c>
      <c r="M215" s="157">
        <v>300</v>
      </c>
    </row>
    <row r="216" spans="1:17" ht="15.75" customHeight="1">
      <c r="A216" s="438">
        <v>24</v>
      </c>
      <c r="B216" s="439" t="s">
        <v>3484</v>
      </c>
      <c r="C216" s="40" t="s">
        <v>25</v>
      </c>
      <c r="D216" s="40" t="s">
        <v>1961</v>
      </c>
      <c r="E216" s="40" t="s">
        <v>38</v>
      </c>
      <c r="F216" s="40"/>
      <c r="G216" s="454" t="s">
        <v>29</v>
      </c>
      <c r="H216" s="455">
        <v>3000</v>
      </c>
      <c r="I216" s="41">
        <v>600</v>
      </c>
      <c r="J216" s="40"/>
      <c r="K216" s="40"/>
    </row>
    <row r="217" spans="1:17" ht="15.75" customHeight="1">
      <c r="A217" s="438">
        <v>24</v>
      </c>
      <c r="B217" s="439" t="s">
        <v>3484</v>
      </c>
      <c r="C217" s="40" t="s">
        <v>25</v>
      </c>
      <c r="D217" s="40" t="s">
        <v>1961</v>
      </c>
      <c r="E217" s="40" t="s">
        <v>38</v>
      </c>
      <c r="F217" s="40"/>
      <c r="G217" s="457" t="s">
        <v>1114</v>
      </c>
      <c r="H217" s="455">
        <v>30</v>
      </c>
      <c r="I217" s="41">
        <v>300</v>
      </c>
      <c r="J217" s="40"/>
      <c r="K217" s="40"/>
    </row>
    <row r="218" spans="1:17" ht="15.75" customHeight="1">
      <c r="A218" s="438">
        <v>24</v>
      </c>
      <c r="B218" s="439" t="s">
        <v>3167</v>
      </c>
      <c r="C218" s="40" t="s">
        <v>25</v>
      </c>
      <c r="D218" s="40" t="s">
        <v>779</v>
      </c>
      <c r="E218" s="40" t="s">
        <v>42</v>
      </c>
      <c r="F218" s="43" t="s">
        <v>3168</v>
      </c>
      <c r="G218" s="454" t="s">
        <v>29</v>
      </c>
      <c r="H218" s="455">
        <v>500</v>
      </c>
      <c r="I218" s="41">
        <v>100</v>
      </c>
      <c r="J218" s="40" t="s">
        <v>30</v>
      </c>
      <c r="K218" s="40" t="s">
        <v>31</v>
      </c>
    </row>
    <row r="219" spans="1:17" ht="15.75" customHeight="1">
      <c r="A219" s="438">
        <v>24</v>
      </c>
      <c r="B219" s="439" t="s">
        <v>3486</v>
      </c>
      <c r="C219" s="40" t="s">
        <v>25</v>
      </c>
      <c r="D219" s="40" t="s">
        <v>141</v>
      </c>
      <c r="E219" s="40" t="s">
        <v>27</v>
      </c>
      <c r="F219" s="43" t="s">
        <v>3487</v>
      </c>
      <c r="G219" s="454" t="s">
        <v>29</v>
      </c>
      <c r="H219" s="455">
        <v>500</v>
      </c>
      <c r="I219" s="41">
        <v>100</v>
      </c>
      <c r="J219" s="40" t="s">
        <v>30</v>
      </c>
      <c r="K219" s="40" t="s">
        <v>31</v>
      </c>
      <c r="M219" s="157">
        <v>400</v>
      </c>
    </row>
    <row r="220" spans="1:17" ht="15.75" customHeight="1">
      <c r="A220" s="438">
        <v>24</v>
      </c>
      <c r="B220" s="439" t="s">
        <v>3486</v>
      </c>
      <c r="C220" s="40" t="s">
        <v>25</v>
      </c>
      <c r="D220" s="40" t="s">
        <v>141</v>
      </c>
      <c r="E220" s="40" t="s">
        <v>27</v>
      </c>
      <c r="F220" s="40"/>
      <c r="G220" s="166" t="s">
        <v>1112</v>
      </c>
      <c r="H220" s="456">
        <v>2500</v>
      </c>
      <c r="I220" s="41">
        <v>1500</v>
      </c>
      <c r="J220" s="40"/>
      <c r="K220" s="40"/>
    </row>
    <row r="221" spans="1:17" ht="15.75" customHeight="1">
      <c r="A221" s="438">
        <v>24</v>
      </c>
      <c r="B221" s="439" t="s">
        <v>3488</v>
      </c>
      <c r="C221" s="40" t="s">
        <v>25</v>
      </c>
      <c r="D221" s="40" t="s">
        <v>618</v>
      </c>
      <c r="E221" s="40" t="s">
        <v>50</v>
      </c>
      <c r="F221" s="43" t="s">
        <v>3489</v>
      </c>
      <c r="G221" s="454" t="s">
        <v>29</v>
      </c>
      <c r="H221" s="455">
        <v>500</v>
      </c>
      <c r="I221" s="41">
        <v>100</v>
      </c>
      <c r="J221" s="40" t="s">
        <v>30</v>
      </c>
      <c r="K221" s="40" t="s">
        <v>31</v>
      </c>
      <c r="M221" s="157">
        <v>100</v>
      </c>
    </row>
    <row r="222" spans="1:17" ht="15.75" customHeight="1">
      <c r="A222" s="438">
        <v>24</v>
      </c>
      <c r="B222" s="439" t="s">
        <v>3490</v>
      </c>
      <c r="C222" s="40" t="s">
        <v>59</v>
      </c>
      <c r="D222" s="40" t="s">
        <v>566</v>
      </c>
      <c r="E222" s="40" t="s">
        <v>96</v>
      </c>
      <c r="F222" s="40" t="s">
        <v>638</v>
      </c>
      <c r="G222" s="454" t="s">
        <v>29</v>
      </c>
      <c r="H222" s="455">
        <v>500</v>
      </c>
      <c r="I222" s="41">
        <v>100</v>
      </c>
      <c r="J222" s="40" t="s">
        <v>30</v>
      </c>
      <c r="K222" s="40" t="s">
        <v>31</v>
      </c>
      <c r="P222" s="609">
        <v>44340</v>
      </c>
      <c r="Q222" s="553"/>
    </row>
    <row r="223" spans="1:17" ht="15.75" customHeight="1">
      <c r="A223" s="438">
        <v>24</v>
      </c>
      <c r="B223" s="439" t="s">
        <v>3490</v>
      </c>
      <c r="C223" s="40" t="s">
        <v>59</v>
      </c>
      <c r="D223" s="40" t="s">
        <v>566</v>
      </c>
      <c r="E223" s="40" t="s">
        <v>96</v>
      </c>
      <c r="F223" s="40" t="s">
        <v>638</v>
      </c>
      <c r="G223" s="457" t="s">
        <v>1114</v>
      </c>
      <c r="H223" s="455">
        <v>20</v>
      </c>
      <c r="I223" s="41">
        <v>200</v>
      </c>
      <c r="J223" s="40"/>
      <c r="K223" s="40"/>
      <c r="P223" s="157" t="s">
        <v>417</v>
      </c>
      <c r="Q223" s="65">
        <f>SUM(H212,H214,H216,H218:H219,H221:H222,H224,H227,H229:H231,H233:H235,H237:H238)</f>
        <v>16000</v>
      </c>
    </row>
    <row r="224" spans="1:17" ht="15.75" customHeight="1">
      <c r="A224" s="438">
        <v>24</v>
      </c>
      <c r="B224" s="439" t="s">
        <v>3491</v>
      </c>
      <c r="C224" s="40" t="s">
        <v>59</v>
      </c>
      <c r="D224" s="40" t="s">
        <v>206</v>
      </c>
      <c r="E224" s="40" t="s">
        <v>96</v>
      </c>
      <c r="F224" s="43" t="s">
        <v>3492</v>
      </c>
      <c r="G224" s="454" t="s">
        <v>29</v>
      </c>
      <c r="H224" s="455">
        <v>500</v>
      </c>
      <c r="I224" s="41">
        <v>100</v>
      </c>
      <c r="J224" s="40" t="s">
        <v>30</v>
      </c>
      <c r="K224" s="40" t="s">
        <v>31</v>
      </c>
      <c r="M224" s="157">
        <v>300</v>
      </c>
      <c r="P224" s="157" t="s">
        <v>3493</v>
      </c>
      <c r="Q224" s="157">
        <v>500</v>
      </c>
    </row>
    <row r="225" spans="1:17" ht="15.75" customHeight="1">
      <c r="A225" s="438">
        <v>24</v>
      </c>
      <c r="B225" s="439" t="s">
        <v>3494</v>
      </c>
      <c r="C225" s="40" t="s">
        <v>25</v>
      </c>
      <c r="D225" s="40" t="s">
        <v>49</v>
      </c>
      <c r="E225" s="40" t="s">
        <v>50</v>
      </c>
      <c r="F225" s="43" t="s">
        <v>51</v>
      </c>
      <c r="G225" s="166" t="s">
        <v>1112</v>
      </c>
      <c r="H225" s="456">
        <v>200</v>
      </c>
      <c r="I225" s="41">
        <v>120</v>
      </c>
      <c r="J225" s="40" t="s">
        <v>30</v>
      </c>
      <c r="K225" s="40" t="s">
        <v>31</v>
      </c>
      <c r="P225" s="157" t="s">
        <v>420</v>
      </c>
      <c r="Q225" s="65">
        <f>SUM(H213,H217,H223,H226)</f>
        <v>95</v>
      </c>
    </row>
    <row r="226" spans="1:17" ht="15.75" customHeight="1">
      <c r="A226" s="438">
        <v>24</v>
      </c>
      <c r="B226" s="439" t="s">
        <v>3494</v>
      </c>
      <c r="C226" s="40" t="s">
        <v>25</v>
      </c>
      <c r="D226" s="40" t="s">
        <v>49</v>
      </c>
      <c r="E226" s="40" t="s">
        <v>50</v>
      </c>
      <c r="F226" s="40"/>
      <c r="G226" s="457" t="s">
        <v>1114</v>
      </c>
      <c r="H226" s="455">
        <v>35</v>
      </c>
      <c r="I226" s="41">
        <v>175</v>
      </c>
      <c r="J226" s="40"/>
      <c r="K226" s="40"/>
      <c r="P226" s="157" t="s">
        <v>1112</v>
      </c>
      <c r="Q226" s="65">
        <f>SUM(H215,H220,H225,H228,H232)</f>
        <v>4500</v>
      </c>
    </row>
    <row r="227" spans="1:17" ht="15.75" customHeight="1">
      <c r="A227" s="438">
        <v>24</v>
      </c>
      <c r="B227" s="439" t="s">
        <v>3495</v>
      </c>
      <c r="C227" s="40" t="s">
        <v>59</v>
      </c>
      <c r="D227" s="40" t="s">
        <v>1390</v>
      </c>
      <c r="E227" s="40" t="s">
        <v>50</v>
      </c>
      <c r="F227" s="43" t="s">
        <v>3496</v>
      </c>
      <c r="G227" s="454" t="s">
        <v>29</v>
      </c>
      <c r="H227" s="455">
        <v>300</v>
      </c>
      <c r="I227" s="41">
        <v>60</v>
      </c>
      <c r="J227" s="40" t="s">
        <v>30</v>
      </c>
      <c r="K227" s="40" t="s">
        <v>31</v>
      </c>
      <c r="M227" s="157">
        <v>150</v>
      </c>
      <c r="Q227" s="65"/>
    </row>
    <row r="228" spans="1:17" ht="15.75" customHeight="1">
      <c r="A228" s="438">
        <v>24</v>
      </c>
      <c r="B228" s="439" t="s">
        <v>3495</v>
      </c>
      <c r="C228" s="40" t="s">
        <v>59</v>
      </c>
      <c r="D228" s="40" t="s">
        <v>1390</v>
      </c>
      <c r="E228" s="40" t="s">
        <v>50</v>
      </c>
      <c r="F228" s="40"/>
      <c r="G228" s="166" t="s">
        <v>1112</v>
      </c>
      <c r="H228" s="456">
        <v>500</v>
      </c>
      <c r="I228" s="41">
        <v>300</v>
      </c>
      <c r="J228" s="40" t="s">
        <v>30</v>
      </c>
      <c r="K228" s="40" t="s">
        <v>31</v>
      </c>
    </row>
    <row r="229" spans="1:17" ht="15.75" customHeight="1">
      <c r="A229" s="438">
        <v>24</v>
      </c>
      <c r="B229" s="439" t="s">
        <v>3024</v>
      </c>
      <c r="C229" s="40" t="s">
        <v>25</v>
      </c>
      <c r="D229" s="40" t="s">
        <v>2978</v>
      </c>
      <c r="E229" s="40" t="s">
        <v>50</v>
      </c>
      <c r="F229" s="43" t="s">
        <v>3025</v>
      </c>
      <c r="G229" s="454" t="s">
        <v>29</v>
      </c>
      <c r="H229" s="455">
        <v>500</v>
      </c>
      <c r="I229" s="41">
        <v>100</v>
      </c>
      <c r="J229" s="40" t="s">
        <v>30</v>
      </c>
      <c r="K229" s="40" t="s">
        <v>31</v>
      </c>
      <c r="M229" s="157">
        <v>100</v>
      </c>
    </row>
    <row r="230" spans="1:17" ht="15.75" customHeight="1">
      <c r="A230" s="438">
        <v>24</v>
      </c>
      <c r="B230" s="439" t="s">
        <v>3497</v>
      </c>
      <c r="C230" s="40" t="s">
        <v>25</v>
      </c>
      <c r="D230" s="40" t="s">
        <v>2295</v>
      </c>
      <c r="E230" s="40" t="s">
        <v>96</v>
      </c>
      <c r="F230" s="43" t="s">
        <v>3498</v>
      </c>
      <c r="G230" s="454" t="s">
        <v>29</v>
      </c>
      <c r="H230" s="455">
        <v>500</v>
      </c>
      <c r="I230" s="41">
        <v>100</v>
      </c>
      <c r="J230" s="40" t="s">
        <v>30</v>
      </c>
      <c r="K230" s="40" t="s">
        <v>31</v>
      </c>
    </row>
    <row r="231" spans="1:17" ht="15.75" customHeight="1">
      <c r="A231" s="438">
        <v>24</v>
      </c>
      <c r="B231" s="439" t="s">
        <v>3499</v>
      </c>
      <c r="C231" s="40" t="s">
        <v>59</v>
      </c>
      <c r="D231" s="40" t="s">
        <v>81</v>
      </c>
      <c r="E231" s="40" t="s">
        <v>50</v>
      </c>
      <c r="F231" s="43" t="s">
        <v>3500</v>
      </c>
      <c r="G231" s="454" t="s">
        <v>29</v>
      </c>
      <c r="H231" s="455">
        <v>500</v>
      </c>
      <c r="I231" s="41">
        <v>100</v>
      </c>
      <c r="J231" s="40" t="s">
        <v>30</v>
      </c>
      <c r="K231" s="40" t="s">
        <v>31</v>
      </c>
    </row>
    <row r="232" spans="1:17" ht="15.75" customHeight="1">
      <c r="A232" s="438">
        <v>24</v>
      </c>
      <c r="B232" s="439" t="s">
        <v>3501</v>
      </c>
      <c r="C232" s="40" t="s">
        <v>25</v>
      </c>
      <c r="D232" s="40" t="s">
        <v>593</v>
      </c>
      <c r="E232" s="40" t="s">
        <v>50</v>
      </c>
      <c r="F232" s="43" t="s">
        <v>3502</v>
      </c>
      <c r="G232" s="166" t="s">
        <v>1112</v>
      </c>
      <c r="H232" s="456">
        <v>800</v>
      </c>
      <c r="I232" s="41">
        <v>480</v>
      </c>
      <c r="J232" s="40" t="s">
        <v>30</v>
      </c>
      <c r="K232" s="40" t="s">
        <v>31</v>
      </c>
    </row>
    <row r="233" spans="1:17" ht="15.75" customHeight="1">
      <c r="A233" s="438">
        <v>24</v>
      </c>
      <c r="B233" s="439" t="s">
        <v>3503</v>
      </c>
      <c r="C233" s="40" t="s">
        <v>25</v>
      </c>
      <c r="D233" s="40" t="s">
        <v>33</v>
      </c>
      <c r="E233" s="40" t="s">
        <v>38</v>
      </c>
      <c r="F233" s="43" t="s">
        <v>2509</v>
      </c>
      <c r="G233" s="454" t="s">
        <v>29</v>
      </c>
      <c r="H233" s="455">
        <v>500</v>
      </c>
      <c r="I233" s="41">
        <v>100</v>
      </c>
      <c r="J233" s="40" t="s">
        <v>30</v>
      </c>
      <c r="K233" s="40" t="s">
        <v>31</v>
      </c>
    </row>
    <row r="234" spans="1:17" ht="15.75" customHeight="1">
      <c r="A234" s="438">
        <v>24</v>
      </c>
      <c r="B234" s="439" t="s">
        <v>3504</v>
      </c>
      <c r="C234" s="40" t="s">
        <v>25</v>
      </c>
      <c r="D234" s="40" t="s">
        <v>185</v>
      </c>
      <c r="E234" s="40" t="s">
        <v>42</v>
      </c>
      <c r="F234" s="43" t="s">
        <v>2445</v>
      </c>
      <c r="G234" s="454" t="s">
        <v>29</v>
      </c>
      <c r="H234" s="455">
        <v>2000</v>
      </c>
      <c r="I234" s="41">
        <v>400</v>
      </c>
      <c r="J234" s="40" t="s">
        <v>30</v>
      </c>
      <c r="K234" s="40" t="s">
        <v>31</v>
      </c>
      <c r="M234" s="157">
        <v>400</v>
      </c>
    </row>
    <row r="235" spans="1:17" ht="15.75" customHeight="1">
      <c r="A235" s="438">
        <v>24</v>
      </c>
      <c r="B235" s="439" t="s">
        <v>3323</v>
      </c>
      <c r="C235" s="40" t="s">
        <v>25</v>
      </c>
      <c r="D235" s="40" t="s">
        <v>258</v>
      </c>
      <c r="E235" s="40" t="s">
        <v>96</v>
      </c>
      <c r="F235" s="43" t="s">
        <v>3505</v>
      </c>
      <c r="G235" s="454" t="s">
        <v>29</v>
      </c>
      <c r="H235" s="455">
        <v>200</v>
      </c>
      <c r="I235" s="41">
        <v>40</v>
      </c>
      <c r="J235" s="40" t="s">
        <v>30</v>
      </c>
      <c r="K235" s="40" t="s">
        <v>31</v>
      </c>
      <c r="M235" s="157">
        <v>500</v>
      </c>
    </row>
    <row r="236" spans="1:17" ht="15.75" customHeight="1">
      <c r="A236" s="438">
        <v>24</v>
      </c>
      <c r="B236" s="439" t="s">
        <v>3506</v>
      </c>
      <c r="C236" s="40" t="s">
        <v>25</v>
      </c>
      <c r="D236" s="40" t="s">
        <v>841</v>
      </c>
      <c r="E236" s="40" t="s">
        <v>533</v>
      </c>
      <c r="F236" s="43" t="s">
        <v>3507</v>
      </c>
      <c r="G236" s="454" t="s">
        <v>29</v>
      </c>
      <c r="H236" s="455">
        <v>500</v>
      </c>
      <c r="I236" s="288" t="s">
        <v>101</v>
      </c>
      <c r="J236" s="40" t="s">
        <v>30</v>
      </c>
      <c r="K236" s="40" t="s">
        <v>31</v>
      </c>
    </row>
    <row r="237" spans="1:17" ht="15.75" customHeight="1">
      <c r="A237" s="438">
        <v>24</v>
      </c>
      <c r="B237" s="439" t="s">
        <v>3506</v>
      </c>
      <c r="C237" s="40" t="s">
        <v>25</v>
      </c>
      <c r="D237" s="40" t="s">
        <v>841</v>
      </c>
      <c r="E237" s="40" t="s">
        <v>533</v>
      </c>
      <c r="F237" s="40"/>
      <c r="G237" s="454" t="s">
        <v>29</v>
      </c>
      <c r="H237" s="455">
        <v>2500</v>
      </c>
      <c r="I237" s="41">
        <v>500</v>
      </c>
      <c r="J237" s="40" t="s">
        <v>30</v>
      </c>
      <c r="K237" s="40" t="s">
        <v>31</v>
      </c>
      <c r="M237" s="157">
        <v>557</v>
      </c>
    </row>
    <row r="238" spans="1:17" ht="15.75" customHeight="1">
      <c r="A238" s="434">
        <v>24</v>
      </c>
      <c r="B238" s="435" t="s">
        <v>3508</v>
      </c>
      <c r="C238" s="48" t="s">
        <v>25</v>
      </c>
      <c r="D238" s="48" t="s">
        <v>3509</v>
      </c>
      <c r="E238" s="48" t="s">
        <v>78</v>
      </c>
      <c r="F238" s="49" t="s">
        <v>3510</v>
      </c>
      <c r="G238" s="460" t="s">
        <v>29</v>
      </c>
      <c r="H238" s="459">
        <v>2500</v>
      </c>
      <c r="I238" s="51">
        <v>750</v>
      </c>
      <c r="J238" s="48" t="s">
        <v>30</v>
      </c>
      <c r="K238" s="48" t="s">
        <v>31</v>
      </c>
      <c r="M238" s="157">
        <v>500</v>
      </c>
    </row>
    <row r="239" spans="1:17" ht="15.75" customHeight="1">
      <c r="A239" s="436">
        <v>25</v>
      </c>
      <c r="B239" s="77" t="s">
        <v>3511</v>
      </c>
      <c r="C239" s="53" t="s">
        <v>25</v>
      </c>
      <c r="D239" s="53" t="s">
        <v>1704</v>
      </c>
      <c r="E239" s="53" t="s">
        <v>38</v>
      </c>
      <c r="F239" s="60" t="s">
        <v>3512</v>
      </c>
      <c r="G239" s="452" t="s">
        <v>29</v>
      </c>
      <c r="H239" s="453">
        <v>1000</v>
      </c>
      <c r="I239" s="55">
        <v>200</v>
      </c>
      <c r="J239" s="53" t="s">
        <v>30</v>
      </c>
      <c r="K239" s="53" t="s">
        <v>31</v>
      </c>
    </row>
    <row r="240" spans="1:17" ht="15.75" customHeight="1">
      <c r="A240" s="438">
        <v>25</v>
      </c>
      <c r="B240" s="439" t="s">
        <v>3513</v>
      </c>
      <c r="C240" s="40" t="s">
        <v>25</v>
      </c>
      <c r="D240" s="40" t="s">
        <v>615</v>
      </c>
      <c r="E240" s="40" t="s">
        <v>60</v>
      </c>
      <c r="F240" s="43" t="s">
        <v>3514</v>
      </c>
      <c r="G240" s="166" t="s">
        <v>1112</v>
      </c>
      <c r="H240" s="456">
        <v>100</v>
      </c>
      <c r="I240" s="41" t="s">
        <v>101</v>
      </c>
      <c r="J240" s="40" t="s">
        <v>30</v>
      </c>
      <c r="K240" s="40" t="s">
        <v>31</v>
      </c>
    </row>
    <row r="241" spans="1:26" ht="15.75" customHeight="1">
      <c r="A241" s="438">
        <v>25</v>
      </c>
      <c r="B241" s="439" t="s">
        <v>3515</v>
      </c>
      <c r="C241" s="40" t="s">
        <v>25</v>
      </c>
      <c r="D241" s="40" t="s">
        <v>3516</v>
      </c>
      <c r="E241" s="40" t="s">
        <v>150</v>
      </c>
      <c r="F241" s="43" t="s">
        <v>3517</v>
      </c>
      <c r="G241" s="454" t="s">
        <v>29</v>
      </c>
      <c r="H241" s="455">
        <v>600</v>
      </c>
      <c r="I241" s="41">
        <v>120</v>
      </c>
      <c r="J241" s="40" t="s">
        <v>30</v>
      </c>
      <c r="K241" s="40" t="s">
        <v>31</v>
      </c>
    </row>
    <row r="242" spans="1:26" ht="15.75" customHeight="1">
      <c r="A242" s="438">
        <v>25</v>
      </c>
      <c r="B242" s="439" t="s">
        <v>3518</v>
      </c>
      <c r="C242" s="40" t="s">
        <v>25</v>
      </c>
      <c r="D242" s="40" t="s">
        <v>55</v>
      </c>
      <c r="E242" s="40" t="s">
        <v>96</v>
      </c>
      <c r="F242" s="43" t="s">
        <v>3519</v>
      </c>
      <c r="G242" s="454" t="s">
        <v>29</v>
      </c>
      <c r="H242" s="455">
        <v>6000</v>
      </c>
      <c r="I242" s="41">
        <v>1200</v>
      </c>
      <c r="J242" s="40" t="s">
        <v>30</v>
      </c>
      <c r="K242" s="40" t="s">
        <v>31</v>
      </c>
      <c r="M242" s="157">
        <v>1000</v>
      </c>
    </row>
    <row r="243" spans="1:26" ht="15.75" customHeight="1">
      <c r="A243" s="434">
        <v>25</v>
      </c>
      <c r="B243" s="435" t="s">
        <v>3520</v>
      </c>
      <c r="C243" s="48" t="s">
        <v>25</v>
      </c>
      <c r="D243" s="48" t="s">
        <v>548</v>
      </c>
      <c r="E243" s="48" t="s">
        <v>42</v>
      </c>
      <c r="F243" s="48" t="s">
        <v>638</v>
      </c>
      <c r="G243" s="460" t="s">
        <v>29</v>
      </c>
      <c r="H243" s="459">
        <v>1000</v>
      </c>
      <c r="I243" s="51">
        <v>200</v>
      </c>
      <c r="J243" s="48" t="s">
        <v>30</v>
      </c>
      <c r="K243" s="48" t="s">
        <v>31</v>
      </c>
      <c r="M243" s="157">
        <v>200</v>
      </c>
    </row>
    <row r="244" spans="1:26" ht="15.75" customHeight="1">
      <c r="A244" s="2"/>
      <c r="B244" s="1"/>
      <c r="C244" s="1"/>
      <c r="D244" s="1"/>
      <c r="E244" s="1"/>
      <c r="F244" s="1"/>
      <c r="G244" s="1"/>
      <c r="H244" s="1"/>
      <c r="I244" s="61"/>
      <c r="J244" s="1"/>
      <c r="K244" s="1"/>
    </row>
    <row r="245" spans="1:26" ht="15.75" customHeight="1">
      <c r="A245" s="2"/>
      <c r="B245" s="1"/>
      <c r="C245" s="1"/>
      <c r="D245" s="1"/>
      <c r="E245" s="1"/>
      <c r="F245" s="1"/>
      <c r="G245" s="1"/>
      <c r="H245" s="1"/>
      <c r="I245" s="62" t="s">
        <v>335</v>
      </c>
      <c r="J245" s="63"/>
      <c r="K245" s="1"/>
    </row>
    <row r="246" spans="1:26" ht="16.5" customHeight="1">
      <c r="A246" s="2"/>
      <c r="B246" s="1" t="s">
        <v>336</v>
      </c>
      <c r="C246" s="1"/>
      <c r="D246" s="1"/>
      <c r="E246" s="1" t="s">
        <v>337</v>
      </c>
      <c r="F246" s="1"/>
      <c r="G246" s="1"/>
      <c r="H246" s="1"/>
      <c r="I246" s="6" t="s">
        <v>338</v>
      </c>
      <c r="J246" s="292" t="s">
        <v>3521</v>
      </c>
      <c r="K246" s="1"/>
    </row>
    <row r="247" spans="1:26" ht="15.75" customHeight="1">
      <c r="A247" s="2"/>
      <c r="B247" s="1"/>
      <c r="C247" s="1"/>
      <c r="D247" s="1"/>
      <c r="E247" s="1"/>
      <c r="F247" s="1"/>
      <c r="G247" s="1"/>
      <c r="H247" s="1"/>
      <c r="I247" s="6" t="s">
        <v>340</v>
      </c>
      <c r="J247" s="292" t="s">
        <v>1023</v>
      </c>
      <c r="K247" s="65"/>
      <c r="M247" s="157">
        <f>SUM(M12:M246)</f>
        <v>86554</v>
      </c>
    </row>
    <row r="248" spans="1:26" ht="15.75" customHeight="1">
      <c r="A248" s="2"/>
      <c r="B248" s="1"/>
      <c r="C248" s="1"/>
      <c r="D248" s="1"/>
      <c r="E248" s="1"/>
      <c r="F248" s="1"/>
      <c r="G248" s="1"/>
      <c r="H248" s="1"/>
      <c r="I248" s="6" t="s">
        <v>342</v>
      </c>
      <c r="J248" s="292" t="s">
        <v>3522</v>
      </c>
      <c r="K248" s="1"/>
    </row>
    <row r="249" spans="1:26" ht="15.75" customHeight="1">
      <c r="A249" s="2"/>
      <c r="B249" s="67" t="s">
        <v>343</v>
      </c>
      <c r="C249" s="1"/>
      <c r="D249" s="1"/>
      <c r="E249" s="554" t="s">
        <v>344</v>
      </c>
      <c r="F249" s="553"/>
      <c r="G249" s="553"/>
      <c r="H249" s="553"/>
      <c r="I249" s="6" t="s">
        <v>345</v>
      </c>
      <c r="J249" s="292" t="s">
        <v>3523</v>
      </c>
      <c r="K249" s="1"/>
    </row>
    <row r="250" spans="1:26" ht="15.75" customHeight="1">
      <c r="A250" s="2"/>
      <c r="B250" s="1" t="s">
        <v>347</v>
      </c>
      <c r="C250" s="1"/>
      <c r="D250" s="1"/>
      <c r="E250" s="552" t="s">
        <v>348</v>
      </c>
      <c r="F250" s="553"/>
      <c r="G250" s="553"/>
      <c r="H250" s="553"/>
      <c r="I250" s="6" t="s">
        <v>349</v>
      </c>
      <c r="J250" s="292">
        <v>0</v>
      </c>
      <c r="K250" s="1"/>
    </row>
    <row r="251" spans="1:26" ht="15.75" customHeight="1">
      <c r="A251" s="2"/>
      <c r="B251" s="1"/>
      <c r="C251" s="1"/>
      <c r="D251" s="1"/>
      <c r="E251" s="1"/>
      <c r="F251" s="1"/>
      <c r="G251" s="1"/>
      <c r="H251" s="1"/>
      <c r="I251" s="6" t="s">
        <v>351</v>
      </c>
      <c r="J251" s="292">
        <v>0</v>
      </c>
      <c r="K251" s="1"/>
    </row>
    <row r="252" spans="1:26" ht="15.75" customHeight="1">
      <c r="A252" s="2"/>
      <c r="B252" s="1"/>
      <c r="C252" s="1"/>
      <c r="D252" s="1"/>
      <c r="E252" s="1"/>
      <c r="F252" s="1"/>
      <c r="G252" s="1"/>
      <c r="H252" s="1"/>
      <c r="I252" s="6" t="s">
        <v>353</v>
      </c>
      <c r="J252" s="293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2"/>
      <c r="B253" s="1"/>
      <c r="C253" s="1"/>
      <c r="D253" s="1"/>
      <c r="E253" s="1"/>
      <c r="F253" s="1"/>
      <c r="G253" s="1"/>
      <c r="H253" s="1"/>
      <c r="I253" s="68" t="s">
        <v>354</v>
      </c>
      <c r="J253" s="291" t="s">
        <v>3524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2"/>
      <c r="B254" s="1"/>
      <c r="C254" s="1"/>
      <c r="D254" s="1"/>
      <c r="E254" s="1"/>
      <c r="F254" s="1"/>
      <c r="G254" s="1"/>
      <c r="H254" s="1"/>
      <c r="I254" s="68" t="s">
        <v>356</v>
      </c>
      <c r="J254" s="69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2"/>
      <c r="B255" s="70"/>
      <c r="C255" s="1"/>
      <c r="D255" s="1"/>
      <c r="E255" s="70"/>
      <c r="F255" s="70"/>
      <c r="G255" s="70"/>
      <c r="H255" s="1"/>
      <c r="I255" s="6"/>
      <c r="J255" s="63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2"/>
      <c r="B256" s="1"/>
      <c r="C256" s="1"/>
      <c r="D256" s="1"/>
      <c r="E256" s="1"/>
      <c r="F256" s="1"/>
      <c r="G256" s="1"/>
      <c r="H256" s="1"/>
      <c r="I256" s="61"/>
      <c r="J256" s="1"/>
      <c r="K256" s="1"/>
    </row>
    <row r="257" spans="1:11" ht="15.75" customHeight="1">
      <c r="A257" s="2"/>
      <c r="B257" s="1"/>
      <c r="C257" s="1"/>
      <c r="D257" s="1"/>
      <c r="E257" s="1"/>
      <c r="F257" s="1"/>
      <c r="G257" s="1"/>
      <c r="H257" s="1"/>
      <c r="I257" s="61"/>
      <c r="J257" s="1"/>
      <c r="K257" s="1"/>
    </row>
    <row r="258" spans="1:11" ht="15.75" customHeight="1">
      <c r="A258" s="2"/>
      <c r="B258" s="1"/>
      <c r="C258" s="1"/>
      <c r="D258" s="1"/>
      <c r="E258" s="1"/>
      <c r="F258" s="1"/>
      <c r="G258" s="1"/>
      <c r="H258" s="1"/>
      <c r="I258" s="61"/>
      <c r="J258" s="1"/>
      <c r="K258" s="1"/>
    </row>
    <row r="259" spans="1:11" ht="15.75" customHeight="1">
      <c r="A259" s="2"/>
      <c r="B259" s="1"/>
      <c r="C259" s="1"/>
      <c r="D259" s="1"/>
      <c r="E259" s="1"/>
      <c r="F259" s="1"/>
      <c r="G259" s="1"/>
      <c r="H259" s="1"/>
      <c r="I259" s="61"/>
      <c r="J259" s="1"/>
      <c r="K259" s="1"/>
    </row>
    <row r="260" spans="1:11" ht="15.75" customHeight="1">
      <c r="A260" s="2"/>
      <c r="B260" s="1"/>
      <c r="C260" s="1"/>
      <c r="D260" s="1"/>
      <c r="E260" s="1"/>
      <c r="F260" s="1"/>
      <c r="G260" s="1"/>
      <c r="H260" s="1"/>
      <c r="I260" s="61"/>
      <c r="J260" s="1"/>
      <c r="K260" s="1"/>
    </row>
    <row r="261" spans="1:11" ht="15.75" customHeight="1">
      <c r="A261" s="2"/>
      <c r="B261" s="1"/>
      <c r="C261" s="1"/>
      <c r="D261" s="1"/>
      <c r="E261" s="1"/>
      <c r="F261" s="1"/>
      <c r="G261" s="1"/>
      <c r="H261" s="1"/>
      <c r="I261" s="61"/>
      <c r="J261" s="1"/>
      <c r="K261" s="1"/>
    </row>
    <row r="262" spans="1:11" ht="15.75" customHeight="1">
      <c r="A262" s="2"/>
      <c r="B262" s="1"/>
      <c r="C262" s="1"/>
      <c r="D262" s="1"/>
      <c r="E262" s="1"/>
      <c r="F262" s="1"/>
      <c r="G262" s="1"/>
      <c r="H262" s="1"/>
      <c r="I262" s="61"/>
      <c r="J262" s="1"/>
      <c r="K262" s="1"/>
    </row>
    <row r="263" spans="1:11" ht="15.75" customHeight="1">
      <c r="A263" s="2"/>
      <c r="B263" s="1"/>
      <c r="C263" s="1"/>
      <c r="D263" s="1"/>
      <c r="E263" s="1"/>
      <c r="F263" s="1"/>
      <c r="G263" s="1"/>
      <c r="H263" s="1"/>
      <c r="I263" s="61"/>
      <c r="J263" s="1"/>
      <c r="K263" s="1"/>
    </row>
    <row r="264" spans="1:11" ht="15.75" customHeight="1">
      <c r="A264" s="2"/>
      <c r="B264" s="1"/>
      <c r="C264" s="1"/>
      <c r="D264" s="1"/>
      <c r="E264" s="1"/>
      <c r="F264" s="1"/>
      <c r="G264" s="1"/>
      <c r="H264" s="1"/>
      <c r="I264" s="61"/>
      <c r="J264" s="1"/>
      <c r="K264" s="1"/>
    </row>
    <row r="265" spans="1:11" ht="15.75" customHeight="1">
      <c r="A265" s="2"/>
      <c r="B265" s="1"/>
      <c r="C265" s="1"/>
      <c r="D265" s="1"/>
      <c r="E265" s="1"/>
      <c r="F265" s="1"/>
      <c r="G265" s="1"/>
      <c r="H265" s="1"/>
      <c r="I265" s="61"/>
      <c r="J265" s="1"/>
      <c r="K265" s="1"/>
    </row>
    <row r="266" spans="1:11" ht="15.75" customHeight="1">
      <c r="A266" s="2"/>
      <c r="B266" s="1"/>
      <c r="C266" s="1"/>
      <c r="D266" s="1"/>
      <c r="E266" s="1"/>
      <c r="F266" s="1"/>
      <c r="G266" s="1"/>
      <c r="H266" s="1"/>
      <c r="I266" s="61"/>
      <c r="J266" s="1"/>
      <c r="K266" s="1"/>
    </row>
    <row r="267" spans="1:11" ht="15.75" customHeight="1">
      <c r="A267" s="2"/>
      <c r="B267" s="1"/>
      <c r="C267" s="1"/>
      <c r="D267" s="1"/>
      <c r="E267" s="1"/>
      <c r="F267" s="1"/>
      <c r="G267" s="1"/>
      <c r="H267" s="1"/>
      <c r="I267" s="61"/>
      <c r="J267" s="1"/>
      <c r="K267" s="1"/>
    </row>
    <row r="268" spans="1:11" ht="15.75" customHeight="1">
      <c r="A268" s="2"/>
      <c r="B268" s="1"/>
      <c r="C268" s="1"/>
      <c r="D268" s="1"/>
      <c r="E268" s="1"/>
      <c r="F268" s="1"/>
      <c r="G268" s="1"/>
      <c r="H268" s="1"/>
      <c r="I268" s="61"/>
      <c r="J268" s="1"/>
      <c r="K268" s="1"/>
    </row>
    <row r="269" spans="1:11" ht="15.75" customHeight="1">
      <c r="A269" s="2"/>
      <c r="B269" s="1"/>
      <c r="C269" s="1"/>
      <c r="D269" s="1"/>
      <c r="E269" s="1"/>
      <c r="F269" s="1"/>
      <c r="G269" s="1"/>
      <c r="H269" s="1"/>
      <c r="I269" s="61"/>
      <c r="J269" s="1"/>
      <c r="K269" s="1"/>
    </row>
    <row r="270" spans="1:11" ht="15.75" customHeight="1">
      <c r="A270" s="2"/>
      <c r="B270" s="1"/>
      <c r="C270" s="1"/>
      <c r="D270" s="1"/>
      <c r="E270" s="1"/>
      <c r="F270" s="1"/>
      <c r="G270" s="1"/>
      <c r="H270" s="1"/>
      <c r="I270" s="61"/>
      <c r="J270" s="1"/>
      <c r="K270" s="1"/>
    </row>
    <row r="271" spans="1:11" ht="15.75" customHeight="1">
      <c r="A271" s="2"/>
      <c r="B271" s="1"/>
      <c r="C271" s="1"/>
      <c r="D271" s="1"/>
      <c r="E271" s="1"/>
      <c r="F271" s="1"/>
      <c r="G271" s="1"/>
      <c r="H271" s="1"/>
      <c r="I271" s="61"/>
      <c r="J271" s="1"/>
      <c r="K271" s="1"/>
    </row>
    <row r="272" spans="1:11" ht="15.75" customHeight="1">
      <c r="A272" s="2"/>
      <c r="B272" s="1"/>
      <c r="C272" s="1"/>
      <c r="D272" s="1"/>
      <c r="E272" s="1"/>
      <c r="F272" s="1"/>
      <c r="G272" s="1"/>
      <c r="H272" s="1"/>
      <c r="I272" s="61"/>
      <c r="J272" s="1"/>
      <c r="K272" s="1"/>
    </row>
    <row r="273" spans="1:11" ht="15.75" customHeight="1">
      <c r="A273" s="2"/>
      <c r="B273" s="1"/>
      <c r="C273" s="1"/>
      <c r="D273" s="1"/>
      <c r="E273" s="1"/>
      <c r="F273" s="1"/>
      <c r="G273" s="1"/>
      <c r="H273" s="1"/>
      <c r="I273" s="61"/>
      <c r="J273" s="1"/>
      <c r="K273" s="1"/>
    </row>
    <row r="274" spans="1:11" ht="15.75" customHeight="1">
      <c r="A274" s="2"/>
      <c r="B274" s="1"/>
      <c r="C274" s="1"/>
      <c r="D274" s="1"/>
      <c r="E274" s="1"/>
      <c r="F274" s="1"/>
      <c r="G274" s="1"/>
      <c r="H274" s="1"/>
      <c r="I274" s="61"/>
      <c r="J274" s="1"/>
      <c r="K274" s="1"/>
    </row>
    <row r="275" spans="1:11" ht="15.75" customHeight="1">
      <c r="A275" s="2"/>
      <c r="B275" s="1"/>
      <c r="C275" s="1"/>
      <c r="D275" s="1"/>
      <c r="E275" s="1"/>
      <c r="F275" s="1"/>
      <c r="G275" s="1"/>
      <c r="H275" s="1"/>
      <c r="I275" s="61"/>
      <c r="J275" s="1"/>
      <c r="K275" s="1"/>
    </row>
    <row r="276" spans="1:11" ht="15.75" customHeight="1">
      <c r="A276" s="2"/>
      <c r="B276" s="1"/>
      <c r="C276" s="1"/>
      <c r="D276" s="1"/>
      <c r="E276" s="1"/>
      <c r="F276" s="1"/>
      <c r="G276" s="1"/>
      <c r="H276" s="1"/>
      <c r="I276" s="61"/>
      <c r="J276" s="1"/>
      <c r="K276" s="1"/>
    </row>
    <row r="277" spans="1:11" ht="15.75" customHeight="1">
      <c r="A277" s="2"/>
      <c r="B277" s="1"/>
      <c r="C277" s="1"/>
      <c r="D277" s="1"/>
      <c r="E277" s="1"/>
      <c r="F277" s="1"/>
      <c r="G277" s="1"/>
      <c r="H277" s="1"/>
      <c r="I277" s="61"/>
      <c r="J277" s="1"/>
      <c r="K277" s="1"/>
    </row>
    <row r="278" spans="1:11" ht="15.75" customHeight="1">
      <c r="A278" s="2"/>
      <c r="B278" s="1"/>
      <c r="C278" s="1"/>
      <c r="D278" s="1"/>
      <c r="E278" s="1"/>
      <c r="F278" s="1"/>
      <c r="G278" s="1"/>
      <c r="H278" s="1"/>
      <c r="I278" s="61"/>
      <c r="J278" s="1"/>
      <c r="K278" s="1"/>
    </row>
    <row r="279" spans="1:11" ht="15.75" customHeight="1">
      <c r="A279" s="2"/>
      <c r="B279" s="1"/>
      <c r="C279" s="1"/>
      <c r="D279" s="1"/>
      <c r="E279" s="1"/>
      <c r="F279" s="1"/>
      <c r="G279" s="1"/>
      <c r="H279" s="1"/>
      <c r="I279" s="61"/>
      <c r="J279" s="1"/>
      <c r="K279" s="1"/>
    </row>
    <row r="280" spans="1:11" ht="15.75" customHeight="1">
      <c r="A280" s="2"/>
      <c r="B280" s="1"/>
      <c r="C280" s="1"/>
      <c r="D280" s="1"/>
      <c r="E280" s="1"/>
      <c r="F280" s="1"/>
      <c r="G280" s="1"/>
      <c r="H280" s="1"/>
      <c r="I280" s="61"/>
      <c r="J280" s="1"/>
      <c r="K280" s="1"/>
    </row>
    <row r="281" spans="1:11" ht="15.75" customHeight="1">
      <c r="A281" s="2"/>
      <c r="B281" s="1"/>
      <c r="C281" s="1"/>
      <c r="D281" s="1"/>
      <c r="E281" s="1"/>
      <c r="F281" s="1"/>
      <c r="G281" s="1"/>
      <c r="H281" s="1"/>
      <c r="I281" s="61"/>
      <c r="J281" s="1"/>
      <c r="K281" s="1"/>
    </row>
    <row r="282" spans="1:11" ht="15.75" customHeight="1">
      <c r="A282" s="2"/>
      <c r="B282" s="1"/>
      <c r="C282" s="1"/>
      <c r="D282" s="1"/>
      <c r="E282" s="1"/>
      <c r="F282" s="1"/>
      <c r="G282" s="1"/>
      <c r="H282" s="1"/>
      <c r="I282" s="61"/>
      <c r="J282" s="1"/>
      <c r="K282" s="1"/>
    </row>
    <row r="283" spans="1:11" ht="15.75" customHeight="1">
      <c r="A283" s="2"/>
      <c r="B283" s="1"/>
      <c r="C283" s="1"/>
      <c r="D283" s="1"/>
      <c r="E283" s="1"/>
      <c r="F283" s="1"/>
      <c r="G283" s="1"/>
      <c r="H283" s="1"/>
      <c r="I283" s="61"/>
      <c r="J283" s="1"/>
      <c r="K283" s="1"/>
    </row>
    <row r="284" spans="1:11" ht="15.75" customHeight="1">
      <c r="A284" s="2"/>
      <c r="B284" s="1"/>
      <c r="C284" s="1"/>
      <c r="D284" s="1"/>
      <c r="E284" s="1"/>
      <c r="F284" s="1"/>
      <c r="G284" s="1"/>
      <c r="H284" s="1"/>
      <c r="I284" s="61"/>
      <c r="J284" s="1"/>
      <c r="K284" s="1"/>
    </row>
    <row r="285" spans="1:11" ht="15.75" customHeight="1">
      <c r="A285" s="2"/>
      <c r="B285" s="1"/>
      <c r="C285" s="1"/>
      <c r="D285" s="1"/>
      <c r="E285" s="1"/>
      <c r="F285" s="1"/>
      <c r="G285" s="1"/>
      <c r="H285" s="1"/>
      <c r="I285" s="61"/>
      <c r="J285" s="1"/>
      <c r="K285" s="1"/>
    </row>
    <row r="286" spans="1:11" ht="15.75" customHeight="1">
      <c r="A286" s="2"/>
      <c r="B286" s="1"/>
      <c r="C286" s="1"/>
      <c r="D286" s="1"/>
      <c r="E286" s="1"/>
      <c r="F286" s="1"/>
      <c r="G286" s="1"/>
      <c r="H286" s="1"/>
      <c r="I286" s="61"/>
      <c r="J286" s="1"/>
      <c r="K286" s="1"/>
    </row>
    <row r="287" spans="1:11" ht="15.75" customHeight="1">
      <c r="A287" s="2"/>
      <c r="B287" s="1"/>
      <c r="C287" s="1"/>
      <c r="D287" s="1"/>
      <c r="E287" s="1"/>
      <c r="F287" s="1"/>
      <c r="G287" s="1"/>
      <c r="H287" s="1"/>
      <c r="I287" s="61"/>
      <c r="J287" s="1"/>
      <c r="K287" s="1"/>
    </row>
    <row r="288" spans="1:11" ht="15.75" customHeight="1">
      <c r="A288" s="2"/>
      <c r="B288" s="1"/>
      <c r="C288" s="1"/>
      <c r="D288" s="1"/>
      <c r="E288" s="1"/>
      <c r="F288" s="1"/>
      <c r="G288" s="1"/>
      <c r="H288" s="1"/>
      <c r="I288" s="61"/>
      <c r="J288" s="1"/>
      <c r="K288" s="1"/>
    </row>
    <row r="289" spans="1:11" ht="15.75" customHeight="1">
      <c r="A289" s="2"/>
      <c r="B289" s="1"/>
      <c r="C289" s="1"/>
      <c r="D289" s="1"/>
      <c r="E289" s="1"/>
      <c r="F289" s="1"/>
      <c r="G289" s="1"/>
      <c r="H289" s="1"/>
      <c r="I289" s="61"/>
      <c r="J289" s="1"/>
      <c r="K289" s="1"/>
    </row>
    <row r="290" spans="1:11" ht="15.75" customHeight="1">
      <c r="A290" s="2"/>
      <c r="B290" s="1"/>
      <c r="C290" s="1"/>
      <c r="D290" s="1"/>
      <c r="E290" s="1"/>
      <c r="F290" s="1"/>
      <c r="G290" s="1"/>
      <c r="H290" s="1"/>
      <c r="I290" s="61"/>
      <c r="J290" s="1"/>
      <c r="K290" s="1"/>
    </row>
    <row r="291" spans="1:11" ht="15.75" customHeight="1">
      <c r="A291" s="2"/>
      <c r="B291" s="1"/>
      <c r="C291" s="1"/>
      <c r="D291" s="1"/>
      <c r="E291" s="1"/>
      <c r="F291" s="1"/>
      <c r="G291" s="1"/>
      <c r="H291" s="1"/>
      <c r="I291" s="61"/>
      <c r="J291" s="1"/>
      <c r="K291" s="1"/>
    </row>
    <row r="292" spans="1:11" ht="15.75" customHeight="1">
      <c r="A292" s="2"/>
      <c r="B292" s="1"/>
      <c r="C292" s="1"/>
      <c r="D292" s="1"/>
      <c r="E292" s="1"/>
      <c r="F292" s="1"/>
      <c r="G292" s="1"/>
      <c r="H292" s="1"/>
      <c r="I292" s="61"/>
      <c r="J292" s="1"/>
      <c r="K292" s="1"/>
    </row>
    <row r="293" spans="1:11" ht="15.75" customHeight="1">
      <c r="A293" s="2"/>
      <c r="B293" s="1"/>
      <c r="C293" s="1"/>
      <c r="D293" s="1"/>
      <c r="E293" s="1"/>
      <c r="F293" s="1"/>
      <c r="G293" s="1"/>
      <c r="H293" s="1"/>
      <c r="I293" s="61"/>
      <c r="J293" s="1"/>
      <c r="K293" s="1"/>
    </row>
    <row r="294" spans="1:11" ht="15.75" customHeight="1">
      <c r="A294" s="2"/>
      <c r="B294" s="1"/>
      <c r="C294" s="1"/>
      <c r="D294" s="1"/>
      <c r="E294" s="1"/>
      <c r="F294" s="1"/>
      <c r="G294" s="1"/>
      <c r="H294" s="1"/>
      <c r="I294" s="61"/>
      <c r="J294" s="1"/>
      <c r="K294" s="1"/>
    </row>
    <row r="295" spans="1:11" ht="15.75" customHeight="1">
      <c r="A295" s="2"/>
      <c r="B295" s="1"/>
      <c r="C295" s="1"/>
      <c r="D295" s="1"/>
      <c r="E295" s="1"/>
      <c r="F295" s="1"/>
      <c r="G295" s="1"/>
      <c r="H295" s="1"/>
      <c r="I295" s="61"/>
      <c r="J295" s="1"/>
      <c r="K295" s="1"/>
    </row>
    <row r="296" spans="1:11" ht="15.75" customHeight="1">
      <c r="A296" s="2"/>
      <c r="B296" s="1"/>
      <c r="C296" s="1"/>
      <c r="D296" s="1"/>
      <c r="E296" s="1"/>
      <c r="F296" s="1"/>
      <c r="G296" s="1"/>
      <c r="H296" s="1"/>
      <c r="I296" s="61"/>
      <c r="J296" s="1"/>
      <c r="K296" s="1"/>
    </row>
    <row r="297" spans="1:11" ht="15.75" customHeight="1">
      <c r="A297" s="2"/>
      <c r="B297" s="1"/>
      <c r="C297" s="1"/>
      <c r="D297" s="1"/>
      <c r="E297" s="1"/>
      <c r="F297" s="1"/>
      <c r="G297" s="1"/>
      <c r="H297" s="1"/>
      <c r="I297" s="61"/>
      <c r="J297" s="1"/>
      <c r="K297" s="1"/>
    </row>
    <row r="298" spans="1:11" ht="15.75" customHeight="1">
      <c r="A298" s="2"/>
      <c r="B298" s="1"/>
      <c r="C298" s="1"/>
      <c r="D298" s="1"/>
      <c r="E298" s="1"/>
      <c r="F298" s="1"/>
      <c r="G298" s="1"/>
      <c r="H298" s="1"/>
      <c r="I298" s="61"/>
      <c r="J298" s="1"/>
      <c r="K298" s="1"/>
    </row>
    <row r="299" spans="1:11" ht="15.75" customHeight="1">
      <c r="A299" s="2"/>
      <c r="B299" s="1"/>
      <c r="C299" s="1"/>
      <c r="D299" s="1"/>
      <c r="E299" s="1"/>
      <c r="F299" s="1"/>
      <c r="G299" s="1"/>
      <c r="H299" s="1"/>
      <c r="I299" s="61"/>
      <c r="J299" s="1"/>
      <c r="K299" s="1"/>
    </row>
    <row r="300" spans="1:11" ht="15.75" customHeight="1">
      <c r="A300" s="2"/>
      <c r="B300" s="1"/>
      <c r="C300" s="1"/>
      <c r="D300" s="1"/>
      <c r="E300" s="1"/>
      <c r="F300" s="1"/>
      <c r="G300" s="1"/>
      <c r="H300" s="1"/>
      <c r="I300" s="61"/>
      <c r="J300" s="1"/>
      <c r="K300" s="1"/>
    </row>
    <row r="301" spans="1:11" ht="15.75" customHeight="1">
      <c r="A301" s="2"/>
      <c r="B301" s="1"/>
      <c r="C301" s="1"/>
      <c r="D301" s="1"/>
      <c r="E301" s="1"/>
      <c r="F301" s="1"/>
      <c r="G301" s="1"/>
      <c r="H301" s="1"/>
      <c r="I301" s="61"/>
      <c r="J301" s="1"/>
      <c r="K301" s="1"/>
    </row>
    <row r="302" spans="1:11" ht="15.75" customHeight="1">
      <c r="A302" s="2"/>
      <c r="B302" s="1"/>
      <c r="C302" s="1"/>
      <c r="D302" s="1"/>
      <c r="E302" s="1"/>
      <c r="F302" s="1"/>
      <c r="G302" s="1"/>
      <c r="H302" s="1"/>
      <c r="I302" s="61"/>
      <c r="J302" s="1"/>
      <c r="K302" s="1"/>
    </row>
    <row r="303" spans="1:11" ht="15.75" customHeight="1">
      <c r="A303" s="2"/>
      <c r="B303" s="1"/>
      <c r="C303" s="1"/>
      <c r="D303" s="1"/>
      <c r="E303" s="1"/>
      <c r="F303" s="1"/>
      <c r="G303" s="1"/>
      <c r="H303" s="1"/>
      <c r="I303" s="61"/>
      <c r="J303" s="1"/>
      <c r="K303" s="1"/>
    </row>
    <row r="304" spans="1:11" ht="15.75" customHeight="1">
      <c r="A304" s="2"/>
      <c r="B304" s="1"/>
      <c r="C304" s="1"/>
      <c r="D304" s="1"/>
      <c r="E304" s="1"/>
      <c r="F304" s="1"/>
      <c r="G304" s="1"/>
      <c r="H304" s="1"/>
      <c r="I304" s="61"/>
      <c r="J304" s="1"/>
      <c r="K304" s="1"/>
    </row>
    <row r="305" spans="1:11" ht="15.75" customHeight="1">
      <c r="A305" s="2"/>
      <c r="B305" s="1"/>
      <c r="C305" s="1"/>
      <c r="D305" s="1"/>
      <c r="E305" s="1"/>
      <c r="F305" s="1"/>
      <c r="G305" s="1"/>
      <c r="H305" s="1"/>
      <c r="I305" s="61"/>
      <c r="J305" s="1"/>
      <c r="K305" s="1"/>
    </row>
    <row r="306" spans="1:11" ht="15.75" customHeight="1">
      <c r="A306" s="2"/>
      <c r="B306" s="1"/>
      <c r="C306" s="1"/>
      <c r="D306" s="1"/>
      <c r="E306" s="1"/>
      <c r="F306" s="1"/>
      <c r="G306" s="1"/>
      <c r="H306" s="1"/>
      <c r="I306" s="61"/>
      <c r="J306" s="1"/>
      <c r="K306" s="1"/>
    </row>
    <row r="307" spans="1:11" ht="15.75" customHeight="1">
      <c r="A307" s="2"/>
      <c r="B307" s="1"/>
      <c r="C307" s="1"/>
      <c r="D307" s="1"/>
      <c r="E307" s="1"/>
      <c r="F307" s="1"/>
      <c r="G307" s="1"/>
      <c r="H307" s="1"/>
      <c r="I307" s="61"/>
      <c r="J307" s="1"/>
      <c r="K307" s="1"/>
    </row>
    <row r="308" spans="1:11" ht="15.75" customHeight="1">
      <c r="A308" s="2"/>
      <c r="B308" s="1"/>
      <c r="C308" s="1"/>
      <c r="D308" s="1"/>
      <c r="E308" s="1"/>
      <c r="F308" s="1"/>
      <c r="G308" s="1"/>
      <c r="H308" s="1"/>
      <c r="I308" s="61"/>
      <c r="J308" s="1"/>
      <c r="K308" s="1"/>
    </row>
    <row r="309" spans="1:11" ht="15.75" customHeight="1">
      <c r="A309" s="2"/>
      <c r="B309" s="1"/>
      <c r="C309" s="1"/>
      <c r="D309" s="1"/>
      <c r="E309" s="1"/>
      <c r="F309" s="1"/>
      <c r="G309" s="1"/>
      <c r="H309" s="1"/>
      <c r="I309" s="61"/>
      <c r="J309" s="1"/>
      <c r="K309" s="1"/>
    </row>
    <row r="310" spans="1:11" ht="15.75" customHeight="1">
      <c r="A310" s="2"/>
      <c r="B310" s="1"/>
      <c r="C310" s="1"/>
      <c r="D310" s="1"/>
      <c r="E310" s="1"/>
      <c r="F310" s="1"/>
      <c r="G310" s="1"/>
      <c r="H310" s="1"/>
      <c r="I310" s="61"/>
      <c r="J310" s="1"/>
      <c r="K310" s="1"/>
    </row>
    <row r="311" spans="1:11" ht="15.75" customHeight="1">
      <c r="A311" s="2"/>
      <c r="B311" s="1"/>
      <c r="C311" s="1"/>
      <c r="D311" s="1"/>
      <c r="E311" s="1"/>
      <c r="F311" s="1"/>
      <c r="G311" s="1"/>
      <c r="H311" s="1"/>
      <c r="I311" s="61"/>
      <c r="J311" s="1"/>
      <c r="K311" s="1"/>
    </row>
    <row r="312" spans="1:11" ht="15.75" customHeight="1">
      <c r="A312" s="2"/>
      <c r="B312" s="1"/>
      <c r="C312" s="1"/>
      <c r="D312" s="1"/>
      <c r="E312" s="1"/>
      <c r="F312" s="1"/>
      <c r="G312" s="1"/>
      <c r="H312" s="1"/>
      <c r="I312" s="61"/>
      <c r="J312" s="1"/>
      <c r="K312" s="1"/>
    </row>
    <row r="313" spans="1:11" ht="15.75" customHeight="1">
      <c r="A313" s="2"/>
      <c r="B313" s="1"/>
      <c r="C313" s="1"/>
      <c r="D313" s="1"/>
      <c r="E313" s="1"/>
      <c r="F313" s="1"/>
      <c r="G313" s="1"/>
      <c r="H313" s="1"/>
      <c r="I313" s="61"/>
      <c r="J313" s="1"/>
      <c r="K313" s="1"/>
    </row>
    <row r="314" spans="1:11" ht="15.75" customHeight="1">
      <c r="A314" s="2"/>
      <c r="B314" s="1"/>
      <c r="C314" s="1"/>
      <c r="D314" s="1"/>
      <c r="E314" s="1"/>
      <c r="F314" s="1"/>
      <c r="G314" s="1"/>
      <c r="H314" s="1"/>
      <c r="I314" s="61"/>
      <c r="J314" s="1"/>
      <c r="K314" s="1"/>
    </row>
    <row r="315" spans="1:11" ht="15.75" customHeight="1">
      <c r="A315" s="2"/>
      <c r="B315" s="1"/>
      <c r="C315" s="1"/>
      <c r="D315" s="1"/>
      <c r="E315" s="1"/>
      <c r="F315" s="1"/>
      <c r="G315" s="1"/>
      <c r="H315" s="1"/>
      <c r="I315" s="61"/>
      <c r="J315" s="1"/>
      <c r="K315" s="1"/>
    </row>
    <row r="316" spans="1:11" ht="15.75" customHeight="1">
      <c r="A316" s="2"/>
      <c r="B316" s="1"/>
      <c r="C316" s="1"/>
      <c r="D316" s="1"/>
      <c r="E316" s="1"/>
      <c r="F316" s="1"/>
      <c r="G316" s="1"/>
      <c r="H316" s="1"/>
      <c r="I316" s="61"/>
      <c r="J316" s="1"/>
      <c r="K316" s="1"/>
    </row>
    <row r="317" spans="1:11" ht="15.75" customHeight="1">
      <c r="A317" s="2"/>
      <c r="B317" s="1"/>
      <c r="C317" s="1"/>
      <c r="D317" s="1"/>
      <c r="E317" s="1"/>
      <c r="F317" s="1"/>
      <c r="G317" s="1"/>
      <c r="H317" s="1"/>
      <c r="I317" s="61"/>
      <c r="J317" s="1"/>
      <c r="K317" s="1"/>
    </row>
    <row r="318" spans="1:11" ht="15.75" customHeight="1">
      <c r="A318" s="2"/>
      <c r="B318" s="1"/>
      <c r="C318" s="1"/>
      <c r="D318" s="1"/>
      <c r="E318" s="1"/>
      <c r="F318" s="1"/>
      <c r="G318" s="1"/>
      <c r="H318" s="1"/>
      <c r="I318" s="61"/>
      <c r="J318" s="1"/>
      <c r="K318" s="1"/>
    </row>
    <row r="319" spans="1:11" ht="15.75" customHeight="1">
      <c r="A319" s="2"/>
      <c r="B319" s="1"/>
      <c r="C319" s="1"/>
      <c r="D319" s="1"/>
      <c r="E319" s="1"/>
      <c r="F319" s="1"/>
      <c r="G319" s="1"/>
      <c r="H319" s="1"/>
      <c r="I319" s="61"/>
      <c r="J319" s="1"/>
      <c r="K319" s="1"/>
    </row>
    <row r="320" spans="1:11" ht="15.75" customHeight="1">
      <c r="A320" s="2"/>
      <c r="B320" s="1"/>
      <c r="C320" s="1"/>
      <c r="D320" s="1"/>
      <c r="E320" s="1"/>
      <c r="F320" s="1"/>
      <c r="G320" s="1"/>
      <c r="H320" s="1"/>
      <c r="I320" s="61"/>
      <c r="J320" s="1"/>
      <c r="K320" s="1"/>
    </row>
    <row r="321" spans="1:11" ht="15.75" customHeight="1">
      <c r="A321" s="2"/>
      <c r="B321" s="1"/>
      <c r="C321" s="1"/>
      <c r="D321" s="1"/>
      <c r="E321" s="1"/>
      <c r="F321" s="1"/>
      <c r="G321" s="1"/>
      <c r="H321" s="1"/>
      <c r="I321" s="61"/>
      <c r="J321" s="1"/>
      <c r="K321" s="1"/>
    </row>
    <row r="322" spans="1:11" ht="15.75" customHeight="1">
      <c r="A322" s="2"/>
      <c r="B322" s="1"/>
      <c r="C322" s="1"/>
      <c r="D322" s="1"/>
      <c r="E322" s="1"/>
      <c r="F322" s="1"/>
      <c r="G322" s="1"/>
      <c r="H322" s="1"/>
      <c r="I322" s="61"/>
      <c r="J322" s="1"/>
      <c r="K322" s="1"/>
    </row>
    <row r="323" spans="1:11" ht="15.75" customHeight="1">
      <c r="A323" s="2"/>
      <c r="B323" s="1"/>
      <c r="C323" s="1"/>
      <c r="D323" s="1"/>
      <c r="E323" s="1"/>
      <c r="F323" s="1"/>
      <c r="G323" s="1"/>
      <c r="H323" s="1"/>
      <c r="I323" s="61"/>
      <c r="J323" s="1"/>
      <c r="K323" s="1"/>
    </row>
    <row r="324" spans="1:11" ht="15.75" customHeight="1">
      <c r="A324" s="2"/>
      <c r="B324" s="1"/>
      <c r="C324" s="1"/>
      <c r="D324" s="1"/>
      <c r="E324" s="1"/>
      <c r="F324" s="1"/>
      <c r="G324" s="1"/>
      <c r="H324" s="1"/>
      <c r="I324" s="61"/>
      <c r="J324" s="1"/>
      <c r="K324" s="1"/>
    </row>
    <row r="325" spans="1:11" ht="15.75" customHeight="1">
      <c r="A325" s="2"/>
      <c r="B325" s="1"/>
      <c r="C325" s="1"/>
      <c r="D325" s="1"/>
      <c r="E325" s="1"/>
      <c r="F325" s="1"/>
      <c r="G325" s="1"/>
      <c r="H325" s="1"/>
      <c r="I325" s="61"/>
      <c r="J325" s="1"/>
      <c r="K325" s="1"/>
    </row>
    <row r="326" spans="1:11" ht="15.75" customHeight="1">
      <c r="A326" s="2"/>
      <c r="B326" s="1"/>
      <c r="C326" s="1"/>
      <c r="D326" s="1"/>
      <c r="E326" s="1"/>
      <c r="F326" s="1"/>
      <c r="G326" s="1"/>
      <c r="H326" s="1"/>
      <c r="I326" s="61"/>
      <c r="J326" s="1"/>
      <c r="K326" s="1"/>
    </row>
    <row r="327" spans="1:11" ht="15.75" customHeight="1">
      <c r="A327" s="2"/>
      <c r="B327" s="1"/>
      <c r="C327" s="1"/>
      <c r="D327" s="1"/>
      <c r="E327" s="1"/>
      <c r="F327" s="1"/>
      <c r="G327" s="1"/>
      <c r="H327" s="1"/>
      <c r="I327" s="61"/>
      <c r="J327" s="1"/>
      <c r="K327" s="1"/>
    </row>
    <row r="328" spans="1:11" ht="15.75" customHeight="1">
      <c r="A328" s="2"/>
      <c r="B328" s="1"/>
      <c r="C328" s="1"/>
      <c r="D328" s="1"/>
      <c r="E328" s="1"/>
      <c r="F328" s="1"/>
      <c r="G328" s="1"/>
      <c r="H328" s="1"/>
      <c r="I328" s="61"/>
      <c r="J328" s="1"/>
      <c r="K328" s="1"/>
    </row>
    <row r="329" spans="1:11" ht="15.75" customHeight="1">
      <c r="A329" s="2"/>
      <c r="B329" s="1"/>
      <c r="C329" s="1"/>
      <c r="D329" s="1"/>
      <c r="E329" s="1"/>
      <c r="F329" s="1"/>
      <c r="G329" s="1"/>
      <c r="H329" s="1"/>
      <c r="I329" s="61"/>
      <c r="J329" s="1"/>
      <c r="K329" s="1"/>
    </row>
    <row r="330" spans="1:11" ht="15.75" customHeight="1">
      <c r="A330" s="2"/>
      <c r="B330" s="1"/>
      <c r="C330" s="1"/>
      <c r="D330" s="1"/>
      <c r="E330" s="1"/>
      <c r="F330" s="1"/>
      <c r="G330" s="1"/>
      <c r="H330" s="1"/>
      <c r="I330" s="61"/>
      <c r="J330" s="1"/>
      <c r="K330" s="1"/>
    </row>
    <row r="331" spans="1:11" ht="15.75" customHeight="1">
      <c r="A331" s="2"/>
      <c r="B331" s="1"/>
      <c r="C331" s="1"/>
      <c r="D331" s="1"/>
      <c r="E331" s="1"/>
      <c r="F331" s="1"/>
      <c r="G331" s="1"/>
      <c r="H331" s="1"/>
      <c r="I331" s="61"/>
      <c r="J331" s="1"/>
      <c r="K331" s="1"/>
    </row>
    <row r="332" spans="1:11" ht="15.75" customHeight="1">
      <c r="A332" s="2"/>
      <c r="B332" s="1"/>
      <c r="C332" s="1"/>
      <c r="D332" s="1"/>
      <c r="E332" s="1"/>
      <c r="F332" s="1"/>
      <c r="G332" s="1"/>
      <c r="H332" s="1"/>
      <c r="I332" s="61"/>
      <c r="J332" s="1"/>
      <c r="K332" s="1"/>
    </row>
    <row r="333" spans="1:11" ht="15.75" customHeight="1">
      <c r="A333" s="2"/>
      <c r="B333" s="1"/>
      <c r="C333" s="1"/>
      <c r="D333" s="1"/>
      <c r="E333" s="1"/>
      <c r="F333" s="1"/>
      <c r="G333" s="1"/>
      <c r="H333" s="1"/>
      <c r="I333" s="61"/>
      <c r="J333" s="1"/>
      <c r="K333" s="1"/>
    </row>
    <row r="334" spans="1:11" ht="15.75" customHeight="1">
      <c r="A334" s="2"/>
      <c r="B334" s="1"/>
      <c r="C334" s="1"/>
      <c r="D334" s="1"/>
      <c r="E334" s="1"/>
      <c r="F334" s="1"/>
      <c r="G334" s="1"/>
      <c r="H334" s="1"/>
      <c r="I334" s="61"/>
      <c r="J334" s="1"/>
      <c r="K334" s="1"/>
    </row>
    <row r="335" spans="1:11" ht="15.75" customHeight="1">
      <c r="A335" s="2"/>
      <c r="B335" s="1"/>
      <c r="C335" s="1"/>
      <c r="D335" s="1"/>
      <c r="E335" s="1"/>
      <c r="F335" s="1"/>
      <c r="G335" s="1"/>
      <c r="H335" s="1"/>
      <c r="I335" s="61"/>
      <c r="J335" s="1"/>
      <c r="K335" s="1"/>
    </row>
    <row r="336" spans="1:11" ht="15.75" customHeight="1">
      <c r="A336" s="2"/>
      <c r="B336" s="1"/>
      <c r="C336" s="1"/>
      <c r="D336" s="1"/>
      <c r="E336" s="1"/>
      <c r="F336" s="1"/>
      <c r="G336" s="1"/>
      <c r="H336" s="1"/>
      <c r="I336" s="61"/>
      <c r="J336" s="1"/>
      <c r="K336" s="1"/>
    </row>
    <row r="337" spans="1:11" ht="15.75" customHeight="1">
      <c r="A337" s="2"/>
      <c r="B337" s="1"/>
      <c r="C337" s="1"/>
      <c r="D337" s="1"/>
      <c r="E337" s="1"/>
      <c r="F337" s="1"/>
      <c r="G337" s="1"/>
      <c r="H337" s="1"/>
      <c r="I337" s="61"/>
      <c r="J337" s="1"/>
      <c r="K337" s="1"/>
    </row>
    <row r="338" spans="1:11" ht="15.75" customHeight="1">
      <c r="A338" s="2"/>
      <c r="B338" s="1"/>
      <c r="C338" s="1"/>
      <c r="D338" s="1"/>
      <c r="E338" s="1"/>
      <c r="F338" s="1"/>
      <c r="G338" s="1"/>
      <c r="H338" s="1"/>
      <c r="I338" s="61"/>
      <c r="J338" s="1"/>
      <c r="K338" s="1"/>
    </row>
    <row r="339" spans="1:11" ht="15.75" customHeight="1">
      <c r="A339" s="2"/>
      <c r="B339" s="1"/>
      <c r="C339" s="1"/>
      <c r="D339" s="1"/>
      <c r="E339" s="1"/>
      <c r="F339" s="1"/>
      <c r="G339" s="1"/>
      <c r="H339" s="1"/>
      <c r="I339" s="61"/>
      <c r="J339" s="1"/>
      <c r="K339" s="1"/>
    </row>
    <row r="340" spans="1:11" ht="15.75" customHeight="1">
      <c r="A340" s="2"/>
      <c r="B340" s="1"/>
      <c r="C340" s="1"/>
      <c r="D340" s="1"/>
      <c r="E340" s="1"/>
      <c r="F340" s="1"/>
      <c r="G340" s="1"/>
      <c r="H340" s="1"/>
      <c r="I340" s="61"/>
      <c r="J340" s="1"/>
      <c r="K340" s="1"/>
    </row>
    <row r="341" spans="1:11" ht="15.75" customHeight="1">
      <c r="A341" s="2"/>
      <c r="B341" s="1"/>
      <c r="C341" s="1"/>
      <c r="D341" s="1"/>
      <c r="E341" s="1"/>
      <c r="F341" s="1"/>
      <c r="G341" s="1"/>
      <c r="H341" s="1"/>
      <c r="I341" s="61"/>
      <c r="J341" s="1"/>
      <c r="K341" s="1"/>
    </row>
    <row r="342" spans="1:11" ht="15.75" customHeight="1">
      <c r="A342" s="2"/>
      <c r="B342" s="1"/>
      <c r="C342" s="1"/>
      <c r="D342" s="1"/>
      <c r="E342" s="1"/>
      <c r="F342" s="1"/>
      <c r="G342" s="1"/>
      <c r="H342" s="1"/>
      <c r="I342" s="61"/>
      <c r="J342" s="1"/>
      <c r="K342" s="1"/>
    </row>
    <row r="343" spans="1:11" ht="15.75" customHeight="1">
      <c r="A343" s="2"/>
      <c r="B343" s="1"/>
      <c r="C343" s="1"/>
      <c r="D343" s="1"/>
      <c r="E343" s="1"/>
      <c r="F343" s="1"/>
      <c r="G343" s="1"/>
      <c r="H343" s="1"/>
      <c r="I343" s="61"/>
      <c r="J343" s="1"/>
      <c r="K343" s="1"/>
    </row>
    <row r="344" spans="1:11" ht="15.75" customHeight="1">
      <c r="A344" s="2"/>
      <c r="B344" s="1"/>
      <c r="C344" s="1"/>
      <c r="D344" s="1"/>
      <c r="E344" s="1"/>
      <c r="F344" s="1"/>
      <c r="G344" s="1"/>
      <c r="H344" s="1"/>
      <c r="I344" s="61"/>
      <c r="J344" s="1"/>
      <c r="K344" s="1"/>
    </row>
    <row r="345" spans="1:11" ht="15.75" customHeight="1">
      <c r="A345" s="2"/>
      <c r="B345" s="1"/>
      <c r="C345" s="1"/>
      <c r="D345" s="1"/>
      <c r="E345" s="1"/>
      <c r="F345" s="1"/>
      <c r="G345" s="1"/>
      <c r="H345" s="1"/>
      <c r="I345" s="61"/>
      <c r="J345" s="1"/>
      <c r="K345" s="1"/>
    </row>
    <row r="346" spans="1:11" ht="15.75" customHeight="1">
      <c r="A346" s="2"/>
      <c r="B346" s="1"/>
      <c r="C346" s="1"/>
      <c r="D346" s="1"/>
      <c r="E346" s="1"/>
      <c r="F346" s="1"/>
      <c r="G346" s="1"/>
      <c r="H346" s="1"/>
      <c r="I346" s="61"/>
      <c r="J346" s="1"/>
      <c r="K346" s="1"/>
    </row>
    <row r="347" spans="1:11" ht="15.75" customHeight="1">
      <c r="A347" s="2"/>
      <c r="B347" s="1"/>
      <c r="C347" s="1"/>
      <c r="D347" s="1"/>
      <c r="E347" s="1"/>
      <c r="F347" s="1"/>
      <c r="G347" s="1"/>
      <c r="H347" s="1"/>
      <c r="I347" s="61"/>
      <c r="J347" s="1"/>
      <c r="K347" s="1"/>
    </row>
    <row r="348" spans="1:11" ht="15.75" customHeight="1">
      <c r="A348" s="2"/>
      <c r="B348" s="1"/>
      <c r="C348" s="1"/>
      <c r="D348" s="1"/>
      <c r="E348" s="1"/>
      <c r="F348" s="1"/>
      <c r="G348" s="1"/>
      <c r="H348" s="1"/>
      <c r="I348" s="61"/>
      <c r="J348" s="1"/>
      <c r="K348" s="1"/>
    </row>
    <row r="349" spans="1:11" ht="15.75" customHeight="1">
      <c r="A349" s="2"/>
      <c r="B349" s="1"/>
      <c r="C349" s="1"/>
      <c r="D349" s="1"/>
      <c r="E349" s="1"/>
      <c r="F349" s="1"/>
      <c r="G349" s="1"/>
      <c r="H349" s="1"/>
      <c r="I349" s="61"/>
      <c r="J349" s="1"/>
      <c r="K349" s="1"/>
    </row>
    <row r="350" spans="1:11" ht="15.75" customHeight="1">
      <c r="A350" s="2"/>
      <c r="B350" s="1"/>
      <c r="C350" s="1"/>
      <c r="D350" s="1"/>
      <c r="E350" s="1"/>
      <c r="F350" s="1"/>
      <c r="G350" s="1"/>
      <c r="H350" s="1"/>
      <c r="I350" s="61"/>
      <c r="J350" s="1"/>
      <c r="K350" s="1"/>
    </row>
    <row r="351" spans="1:11" ht="15.75" customHeight="1">
      <c r="A351" s="2"/>
      <c r="B351" s="1"/>
      <c r="C351" s="1"/>
      <c r="D351" s="1"/>
      <c r="E351" s="1"/>
      <c r="F351" s="1"/>
      <c r="G351" s="1"/>
      <c r="H351" s="1"/>
      <c r="I351" s="61"/>
      <c r="J351" s="1"/>
      <c r="K351" s="1"/>
    </row>
    <row r="352" spans="1:11" ht="15.75" customHeight="1">
      <c r="A352" s="2"/>
      <c r="B352" s="1"/>
      <c r="C352" s="1"/>
      <c r="D352" s="1"/>
      <c r="E352" s="1"/>
      <c r="F352" s="1"/>
      <c r="G352" s="1"/>
      <c r="H352" s="1"/>
      <c r="I352" s="61"/>
      <c r="J352" s="1"/>
      <c r="K352" s="1"/>
    </row>
    <row r="353" spans="1:11" ht="15.75" customHeight="1">
      <c r="A353" s="2"/>
      <c r="B353" s="1"/>
      <c r="C353" s="1"/>
      <c r="D353" s="1"/>
      <c r="E353" s="1"/>
      <c r="F353" s="1"/>
      <c r="G353" s="1"/>
      <c r="H353" s="1"/>
      <c r="I353" s="61"/>
      <c r="J353" s="1"/>
      <c r="K353" s="1"/>
    </row>
    <row r="354" spans="1:11" ht="15.75" customHeight="1">
      <c r="A354" s="2"/>
      <c r="B354" s="1"/>
      <c r="C354" s="1"/>
      <c r="D354" s="1"/>
      <c r="E354" s="1"/>
      <c r="F354" s="1"/>
      <c r="G354" s="1"/>
      <c r="H354" s="1"/>
      <c r="I354" s="61"/>
      <c r="J354" s="1"/>
      <c r="K354" s="1"/>
    </row>
    <row r="355" spans="1:11" ht="15.75" customHeight="1">
      <c r="A355" s="2"/>
      <c r="B355" s="1"/>
      <c r="C355" s="1"/>
      <c r="D355" s="1"/>
      <c r="E355" s="1"/>
      <c r="F355" s="1"/>
      <c r="G355" s="1"/>
      <c r="H355" s="1"/>
      <c r="I355" s="61"/>
      <c r="J355" s="1"/>
      <c r="K355" s="1"/>
    </row>
    <row r="356" spans="1:11" ht="15.75" customHeight="1">
      <c r="A356" s="2"/>
      <c r="B356" s="1"/>
      <c r="C356" s="1"/>
      <c r="D356" s="1"/>
      <c r="E356" s="1"/>
      <c r="F356" s="1"/>
      <c r="G356" s="1"/>
      <c r="H356" s="1"/>
      <c r="I356" s="61"/>
      <c r="J356" s="1"/>
      <c r="K356" s="1"/>
    </row>
    <row r="357" spans="1:11" ht="15.75" customHeight="1">
      <c r="A357" s="2"/>
      <c r="B357" s="1"/>
      <c r="C357" s="1"/>
      <c r="D357" s="1"/>
      <c r="E357" s="1"/>
      <c r="F357" s="1"/>
      <c r="G357" s="1"/>
      <c r="H357" s="1"/>
      <c r="I357" s="61"/>
      <c r="J357" s="1"/>
      <c r="K357" s="1"/>
    </row>
    <row r="358" spans="1:11" ht="15.75" customHeight="1">
      <c r="A358" s="2"/>
      <c r="B358" s="1"/>
      <c r="C358" s="1"/>
      <c r="D358" s="1"/>
      <c r="E358" s="1"/>
      <c r="F358" s="1"/>
      <c r="G358" s="1"/>
      <c r="H358" s="1"/>
      <c r="I358" s="61"/>
      <c r="J358" s="1"/>
      <c r="K358" s="1"/>
    </row>
    <row r="359" spans="1:11" ht="15.75" customHeight="1">
      <c r="A359" s="2"/>
      <c r="B359" s="1"/>
      <c r="C359" s="1"/>
      <c r="D359" s="1"/>
      <c r="E359" s="1"/>
      <c r="F359" s="1"/>
      <c r="G359" s="1"/>
      <c r="H359" s="1"/>
      <c r="I359" s="61"/>
      <c r="J359" s="1"/>
      <c r="K359" s="1"/>
    </row>
    <row r="360" spans="1:11" ht="15.75" customHeight="1">
      <c r="A360" s="2"/>
      <c r="B360" s="1"/>
      <c r="C360" s="1"/>
      <c r="D360" s="1"/>
      <c r="E360" s="1"/>
      <c r="F360" s="1"/>
      <c r="G360" s="1"/>
      <c r="H360" s="1"/>
      <c r="I360" s="61"/>
      <c r="J360" s="1"/>
      <c r="K360" s="1"/>
    </row>
    <row r="361" spans="1:11" ht="15.75" customHeight="1">
      <c r="A361" s="2"/>
      <c r="B361" s="1"/>
      <c r="C361" s="1"/>
      <c r="D361" s="1"/>
      <c r="E361" s="1"/>
      <c r="F361" s="1"/>
      <c r="G361" s="1"/>
      <c r="H361" s="1"/>
      <c r="I361" s="61"/>
      <c r="J361" s="1"/>
      <c r="K361" s="1"/>
    </row>
    <row r="362" spans="1:11" ht="15.75" customHeight="1">
      <c r="A362" s="2"/>
      <c r="B362" s="1"/>
      <c r="C362" s="1"/>
      <c r="D362" s="1"/>
      <c r="E362" s="1"/>
      <c r="F362" s="1"/>
      <c r="G362" s="1"/>
      <c r="H362" s="1"/>
      <c r="I362" s="61"/>
      <c r="J362" s="1"/>
      <c r="K362" s="1"/>
    </row>
    <row r="363" spans="1:11" ht="15.75" customHeight="1">
      <c r="A363" s="2"/>
      <c r="B363" s="1"/>
      <c r="C363" s="1"/>
      <c r="D363" s="1"/>
      <c r="E363" s="1"/>
      <c r="F363" s="1"/>
      <c r="G363" s="1"/>
      <c r="H363" s="1"/>
      <c r="I363" s="61"/>
      <c r="J363" s="1"/>
      <c r="K363" s="1"/>
    </row>
    <row r="364" spans="1:11" ht="15.75" customHeight="1">
      <c r="A364" s="2"/>
      <c r="B364" s="1"/>
      <c r="C364" s="1"/>
      <c r="D364" s="1"/>
      <c r="E364" s="1"/>
      <c r="F364" s="1"/>
      <c r="G364" s="1"/>
      <c r="H364" s="1"/>
      <c r="I364" s="61"/>
      <c r="J364" s="1"/>
      <c r="K364" s="1"/>
    </row>
    <row r="365" spans="1:11" ht="15.75" customHeight="1">
      <c r="A365" s="2"/>
      <c r="B365" s="1"/>
      <c r="C365" s="1"/>
      <c r="D365" s="1"/>
      <c r="E365" s="1"/>
      <c r="F365" s="1"/>
      <c r="G365" s="1"/>
      <c r="H365" s="1"/>
      <c r="I365" s="61"/>
      <c r="J365" s="1"/>
      <c r="K365" s="1"/>
    </row>
    <row r="366" spans="1:11" ht="15.75" customHeight="1">
      <c r="A366" s="2"/>
      <c r="B366" s="1"/>
      <c r="C366" s="1"/>
      <c r="D366" s="1"/>
      <c r="E366" s="1"/>
      <c r="F366" s="1"/>
      <c r="G366" s="1"/>
      <c r="H366" s="1"/>
      <c r="I366" s="61"/>
      <c r="J366" s="1"/>
      <c r="K366" s="1"/>
    </row>
    <row r="367" spans="1:11" ht="15.75" customHeight="1">
      <c r="A367" s="2"/>
      <c r="B367" s="1"/>
      <c r="C367" s="1"/>
      <c r="D367" s="1"/>
      <c r="E367" s="1"/>
      <c r="F367" s="1"/>
      <c r="G367" s="1"/>
      <c r="H367" s="1"/>
      <c r="I367" s="61"/>
      <c r="J367" s="1"/>
      <c r="K367" s="1"/>
    </row>
    <row r="368" spans="1:11" ht="15.75" customHeight="1">
      <c r="A368" s="2"/>
      <c r="B368" s="1"/>
      <c r="C368" s="1"/>
      <c r="D368" s="1"/>
      <c r="E368" s="1"/>
      <c r="F368" s="1"/>
      <c r="G368" s="1"/>
      <c r="H368" s="1"/>
      <c r="I368" s="61"/>
      <c r="J368" s="1"/>
      <c r="K368" s="1"/>
    </row>
    <row r="369" spans="1:11" ht="15.75" customHeight="1">
      <c r="A369" s="2"/>
      <c r="B369" s="1"/>
      <c r="C369" s="1"/>
      <c r="D369" s="1"/>
      <c r="E369" s="1"/>
      <c r="F369" s="1"/>
      <c r="G369" s="1"/>
      <c r="H369" s="1"/>
      <c r="I369" s="61"/>
      <c r="J369" s="1"/>
      <c r="K369" s="1"/>
    </row>
    <row r="370" spans="1:11" ht="15.75" customHeight="1">
      <c r="A370" s="2"/>
      <c r="B370" s="1"/>
      <c r="C370" s="1"/>
      <c r="D370" s="1"/>
      <c r="E370" s="1"/>
      <c r="F370" s="1"/>
      <c r="G370" s="1"/>
      <c r="H370" s="1"/>
      <c r="I370" s="61"/>
      <c r="J370" s="1"/>
      <c r="K370" s="1"/>
    </row>
    <row r="371" spans="1:11" ht="15.75" customHeight="1">
      <c r="A371" s="2"/>
      <c r="B371" s="1"/>
      <c r="C371" s="1"/>
      <c r="D371" s="1"/>
      <c r="E371" s="1"/>
      <c r="F371" s="1"/>
      <c r="G371" s="1"/>
      <c r="H371" s="1"/>
      <c r="I371" s="61"/>
      <c r="J371" s="1"/>
      <c r="K371" s="1"/>
    </row>
    <row r="372" spans="1:11" ht="15.75" customHeight="1">
      <c r="A372" s="2"/>
      <c r="B372" s="1"/>
      <c r="C372" s="1"/>
      <c r="D372" s="1"/>
      <c r="E372" s="1"/>
      <c r="F372" s="1"/>
      <c r="G372" s="1"/>
      <c r="H372" s="1"/>
      <c r="I372" s="61"/>
      <c r="J372" s="1"/>
      <c r="K372" s="1"/>
    </row>
    <row r="373" spans="1:11" ht="15.75" customHeight="1">
      <c r="A373" s="2"/>
      <c r="B373" s="1"/>
      <c r="C373" s="1"/>
      <c r="D373" s="1"/>
      <c r="E373" s="1"/>
      <c r="F373" s="1"/>
      <c r="G373" s="1"/>
      <c r="H373" s="1"/>
      <c r="I373" s="61"/>
      <c r="J373" s="1"/>
      <c r="K373" s="1"/>
    </row>
    <row r="374" spans="1:11" ht="15.75" customHeight="1">
      <c r="A374" s="2"/>
      <c r="B374" s="1"/>
      <c r="C374" s="1"/>
      <c r="D374" s="1"/>
      <c r="E374" s="1"/>
      <c r="F374" s="1"/>
      <c r="G374" s="1"/>
      <c r="H374" s="1"/>
      <c r="I374" s="61"/>
      <c r="J374" s="1"/>
      <c r="K374" s="1"/>
    </row>
    <row r="375" spans="1:11" ht="15.75" customHeight="1">
      <c r="A375" s="2"/>
      <c r="B375" s="1"/>
      <c r="C375" s="1"/>
      <c r="D375" s="1"/>
      <c r="E375" s="1"/>
      <c r="F375" s="1"/>
      <c r="G375" s="1"/>
      <c r="H375" s="1"/>
      <c r="I375" s="61"/>
      <c r="J375" s="1"/>
      <c r="K375" s="1"/>
    </row>
    <row r="376" spans="1:11" ht="15.75" customHeight="1">
      <c r="A376" s="2"/>
      <c r="B376" s="1"/>
      <c r="C376" s="1"/>
      <c r="D376" s="1"/>
      <c r="E376" s="1"/>
      <c r="F376" s="1"/>
      <c r="G376" s="1"/>
      <c r="H376" s="1"/>
      <c r="I376" s="61"/>
      <c r="J376" s="1"/>
      <c r="K376" s="1"/>
    </row>
    <row r="377" spans="1:11" ht="15.75" customHeight="1">
      <c r="A377" s="2"/>
      <c r="B377" s="1"/>
      <c r="C377" s="1"/>
      <c r="D377" s="1"/>
      <c r="E377" s="1"/>
      <c r="F377" s="1"/>
      <c r="G377" s="1"/>
      <c r="H377" s="1"/>
      <c r="I377" s="61"/>
      <c r="J377" s="1"/>
      <c r="K377" s="1"/>
    </row>
    <row r="378" spans="1:11" ht="15.75" customHeight="1">
      <c r="A378" s="2"/>
      <c r="B378" s="1"/>
      <c r="C378" s="1"/>
      <c r="D378" s="1"/>
      <c r="E378" s="1"/>
      <c r="F378" s="1"/>
      <c r="G378" s="1"/>
      <c r="H378" s="1"/>
      <c r="I378" s="61"/>
      <c r="J378" s="1"/>
      <c r="K378" s="1"/>
    </row>
    <row r="379" spans="1:11" ht="15.75" customHeight="1">
      <c r="A379" s="2"/>
      <c r="B379" s="1"/>
      <c r="C379" s="1"/>
      <c r="D379" s="1"/>
      <c r="E379" s="1"/>
      <c r="F379" s="1"/>
      <c r="G379" s="1"/>
      <c r="H379" s="1"/>
      <c r="I379" s="61"/>
      <c r="J379" s="1"/>
      <c r="K379" s="1"/>
    </row>
    <row r="380" spans="1:11" ht="15.75" customHeight="1">
      <c r="A380" s="2"/>
      <c r="B380" s="1"/>
      <c r="C380" s="1"/>
      <c r="D380" s="1"/>
      <c r="E380" s="1"/>
      <c r="F380" s="1"/>
      <c r="G380" s="1"/>
      <c r="H380" s="1"/>
      <c r="I380" s="61"/>
      <c r="J380" s="1"/>
      <c r="K380" s="1"/>
    </row>
    <row r="381" spans="1:11" ht="15.75" customHeight="1">
      <c r="A381" s="2"/>
      <c r="B381" s="1"/>
      <c r="C381" s="1"/>
      <c r="D381" s="1"/>
      <c r="E381" s="1"/>
      <c r="F381" s="1"/>
      <c r="G381" s="1"/>
      <c r="H381" s="1"/>
      <c r="I381" s="61"/>
      <c r="J381" s="1"/>
      <c r="K381" s="1"/>
    </row>
    <row r="382" spans="1:11" ht="15.75" customHeight="1">
      <c r="A382" s="2"/>
      <c r="B382" s="1"/>
      <c r="C382" s="1"/>
      <c r="D382" s="1"/>
      <c r="E382" s="1"/>
      <c r="F382" s="1"/>
      <c r="G382" s="1"/>
      <c r="H382" s="1"/>
      <c r="I382" s="61"/>
      <c r="J382" s="1"/>
      <c r="K382" s="1"/>
    </row>
    <row r="383" spans="1:11" ht="15.75" customHeight="1">
      <c r="A383" s="2"/>
      <c r="B383" s="1"/>
      <c r="C383" s="1"/>
      <c r="D383" s="1"/>
      <c r="E383" s="1"/>
      <c r="F383" s="1"/>
      <c r="G383" s="1"/>
      <c r="H383" s="1"/>
      <c r="I383" s="61"/>
      <c r="J383" s="1"/>
      <c r="K383" s="1"/>
    </row>
    <row r="384" spans="1:11" ht="15.75" customHeight="1">
      <c r="A384" s="2"/>
      <c r="B384" s="1"/>
      <c r="C384" s="1"/>
      <c r="D384" s="1"/>
      <c r="E384" s="1"/>
      <c r="F384" s="1"/>
      <c r="G384" s="1"/>
      <c r="H384" s="1"/>
      <c r="I384" s="61"/>
      <c r="J384" s="1"/>
      <c r="K384" s="1"/>
    </row>
    <row r="385" spans="1:11" ht="15.75" customHeight="1">
      <c r="A385" s="2"/>
      <c r="B385" s="1"/>
      <c r="C385" s="1"/>
      <c r="D385" s="1"/>
      <c r="E385" s="1"/>
      <c r="F385" s="1"/>
      <c r="G385" s="1"/>
      <c r="H385" s="1"/>
      <c r="I385" s="61"/>
      <c r="J385" s="1"/>
      <c r="K385" s="1"/>
    </row>
    <row r="386" spans="1:11" ht="15.75" customHeight="1">
      <c r="A386" s="2"/>
      <c r="B386" s="1"/>
      <c r="C386" s="1"/>
      <c r="D386" s="1"/>
      <c r="E386" s="1"/>
      <c r="F386" s="1"/>
      <c r="G386" s="1"/>
      <c r="H386" s="1"/>
      <c r="I386" s="61"/>
      <c r="J386" s="1"/>
      <c r="K386" s="1"/>
    </row>
    <row r="387" spans="1:11" ht="15.75" customHeight="1">
      <c r="A387" s="2"/>
      <c r="B387" s="1"/>
      <c r="C387" s="1"/>
      <c r="D387" s="1"/>
      <c r="E387" s="1"/>
      <c r="F387" s="1"/>
      <c r="G387" s="1"/>
      <c r="H387" s="1"/>
      <c r="I387" s="61"/>
      <c r="J387" s="1"/>
      <c r="K387" s="1"/>
    </row>
    <row r="388" spans="1:11" ht="15.75" customHeight="1">
      <c r="A388" s="2"/>
      <c r="B388" s="1"/>
      <c r="C388" s="1"/>
      <c r="D388" s="1"/>
      <c r="E388" s="1"/>
      <c r="F388" s="1"/>
      <c r="G388" s="1"/>
      <c r="H388" s="1"/>
      <c r="I388" s="61"/>
      <c r="J388" s="1"/>
      <c r="K388" s="1"/>
    </row>
    <row r="389" spans="1:11" ht="15.75" customHeight="1">
      <c r="A389" s="2"/>
      <c r="B389" s="1"/>
      <c r="C389" s="1"/>
      <c r="D389" s="1"/>
      <c r="E389" s="1"/>
      <c r="F389" s="1"/>
      <c r="G389" s="1"/>
      <c r="H389" s="1"/>
      <c r="I389" s="61"/>
      <c r="J389" s="1"/>
      <c r="K389" s="1"/>
    </row>
    <row r="390" spans="1:11" ht="15.75" customHeight="1">
      <c r="A390" s="2"/>
      <c r="B390" s="1"/>
      <c r="C390" s="1"/>
      <c r="D390" s="1"/>
      <c r="E390" s="1"/>
      <c r="F390" s="1"/>
      <c r="G390" s="1"/>
      <c r="H390" s="1"/>
      <c r="I390" s="61"/>
      <c r="J390" s="1"/>
      <c r="K390" s="1"/>
    </row>
    <row r="391" spans="1:11" ht="15.75" customHeight="1">
      <c r="A391" s="2"/>
      <c r="B391" s="1"/>
      <c r="C391" s="1"/>
      <c r="D391" s="1"/>
      <c r="E391" s="1"/>
      <c r="F391" s="1"/>
      <c r="G391" s="1"/>
      <c r="H391" s="1"/>
      <c r="I391" s="61"/>
      <c r="J391" s="1"/>
      <c r="K391" s="1"/>
    </row>
    <row r="392" spans="1:11" ht="15.75" customHeight="1">
      <c r="A392" s="2"/>
      <c r="B392" s="1"/>
      <c r="C392" s="1"/>
      <c r="D392" s="1"/>
      <c r="E392" s="1"/>
      <c r="F392" s="1"/>
      <c r="G392" s="1"/>
      <c r="H392" s="1"/>
      <c r="I392" s="61"/>
      <c r="J392" s="1"/>
      <c r="K392" s="1"/>
    </row>
    <row r="393" spans="1:11" ht="15.75" customHeight="1">
      <c r="A393" s="2"/>
      <c r="B393" s="1"/>
      <c r="C393" s="1"/>
      <c r="D393" s="1"/>
      <c r="E393" s="1"/>
      <c r="F393" s="1"/>
      <c r="G393" s="1"/>
      <c r="H393" s="1"/>
      <c r="I393" s="61"/>
      <c r="J393" s="1"/>
      <c r="K393" s="1"/>
    </row>
    <row r="394" spans="1:11" ht="15.75" customHeight="1">
      <c r="A394" s="2"/>
      <c r="B394" s="1"/>
      <c r="C394" s="1"/>
      <c r="D394" s="1"/>
      <c r="E394" s="1"/>
      <c r="F394" s="1"/>
      <c r="G394" s="1"/>
      <c r="H394" s="1"/>
      <c r="I394" s="61"/>
      <c r="J394" s="1"/>
      <c r="K394" s="1"/>
    </row>
    <row r="395" spans="1:11" ht="15.75" customHeight="1">
      <c r="A395" s="2"/>
      <c r="B395" s="1"/>
      <c r="C395" s="1"/>
      <c r="D395" s="1"/>
      <c r="E395" s="1"/>
      <c r="F395" s="1"/>
      <c r="G395" s="1"/>
      <c r="H395" s="1"/>
      <c r="I395" s="61"/>
      <c r="J395" s="1"/>
      <c r="K395" s="1"/>
    </row>
    <row r="396" spans="1:11" ht="15.75" customHeight="1">
      <c r="A396" s="2"/>
      <c r="B396" s="1"/>
      <c r="C396" s="1"/>
      <c r="D396" s="1"/>
      <c r="E396" s="1"/>
      <c r="F396" s="1"/>
      <c r="G396" s="1"/>
      <c r="H396" s="1"/>
      <c r="I396" s="61"/>
      <c r="J396" s="1"/>
      <c r="K396" s="1"/>
    </row>
    <row r="397" spans="1:11" ht="15.75" customHeight="1">
      <c r="A397" s="2"/>
      <c r="B397" s="1"/>
      <c r="C397" s="1"/>
      <c r="D397" s="1"/>
      <c r="E397" s="1"/>
      <c r="F397" s="1"/>
      <c r="G397" s="1"/>
      <c r="H397" s="1"/>
      <c r="I397" s="61"/>
      <c r="J397" s="1"/>
      <c r="K397" s="1"/>
    </row>
    <row r="398" spans="1:11" ht="15.75" customHeight="1">
      <c r="A398" s="2"/>
      <c r="B398" s="1"/>
      <c r="C398" s="1"/>
      <c r="D398" s="1"/>
      <c r="E398" s="1"/>
      <c r="F398" s="1"/>
      <c r="G398" s="1"/>
      <c r="H398" s="1"/>
      <c r="I398" s="61"/>
      <c r="J398" s="1"/>
      <c r="K398" s="1"/>
    </row>
    <row r="399" spans="1:11" ht="15.75" customHeight="1">
      <c r="A399" s="2"/>
      <c r="B399" s="1"/>
      <c r="C399" s="1"/>
      <c r="D399" s="1"/>
      <c r="E399" s="1"/>
      <c r="F399" s="1"/>
      <c r="G399" s="1"/>
      <c r="H399" s="1"/>
      <c r="I399" s="61"/>
      <c r="J399" s="1"/>
      <c r="K399" s="1"/>
    </row>
    <row r="400" spans="1:11" ht="15.75" customHeight="1">
      <c r="A400" s="2"/>
      <c r="B400" s="1"/>
      <c r="C400" s="1"/>
      <c r="D400" s="1"/>
      <c r="E400" s="1"/>
      <c r="F400" s="1"/>
      <c r="G400" s="1"/>
      <c r="H400" s="1"/>
      <c r="I400" s="61"/>
      <c r="J400" s="1"/>
      <c r="K400" s="1"/>
    </row>
    <row r="401" spans="1:11" ht="15.75" customHeight="1">
      <c r="A401" s="2"/>
      <c r="B401" s="1"/>
      <c r="C401" s="1"/>
      <c r="D401" s="1"/>
      <c r="E401" s="1"/>
      <c r="F401" s="1"/>
      <c r="G401" s="1"/>
      <c r="H401" s="1"/>
      <c r="I401" s="61"/>
      <c r="J401" s="1"/>
      <c r="K401" s="1"/>
    </row>
    <row r="402" spans="1:11" ht="15.75" customHeight="1">
      <c r="A402" s="2"/>
      <c r="B402" s="1"/>
      <c r="C402" s="1"/>
      <c r="D402" s="1"/>
      <c r="E402" s="1"/>
      <c r="F402" s="1"/>
      <c r="G402" s="1"/>
      <c r="H402" s="1"/>
      <c r="I402" s="61"/>
      <c r="J402" s="1"/>
      <c r="K402" s="1"/>
    </row>
    <row r="403" spans="1:11" ht="15.75" customHeight="1">
      <c r="A403" s="2"/>
      <c r="B403" s="1"/>
      <c r="C403" s="1"/>
      <c r="D403" s="1"/>
      <c r="E403" s="1"/>
      <c r="F403" s="1"/>
      <c r="G403" s="1"/>
      <c r="H403" s="1"/>
      <c r="I403" s="61"/>
      <c r="J403" s="1"/>
      <c r="K403" s="1"/>
    </row>
    <row r="404" spans="1:11" ht="15.75" customHeight="1">
      <c r="A404" s="2"/>
      <c r="B404" s="1"/>
      <c r="C404" s="1"/>
      <c r="D404" s="1"/>
      <c r="E404" s="1"/>
      <c r="F404" s="1"/>
      <c r="G404" s="1"/>
      <c r="H404" s="1"/>
      <c r="I404" s="61"/>
      <c r="J404" s="1"/>
      <c r="K404" s="1"/>
    </row>
    <row r="405" spans="1:11" ht="15.75" customHeight="1">
      <c r="A405" s="2"/>
      <c r="B405" s="1"/>
      <c r="C405" s="1"/>
      <c r="D405" s="1"/>
      <c r="E405" s="1"/>
      <c r="F405" s="1"/>
      <c r="G405" s="1"/>
      <c r="H405" s="1"/>
      <c r="I405" s="61"/>
      <c r="J405" s="1"/>
      <c r="K405" s="1"/>
    </row>
    <row r="406" spans="1:11" ht="15.75" customHeight="1">
      <c r="A406" s="2"/>
      <c r="B406" s="1"/>
      <c r="C406" s="1"/>
      <c r="D406" s="1"/>
      <c r="E406" s="1"/>
      <c r="F406" s="1"/>
      <c r="G406" s="1"/>
      <c r="H406" s="1"/>
      <c r="I406" s="61"/>
      <c r="J406" s="1"/>
      <c r="K406" s="1"/>
    </row>
    <row r="407" spans="1:11" ht="15.75" customHeight="1">
      <c r="A407" s="2"/>
      <c r="B407" s="1"/>
      <c r="C407" s="1"/>
      <c r="D407" s="1"/>
      <c r="E407" s="1"/>
      <c r="F407" s="1"/>
      <c r="G407" s="1"/>
      <c r="H407" s="1"/>
      <c r="I407" s="61"/>
      <c r="J407" s="1"/>
      <c r="K407" s="1"/>
    </row>
    <row r="408" spans="1:11" ht="15.75" customHeight="1">
      <c r="A408" s="2"/>
      <c r="B408" s="1"/>
      <c r="C408" s="1"/>
      <c r="D408" s="1"/>
      <c r="E408" s="1"/>
      <c r="F408" s="1"/>
      <c r="G408" s="1"/>
      <c r="H408" s="1"/>
      <c r="I408" s="61"/>
      <c r="J408" s="1"/>
      <c r="K408" s="1"/>
    </row>
    <row r="409" spans="1:11" ht="15.75" customHeight="1">
      <c r="A409" s="2"/>
      <c r="B409" s="1"/>
      <c r="C409" s="1"/>
      <c r="D409" s="1"/>
      <c r="E409" s="1"/>
      <c r="F409" s="1"/>
      <c r="G409" s="1"/>
      <c r="H409" s="1"/>
      <c r="I409" s="61"/>
      <c r="J409" s="1"/>
      <c r="K409" s="1"/>
    </row>
    <row r="410" spans="1:11" ht="15.75" customHeight="1">
      <c r="A410" s="2"/>
      <c r="B410" s="1"/>
      <c r="C410" s="1"/>
      <c r="D410" s="1"/>
      <c r="E410" s="1"/>
      <c r="F410" s="1"/>
      <c r="G410" s="1"/>
      <c r="H410" s="1"/>
      <c r="I410" s="61"/>
      <c r="J410" s="1"/>
      <c r="K410" s="1"/>
    </row>
    <row r="411" spans="1:11" ht="15.75" customHeight="1">
      <c r="A411" s="2"/>
      <c r="B411" s="1"/>
      <c r="C411" s="1"/>
      <c r="D411" s="1"/>
      <c r="E411" s="1"/>
      <c r="F411" s="1"/>
      <c r="G411" s="1"/>
      <c r="H411" s="1"/>
      <c r="I411" s="61"/>
      <c r="J411" s="1"/>
      <c r="K411" s="1"/>
    </row>
    <row r="412" spans="1:11" ht="15.75" customHeight="1">
      <c r="A412" s="2"/>
      <c r="B412" s="1"/>
      <c r="C412" s="1"/>
      <c r="D412" s="1"/>
      <c r="E412" s="1"/>
      <c r="F412" s="1"/>
      <c r="G412" s="1"/>
      <c r="H412" s="1"/>
      <c r="I412" s="61"/>
      <c r="J412" s="1"/>
      <c r="K412" s="1"/>
    </row>
    <row r="413" spans="1:11" ht="15.75" customHeight="1">
      <c r="A413" s="2"/>
      <c r="B413" s="1"/>
      <c r="C413" s="1"/>
      <c r="D413" s="1"/>
      <c r="E413" s="1"/>
      <c r="F413" s="1"/>
      <c r="G413" s="1"/>
      <c r="H413" s="1"/>
      <c r="I413" s="61"/>
      <c r="J413" s="1"/>
      <c r="K413" s="1"/>
    </row>
    <row r="414" spans="1:11" ht="15.75" customHeight="1">
      <c r="A414" s="2"/>
      <c r="B414" s="1"/>
      <c r="C414" s="1"/>
      <c r="D414" s="1"/>
      <c r="E414" s="1"/>
      <c r="F414" s="1"/>
      <c r="G414" s="1"/>
      <c r="H414" s="1"/>
      <c r="I414" s="61"/>
      <c r="J414" s="1"/>
      <c r="K414" s="1"/>
    </row>
    <row r="415" spans="1:11" ht="15.75" customHeight="1">
      <c r="A415" s="2"/>
      <c r="B415" s="1"/>
      <c r="C415" s="1"/>
      <c r="D415" s="1"/>
      <c r="E415" s="1"/>
      <c r="F415" s="1"/>
      <c r="G415" s="1"/>
      <c r="H415" s="1"/>
      <c r="I415" s="61"/>
      <c r="J415" s="1"/>
      <c r="K415" s="1"/>
    </row>
    <row r="416" spans="1:11" ht="15.75" customHeight="1">
      <c r="A416" s="2"/>
      <c r="B416" s="1"/>
      <c r="C416" s="1"/>
      <c r="D416" s="1"/>
      <c r="E416" s="1"/>
      <c r="F416" s="1"/>
      <c r="G416" s="1"/>
      <c r="H416" s="1"/>
      <c r="I416" s="61"/>
      <c r="J416" s="1"/>
      <c r="K416" s="1"/>
    </row>
    <row r="417" spans="1:11" ht="15.75" customHeight="1">
      <c r="A417" s="2"/>
      <c r="B417" s="1"/>
      <c r="C417" s="1"/>
      <c r="D417" s="1"/>
      <c r="E417" s="1"/>
      <c r="F417" s="1"/>
      <c r="G417" s="1"/>
      <c r="H417" s="1"/>
      <c r="I417" s="61"/>
      <c r="J417" s="1"/>
      <c r="K417" s="1"/>
    </row>
    <row r="418" spans="1:11" ht="15.75" customHeight="1">
      <c r="A418" s="2"/>
      <c r="B418" s="1"/>
      <c r="C418" s="1"/>
      <c r="D418" s="1"/>
      <c r="E418" s="1"/>
      <c r="F418" s="1"/>
      <c r="G418" s="1"/>
      <c r="H418" s="1"/>
      <c r="I418" s="61"/>
      <c r="J418" s="1"/>
      <c r="K418" s="1"/>
    </row>
    <row r="419" spans="1:11" ht="15.75" customHeight="1">
      <c r="A419" s="2"/>
      <c r="B419" s="1"/>
      <c r="C419" s="1"/>
      <c r="D419" s="1"/>
      <c r="E419" s="1"/>
      <c r="F419" s="1"/>
      <c r="G419" s="1"/>
      <c r="H419" s="1"/>
      <c r="I419" s="61"/>
      <c r="J419" s="1"/>
      <c r="K419" s="1"/>
    </row>
    <row r="420" spans="1:11" ht="15.75" customHeight="1">
      <c r="A420" s="2"/>
      <c r="B420" s="1"/>
      <c r="C420" s="1"/>
      <c r="D420" s="1"/>
      <c r="E420" s="1"/>
      <c r="F420" s="1"/>
      <c r="G420" s="1"/>
      <c r="H420" s="1"/>
      <c r="I420" s="61"/>
      <c r="J420" s="1"/>
      <c r="K420" s="1"/>
    </row>
    <row r="421" spans="1:11" ht="15.75" customHeight="1">
      <c r="A421" s="2"/>
      <c r="B421" s="1"/>
      <c r="C421" s="1"/>
      <c r="D421" s="1"/>
      <c r="E421" s="1"/>
      <c r="F421" s="1"/>
      <c r="G421" s="1"/>
      <c r="H421" s="1"/>
      <c r="I421" s="61"/>
      <c r="J421" s="1"/>
      <c r="K421" s="1"/>
    </row>
    <row r="422" spans="1:11" ht="15.75" customHeight="1">
      <c r="A422" s="2"/>
      <c r="B422" s="1"/>
      <c r="C422" s="1"/>
      <c r="D422" s="1"/>
      <c r="E422" s="1"/>
      <c r="F422" s="1"/>
      <c r="G422" s="1"/>
      <c r="H422" s="1"/>
      <c r="I422" s="61"/>
      <c r="J422" s="1"/>
      <c r="K422" s="1"/>
    </row>
    <row r="423" spans="1:11" ht="15.75" customHeight="1">
      <c r="A423" s="2"/>
      <c r="B423" s="1"/>
      <c r="C423" s="1"/>
      <c r="D423" s="1"/>
      <c r="E423" s="1"/>
      <c r="F423" s="1"/>
      <c r="G423" s="1"/>
      <c r="H423" s="1"/>
      <c r="I423" s="61"/>
      <c r="J423" s="1"/>
      <c r="K423" s="1"/>
    </row>
    <row r="424" spans="1:11" ht="15.75" customHeight="1">
      <c r="A424" s="2"/>
      <c r="B424" s="1"/>
      <c r="C424" s="1"/>
      <c r="D424" s="1"/>
      <c r="E424" s="1"/>
      <c r="F424" s="1"/>
      <c r="G424" s="1"/>
      <c r="H424" s="1"/>
      <c r="I424" s="61"/>
      <c r="J424" s="1"/>
      <c r="K424" s="1"/>
    </row>
    <row r="425" spans="1:11" ht="15.75" customHeight="1">
      <c r="A425" s="2"/>
      <c r="B425" s="1"/>
      <c r="C425" s="1"/>
      <c r="D425" s="1"/>
      <c r="E425" s="1"/>
      <c r="F425" s="1"/>
      <c r="G425" s="1"/>
      <c r="H425" s="1"/>
      <c r="I425" s="61"/>
      <c r="J425" s="1"/>
      <c r="K425" s="1"/>
    </row>
    <row r="426" spans="1:11" ht="15.75" customHeight="1">
      <c r="A426" s="2"/>
      <c r="B426" s="1"/>
      <c r="C426" s="1"/>
      <c r="D426" s="1"/>
      <c r="E426" s="1"/>
      <c r="F426" s="1"/>
      <c r="G426" s="1"/>
      <c r="H426" s="1"/>
      <c r="I426" s="61"/>
      <c r="J426" s="1"/>
      <c r="K426" s="1"/>
    </row>
    <row r="427" spans="1:11" ht="15.75" customHeight="1">
      <c r="A427" s="2"/>
      <c r="B427" s="1"/>
      <c r="C427" s="1"/>
      <c r="D427" s="1"/>
      <c r="E427" s="1"/>
      <c r="F427" s="1"/>
      <c r="G427" s="1"/>
      <c r="H427" s="1"/>
      <c r="I427" s="61"/>
      <c r="J427" s="1"/>
      <c r="K427" s="1"/>
    </row>
    <row r="428" spans="1:11" ht="15.75" customHeight="1">
      <c r="A428" s="2"/>
      <c r="B428" s="1"/>
      <c r="C428" s="1"/>
      <c r="D428" s="1"/>
      <c r="E428" s="1"/>
      <c r="F428" s="1"/>
      <c r="G428" s="1"/>
      <c r="H428" s="1"/>
      <c r="I428" s="61"/>
      <c r="J428" s="1"/>
      <c r="K428" s="1"/>
    </row>
    <row r="429" spans="1:11" ht="15.75" customHeight="1">
      <c r="A429" s="2"/>
      <c r="B429" s="1"/>
      <c r="C429" s="1"/>
      <c r="D429" s="1"/>
      <c r="E429" s="1"/>
      <c r="F429" s="1"/>
      <c r="G429" s="1"/>
      <c r="H429" s="1"/>
      <c r="I429" s="61"/>
      <c r="J429" s="1"/>
      <c r="K429" s="1"/>
    </row>
    <row r="430" spans="1:11" ht="15.75" customHeight="1">
      <c r="A430" s="2"/>
      <c r="B430" s="1"/>
      <c r="C430" s="1"/>
      <c r="D430" s="1"/>
      <c r="E430" s="1"/>
      <c r="F430" s="1"/>
      <c r="G430" s="1"/>
      <c r="H430" s="1"/>
      <c r="I430" s="61"/>
      <c r="J430" s="1"/>
      <c r="K430" s="1"/>
    </row>
    <row r="431" spans="1:11" ht="15.75" customHeight="1">
      <c r="A431" s="2"/>
      <c r="B431" s="1"/>
      <c r="C431" s="1"/>
      <c r="D431" s="1"/>
      <c r="E431" s="1"/>
      <c r="F431" s="1"/>
      <c r="G431" s="1"/>
      <c r="H431" s="1"/>
      <c r="I431" s="61"/>
      <c r="J431" s="1"/>
      <c r="K431" s="1"/>
    </row>
    <row r="432" spans="1:11" ht="15.75" customHeight="1">
      <c r="A432" s="2"/>
      <c r="B432" s="1"/>
      <c r="C432" s="1"/>
      <c r="D432" s="1"/>
      <c r="E432" s="1"/>
      <c r="F432" s="1"/>
      <c r="G432" s="1"/>
      <c r="H432" s="1"/>
      <c r="I432" s="61"/>
      <c r="J432" s="1"/>
      <c r="K432" s="1"/>
    </row>
    <row r="433" spans="1:11" ht="15.75" customHeight="1">
      <c r="A433" s="2"/>
      <c r="B433" s="1"/>
      <c r="C433" s="1"/>
      <c r="D433" s="1"/>
      <c r="E433" s="1"/>
      <c r="F433" s="1"/>
      <c r="G433" s="1"/>
      <c r="H433" s="1"/>
      <c r="I433" s="61"/>
      <c r="J433" s="1"/>
      <c r="K433" s="1"/>
    </row>
    <row r="434" spans="1:11" ht="15.75" customHeight="1">
      <c r="A434" s="2"/>
      <c r="B434" s="1"/>
      <c r="C434" s="1"/>
      <c r="D434" s="1"/>
      <c r="E434" s="1"/>
      <c r="F434" s="1"/>
      <c r="G434" s="1"/>
      <c r="H434" s="1"/>
      <c r="I434" s="61"/>
      <c r="J434" s="1"/>
      <c r="K434" s="1"/>
    </row>
    <row r="435" spans="1:11" ht="15.75" customHeight="1">
      <c r="A435" s="2"/>
      <c r="B435" s="1"/>
      <c r="C435" s="1"/>
      <c r="D435" s="1"/>
      <c r="E435" s="1"/>
      <c r="F435" s="1"/>
      <c r="G435" s="1"/>
      <c r="H435" s="1"/>
      <c r="I435" s="61"/>
      <c r="J435" s="1"/>
      <c r="K435" s="1"/>
    </row>
    <row r="436" spans="1:11" ht="15.75" customHeight="1">
      <c r="A436" s="2"/>
      <c r="B436" s="1"/>
      <c r="C436" s="1"/>
      <c r="D436" s="1"/>
      <c r="E436" s="1"/>
      <c r="F436" s="1"/>
      <c r="G436" s="1"/>
      <c r="H436" s="1"/>
      <c r="I436" s="61"/>
      <c r="J436" s="1"/>
      <c r="K436" s="1"/>
    </row>
    <row r="437" spans="1:11" ht="15.75" customHeight="1">
      <c r="A437" s="2"/>
      <c r="B437" s="1"/>
      <c r="C437" s="1"/>
      <c r="D437" s="1"/>
      <c r="E437" s="1"/>
      <c r="F437" s="1"/>
      <c r="G437" s="1"/>
      <c r="H437" s="1"/>
      <c r="I437" s="61"/>
      <c r="J437" s="1"/>
      <c r="K437" s="1"/>
    </row>
    <row r="438" spans="1:11" ht="15.75" customHeight="1">
      <c r="A438" s="2"/>
      <c r="B438" s="1"/>
      <c r="C438" s="1"/>
      <c r="D438" s="1"/>
      <c r="E438" s="1"/>
      <c r="F438" s="1"/>
      <c r="G438" s="1"/>
      <c r="H438" s="1"/>
      <c r="I438" s="61"/>
      <c r="J438" s="1"/>
      <c r="K438" s="1"/>
    </row>
    <row r="439" spans="1:11" ht="15.75" customHeight="1">
      <c r="A439" s="2"/>
      <c r="B439" s="1"/>
      <c r="C439" s="1"/>
      <c r="D439" s="1"/>
      <c r="E439" s="1"/>
      <c r="F439" s="1"/>
      <c r="G439" s="1"/>
      <c r="H439" s="1"/>
      <c r="I439" s="61"/>
      <c r="J439" s="1"/>
      <c r="K439" s="1"/>
    </row>
    <row r="440" spans="1:11" ht="15.75" customHeight="1">
      <c r="A440" s="2"/>
      <c r="B440" s="1"/>
      <c r="C440" s="1"/>
      <c r="D440" s="1"/>
      <c r="E440" s="1"/>
      <c r="F440" s="1"/>
      <c r="G440" s="1"/>
      <c r="H440" s="1"/>
      <c r="I440" s="61"/>
      <c r="J440" s="1"/>
      <c r="K440" s="1"/>
    </row>
    <row r="441" spans="1:11" ht="15.75" customHeight="1">
      <c r="A441" s="2"/>
      <c r="B441" s="1"/>
      <c r="C441" s="1"/>
      <c r="D441" s="1"/>
      <c r="E441" s="1"/>
      <c r="F441" s="1"/>
      <c r="G441" s="1"/>
      <c r="H441" s="1"/>
      <c r="I441" s="61"/>
      <c r="J441" s="1"/>
      <c r="K441" s="1"/>
    </row>
    <row r="442" spans="1:11" ht="15.75" customHeight="1">
      <c r="A442" s="2"/>
      <c r="B442" s="1"/>
      <c r="C442" s="1"/>
      <c r="D442" s="1"/>
      <c r="E442" s="1"/>
      <c r="F442" s="1"/>
      <c r="G442" s="1"/>
      <c r="H442" s="1"/>
      <c r="I442" s="61"/>
      <c r="J442" s="1"/>
      <c r="K442" s="1"/>
    </row>
    <row r="443" spans="1:11" ht="15.75" customHeight="1">
      <c r="A443" s="2"/>
      <c r="B443" s="1"/>
      <c r="C443" s="1"/>
      <c r="D443" s="1"/>
      <c r="E443" s="1"/>
      <c r="F443" s="1"/>
      <c r="G443" s="1"/>
      <c r="H443" s="1"/>
      <c r="I443" s="61"/>
      <c r="J443" s="1"/>
      <c r="K443" s="1"/>
    </row>
    <row r="444" spans="1:11" ht="15.75" customHeight="1">
      <c r="A444" s="2"/>
      <c r="B444" s="1"/>
      <c r="C444" s="1"/>
      <c r="D444" s="1"/>
      <c r="E444" s="1"/>
      <c r="F444" s="1"/>
      <c r="G444" s="1"/>
      <c r="H444" s="1"/>
      <c r="I444" s="61"/>
      <c r="J444" s="1"/>
      <c r="K444" s="1"/>
    </row>
    <row r="445" spans="1:11" ht="15.75" customHeight="1">
      <c r="A445" s="2"/>
      <c r="B445" s="1"/>
      <c r="C445" s="1"/>
      <c r="D445" s="1"/>
      <c r="E445" s="1"/>
      <c r="F445" s="1"/>
      <c r="G445" s="1"/>
      <c r="H445" s="1"/>
      <c r="I445" s="61"/>
      <c r="J445" s="1"/>
      <c r="K445" s="1"/>
    </row>
    <row r="446" spans="1:11" ht="15.75" customHeight="1">
      <c r="A446" s="2"/>
      <c r="B446" s="1"/>
      <c r="C446" s="1"/>
      <c r="D446" s="1"/>
      <c r="E446" s="1"/>
      <c r="F446" s="1"/>
      <c r="G446" s="1"/>
      <c r="H446" s="1"/>
      <c r="I446" s="61"/>
      <c r="J446" s="1"/>
      <c r="K446" s="1"/>
    </row>
    <row r="447" spans="1:11" ht="15.75" customHeight="1">
      <c r="A447" s="2"/>
      <c r="B447" s="1"/>
      <c r="C447" s="1"/>
      <c r="D447" s="1"/>
      <c r="E447" s="1"/>
      <c r="F447" s="1"/>
      <c r="G447" s="1"/>
      <c r="H447" s="1"/>
      <c r="I447" s="61"/>
      <c r="J447" s="1"/>
      <c r="K447" s="1"/>
    </row>
    <row r="448" spans="1:11" ht="15.75" customHeight="1">
      <c r="A448" s="2"/>
      <c r="B448" s="1"/>
      <c r="C448" s="1"/>
      <c r="D448" s="1"/>
      <c r="E448" s="1"/>
      <c r="F448" s="1"/>
      <c r="G448" s="1"/>
      <c r="H448" s="1"/>
      <c r="I448" s="61"/>
      <c r="J448" s="1"/>
      <c r="K448" s="1"/>
    </row>
    <row r="449" spans="1:11" ht="15.75" customHeight="1">
      <c r="A449" s="2"/>
      <c r="B449" s="1"/>
      <c r="C449" s="1"/>
      <c r="D449" s="1"/>
      <c r="E449" s="1"/>
      <c r="F449" s="1"/>
      <c r="G449" s="1"/>
      <c r="H449" s="1"/>
      <c r="I449" s="61"/>
      <c r="J449" s="1"/>
      <c r="K449" s="1"/>
    </row>
    <row r="450" spans="1:11" ht="15.75" customHeight="1">
      <c r="A450" s="2"/>
      <c r="B450" s="1"/>
      <c r="C450" s="1"/>
      <c r="D450" s="1"/>
      <c r="E450" s="1"/>
      <c r="F450" s="1"/>
      <c r="G450" s="1"/>
      <c r="H450" s="1"/>
      <c r="I450" s="61"/>
      <c r="J450" s="1"/>
      <c r="K450" s="1"/>
    </row>
    <row r="451" spans="1:11" ht="15.75" customHeight="1">
      <c r="A451" s="2"/>
      <c r="B451" s="1"/>
      <c r="C451" s="1"/>
      <c r="D451" s="1"/>
      <c r="E451" s="1"/>
      <c r="F451" s="1"/>
      <c r="G451" s="1"/>
      <c r="H451" s="1"/>
      <c r="I451" s="61"/>
      <c r="J451" s="1"/>
      <c r="K451" s="1"/>
    </row>
    <row r="452" spans="1:11" ht="15.75" customHeight="1">
      <c r="A452" s="2"/>
      <c r="B452" s="1"/>
      <c r="C452" s="1"/>
      <c r="D452" s="1"/>
      <c r="E452" s="1"/>
      <c r="F452" s="1"/>
      <c r="G452" s="1"/>
      <c r="H452" s="1"/>
      <c r="I452" s="61"/>
      <c r="J452" s="1"/>
      <c r="K452" s="1"/>
    </row>
    <row r="453" spans="1:11" ht="15.75" customHeight="1">
      <c r="A453" s="2"/>
      <c r="B453" s="1"/>
      <c r="C453" s="1"/>
      <c r="D453" s="1"/>
      <c r="E453" s="1"/>
      <c r="F453" s="1"/>
      <c r="G453" s="1"/>
      <c r="H453" s="1"/>
      <c r="I453" s="61"/>
      <c r="J453" s="1"/>
      <c r="K453" s="1"/>
    </row>
    <row r="454" spans="1:11" ht="15.75" customHeight="1">
      <c r="A454" s="2"/>
      <c r="B454" s="1"/>
      <c r="C454" s="1"/>
      <c r="D454" s="1"/>
      <c r="E454" s="1"/>
      <c r="F454" s="1"/>
      <c r="G454" s="1"/>
      <c r="H454" s="1"/>
      <c r="I454" s="61"/>
      <c r="J454" s="1"/>
      <c r="K454" s="1"/>
    </row>
    <row r="455" spans="1:11" ht="15.75" customHeight="1">
      <c r="A455" s="2"/>
      <c r="B455" s="1"/>
      <c r="C455" s="1"/>
      <c r="D455" s="1"/>
      <c r="E455" s="1"/>
      <c r="F455" s="1"/>
      <c r="G455" s="1"/>
      <c r="H455" s="1"/>
      <c r="I455" s="61"/>
      <c r="J455" s="1"/>
      <c r="K455" s="1"/>
    </row>
    <row r="456" spans="1:11" ht="15.75" customHeight="1">
      <c r="A456" s="2"/>
      <c r="B456" s="1"/>
      <c r="C456" s="1"/>
      <c r="D456" s="1"/>
      <c r="E456" s="1"/>
      <c r="F456" s="1"/>
      <c r="G456" s="1"/>
      <c r="H456" s="1"/>
      <c r="I456" s="61"/>
      <c r="J456" s="1"/>
      <c r="K456" s="1"/>
    </row>
    <row r="457" spans="1:11" ht="15.75" customHeight="1">
      <c r="A457" s="2"/>
      <c r="B457" s="1"/>
      <c r="C457" s="1"/>
      <c r="D457" s="1"/>
      <c r="E457" s="1"/>
      <c r="F457" s="1"/>
      <c r="G457" s="1"/>
      <c r="H457" s="1"/>
      <c r="I457" s="61"/>
      <c r="J457" s="1"/>
      <c r="K457" s="1"/>
    </row>
    <row r="458" spans="1:11" ht="15.75" customHeight="1">
      <c r="A458" s="2"/>
      <c r="B458" s="1"/>
      <c r="C458" s="1"/>
      <c r="D458" s="1"/>
      <c r="E458" s="1"/>
      <c r="F458" s="1"/>
      <c r="G458" s="1"/>
      <c r="H458" s="1"/>
      <c r="I458" s="61"/>
      <c r="J458" s="1"/>
      <c r="K458" s="1"/>
    </row>
    <row r="459" spans="1:11" ht="15.75" customHeight="1">
      <c r="A459" s="2"/>
      <c r="B459" s="1"/>
      <c r="C459" s="1"/>
      <c r="D459" s="1"/>
      <c r="E459" s="1"/>
      <c r="F459" s="1"/>
      <c r="G459" s="1"/>
      <c r="H459" s="1"/>
      <c r="I459" s="61"/>
      <c r="J459" s="1"/>
      <c r="K459" s="1"/>
    </row>
    <row r="460" spans="1:11" ht="15.75" customHeight="1">
      <c r="A460" s="2"/>
      <c r="B460" s="1"/>
      <c r="C460" s="1"/>
      <c r="D460" s="1"/>
      <c r="E460" s="1"/>
      <c r="F460" s="1"/>
      <c r="G460" s="1"/>
      <c r="H460" s="1"/>
      <c r="I460" s="61"/>
      <c r="J460" s="1"/>
      <c r="K460" s="1"/>
    </row>
    <row r="461" spans="1:11" ht="15.75" customHeight="1">
      <c r="A461" s="2"/>
      <c r="B461" s="1"/>
      <c r="C461" s="1"/>
      <c r="D461" s="1"/>
      <c r="E461" s="1"/>
      <c r="F461" s="1"/>
      <c r="G461" s="1"/>
      <c r="H461" s="1"/>
      <c r="I461" s="61"/>
      <c r="J461" s="1"/>
      <c r="K461" s="1"/>
    </row>
    <row r="462" spans="1:11" ht="15.75" customHeight="1">
      <c r="A462" s="2"/>
      <c r="B462" s="1"/>
      <c r="C462" s="1"/>
      <c r="D462" s="1"/>
      <c r="E462" s="1"/>
      <c r="F462" s="1"/>
      <c r="G462" s="1"/>
      <c r="H462" s="1"/>
      <c r="I462" s="61"/>
      <c r="J462" s="1"/>
      <c r="K462" s="1"/>
    </row>
    <row r="463" spans="1:11" ht="15.75" customHeight="1">
      <c r="A463" s="2"/>
      <c r="B463" s="1"/>
      <c r="C463" s="1"/>
      <c r="D463" s="1"/>
      <c r="E463" s="1"/>
      <c r="F463" s="1"/>
      <c r="G463" s="1"/>
      <c r="H463" s="1"/>
      <c r="I463" s="61"/>
      <c r="J463" s="1"/>
      <c r="K463" s="1"/>
    </row>
    <row r="464" spans="1:11" ht="15.75" customHeight="1">
      <c r="A464" s="2"/>
      <c r="B464" s="1"/>
      <c r="C464" s="1"/>
      <c r="D464" s="1"/>
      <c r="E464" s="1"/>
      <c r="F464" s="1"/>
      <c r="G464" s="1"/>
      <c r="H464" s="1"/>
      <c r="I464" s="61"/>
      <c r="J464" s="1"/>
      <c r="K464" s="1"/>
    </row>
    <row r="465" spans="1:11" ht="15.75" customHeight="1">
      <c r="A465" s="2"/>
      <c r="B465" s="1"/>
      <c r="C465" s="1"/>
      <c r="D465" s="1"/>
      <c r="E465" s="1"/>
      <c r="F465" s="1"/>
      <c r="G465" s="1"/>
      <c r="H465" s="1"/>
      <c r="I465" s="61"/>
      <c r="J465" s="1"/>
      <c r="K465" s="1"/>
    </row>
    <row r="466" spans="1:11" ht="15.75" customHeight="1">
      <c r="A466" s="2"/>
      <c r="B466" s="1"/>
      <c r="C466" s="1"/>
      <c r="D466" s="1"/>
      <c r="E466" s="1"/>
      <c r="F466" s="1"/>
      <c r="G466" s="1"/>
      <c r="H466" s="1"/>
      <c r="I466" s="61"/>
      <c r="J466" s="1"/>
      <c r="K466" s="1"/>
    </row>
    <row r="467" spans="1:11" ht="15.75" customHeight="1">
      <c r="A467" s="2"/>
      <c r="B467" s="1"/>
      <c r="C467" s="1"/>
      <c r="D467" s="1"/>
      <c r="E467" s="1"/>
      <c r="F467" s="1"/>
      <c r="G467" s="1"/>
      <c r="H467" s="1"/>
      <c r="I467" s="61"/>
      <c r="J467" s="1"/>
      <c r="K467" s="1"/>
    </row>
    <row r="468" spans="1:11" ht="15.75" customHeight="1">
      <c r="A468" s="2"/>
      <c r="B468" s="1"/>
      <c r="C468" s="1"/>
      <c r="D468" s="1"/>
      <c r="E468" s="1"/>
      <c r="F468" s="1"/>
      <c r="G468" s="1"/>
      <c r="H468" s="1"/>
      <c r="I468" s="61"/>
      <c r="J468" s="1"/>
      <c r="K468" s="1"/>
    </row>
    <row r="469" spans="1:11" ht="15.75" customHeight="1">
      <c r="A469" s="2"/>
      <c r="B469" s="1"/>
      <c r="C469" s="1"/>
      <c r="D469" s="1"/>
      <c r="E469" s="1"/>
      <c r="F469" s="1"/>
      <c r="G469" s="1"/>
      <c r="H469" s="1"/>
      <c r="I469" s="61"/>
      <c r="J469" s="1"/>
      <c r="K469" s="1"/>
    </row>
    <row r="470" spans="1:11" ht="15.75" customHeight="1">
      <c r="A470" s="2"/>
      <c r="B470" s="1"/>
      <c r="C470" s="1"/>
      <c r="D470" s="1"/>
      <c r="E470" s="1"/>
      <c r="F470" s="1"/>
      <c r="G470" s="1"/>
      <c r="H470" s="1"/>
      <c r="I470" s="61"/>
      <c r="J470" s="1"/>
      <c r="K470" s="1"/>
    </row>
    <row r="471" spans="1:11" ht="15.75" customHeight="1">
      <c r="A471" s="2"/>
      <c r="B471" s="1"/>
      <c r="C471" s="1"/>
      <c r="D471" s="1"/>
      <c r="E471" s="1"/>
      <c r="F471" s="1"/>
      <c r="G471" s="1"/>
      <c r="H471" s="1"/>
      <c r="I471" s="61"/>
      <c r="J471" s="1"/>
      <c r="K471" s="1"/>
    </row>
    <row r="472" spans="1:11" ht="15.75" customHeight="1">
      <c r="A472" s="2"/>
      <c r="B472" s="1"/>
      <c r="C472" s="1"/>
      <c r="D472" s="1"/>
      <c r="E472" s="1"/>
      <c r="F472" s="1"/>
      <c r="G472" s="1"/>
      <c r="H472" s="1"/>
      <c r="I472" s="61"/>
      <c r="J472" s="1"/>
      <c r="K472" s="1"/>
    </row>
    <row r="473" spans="1:11" ht="15.75" customHeight="1">
      <c r="A473" s="2"/>
      <c r="B473" s="1"/>
      <c r="C473" s="1"/>
      <c r="D473" s="1"/>
      <c r="E473" s="1"/>
      <c r="F473" s="1"/>
      <c r="G473" s="1"/>
      <c r="H473" s="1"/>
      <c r="I473" s="61"/>
      <c r="J473" s="1"/>
      <c r="K473" s="1"/>
    </row>
    <row r="474" spans="1:11" ht="15.75" customHeight="1">
      <c r="A474" s="2"/>
      <c r="B474" s="1"/>
      <c r="C474" s="1"/>
      <c r="D474" s="1"/>
      <c r="E474" s="1"/>
      <c r="F474" s="1"/>
      <c r="G474" s="1"/>
      <c r="H474" s="1"/>
      <c r="I474" s="61"/>
      <c r="J474" s="1"/>
      <c r="K474" s="1"/>
    </row>
    <row r="475" spans="1:11" ht="15.75" customHeight="1">
      <c r="A475" s="2"/>
      <c r="B475" s="1"/>
      <c r="C475" s="1"/>
      <c r="D475" s="1"/>
      <c r="E475" s="1"/>
      <c r="F475" s="1"/>
      <c r="G475" s="1"/>
      <c r="H475" s="1"/>
      <c r="I475" s="61"/>
      <c r="J475" s="1"/>
      <c r="K475" s="1"/>
    </row>
    <row r="476" spans="1:11" ht="15.75" customHeight="1">
      <c r="A476" s="2"/>
      <c r="B476" s="1"/>
      <c r="C476" s="1"/>
      <c r="D476" s="1"/>
      <c r="E476" s="1"/>
      <c r="F476" s="1"/>
      <c r="G476" s="1"/>
      <c r="H476" s="1"/>
      <c r="I476" s="61"/>
      <c r="J476" s="1"/>
      <c r="K476" s="1"/>
    </row>
    <row r="477" spans="1:11" ht="15.75" customHeight="1">
      <c r="A477" s="2"/>
      <c r="B477" s="1"/>
      <c r="C477" s="1"/>
      <c r="D477" s="1"/>
      <c r="E477" s="1"/>
      <c r="F477" s="1"/>
      <c r="G477" s="1"/>
      <c r="H477" s="1"/>
      <c r="I477" s="61"/>
      <c r="J477" s="1"/>
      <c r="K477" s="1"/>
    </row>
    <row r="478" spans="1:11" ht="15.75" customHeight="1">
      <c r="A478" s="2"/>
      <c r="B478" s="1"/>
      <c r="C478" s="1"/>
      <c r="D478" s="1"/>
      <c r="E478" s="1"/>
      <c r="F478" s="1"/>
      <c r="G478" s="1"/>
      <c r="H478" s="1"/>
      <c r="I478" s="61"/>
      <c r="J478" s="1"/>
      <c r="K478" s="1"/>
    </row>
    <row r="479" spans="1:11" ht="15.75" customHeight="1">
      <c r="A479" s="2"/>
      <c r="B479" s="1"/>
      <c r="C479" s="1"/>
      <c r="D479" s="1"/>
      <c r="E479" s="1"/>
      <c r="F479" s="1"/>
      <c r="G479" s="1"/>
      <c r="H479" s="1"/>
      <c r="I479" s="61"/>
      <c r="J479" s="1"/>
      <c r="K479" s="1"/>
    </row>
    <row r="480" spans="1:11" ht="15.75" customHeight="1">
      <c r="A480" s="2"/>
      <c r="B480" s="1"/>
      <c r="C480" s="1"/>
      <c r="D480" s="1"/>
      <c r="E480" s="1"/>
      <c r="F480" s="1"/>
      <c r="G480" s="1"/>
      <c r="H480" s="1"/>
      <c r="I480" s="61"/>
      <c r="J480" s="1"/>
      <c r="K480" s="1"/>
    </row>
    <row r="481" spans="1:11" ht="15.75" customHeight="1">
      <c r="A481" s="2"/>
      <c r="B481" s="1"/>
      <c r="C481" s="1"/>
      <c r="D481" s="1"/>
      <c r="E481" s="1"/>
      <c r="F481" s="1"/>
      <c r="G481" s="1"/>
      <c r="H481" s="1"/>
      <c r="I481" s="61"/>
      <c r="J481" s="1"/>
      <c r="K481" s="1"/>
    </row>
    <row r="482" spans="1:11" ht="15.75" customHeight="1">
      <c r="A482" s="2"/>
      <c r="B482" s="1"/>
      <c r="C482" s="1"/>
      <c r="D482" s="1"/>
      <c r="E482" s="1"/>
      <c r="F482" s="1"/>
      <c r="G482" s="1"/>
      <c r="H482" s="1"/>
      <c r="I482" s="61"/>
      <c r="J482" s="1"/>
      <c r="K482" s="1"/>
    </row>
    <row r="483" spans="1:11" ht="15.75" customHeight="1">
      <c r="A483" s="2"/>
      <c r="B483" s="1"/>
      <c r="C483" s="1"/>
      <c r="D483" s="1"/>
      <c r="E483" s="1"/>
      <c r="F483" s="1"/>
      <c r="G483" s="1"/>
      <c r="H483" s="1"/>
      <c r="I483" s="61"/>
      <c r="J483" s="1"/>
      <c r="K483" s="1"/>
    </row>
    <row r="484" spans="1:11" ht="15.75" customHeight="1">
      <c r="A484" s="2"/>
      <c r="B484" s="1"/>
      <c r="C484" s="1"/>
      <c r="D484" s="1"/>
      <c r="E484" s="1"/>
      <c r="F484" s="1"/>
      <c r="G484" s="1"/>
      <c r="H484" s="1"/>
      <c r="I484" s="61"/>
      <c r="J484" s="1"/>
      <c r="K484" s="1"/>
    </row>
    <row r="485" spans="1:11" ht="15.75" customHeight="1">
      <c r="A485" s="2"/>
      <c r="B485" s="1"/>
      <c r="C485" s="1"/>
      <c r="D485" s="1"/>
      <c r="E485" s="1"/>
      <c r="F485" s="1"/>
      <c r="G485" s="1"/>
      <c r="H485" s="1"/>
      <c r="I485" s="61"/>
      <c r="J485" s="1"/>
      <c r="K485" s="1"/>
    </row>
    <row r="486" spans="1:11" ht="15.75" customHeight="1">
      <c r="A486" s="2"/>
      <c r="B486" s="1"/>
      <c r="C486" s="1"/>
      <c r="D486" s="1"/>
      <c r="E486" s="1"/>
      <c r="F486" s="1"/>
      <c r="G486" s="1"/>
      <c r="H486" s="1"/>
      <c r="I486" s="61"/>
      <c r="J486" s="1"/>
      <c r="K486" s="1"/>
    </row>
    <row r="487" spans="1:11" ht="15.75" customHeight="1">
      <c r="A487" s="2"/>
      <c r="B487" s="1"/>
      <c r="C487" s="1"/>
      <c r="D487" s="1"/>
      <c r="E487" s="1"/>
      <c r="F487" s="1"/>
      <c r="G487" s="1"/>
      <c r="H487" s="1"/>
      <c r="I487" s="61"/>
      <c r="J487" s="1"/>
      <c r="K487" s="1"/>
    </row>
    <row r="488" spans="1:11" ht="15.75" customHeight="1">
      <c r="A488" s="2"/>
      <c r="B488" s="1"/>
      <c r="C488" s="1"/>
      <c r="D488" s="1"/>
      <c r="E488" s="1"/>
      <c r="F488" s="1"/>
      <c r="G488" s="1"/>
      <c r="H488" s="1"/>
      <c r="I488" s="61"/>
      <c r="J488" s="1"/>
      <c r="K488" s="1"/>
    </row>
    <row r="489" spans="1:11" ht="15.75" customHeight="1">
      <c r="A489" s="2"/>
      <c r="B489" s="1"/>
      <c r="C489" s="1"/>
      <c r="D489" s="1"/>
      <c r="E489" s="1"/>
      <c r="F489" s="1"/>
      <c r="G489" s="1"/>
      <c r="H489" s="1"/>
      <c r="I489" s="61"/>
      <c r="J489" s="1"/>
      <c r="K489" s="1"/>
    </row>
    <row r="490" spans="1:11" ht="15.75" customHeight="1">
      <c r="A490" s="2"/>
      <c r="B490" s="1"/>
      <c r="C490" s="1"/>
      <c r="D490" s="1"/>
      <c r="E490" s="1"/>
      <c r="F490" s="1"/>
      <c r="G490" s="1"/>
      <c r="H490" s="1"/>
      <c r="I490" s="61"/>
      <c r="J490" s="1"/>
      <c r="K490" s="1"/>
    </row>
    <row r="491" spans="1:11" ht="15.75" customHeight="1">
      <c r="A491" s="2"/>
      <c r="B491" s="1"/>
      <c r="C491" s="1"/>
      <c r="D491" s="1"/>
      <c r="E491" s="1"/>
      <c r="F491" s="1"/>
      <c r="G491" s="1"/>
      <c r="H491" s="1"/>
      <c r="I491" s="61"/>
      <c r="J491" s="1"/>
      <c r="K491" s="1"/>
    </row>
    <row r="492" spans="1:11" ht="15.75" customHeight="1">
      <c r="A492" s="2"/>
      <c r="B492" s="1"/>
      <c r="C492" s="1"/>
      <c r="D492" s="1"/>
      <c r="E492" s="1"/>
      <c r="F492" s="1"/>
      <c r="G492" s="1"/>
      <c r="H492" s="1"/>
      <c r="I492" s="61"/>
      <c r="J492" s="1"/>
      <c r="K492" s="1"/>
    </row>
    <row r="493" spans="1:11" ht="15.75" customHeight="1">
      <c r="A493" s="2"/>
      <c r="B493" s="1"/>
      <c r="C493" s="1"/>
      <c r="D493" s="1"/>
      <c r="E493" s="1"/>
      <c r="F493" s="1"/>
      <c r="G493" s="1"/>
      <c r="H493" s="1"/>
      <c r="I493" s="61"/>
      <c r="J493" s="1"/>
      <c r="K493" s="1"/>
    </row>
    <row r="494" spans="1:11" ht="15.75" customHeight="1">
      <c r="A494" s="2"/>
      <c r="B494" s="1"/>
      <c r="C494" s="1"/>
      <c r="D494" s="1"/>
      <c r="E494" s="1"/>
      <c r="F494" s="1"/>
      <c r="G494" s="1"/>
      <c r="H494" s="1"/>
      <c r="I494" s="61"/>
      <c r="J494" s="1"/>
      <c r="K494" s="1"/>
    </row>
    <row r="495" spans="1:11" ht="15.75" customHeight="1">
      <c r="A495" s="2"/>
      <c r="B495" s="1"/>
      <c r="C495" s="1"/>
      <c r="D495" s="1"/>
      <c r="E495" s="1"/>
      <c r="F495" s="1"/>
      <c r="G495" s="1"/>
      <c r="H495" s="1"/>
      <c r="I495" s="61"/>
      <c r="J495" s="1"/>
      <c r="K495" s="1"/>
    </row>
    <row r="496" spans="1:11" ht="15.75" customHeight="1">
      <c r="A496" s="2"/>
      <c r="B496" s="1"/>
      <c r="C496" s="1"/>
      <c r="D496" s="1"/>
      <c r="E496" s="1"/>
      <c r="F496" s="1"/>
      <c r="G496" s="1"/>
      <c r="H496" s="1"/>
      <c r="I496" s="61"/>
      <c r="J496" s="1"/>
      <c r="K496" s="1"/>
    </row>
    <row r="497" spans="1:11" ht="15.75" customHeight="1">
      <c r="A497" s="2"/>
      <c r="B497" s="1"/>
      <c r="C497" s="1"/>
      <c r="D497" s="1"/>
      <c r="E497" s="1"/>
      <c r="F497" s="1"/>
      <c r="G497" s="1"/>
      <c r="H497" s="1"/>
      <c r="I497" s="61"/>
      <c r="J497" s="1"/>
      <c r="K497" s="1"/>
    </row>
    <row r="498" spans="1:11" ht="15.75" customHeight="1">
      <c r="A498" s="2"/>
      <c r="B498" s="1"/>
      <c r="C498" s="1"/>
      <c r="D498" s="1"/>
      <c r="E498" s="1"/>
      <c r="F498" s="1"/>
      <c r="G498" s="1"/>
      <c r="H498" s="1"/>
      <c r="I498" s="61"/>
      <c r="J498" s="1"/>
      <c r="K498" s="1"/>
    </row>
    <row r="499" spans="1:11" ht="15.75" customHeight="1">
      <c r="A499" s="2"/>
      <c r="B499" s="1"/>
      <c r="C499" s="1"/>
      <c r="D499" s="1"/>
      <c r="E499" s="1"/>
      <c r="F499" s="1"/>
      <c r="G499" s="1"/>
      <c r="H499" s="1"/>
      <c r="I499" s="61"/>
      <c r="J499" s="1"/>
      <c r="K499" s="1"/>
    </row>
    <row r="500" spans="1:11" ht="15.75" customHeight="1">
      <c r="A500" s="2"/>
      <c r="B500" s="1"/>
      <c r="C500" s="1"/>
      <c r="D500" s="1"/>
      <c r="E500" s="1"/>
      <c r="F500" s="1"/>
      <c r="G500" s="1"/>
      <c r="H500" s="1"/>
      <c r="I500" s="61"/>
      <c r="J500" s="1"/>
      <c r="K500" s="1"/>
    </row>
    <row r="501" spans="1:11" ht="15.75" customHeight="1">
      <c r="A501" s="2"/>
      <c r="B501" s="1"/>
      <c r="C501" s="1"/>
      <c r="D501" s="1"/>
      <c r="E501" s="1"/>
      <c r="F501" s="1"/>
      <c r="G501" s="1"/>
      <c r="H501" s="1"/>
      <c r="I501" s="61"/>
      <c r="J501" s="1"/>
      <c r="K501" s="1"/>
    </row>
    <row r="502" spans="1:11" ht="15.75" customHeight="1">
      <c r="A502" s="2"/>
      <c r="B502" s="1"/>
      <c r="C502" s="1"/>
      <c r="D502" s="1"/>
      <c r="E502" s="1"/>
      <c r="F502" s="1"/>
      <c r="G502" s="1"/>
      <c r="H502" s="1"/>
      <c r="I502" s="61"/>
      <c r="J502" s="1"/>
      <c r="K502" s="1"/>
    </row>
    <row r="503" spans="1:11" ht="15.75" customHeight="1">
      <c r="A503" s="2"/>
      <c r="B503" s="1"/>
      <c r="C503" s="1"/>
      <c r="D503" s="1"/>
      <c r="E503" s="1"/>
      <c r="F503" s="1"/>
      <c r="G503" s="1"/>
      <c r="H503" s="1"/>
      <c r="I503" s="61"/>
      <c r="J503" s="1"/>
      <c r="K503" s="1"/>
    </row>
    <row r="504" spans="1:11" ht="15.75" customHeight="1">
      <c r="A504" s="2"/>
      <c r="B504" s="1"/>
      <c r="C504" s="1"/>
      <c r="D504" s="1"/>
      <c r="E504" s="1"/>
      <c r="F504" s="1"/>
      <c r="G504" s="1"/>
      <c r="H504" s="1"/>
      <c r="I504" s="61"/>
      <c r="J504" s="1"/>
      <c r="K504" s="1"/>
    </row>
    <row r="505" spans="1:11" ht="15.75" customHeight="1">
      <c r="A505" s="2"/>
      <c r="B505" s="1"/>
      <c r="C505" s="1"/>
      <c r="D505" s="1"/>
      <c r="E505" s="1"/>
      <c r="F505" s="1"/>
      <c r="G505" s="1"/>
      <c r="H505" s="1"/>
      <c r="I505" s="61"/>
      <c r="J505" s="1"/>
      <c r="K505" s="1"/>
    </row>
    <row r="506" spans="1:11" ht="15.75" customHeight="1">
      <c r="A506" s="2"/>
      <c r="B506" s="1"/>
      <c r="C506" s="1"/>
      <c r="D506" s="1"/>
      <c r="E506" s="1"/>
      <c r="F506" s="1"/>
      <c r="G506" s="1"/>
      <c r="H506" s="1"/>
      <c r="I506" s="61"/>
      <c r="J506" s="1"/>
      <c r="K506" s="1"/>
    </row>
    <row r="507" spans="1:11" ht="15.75" customHeight="1">
      <c r="A507" s="2"/>
      <c r="B507" s="1"/>
      <c r="C507" s="1"/>
      <c r="D507" s="1"/>
      <c r="E507" s="1"/>
      <c r="F507" s="1"/>
      <c r="G507" s="1"/>
      <c r="H507" s="1"/>
      <c r="I507" s="61"/>
      <c r="J507" s="1"/>
      <c r="K507" s="1"/>
    </row>
    <row r="508" spans="1:11" ht="15.75" customHeight="1">
      <c r="A508" s="2"/>
      <c r="B508" s="1"/>
      <c r="C508" s="1"/>
      <c r="D508" s="1"/>
      <c r="E508" s="1"/>
      <c r="F508" s="1"/>
      <c r="G508" s="1"/>
      <c r="H508" s="1"/>
      <c r="I508" s="61"/>
      <c r="J508" s="1"/>
      <c r="K508" s="1"/>
    </row>
    <row r="509" spans="1:11" ht="15.75" customHeight="1">
      <c r="A509" s="2"/>
      <c r="B509" s="1"/>
      <c r="C509" s="1"/>
      <c r="D509" s="1"/>
      <c r="E509" s="1"/>
      <c r="F509" s="1"/>
      <c r="G509" s="1"/>
      <c r="H509" s="1"/>
      <c r="I509" s="61"/>
      <c r="J509" s="1"/>
      <c r="K509" s="1"/>
    </row>
    <row r="510" spans="1:11" ht="15.75" customHeight="1">
      <c r="A510" s="2"/>
      <c r="B510" s="1"/>
      <c r="C510" s="1"/>
      <c r="D510" s="1"/>
      <c r="E510" s="1"/>
      <c r="F510" s="1"/>
      <c r="G510" s="1"/>
      <c r="H510" s="1"/>
      <c r="I510" s="61"/>
      <c r="J510" s="1"/>
      <c r="K510" s="1"/>
    </row>
    <row r="511" spans="1:11" ht="15.75" customHeight="1">
      <c r="A511" s="2"/>
      <c r="B511" s="1"/>
      <c r="C511" s="1"/>
      <c r="D511" s="1"/>
      <c r="E511" s="1"/>
      <c r="F511" s="1"/>
      <c r="G511" s="1"/>
      <c r="H511" s="1"/>
      <c r="I511" s="61"/>
      <c r="J511" s="1"/>
      <c r="K511" s="1"/>
    </row>
    <row r="512" spans="1:11" ht="15.75" customHeight="1">
      <c r="A512" s="2"/>
      <c r="B512" s="1"/>
      <c r="C512" s="1"/>
      <c r="D512" s="1"/>
      <c r="E512" s="1"/>
      <c r="F512" s="1"/>
      <c r="G512" s="1"/>
      <c r="H512" s="1"/>
      <c r="I512" s="61"/>
      <c r="J512" s="1"/>
      <c r="K512" s="1"/>
    </row>
    <row r="513" spans="1:11" ht="15.75" customHeight="1">
      <c r="A513" s="2"/>
      <c r="B513" s="1"/>
      <c r="C513" s="1"/>
      <c r="D513" s="1"/>
      <c r="E513" s="1"/>
      <c r="F513" s="1"/>
      <c r="G513" s="1"/>
      <c r="H513" s="1"/>
      <c r="I513" s="61"/>
      <c r="J513" s="1"/>
      <c r="K513" s="1"/>
    </row>
    <row r="514" spans="1:11" ht="15.75" customHeight="1">
      <c r="A514" s="2"/>
      <c r="B514" s="1"/>
      <c r="C514" s="1"/>
      <c r="D514" s="1"/>
      <c r="E514" s="1"/>
      <c r="F514" s="1"/>
      <c r="G514" s="1"/>
      <c r="H514" s="1"/>
      <c r="I514" s="61"/>
      <c r="J514" s="1"/>
      <c r="K514" s="1"/>
    </row>
    <row r="515" spans="1:11" ht="15.75" customHeight="1">
      <c r="A515" s="2"/>
      <c r="B515" s="1"/>
      <c r="C515" s="1"/>
      <c r="D515" s="1"/>
      <c r="E515" s="1"/>
      <c r="F515" s="1"/>
      <c r="G515" s="1"/>
      <c r="H515" s="1"/>
      <c r="I515" s="61"/>
      <c r="J515" s="1"/>
      <c r="K515" s="1"/>
    </row>
    <row r="516" spans="1:11" ht="15.75" customHeight="1">
      <c r="A516" s="2"/>
      <c r="B516" s="1"/>
      <c r="C516" s="1"/>
      <c r="D516" s="1"/>
      <c r="E516" s="1"/>
      <c r="F516" s="1"/>
      <c r="G516" s="1"/>
      <c r="H516" s="1"/>
      <c r="I516" s="61"/>
      <c r="J516" s="1"/>
      <c r="K516" s="1"/>
    </row>
    <row r="517" spans="1:11" ht="15.75" customHeight="1">
      <c r="A517" s="2"/>
      <c r="B517" s="1"/>
      <c r="C517" s="1"/>
      <c r="D517" s="1"/>
      <c r="E517" s="1"/>
      <c r="F517" s="1"/>
      <c r="G517" s="1"/>
      <c r="H517" s="1"/>
      <c r="I517" s="61"/>
      <c r="J517" s="1"/>
      <c r="K517" s="1"/>
    </row>
    <row r="518" spans="1:11" ht="15.75" customHeight="1">
      <c r="A518" s="2"/>
      <c r="B518" s="1"/>
      <c r="C518" s="1"/>
      <c r="D518" s="1"/>
      <c r="E518" s="1"/>
      <c r="F518" s="1"/>
      <c r="G518" s="1"/>
      <c r="H518" s="1"/>
      <c r="I518" s="61"/>
      <c r="J518" s="1"/>
      <c r="K518" s="1"/>
    </row>
    <row r="519" spans="1:11" ht="15.75" customHeight="1">
      <c r="A519" s="2"/>
      <c r="B519" s="1"/>
      <c r="C519" s="1"/>
      <c r="D519" s="1"/>
      <c r="E519" s="1"/>
      <c r="F519" s="1"/>
      <c r="G519" s="1"/>
      <c r="H519" s="1"/>
      <c r="I519" s="61"/>
      <c r="J519" s="1"/>
      <c r="K519" s="1"/>
    </row>
    <row r="520" spans="1:11" ht="15.75" customHeight="1">
      <c r="A520" s="2"/>
      <c r="B520" s="1"/>
      <c r="C520" s="1"/>
      <c r="D520" s="1"/>
      <c r="E520" s="1"/>
      <c r="F520" s="1"/>
      <c r="G520" s="1"/>
      <c r="H520" s="1"/>
      <c r="I520" s="61"/>
      <c r="J520" s="1"/>
      <c r="K520" s="1"/>
    </row>
    <row r="521" spans="1:11" ht="15.75" customHeight="1">
      <c r="A521" s="2"/>
      <c r="B521" s="1"/>
      <c r="C521" s="1"/>
      <c r="D521" s="1"/>
      <c r="E521" s="1"/>
      <c r="F521" s="1"/>
      <c r="G521" s="1"/>
      <c r="H521" s="1"/>
      <c r="I521" s="61"/>
      <c r="J521" s="1"/>
      <c r="K521" s="1"/>
    </row>
    <row r="522" spans="1:11" ht="15.75" customHeight="1">
      <c r="A522" s="2"/>
      <c r="B522" s="1"/>
      <c r="C522" s="1"/>
      <c r="D522" s="1"/>
      <c r="E522" s="1"/>
      <c r="F522" s="1"/>
      <c r="G522" s="1"/>
      <c r="H522" s="1"/>
      <c r="I522" s="61"/>
      <c r="J522" s="1"/>
      <c r="K522" s="1"/>
    </row>
    <row r="523" spans="1:11" ht="15.75" customHeight="1">
      <c r="A523" s="2"/>
      <c r="B523" s="1"/>
      <c r="C523" s="1"/>
      <c r="D523" s="1"/>
      <c r="E523" s="1"/>
      <c r="F523" s="1"/>
      <c r="G523" s="1"/>
      <c r="H523" s="1"/>
      <c r="I523" s="61"/>
      <c r="J523" s="1"/>
      <c r="K523" s="1"/>
    </row>
    <row r="524" spans="1:11" ht="15.75" customHeight="1">
      <c r="A524" s="2"/>
      <c r="B524" s="1"/>
      <c r="C524" s="1"/>
      <c r="D524" s="1"/>
      <c r="E524" s="1"/>
      <c r="F524" s="1"/>
      <c r="G524" s="1"/>
      <c r="H524" s="1"/>
      <c r="I524" s="61"/>
      <c r="J524" s="1"/>
      <c r="K524" s="1"/>
    </row>
    <row r="525" spans="1:11" ht="15.75" customHeight="1">
      <c r="A525" s="2"/>
      <c r="B525" s="1"/>
      <c r="C525" s="1"/>
      <c r="D525" s="1"/>
      <c r="E525" s="1"/>
      <c r="F525" s="1"/>
      <c r="G525" s="1"/>
      <c r="H525" s="1"/>
      <c r="I525" s="61"/>
      <c r="J525" s="1"/>
      <c r="K525" s="1"/>
    </row>
    <row r="526" spans="1:11" ht="15.75" customHeight="1">
      <c r="A526" s="2"/>
      <c r="B526" s="1"/>
      <c r="C526" s="1"/>
      <c r="D526" s="1"/>
      <c r="E526" s="1"/>
      <c r="F526" s="1"/>
      <c r="G526" s="1"/>
      <c r="H526" s="1"/>
      <c r="I526" s="61"/>
      <c r="J526" s="1"/>
      <c r="K526" s="1"/>
    </row>
    <row r="527" spans="1:11" ht="15.75" customHeight="1">
      <c r="A527" s="2"/>
      <c r="B527" s="1"/>
      <c r="C527" s="1"/>
      <c r="D527" s="1"/>
      <c r="E527" s="1"/>
      <c r="F527" s="1"/>
      <c r="G527" s="1"/>
      <c r="H527" s="1"/>
      <c r="I527" s="61"/>
      <c r="J527" s="1"/>
      <c r="K527" s="1"/>
    </row>
    <row r="528" spans="1:11" ht="15.75" customHeight="1">
      <c r="A528" s="2"/>
      <c r="B528" s="1"/>
      <c r="C528" s="1"/>
      <c r="D528" s="1"/>
      <c r="E528" s="1"/>
      <c r="F528" s="1"/>
      <c r="G528" s="1"/>
      <c r="H528" s="1"/>
      <c r="I528" s="61"/>
      <c r="J528" s="1"/>
      <c r="K528" s="1"/>
    </row>
    <row r="529" spans="1:11" ht="15.75" customHeight="1">
      <c r="A529" s="2"/>
      <c r="B529" s="1"/>
      <c r="C529" s="1"/>
      <c r="D529" s="1"/>
      <c r="E529" s="1"/>
      <c r="F529" s="1"/>
      <c r="G529" s="1"/>
      <c r="H529" s="1"/>
      <c r="I529" s="61"/>
      <c r="J529" s="1"/>
      <c r="K529" s="1"/>
    </row>
    <row r="530" spans="1:11" ht="15.75" customHeight="1">
      <c r="A530" s="2"/>
      <c r="B530" s="1"/>
      <c r="C530" s="1"/>
      <c r="D530" s="1"/>
      <c r="E530" s="1"/>
      <c r="F530" s="1"/>
      <c r="G530" s="1"/>
      <c r="H530" s="1"/>
      <c r="I530" s="61"/>
      <c r="J530" s="1"/>
      <c r="K530" s="1"/>
    </row>
    <row r="531" spans="1:11" ht="15.75" customHeight="1">
      <c r="A531" s="2"/>
      <c r="B531" s="1"/>
      <c r="C531" s="1"/>
      <c r="D531" s="1"/>
      <c r="E531" s="1"/>
      <c r="F531" s="1"/>
      <c r="G531" s="1"/>
      <c r="H531" s="1"/>
      <c r="I531" s="61"/>
      <c r="J531" s="1"/>
      <c r="K531" s="1"/>
    </row>
    <row r="532" spans="1:11" ht="15.75" customHeight="1">
      <c r="A532" s="2"/>
      <c r="B532" s="1"/>
      <c r="C532" s="1"/>
      <c r="D532" s="1"/>
      <c r="E532" s="1"/>
      <c r="F532" s="1"/>
      <c r="G532" s="1"/>
      <c r="H532" s="1"/>
      <c r="I532" s="61"/>
      <c r="J532" s="1"/>
      <c r="K532" s="1"/>
    </row>
    <row r="533" spans="1:11" ht="15.75" customHeight="1">
      <c r="A533" s="2"/>
      <c r="B533" s="1"/>
      <c r="C533" s="1"/>
      <c r="D533" s="1"/>
      <c r="E533" s="1"/>
      <c r="F533" s="1"/>
      <c r="G533" s="1"/>
      <c r="H533" s="1"/>
      <c r="I533" s="61"/>
      <c r="J533" s="1"/>
      <c r="K533" s="1"/>
    </row>
    <row r="534" spans="1:11" ht="15.75" customHeight="1">
      <c r="A534" s="2"/>
      <c r="B534" s="1"/>
      <c r="C534" s="1"/>
      <c r="D534" s="1"/>
      <c r="E534" s="1"/>
      <c r="F534" s="1"/>
      <c r="G534" s="1"/>
      <c r="H534" s="1"/>
      <c r="I534" s="61"/>
      <c r="J534" s="1"/>
      <c r="K534" s="1"/>
    </row>
    <row r="535" spans="1:11" ht="15.75" customHeight="1">
      <c r="A535" s="2"/>
      <c r="B535" s="1"/>
      <c r="C535" s="1"/>
      <c r="D535" s="1"/>
      <c r="E535" s="1"/>
      <c r="F535" s="1"/>
      <c r="G535" s="1"/>
      <c r="H535" s="1"/>
      <c r="I535" s="61"/>
      <c r="J535" s="1"/>
      <c r="K535" s="1"/>
    </row>
    <row r="536" spans="1:11" ht="15.75" customHeight="1">
      <c r="A536" s="2"/>
      <c r="B536" s="1"/>
      <c r="C536" s="1"/>
      <c r="D536" s="1"/>
      <c r="E536" s="1"/>
      <c r="F536" s="1"/>
      <c r="G536" s="1"/>
      <c r="H536" s="1"/>
      <c r="I536" s="61"/>
      <c r="J536" s="1"/>
      <c r="K536" s="1"/>
    </row>
    <row r="537" spans="1:11" ht="15.75" customHeight="1">
      <c r="A537" s="2"/>
      <c r="B537" s="1"/>
      <c r="C537" s="1"/>
      <c r="D537" s="1"/>
      <c r="E537" s="1"/>
      <c r="F537" s="1"/>
      <c r="G537" s="1"/>
      <c r="H537" s="1"/>
      <c r="I537" s="61"/>
      <c r="J537" s="1"/>
      <c r="K537" s="1"/>
    </row>
    <row r="538" spans="1:11" ht="15.75" customHeight="1">
      <c r="A538" s="2"/>
      <c r="B538" s="1"/>
      <c r="C538" s="1"/>
      <c r="D538" s="1"/>
      <c r="E538" s="1"/>
      <c r="F538" s="1"/>
      <c r="G538" s="1"/>
      <c r="H538" s="1"/>
      <c r="I538" s="61"/>
      <c r="J538" s="1"/>
      <c r="K538" s="1"/>
    </row>
    <row r="539" spans="1:11" ht="15.75" customHeight="1">
      <c r="A539" s="2"/>
      <c r="B539" s="1"/>
      <c r="C539" s="1"/>
      <c r="D539" s="1"/>
      <c r="E539" s="1"/>
      <c r="F539" s="1"/>
      <c r="G539" s="1"/>
      <c r="H539" s="1"/>
      <c r="I539" s="61"/>
      <c r="J539" s="1"/>
      <c r="K539" s="1"/>
    </row>
    <row r="540" spans="1:11" ht="15.75" customHeight="1">
      <c r="A540" s="2"/>
      <c r="B540" s="1"/>
      <c r="C540" s="1"/>
      <c r="D540" s="1"/>
      <c r="E540" s="1"/>
      <c r="F540" s="1"/>
      <c r="G540" s="1"/>
      <c r="H540" s="1"/>
      <c r="I540" s="61"/>
      <c r="J540" s="1"/>
      <c r="K540" s="1"/>
    </row>
    <row r="541" spans="1:11" ht="15.75" customHeight="1">
      <c r="A541" s="2"/>
      <c r="B541" s="1"/>
      <c r="C541" s="1"/>
      <c r="D541" s="1"/>
      <c r="E541" s="1"/>
      <c r="F541" s="1"/>
      <c r="G541" s="1"/>
      <c r="H541" s="1"/>
      <c r="I541" s="61"/>
      <c r="J541" s="1"/>
      <c r="K541" s="1"/>
    </row>
    <row r="542" spans="1:11" ht="15.75" customHeight="1">
      <c r="A542" s="2"/>
      <c r="B542" s="1"/>
      <c r="C542" s="1"/>
      <c r="D542" s="1"/>
      <c r="E542" s="1"/>
      <c r="F542" s="1"/>
      <c r="G542" s="1"/>
      <c r="H542" s="1"/>
      <c r="I542" s="61"/>
      <c r="J542" s="1"/>
      <c r="K542" s="1"/>
    </row>
    <row r="543" spans="1:11" ht="15.75" customHeight="1">
      <c r="A543" s="2"/>
      <c r="B543" s="1"/>
      <c r="C543" s="1"/>
      <c r="D543" s="1"/>
      <c r="E543" s="1"/>
      <c r="F543" s="1"/>
      <c r="G543" s="1"/>
      <c r="H543" s="1"/>
      <c r="I543" s="61"/>
      <c r="J543" s="1"/>
      <c r="K543" s="1"/>
    </row>
    <row r="544" spans="1:11" ht="15.75" customHeight="1">
      <c r="A544" s="2"/>
      <c r="B544" s="1"/>
      <c r="C544" s="1"/>
      <c r="D544" s="1"/>
      <c r="E544" s="1"/>
      <c r="F544" s="1"/>
      <c r="G544" s="1"/>
      <c r="H544" s="1"/>
      <c r="I544" s="61"/>
      <c r="J544" s="1"/>
      <c r="K544" s="1"/>
    </row>
    <row r="545" spans="1:11" ht="15.75" customHeight="1">
      <c r="A545" s="2"/>
      <c r="B545" s="1"/>
      <c r="C545" s="1"/>
      <c r="D545" s="1"/>
      <c r="E545" s="1"/>
      <c r="F545" s="1"/>
      <c r="G545" s="1"/>
      <c r="H545" s="1"/>
      <c r="I545" s="61"/>
      <c r="J545" s="1"/>
      <c r="K545" s="1"/>
    </row>
    <row r="546" spans="1:11" ht="15.75" customHeight="1">
      <c r="A546" s="2"/>
      <c r="B546" s="1"/>
      <c r="C546" s="1"/>
      <c r="D546" s="1"/>
      <c r="E546" s="1"/>
      <c r="F546" s="1"/>
      <c r="G546" s="1"/>
      <c r="H546" s="1"/>
      <c r="I546" s="61"/>
      <c r="J546" s="1"/>
      <c r="K546" s="1"/>
    </row>
    <row r="547" spans="1:11" ht="15.75" customHeight="1">
      <c r="A547" s="2"/>
      <c r="B547" s="1"/>
      <c r="C547" s="1"/>
      <c r="D547" s="1"/>
      <c r="E547" s="1"/>
      <c r="F547" s="1"/>
      <c r="G547" s="1"/>
      <c r="H547" s="1"/>
      <c r="I547" s="61"/>
      <c r="J547" s="1"/>
      <c r="K547" s="1"/>
    </row>
    <row r="548" spans="1:11" ht="15.75" customHeight="1">
      <c r="A548" s="2"/>
      <c r="B548" s="1"/>
      <c r="C548" s="1"/>
      <c r="D548" s="1"/>
      <c r="E548" s="1"/>
      <c r="F548" s="1"/>
      <c r="G548" s="1"/>
      <c r="H548" s="1"/>
      <c r="I548" s="61"/>
      <c r="J548" s="1"/>
      <c r="K548" s="1"/>
    </row>
    <row r="549" spans="1:11" ht="15.75" customHeight="1">
      <c r="A549" s="2"/>
      <c r="B549" s="1"/>
      <c r="C549" s="1"/>
      <c r="D549" s="1"/>
      <c r="E549" s="1"/>
      <c r="F549" s="1"/>
      <c r="G549" s="1"/>
      <c r="H549" s="1"/>
      <c r="I549" s="61"/>
      <c r="J549" s="1"/>
      <c r="K549" s="1"/>
    </row>
    <row r="550" spans="1:11" ht="15.75" customHeight="1">
      <c r="A550" s="2"/>
      <c r="B550" s="1"/>
      <c r="C550" s="1"/>
      <c r="D550" s="1"/>
      <c r="E550" s="1"/>
      <c r="F550" s="1"/>
      <c r="G550" s="1"/>
      <c r="H550" s="1"/>
      <c r="I550" s="61"/>
      <c r="J550" s="1"/>
      <c r="K550" s="1"/>
    </row>
    <row r="551" spans="1:11" ht="15.75" customHeight="1">
      <c r="A551" s="2"/>
      <c r="B551" s="1"/>
      <c r="C551" s="1"/>
      <c r="D551" s="1"/>
      <c r="E551" s="1"/>
      <c r="F551" s="1"/>
      <c r="G551" s="1"/>
      <c r="H551" s="1"/>
      <c r="I551" s="61"/>
      <c r="J551" s="1"/>
      <c r="K551" s="1"/>
    </row>
    <row r="552" spans="1:11" ht="15.75" customHeight="1">
      <c r="A552" s="2"/>
      <c r="B552" s="1"/>
      <c r="C552" s="1"/>
      <c r="D552" s="1"/>
      <c r="E552" s="1"/>
      <c r="F552" s="1"/>
      <c r="G552" s="1"/>
      <c r="H552" s="1"/>
      <c r="I552" s="61"/>
      <c r="J552" s="1"/>
      <c r="K552" s="1"/>
    </row>
    <row r="553" spans="1:11" ht="15.75" customHeight="1">
      <c r="A553" s="2"/>
      <c r="B553" s="1"/>
      <c r="C553" s="1"/>
      <c r="D553" s="1"/>
      <c r="E553" s="1"/>
      <c r="F553" s="1"/>
      <c r="G553" s="1"/>
      <c r="H553" s="1"/>
      <c r="I553" s="61"/>
      <c r="J553" s="1"/>
      <c r="K553" s="1"/>
    </row>
    <row r="554" spans="1:11" ht="15.75" customHeight="1">
      <c r="A554" s="2"/>
      <c r="B554" s="1"/>
      <c r="C554" s="1"/>
      <c r="D554" s="1"/>
      <c r="E554" s="1"/>
      <c r="F554" s="1"/>
      <c r="G554" s="1"/>
      <c r="H554" s="1"/>
      <c r="I554" s="61"/>
      <c r="J554" s="1"/>
      <c r="K554" s="1"/>
    </row>
    <row r="555" spans="1:11" ht="15.75" customHeight="1">
      <c r="A555" s="2"/>
      <c r="B555" s="1"/>
      <c r="C555" s="1"/>
      <c r="D555" s="1"/>
      <c r="E555" s="1"/>
      <c r="F555" s="1"/>
      <c r="G555" s="1"/>
      <c r="H555" s="1"/>
      <c r="I555" s="61"/>
      <c r="J555" s="1"/>
      <c r="K555" s="1"/>
    </row>
    <row r="556" spans="1:11" ht="15.75" customHeight="1">
      <c r="A556" s="2"/>
      <c r="B556" s="1"/>
      <c r="C556" s="1"/>
      <c r="D556" s="1"/>
      <c r="E556" s="1"/>
      <c r="F556" s="1"/>
      <c r="G556" s="1"/>
      <c r="H556" s="1"/>
      <c r="I556" s="61"/>
      <c r="J556" s="1"/>
      <c r="K556" s="1"/>
    </row>
    <row r="557" spans="1:11" ht="15.75" customHeight="1">
      <c r="A557" s="2"/>
      <c r="B557" s="1"/>
      <c r="C557" s="1"/>
      <c r="D557" s="1"/>
      <c r="E557" s="1"/>
      <c r="F557" s="1"/>
      <c r="G557" s="1"/>
      <c r="H557" s="1"/>
      <c r="I557" s="61"/>
      <c r="J557" s="1"/>
      <c r="K557" s="1"/>
    </row>
    <row r="558" spans="1:11" ht="15.75" customHeight="1">
      <c r="A558" s="2"/>
      <c r="B558" s="1"/>
      <c r="C558" s="1"/>
      <c r="D558" s="1"/>
      <c r="E558" s="1"/>
      <c r="F558" s="1"/>
      <c r="G558" s="1"/>
      <c r="H558" s="1"/>
      <c r="I558" s="61"/>
      <c r="J558" s="1"/>
      <c r="K558" s="1"/>
    </row>
    <row r="559" spans="1:11" ht="15.75" customHeight="1">
      <c r="A559" s="2"/>
      <c r="B559" s="1"/>
      <c r="C559" s="1"/>
      <c r="D559" s="1"/>
      <c r="E559" s="1"/>
      <c r="F559" s="1"/>
      <c r="G559" s="1"/>
      <c r="H559" s="1"/>
      <c r="I559" s="61"/>
      <c r="J559" s="1"/>
      <c r="K559" s="1"/>
    </row>
    <row r="560" spans="1:11" ht="15.75" customHeight="1">
      <c r="A560" s="2"/>
      <c r="B560" s="1"/>
      <c r="C560" s="1"/>
      <c r="D560" s="1"/>
      <c r="E560" s="1"/>
      <c r="F560" s="1"/>
      <c r="G560" s="1"/>
      <c r="H560" s="1"/>
      <c r="I560" s="61"/>
      <c r="J560" s="1"/>
      <c r="K560" s="1"/>
    </row>
    <row r="561" spans="1:11" ht="15.75" customHeight="1">
      <c r="A561" s="2"/>
      <c r="B561" s="1"/>
      <c r="C561" s="1"/>
      <c r="D561" s="1"/>
      <c r="E561" s="1"/>
      <c r="F561" s="1"/>
      <c r="G561" s="1"/>
      <c r="H561" s="1"/>
      <c r="I561" s="61"/>
      <c r="J561" s="1"/>
      <c r="K561" s="1"/>
    </row>
    <row r="562" spans="1:11" ht="15.75" customHeight="1">
      <c r="A562" s="2"/>
      <c r="B562" s="1"/>
      <c r="C562" s="1"/>
      <c r="D562" s="1"/>
      <c r="E562" s="1"/>
      <c r="F562" s="1"/>
      <c r="G562" s="1"/>
      <c r="H562" s="1"/>
      <c r="I562" s="61"/>
      <c r="J562" s="1"/>
      <c r="K562" s="1"/>
    </row>
    <row r="563" spans="1:11" ht="15.75" customHeight="1">
      <c r="A563" s="2"/>
      <c r="B563" s="1"/>
      <c r="C563" s="1"/>
      <c r="D563" s="1"/>
      <c r="E563" s="1"/>
      <c r="F563" s="1"/>
      <c r="G563" s="1"/>
      <c r="H563" s="1"/>
      <c r="I563" s="61"/>
      <c r="J563" s="1"/>
      <c r="K563" s="1"/>
    </row>
    <row r="564" spans="1:11" ht="15.75" customHeight="1">
      <c r="A564" s="2"/>
      <c r="B564" s="1"/>
      <c r="C564" s="1"/>
      <c r="D564" s="1"/>
      <c r="E564" s="1"/>
      <c r="F564" s="1"/>
      <c r="G564" s="1"/>
      <c r="H564" s="1"/>
      <c r="I564" s="61"/>
      <c r="J564" s="1"/>
      <c r="K564" s="1"/>
    </row>
    <row r="565" spans="1:11" ht="15.75" customHeight="1">
      <c r="A565" s="2"/>
      <c r="B565" s="1"/>
      <c r="C565" s="1"/>
      <c r="D565" s="1"/>
      <c r="E565" s="1"/>
      <c r="F565" s="1"/>
      <c r="G565" s="1"/>
      <c r="H565" s="1"/>
      <c r="I565" s="61"/>
      <c r="J565" s="1"/>
      <c r="K565" s="1"/>
    </row>
    <row r="566" spans="1:11" ht="15.75" customHeight="1">
      <c r="A566" s="2"/>
      <c r="B566" s="1"/>
      <c r="C566" s="1"/>
      <c r="D566" s="1"/>
      <c r="E566" s="1"/>
      <c r="F566" s="1"/>
      <c r="G566" s="1"/>
      <c r="H566" s="1"/>
      <c r="I566" s="61"/>
      <c r="J566" s="1"/>
      <c r="K566" s="1"/>
    </row>
    <row r="567" spans="1:11" ht="15.75" customHeight="1">
      <c r="A567" s="2"/>
      <c r="B567" s="1"/>
      <c r="C567" s="1"/>
      <c r="D567" s="1"/>
      <c r="E567" s="1"/>
      <c r="F567" s="1"/>
      <c r="G567" s="1"/>
      <c r="H567" s="1"/>
      <c r="I567" s="61"/>
      <c r="J567" s="1"/>
      <c r="K567" s="1"/>
    </row>
    <row r="568" spans="1:11" ht="15.75" customHeight="1">
      <c r="A568" s="2"/>
      <c r="B568" s="1"/>
      <c r="C568" s="1"/>
      <c r="D568" s="1"/>
      <c r="E568" s="1"/>
      <c r="F568" s="1"/>
      <c r="G568" s="1"/>
      <c r="H568" s="1"/>
      <c r="I568" s="61"/>
      <c r="J568" s="1"/>
      <c r="K568" s="1"/>
    </row>
    <row r="569" spans="1:11" ht="15.75" customHeight="1">
      <c r="A569" s="2"/>
      <c r="B569" s="1"/>
      <c r="C569" s="1"/>
      <c r="D569" s="1"/>
      <c r="E569" s="1"/>
      <c r="F569" s="1"/>
      <c r="G569" s="1"/>
      <c r="H569" s="1"/>
      <c r="I569" s="61"/>
      <c r="J569" s="1"/>
      <c r="K569" s="1"/>
    </row>
    <row r="570" spans="1:11" ht="15.75" customHeight="1">
      <c r="A570" s="2"/>
      <c r="B570" s="1"/>
      <c r="C570" s="1"/>
      <c r="D570" s="1"/>
      <c r="E570" s="1"/>
      <c r="F570" s="1"/>
      <c r="G570" s="1"/>
      <c r="H570" s="1"/>
      <c r="I570" s="61"/>
      <c r="J570" s="1"/>
      <c r="K570" s="1"/>
    </row>
    <row r="571" spans="1:11" ht="15.75" customHeight="1">
      <c r="A571" s="2"/>
      <c r="B571" s="1"/>
      <c r="C571" s="1"/>
      <c r="D571" s="1"/>
      <c r="E571" s="1"/>
      <c r="F571" s="1"/>
      <c r="G571" s="1"/>
      <c r="H571" s="1"/>
      <c r="I571" s="61"/>
      <c r="J571" s="1"/>
      <c r="K571" s="1"/>
    </row>
    <row r="572" spans="1:11" ht="15.75" customHeight="1">
      <c r="A572" s="2"/>
      <c r="B572" s="1"/>
      <c r="C572" s="1"/>
      <c r="D572" s="1"/>
      <c r="E572" s="1"/>
      <c r="F572" s="1"/>
      <c r="G572" s="1"/>
      <c r="H572" s="1"/>
      <c r="I572" s="61"/>
      <c r="J572" s="1"/>
      <c r="K572" s="1"/>
    </row>
    <row r="573" spans="1:11" ht="15.75" customHeight="1">
      <c r="A573" s="2"/>
      <c r="B573" s="1"/>
      <c r="C573" s="1"/>
      <c r="D573" s="1"/>
      <c r="E573" s="1"/>
      <c r="F573" s="1"/>
      <c r="G573" s="1"/>
      <c r="H573" s="1"/>
      <c r="I573" s="61"/>
      <c r="J573" s="1"/>
      <c r="K573" s="1"/>
    </row>
    <row r="574" spans="1:11" ht="15.75" customHeight="1">
      <c r="A574" s="2"/>
      <c r="B574" s="1"/>
      <c r="C574" s="1"/>
      <c r="D574" s="1"/>
      <c r="E574" s="1"/>
      <c r="F574" s="1"/>
      <c r="G574" s="1"/>
      <c r="H574" s="1"/>
      <c r="I574" s="61"/>
      <c r="J574" s="1"/>
      <c r="K574" s="1"/>
    </row>
    <row r="575" spans="1:11" ht="15.75" customHeight="1">
      <c r="A575" s="2"/>
      <c r="B575" s="1"/>
      <c r="C575" s="1"/>
      <c r="D575" s="1"/>
      <c r="E575" s="1"/>
      <c r="F575" s="1"/>
      <c r="G575" s="1"/>
      <c r="H575" s="1"/>
      <c r="I575" s="61"/>
      <c r="J575" s="1"/>
      <c r="K575" s="1"/>
    </row>
    <row r="576" spans="1:11" ht="15.75" customHeight="1">
      <c r="A576" s="2"/>
      <c r="B576" s="1"/>
      <c r="C576" s="1"/>
      <c r="D576" s="1"/>
      <c r="E576" s="1"/>
      <c r="F576" s="1"/>
      <c r="G576" s="1"/>
      <c r="H576" s="1"/>
      <c r="I576" s="61"/>
      <c r="J576" s="1"/>
      <c r="K576" s="1"/>
    </row>
    <row r="577" spans="1:11" ht="15.75" customHeight="1">
      <c r="A577" s="2"/>
      <c r="B577" s="1"/>
      <c r="C577" s="1"/>
      <c r="D577" s="1"/>
      <c r="E577" s="1"/>
      <c r="F577" s="1"/>
      <c r="G577" s="1"/>
      <c r="H577" s="1"/>
      <c r="I577" s="61"/>
      <c r="J577" s="1"/>
      <c r="K577" s="1"/>
    </row>
    <row r="578" spans="1:11" ht="15.75" customHeight="1">
      <c r="A578" s="2"/>
      <c r="B578" s="1"/>
      <c r="C578" s="1"/>
      <c r="D578" s="1"/>
      <c r="E578" s="1"/>
      <c r="F578" s="1"/>
      <c r="G578" s="1"/>
      <c r="H578" s="1"/>
      <c r="I578" s="61"/>
      <c r="J578" s="1"/>
      <c r="K578" s="1"/>
    </row>
    <row r="579" spans="1:11" ht="15.75" customHeight="1">
      <c r="A579" s="2"/>
      <c r="B579" s="1"/>
      <c r="C579" s="1"/>
      <c r="D579" s="1"/>
      <c r="E579" s="1"/>
      <c r="F579" s="1"/>
      <c r="G579" s="1"/>
      <c r="H579" s="1"/>
      <c r="I579" s="61"/>
      <c r="J579" s="1"/>
      <c r="K579" s="1"/>
    </row>
    <row r="580" spans="1:11" ht="15.75" customHeight="1">
      <c r="A580" s="2"/>
      <c r="B580" s="1"/>
      <c r="C580" s="1"/>
      <c r="D580" s="1"/>
      <c r="E580" s="1"/>
      <c r="F580" s="1"/>
      <c r="G580" s="1"/>
      <c r="H580" s="1"/>
      <c r="I580" s="61"/>
      <c r="J580" s="1"/>
      <c r="K580" s="1"/>
    </row>
    <row r="581" spans="1:11" ht="15.75" customHeight="1">
      <c r="A581" s="2"/>
      <c r="B581" s="1"/>
      <c r="C581" s="1"/>
      <c r="D581" s="1"/>
      <c r="E581" s="1"/>
      <c r="F581" s="1"/>
      <c r="G581" s="1"/>
      <c r="H581" s="1"/>
      <c r="I581" s="61"/>
      <c r="J581" s="1"/>
      <c r="K581" s="1"/>
    </row>
    <row r="582" spans="1:11" ht="15.75" customHeight="1">
      <c r="A582" s="2"/>
      <c r="B582" s="1"/>
      <c r="C582" s="1"/>
      <c r="D582" s="1"/>
      <c r="E582" s="1"/>
      <c r="F582" s="1"/>
      <c r="G582" s="1"/>
      <c r="H582" s="1"/>
      <c r="I582" s="61"/>
      <c r="J582" s="1"/>
      <c r="K582" s="1"/>
    </row>
    <row r="583" spans="1:11" ht="15.75" customHeight="1">
      <c r="A583" s="2"/>
      <c r="B583" s="1"/>
      <c r="C583" s="1"/>
      <c r="D583" s="1"/>
      <c r="E583" s="1"/>
      <c r="F583" s="1"/>
      <c r="G583" s="1"/>
      <c r="H583" s="1"/>
      <c r="I583" s="61"/>
      <c r="J583" s="1"/>
      <c r="K583" s="1"/>
    </row>
    <row r="584" spans="1:11" ht="15.75" customHeight="1">
      <c r="A584" s="2"/>
      <c r="B584" s="1"/>
      <c r="C584" s="1"/>
      <c r="D584" s="1"/>
      <c r="E584" s="1"/>
      <c r="F584" s="1"/>
      <c r="G584" s="1"/>
      <c r="H584" s="1"/>
      <c r="I584" s="61"/>
      <c r="J584" s="1"/>
      <c r="K584" s="1"/>
    </row>
    <row r="585" spans="1:11" ht="15.75" customHeight="1">
      <c r="A585" s="2"/>
      <c r="B585" s="1"/>
      <c r="C585" s="1"/>
      <c r="D585" s="1"/>
      <c r="E585" s="1"/>
      <c r="F585" s="1"/>
      <c r="G585" s="1"/>
      <c r="H585" s="1"/>
      <c r="I585" s="61"/>
      <c r="J585" s="1"/>
      <c r="K585" s="1"/>
    </row>
    <row r="586" spans="1:11" ht="15.75" customHeight="1">
      <c r="A586" s="2"/>
      <c r="B586" s="1"/>
      <c r="C586" s="1"/>
      <c r="D586" s="1"/>
      <c r="E586" s="1"/>
      <c r="F586" s="1"/>
      <c r="G586" s="1"/>
      <c r="H586" s="1"/>
      <c r="I586" s="61"/>
      <c r="J586" s="1"/>
      <c r="K586" s="1"/>
    </row>
    <row r="587" spans="1:11" ht="15.75" customHeight="1">
      <c r="A587" s="2"/>
      <c r="B587" s="1"/>
      <c r="C587" s="1"/>
      <c r="D587" s="1"/>
      <c r="E587" s="1"/>
      <c r="F587" s="1"/>
      <c r="G587" s="1"/>
      <c r="H587" s="1"/>
      <c r="I587" s="61"/>
      <c r="J587" s="1"/>
      <c r="K587" s="1"/>
    </row>
    <row r="588" spans="1:11" ht="15.75" customHeight="1">
      <c r="A588" s="2"/>
      <c r="B588" s="1"/>
      <c r="C588" s="1"/>
      <c r="D588" s="1"/>
      <c r="E588" s="1"/>
      <c r="F588" s="1"/>
      <c r="G588" s="1"/>
      <c r="H588" s="1"/>
      <c r="I588" s="61"/>
      <c r="J588" s="1"/>
      <c r="K588" s="1"/>
    </row>
    <row r="589" spans="1:11" ht="15.75" customHeight="1">
      <c r="A589" s="2"/>
      <c r="B589" s="1"/>
      <c r="C589" s="1"/>
      <c r="D589" s="1"/>
      <c r="E589" s="1"/>
      <c r="F589" s="1"/>
      <c r="G589" s="1"/>
      <c r="H589" s="1"/>
      <c r="I589" s="61"/>
      <c r="J589" s="1"/>
      <c r="K589" s="1"/>
    </row>
    <row r="590" spans="1:11" ht="15.75" customHeight="1">
      <c r="A590" s="2"/>
      <c r="B590" s="1"/>
      <c r="C590" s="1"/>
      <c r="D590" s="1"/>
      <c r="E590" s="1"/>
      <c r="F590" s="1"/>
      <c r="G590" s="1"/>
      <c r="H590" s="1"/>
      <c r="I590" s="61"/>
      <c r="J590" s="1"/>
      <c r="K590" s="1"/>
    </row>
    <row r="591" spans="1:11" ht="15.75" customHeight="1">
      <c r="A591" s="2"/>
      <c r="B591" s="1"/>
      <c r="C591" s="1"/>
      <c r="D591" s="1"/>
      <c r="E591" s="1"/>
      <c r="F591" s="1"/>
      <c r="G591" s="1"/>
      <c r="H591" s="1"/>
      <c r="I591" s="61"/>
      <c r="J591" s="1"/>
      <c r="K591" s="1"/>
    </row>
    <row r="592" spans="1:11" ht="15.75" customHeight="1">
      <c r="A592" s="2"/>
      <c r="B592" s="1"/>
      <c r="C592" s="1"/>
      <c r="D592" s="1"/>
      <c r="E592" s="1"/>
      <c r="F592" s="1"/>
      <c r="G592" s="1"/>
      <c r="H592" s="1"/>
      <c r="I592" s="61"/>
      <c r="J592" s="1"/>
      <c r="K592" s="1"/>
    </row>
    <row r="593" spans="1:11" ht="15.75" customHeight="1">
      <c r="A593" s="2"/>
      <c r="B593" s="1"/>
      <c r="C593" s="1"/>
      <c r="D593" s="1"/>
      <c r="E593" s="1"/>
      <c r="F593" s="1"/>
      <c r="G593" s="1"/>
      <c r="H593" s="1"/>
      <c r="I593" s="61"/>
      <c r="J593" s="1"/>
      <c r="K593" s="1"/>
    </row>
    <row r="594" spans="1:11" ht="15.75" customHeight="1">
      <c r="A594" s="2"/>
      <c r="B594" s="1"/>
      <c r="C594" s="1"/>
      <c r="D594" s="1"/>
      <c r="E594" s="1"/>
      <c r="F594" s="1"/>
      <c r="G594" s="1"/>
      <c r="H594" s="1"/>
      <c r="I594" s="61"/>
      <c r="J594" s="1"/>
      <c r="K594" s="1"/>
    </row>
    <row r="595" spans="1:11" ht="15.75" customHeight="1">
      <c r="A595" s="2"/>
      <c r="B595" s="1"/>
      <c r="C595" s="1"/>
      <c r="D595" s="1"/>
      <c r="E595" s="1"/>
      <c r="F595" s="1"/>
      <c r="G595" s="1"/>
      <c r="H595" s="1"/>
      <c r="I595" s="61"/>
      <c r="J595" s="1"/>
      <c r="K595" s="1"/>
    </row>
    <row r="596" spans="1:11" ht="15.75" customHeight="1">
      <c r="A596" s="2"/>
      <c r="B596" s="1"/>
      <c r="C596" s="1"/>
      <c r="D596" s="1"/>
      <c r="E596" s="1"/>
      <c r="F596" s="1"/>
      <c r="G596" s="1"/>
      <c r="H596" s="1"/>
      <c r="I596" s="61"/>
      <c r="J596" s="1"/>
      <c r="K596" s="1"/>
    </row>
    <row r="597" spans="1:11" ht="15.75" customHeight="1">
      <c r="A597" s="2"/>
      <c r="B597" s="1"/>
      <c r="C597" s="1"/>
      <c r="D597" s="1"/>
      <c r="E597" s="1"/>
      <c r="F597" s="1"/>
      <c r="G597" s="1"/>
      <c r="H597" s="1"/>
      <c r="I597" s="61"/>
      <c r="J597" s="1"/>
      <c r="K597" s="1"/>
    </row>
    <row r="598" spans="1:11" ht="15.75" customHeight="1">
      <c r="A598" s="2"/>
      <c r="B598" s="1"/>
      <c r="C598" s="1"/>
      <c r="D598" s="1"/>
      <c r="E598" s="1"/>
      <c r="F598" s="1"/>
      <c r="G598" s="1"/>
      <c r="H598" s="1"/>
      <c r="I598" s="61"/>
      <c r="J598" s="1"/>
      <c r="K598" s="1"/>
    </row>
    <row r="599" spans="1:11" ht="15.75" customHeight="1">
      <c r="A599" s="2"/>
      <c r="B599" s="1"/>
      <c r="C599" s="1"/>
      <c r="D599" s="1"/>
      <c r="E599" s="1"/>
      <c r="F599" s="1"/>
      <c r="G599" s="1"/>
      <c r="H599" s="1"/>
      <c r="I599" s="61"/>
      <c r="J599" s="1"/>
      <c r="K599" s="1"/>
    </row>
    <row r="600" spans="1:11" ht="15.75" customHeight="1">
      <c r="A600" s="2"/>
      <c r="B600" s="1"/>
      <c r="C600" s="1"/>
      <c r="D600" s="1"/>
      <c r="E600" s="1"/>
      <c r="F600" s="1"/>
      <c r="G600" s="1"/>
      <c r="H600" s="1"/>
      <c r="I600" s="61"/>
      <c r="J600" s="1"/>
      <c r="K600" s="1"/>
    </row>
    <row r="601" spans="1:11" ht="15.75" customHeight="1">
      <c r="A601" s="2"/>
      <c r="B601" s="1"/>
      <c r="C601" s="1"/>
      <c r="D601" s="1"/>
      <c r="E601" s="1"/>
      <c r="F601" s="1"/>
      <c r="G601" s="1"/>
      <c r="H601" s="1"/>
      <c r="I601" s="61"/>
      <c r="J601" s="1"/>
      <c r="K601" s="1"/>
    </row>
    <row r="602" spans="1:11" ht="15.75" customHeight="1">
      <c r="A602" s="2"/>
      <c r="B602" s="1"/>
      <c r="C602" s="1"/>
      <c r="D602" s="1"/>
      <c r="E602" s="1"/>
      <c r="F602" s="1"/>
      <c r="G602" s="1"/>
      <c r="H602" s="1"/>
      <c r="I602" s="61"/>
      <c r="J602" s="1"/>
      <c r="K602" s="1"/>
    </row>
    <row r="603" spans="1:11" ht="15.75" customHeight="1">
      <c r="A603" s="2"/>
      <c r="B603" s="1"/>
      <c r="C603" s="1"/>
      <c r="D603" s="1"/>
      <c r="E603" s="1"/>
      <c r="F603" s="1"/>
      <c r="G603" s="1"/>
      <c r="H603" s="1"/>
      <c r="I603" s="61"/>
      <c r="J603" s="1"/>
      <c r="K603" s="1"/>
    </row>
    <row r="604" spans="1:11" ht="15.75" customHeight="1">
      <c r="A604" s="2"/>
      <c r="B604" s="1"/>
      <c r="C604" s="1"/>
      <c r="D604" s="1"/>
      <c r="E604" s="1"/>
      <c r="F604" s="1"/>
      <c r="G604" s="1"/>
      <c r="H604" s="1"/>
      <c r="I604" s="61"/>
      <c r="J604" s="1"/>
      <c r="K604" s="1"/>
    </row>
    <row r="605" spans="1:11" ht="15.75" customHeight="1">
      <c r="A605" s="2"/>
      <c r="B605" s="1"/>
      <c r="C605" s="1"/>
      <c r="D605" s="1"/>
      <c r="E605" s="1"/>
      <c r="F605" s="1"/>
      <c r="G605" s="1"/>
      <c r="H605" s="1"/>
      <c r="I605" s="61"/>
      <c r="J605" s="1"/>
      <c r="K605" s="1"/>
    </row>
    <row r="606" spans="1:11" ht="15.75" customHeight="1">
      <c r="A606" s="2"/>
      <c r="B606" s="1"/>
      <c r="C606" s="1"/>
      <c r="D606" s="1"/>
      <c r="E606" s="1"/>
      <c r="F606" s="1"/>
      <c r="G606" s="1"/>
      <c r="H606" s="1"/>
      <c r="I606" s="61"/>
      <c r="J606" s="1"/>
      <c r="K606" s="1"/>
    </row>
    <row r="607" spans="1:11" ht="15.75" customHeight="1">
      <c r="A607" s="2"/>
      <c r="B607" s="1"/>
      <c r="C607" s="1"/>
      <c r="D607" s="1"/>
      <c r="E607" s="1"/>
      <c r="F607" s="1"/>
      <c r="G607" s="1"/>
      <c r="H607" s="1"/>
      <c r="I607" s="61"/>
      <c r="J607" s="1"/>
      <c r="K607" s="1"/>
    </row>
    <row r="608" spans="1:11" ht="15.75" customHeight="1">
      <c r="A608" s="2"/>
      <c r="B608" s="1"/>
      <c r="C608" s="1"/>
      <c r="D608" s="1"/>
      <c r="E608" s="1"/>
      <c r="F608" s="1"/>
      <c r="G608" s="1"/>
      <c r="H608" s="1"/>
      <c r="I608" s="61"/>
      <c r="J608" s="1"/>
      <c r="K608" s="1"/>
    </row>
    <row r="609" spans="1:11" ht="15.75" customHeight="1">
      <c r="A609" s="2"/>
      <c r="B609" s="1"/>
      <c r="C609" s="1"/>
      <c r="D609" s="1"/>
      <c r="E609" s="1"/>
      <c r="F609" s="1"/>
      <c r="G609" s="1"/>
      <c r="H609" s="1"/>
      <c r="I609" s="61"/>
      <c r="J609" s="1"/>
      <c r="K609" s="1"/>
    </row>
    <row r="610" spans="1:11" ht="15.75" customHeight="1">
      <c r="A610" s="2"/>
      <c r="B610" s="1"/>
      <c r="C610" s="1"/>
      <c r="D610" s="1"/>
      <c r="E610" s="1"/>
      <c r="F610" s="1"/>
      <c r="G610" s="1"/>
      <c r="H610" s="1"/>
      <c r="I610" s="61"/>
      <c r="J610" s="1"/>
      <c r="K610" s="1"/>
    </row>
    <row r="611" spans="1:11" ht="15.75" customHeight="1">
      <c r="A611" s="2"/>
      <c r="B611" s="1"/>
      <c r="C611" s="1"/>
      <c r="D611" s="1"/>
      <c r="E611" s="1"/>
      <c r="F611" s="1"/>
      <c r="G611" s="1"/>
      <c r="H611" s="1"/>
      <c r="I611" s="61"/>
      <c r="J611" s="1"/>
      <c r="K611" s="1"/>
    </row>
    <row r="612" spans="1:11" ht="15.75" customHeight="1">
      <c r="A612" s="2"/>
      <c r="B612" s="1"/>
      <c r="C612" s="1"/>
      <c r="D612" s="1"/>
      <c r="E612" s="1"/>
      <c r="F612" s="1"/>
      <c r="G612" s="1"/>
      <c r="H612" s="1"/>
      <c r="I612" s="61"/>
      <c r="J612" s="1"/>
      <c r="K612" s="1"/>
    </row>
    <row r="613" spans="1:11" ht="15.75" customHeight="1">
      <c r="A613" s="2"/>
      <c r="B613" s="1"/>
      <c r="C613" s="1"/>
      <c r="D613" s="1"/>
      <c r="E613" s="1"/>
      <c r="F613" s="1"/>
      <c r="G613" s="1"/>
      <c r="H613" s="1"/>
      <c r="I613" s="61"/>
      <c r="J613" s="1"/>
      <c r="K613" s="1"/>
    </row>
    <row r="614" spans="1:11" ht="15.75" customHeight="1">
      <c r="A614" s="2"/>
      <c r="B614" s="1"/>
      <c r="C614" s="1"/>
      <c r="D614" s="1"/>
      <c r="E614" s="1"/>
      <c r="F614" s="1"/>
      <c r="G614" s="1"/>
      <c r="H614" s="1"/>
      <c r="I614" s="61"/>
      <c r="J614" s="1"/>
      <c r="K614" s="1"/>
    </row>
    <row r="615" spans="1:11" ht="15.75" customHeight="1">
      <c r="A615" s="2"/>
      <c r="B615" s="1"/>
      <c r="C615" s="1"/>
      <c r="D615" s="1"/>
      <c r="E615" s="1"/>
      <c r="F615" s="1"/>
      <c r="G615" s="1"/>
      <c r="H615" s="1"/>
      <c r="I615" s="61"/>
      <c r="J615" s="1"/>
      <c r="K615" s="1"/>
    </row>
    <row r="616" spans="1:11" ht="15.75" customHeight="1">
      <c r="A616" s="2"/>
      <c r="B616" s="1"/>
      <c r="C616" s="1"/>
      <c r="D616" s="1"/>
      <c r="E616" s="1"/>
      <c r="F616" s="1"/>
      <c r="G616" s="1"/>
      <c r="H616" s="1"/>
      <c r="I616" s="61"/>
      <c r="J616" s="1"/>
      <c r="K616" s="1"/>
    </row>
    <row r="617" spans="1:11" ht="15.75" customHeight="1">
      <c r="A617" s="2"/>
      <c r="B617" s="1"/>
      <c r="C617" s="1"/>
      <c r="D617" s="1"/>
      <c r="E617" s="1"/>
      <c r="F617" s="1"/>
      <c r="G617" s="1"/>
      <c r="H617" s="1"/>
      <c r="I617" s="61"/>
      <c r="J617" s="1"/>
      <c r="K617" s="1"/>
    </row>
    <row r="618" spans="1:11" ht="15.75" customHeight="1">
      <c r="A618" s="2"/>
      <c r="B618" s="1"/>
      <c r="C618" s="1"/>
      <c r="D618" s="1"/>
      <c r="E618" s="1"/>
      <c r="F618" s="1"/>
      <c r="G618" s="1"/>
      <c r="H618" s="1"/>
      <c r="I618" s="61"/>
      <c r="J618" s="1"/>
      <c r="K618" s="1"/>
    </row>
    <row r="619" spans="1:11" ht="15.75" customHeight="1">
      <c r="A619" s="2"/>
      <c r="B619" s="1"/>
      <c r="C619" s="1"/>
      <c r="D619" s="1"/>
      <c r="E619" s="1"/>
      <c r="F619" s="1"/>
      <c r="G619" s="1"/>
      <c r="H619" s="1"/>
      <c r="I619" s="61"/>
      <c r="J619" s="1"/>
      <c r="K619" s="1"/>
    </row>
    <row r="620" spans="1:11" ht="15.75" customHeight="1">
      <c r="A620" s="2"/>
      <c r="B620" s="1"/>
      <c r="C620" s="1"/>
      <c r="D620" s="1"/>
      <c r="E620" s="1"/>
      <c r="F620" s="1"/>
      <c r="G620" s="1"/>
      <c r="H620" s="1"/>
      <c r="I620" s="61"/>
      <c r="J620" s="1"/>
      <c r="K620" s="1"/>
    </row>
    <row r="621" spans="1:11" ht="15.75" customHeight="1">
      <c r="A621" s="2"/>
      <c r="B621" s="1"/>
      <c r="C621" s="1"/>
      <c r="D621" s="1"/>
      <c r="E621" s="1"/>
      <c r="F621" s="1"/>
      <c r="G621" s="1"/>
      <c r="H621" s="1"/>
      <c r="I621" s="61"/>
      <c r="J621" s="1"/>
      <c r="K621" s="1"/>
    </row>
    <row r="622" spans="1:11" ht="15.75" customHeight="1">
      <c r="A622" s="2"/>
      <c r="B622" s="1"/>
      <c r="C622" s="1"/>
      <c r="D622" s="1"/>
      <c r="E622" s="1"/>
      <c r="F622" s="1"/>
      <c r="G622" s="1"/>
      <c r="H622" s="1"/>
      <c r="I622" s="61"/>
      <c r="J622" s="1"/>
      <c r="K622" s="1"/>
    </row>
    <row r="623" spans="1:11" ht="15.75" customHeight="1">
      <c r="A623" s="2"/>
      <c r="B623" s="1"/>
      <c r="C623" s="1"/>
      <c r="D623" s="1"/>
      <c r="E623" s="1"/>
      <c r="F623" s="1"/>
      <c r="G623" s="1"/>
      <c r="H623" s="1"/>
      <c r="I623" s="61"/>
      <c r="J623" s="1"/>
      <c r="K623" s="1"/>
    </row>
    <row r="624" spans="1:11" ht="15.75" customHeight="1">
      <c r="A624" s="2"/>
      <c r="B624" s="1"/>
      <c r="C624" s="1"/>
      <c r="D624" s="1"/>
      <c r="E624" s="1"/>
      <c r="F624" s="1"/>
      <c r="G624" s="1"/>
      <c r="H624" s="1"/>
      <c r="I624" s="61"/>
      <c r="J624" s="1"/>
      <c r="K624" s="1"/>
    </row>
    <row r="625" spans="1:11" ht="15.75" customHeight="1">
      <c r="A625" s="2"/>
      <c r="B625" s="1"/>
      <c r="C625" s="1"/>
      <c r="D625" s="1"/>
      <c r="E625" s="1"/>
      <c r="F625" s="1"/>
      <c r="G625" s="1"/>
      <c r="H625" s="1"/>
      <c r="I625" s="61"/>
      <c r="J625" s="1"/>
      <c r="K625" s="1"/>
    </row>
    <row r="626" spans="1:11" ht="15.75" customHeight="1">
      <c r="A626" s="2"/>
      <c r="B626" s="1"/>
      <c r="C626" s="1"/>
      <c r="D626" s="1"/>
      <c r="E626" s="1"/>
      <c r="F626" s="1"/>
      <c r="G626" s="1"/>
      <c r="H626" s="1"/>
      <c r="I626" s="61"/>
      <c r="J626" s="1"/>
      <c r="K626" s="1"/>
    </row>
    <row r="627" spans="1:11" ht="15.75" customHeight="1">
      <c r="A627" s="2"/>
      <c r="B627" s="1"/>
      <c r="C627" s="1"/>
      <c r="D627" s="1"/>
      <c r="E627" s="1"/>
      <c r="F627" s="1"/>
      <c r="G627" s="1"/>
      <c r="H627" s="1"/>
      <c r="I627" s="61"/>
      <c r="J627" s="1"/>
      <c r="K627" s="1"/>
    </row>
    <row r="628" spans="1:11" ht="15.75" customHeight="1">
      <c r="A628" s="2"/>
      <c r="B628" s="1"/>
      <c r="C628" s="1"/>
      <c r="D628" s="1"/>
      <c r="E628" s="1"/>
      <c r="F628" s="1"/>
      <c r="G628" s="1"/>
      <c r="H628" s="1"/>
      <c r="I628" s="61"/>
      <c r="J628" s="1"/>
      <c r="K628" s="1"/>
    </row>
    <row r="629" spans="1:11" ht="15.75" customHeight="1">
      <c r="A629" s="2"/>
      <c r="B629" s="1"/>
      <c r="C629" s="1"/>
      <c r="D629" s="1"/>
      <c r="E629" s="1"/>
      <c r="F629" s="1"/>
      <c r="G629" s="1"/>
      <c r="H629" s="1"/>
      <c r="I629" s="61"/>
      <c r="J629" s="1"/>
      <c r="K629" s="1"/>
    </row>
    <row r="630" spans="1:11" ht="15.75" customHeight="1">
      <c r="A630" s="2"/>
      <c r="B630" s="1"/>
      <c r="C630" s="1"/>
      <c r="D630" s="1"/>
      <c r="E630" s="1"/>
      <c r="F630" s="1"/>
      <c r="G630" s="1"/>
      <c r="H630" s="1"/>
      <c r="I630" s="61"/>
      <c r="J630" s="1"/>
      <c r="K630" s="1"/>
    </row>
    <row r="631" spans="1:11" ht="15.75" customHeight="1">
      <c r="A631" s="2"/>
      <c r="B631" s="1"/>
      <c r="C631" s="1"/>
      <c r="D631" s="1"/>
      <c r="E631" s="1"/>
      <c r="F631" s="1"/>
      <c r="G631" s="1"/>
      <c r="H631" s="1"/>
      <c r="I631" s="61"/>
      <c r="J631" s="1"/>
      <c r="K631" s="1"/>
    </row>
    <row r="632" spans="1:11" ht="15.75" customHeight="1">
      <c r="A632" s="2"/>
      <c r="B632" s="1"/>
      <c r="C632" s="1"/>
      <c r="D632" s="1"/>
      <c r="E632" s="1"/>
      <c r="F632" s="1"/>
      <c r="G632" s="1"/>
      <c r="H632" s="1"/>
      <c r="I632" s="61"/>
      <c r="J632" s="1"/>
      <c r="K632" s="1"/>
    </row>
    <row r="633" spans="1:11" ht="15.75" customHeight="1">
      <c r="A633" s="2"/>
      <c r="B633" s="1"/>
      <c r="C633" s="1"/>
      <c r="D633" s="1"/>
      <c r="E633" s="1"/>
      <c r="F633" s="1"/>
      <c r="G633" s="1"/>
      <c r="H633" s="1"/>
      <c r="I633" s="61"/>
      <c r="J633" s="1"/>
      <c r="K633" s="1"/>
    </row>
    <row r="634" spans="1:11" ht="15.75" customHeight="1">
      <c r="A634" s="2"/>
      <c r="B634" s="1"/>
      <c r="C634" s="1"/>
      <c r="D634" s="1"/>
      <c r="E634" s="1"/>
      <c r="F634" s="1"/>
      <c r="G634" s="1"/>
      <c r="H634" s="1"/>
      <c r="I634" s="61"/>
      <c r="J634" s="1"/>
      <c r="K634" s="1"/>
    </row>
    <row r="635" spans="1:11" ht="15.75" customHeight="1">
      <c r="A635" s="2"/>
      <c r="B635" s="1"/>
      <c r="C635" s="1"/>
      <c r="D635" s="1"/>
      <c r="E635" s="1"/>
      <c r="F635" s="1"/>
      <c r="G635" s="1"/>
      <c r="H635" s="1"/>
      <c r="I635" s="61"/>
      <c r="J635" s="1"/>
      <c r="K635" s="1"/>
    </row>
    <row r="636" spans="1:11" ht="15.75" customHeight="1">
      <c r="A636" s="2"/>
      <c r="B636" s="1"/>
      <c r="C636" s="1"/>
      <c r="D636" s="1"/>
      <c r="E636" s="1"/>
      <c r="F636" s="1"/>
      <c r="G636" s="1"/>
      <c r="H636" s="1"/>
      <c r="I636" s="61"/>
      <c r="J636" s="1"/>
      <c r="K636" s="1"/>
    </row>
    <row r="637" spans="1:11" ht="15.75" customHeight="1">
      <c r="A637" s="2"/>
      <c r="B637" s="1"/>
      <c r="C637" s="1"/>
      <c r="D637" s="1"/>
      <c r="E637" s="1"/>
      <c r="F637" s="1"/>
      <c r="G637" s="1"/>
      <c r="H637" s="1"/>
      <c r="I637" s="61"/>
      <c r="J637" s="1"/>
      <c r="K637" s="1"/>
    </row>
    <row r="638" spans="1:11" ht="15.75" customHeight="1">
      <c r="A638" s="2"/>
      <c r="B638" s="1"/>
      <c r="C638" s="1"/>
      <c r="D638" s="1"/>
      <c r="E638" s="1"/>
      <c r="F638" s="1"/>
      <c r="G638" s="1"/>
      <c r="H638" s="1"/>
      <c r="I638" s="61"/>
      <c r="J638" s="1"/>
      <c r="K638" s="1"/>
    </row>
    <row r="639" spans="1:11" ht="15.75" customHeight="1">
      <c r="A639" s="2"/>
      <c r="B639" s="1"/>
      <c r="C639" s="1"/>
      <c r="D639" s="1"/>
      <c r="E639" s="1"/>
      <c r="F639" s="1"/>
      <c r="G639" s="1"/>
      <c r="H639" s="1"/>
      <c r="I639" s="61"/>
      <c r="J639" s="1"/>
      <c r="K639" s="1"/>
    </row>
    <row r="640" spans="1:11" ht="15.75" customHeight="1">
      <c r="A640" s="2"/>
      <c r="B640" s="1"/>
      <c r="C640" s="1"/>
      <c r="D640" s="1"/>
      <c r="E640" s="1"/>
      <c r="F640" s="1"/>
      <c r="G640" s="1"/>
      <c r="H640" s="1"/>
      <c r="I640" s="61"/>
      <c r="J640" s="1"/>
      <c r="K640" s="1"/>
    </row>
    <row r="641" spans="1:11" ht="15.75" customHeight="1">
      <c r="A641" s="2"/>
      <c r="B641" s="1"/>
      <c r="C641" s="1"/>
      <c r="D641" s="1"/>
      <c r="E641" s="1"/>
      <c r="F641" s="1"/>
      <c r="G641" s="1"/>
      <c r="H641" s="1"/>
      <c r="I641" s="61"/>
      <c r="J641" s="1"/>
      <c r="K641" s="1"/>
    </row>
    <row r="642" spans="1:11" ht="15.75" customHeight="1">
      <c r="A642" s="2"/>
      <c r="B642" s="1"/>
      <c r="C642" s="1"/>
      <c r="D642" s="1"/>
      <c r="E642" s="1"/>
      <c r="F642" s="1"/>
      <c r="G642" s="1"/>
      <c r="H642" s="1"/>
      <c r="I642" s="61"/>
      <c r="J642" s="1"/>
      <c r="K642" s="1"/>
    </row>
    <row r="643" spans="1:11" ht="15.75" customHeight="1">
      <c r="A643" s="2"/>
      <c r="B643" s="1"/>
      <c r="C643" s="1"/>
      <c r="D643" s="1"/>
      <c r="E643" s="1"/>
      <c r="F643" s="1"/>
      <c r="G643" s="1"/>
      <c r="H643" s="1"/>
      <c r="I643" s="61"/>
      <c r="J643" s="1"/>
      <c r="K643" s="1"/>
    </row>
    <row r="644" spans="1:11" ht="15.75" customHeight="1">
      <c r="A644" s="2"/>
      <c r="B644" s="1"/>
      <c r="C644" s="1"/>
      <c r="D644" s="1"/>
      <c r="E644" s="1"/>
      <c r="F644" s="1"/>
      <c r="G644" s="1"/>
      <c r="H644" s="1"/>
      <c r="I644" s="61"/>
      <c r="J644" s="1"/>
      <c r="K644" s="1"/>
    </row>
    <row r="645" spans="1:11" ht="15.75" customHeight="1">
      <c r="A645" s="2"/>
      <c r="B645" s="1"/>
      <c r="C645" s="1"/>
      <c r="D645" s="1"/>
      <c r="E645" s="1"/>
      <c r="F645" s="1"/>
      <c r="G645" s="1"/>
      <c r="H645" s="1"/>
      <c r="I645" s="61"/>
      <c r="J645" s="1"/>
      <c r="K645" s="1"/>
    </row>
    <row r="646" spans="1:11" ht="15.75" customHeight="1">
      <c r="A646" s="2"/>
      <c r="B646" s="1"/>
      <c r="C646" s="1"/>
      <c r="D646" s="1"/>
      <c r="E646" s="1"/>
      <c r="F646" s="1"/>
      <c r="G646" s="1"/>
      <c r="H646" s="1"/>
      <c r="I646" s="61"/>
      <c r="J646" s="1"/>
      <c r="K646" s="1"/>
    </row>
    <row r="647" spans="1:11" ht="15.75" customHeight="1">
      <c r="A647" s="2"/>
      <c r="B647" s="1"/>
      <c r="C647" s="1"/>
      <c r="D647" s="1"/>
      <c r="E647" s="1"/>
      <c r="F647" s="1"/>
      <c r="G647" s="1"/>
      <c r="H647" s="1"/>
      <c r="I647" s="61"/>
      <c r="J647" s="1"/>
      <c r="K647" s="1"/>
    </row>
    <row r="648" spans="1:11" ht="15.75" customHeight="1">
      <c r="A648" s="2"/>
      <c r="B648" s="1"/>
      <c r="C648" s="1"/>
      <c r="D648" s="1"/>
      <c r="E648" s="1"/>
      <c r="F648" s="1"/>
      <c r="G648" s="1"/>
      <c r="H648" s="1"/>
      <c r="I648" s="61"/>
      <c r="J648" s="1"/>
      <c r="K648" s="1"/>
    </row>
    <row r="649" spans="1:11" ht="15.75" customHeight="1">
      <c r="A649" s="2"/>
      <c r="B649" s="1"/>
      <c r="C649" s="1"/>
      <c r="D649" s="1"/>
      <c r="E649" s="1"/>
      <c r="F649" s="1"/>
      <c r="G649" s="1"/>
      <c r="H649" s="1"/>
      <c r="I649" s="61"/>
      <c r="J649" s="1"/>
      <c r="K649" s="1"/>
    </row>
    <row r="650" spans="1:11" ht="15.75" customHeight="1">
      <c r="A650" s="2"/>
      <c r="B650" s="1"/>
      <c r="C650" s="1"/>
      <c r="D650" s="1"/>
      <c r="E650" s="1"/>
      <c r="F650" s="1"/>
      <c r="G650" s="1"/>
      <c r="H650" s="1"/>
      <c r="I650" s="61"/>
      <c r="J650" s="1"/>
      <c r="K650" s="1"/>
    </row>
    <row r="651" spans="1:11" ht="15.75" customHeight="1">
      <c r="A651" s="2"/>
      <c r="B651" s="1"/>
      <c r="C651" s="1"/>
      <c r="D651" s="1"/>
      <c r="E651" s="1"/>
      <c r="F651" s="1"/>
      <c r="G651" s="1"/>
      <c r="H651" s="1"/>
      <c r="I651" s="61"/>
      <c r="J651" s="1"/>
      <c r="K651" s="1"/>
    </row>
    <row r="652" spans="1:11" ht="15.75" customHeight="1">
      <c r="A652" s="2"/>
      <c r="B652" s="1"/>
      <c r="C652" s="1"/>
      <c r="D652" s="1"/>
      <c r="E652" s="1"/>
      <c r="F652" s="1"/>
      <c r="G652" s="1"/>
      <c r="H652" s="1"/>
      <c r="I652" s="61"/>
      <c r="J652" s="1"/>
      <c r="K652" s="1"/>
    </row>
    <row r="653" spans="1:11" ht="15.75" customHeight="1">
      <c r="A653" s="2"/>
      <c r="B653" s="1"/>
      <c r="C653" s="1"/>
      <c r="D653" s="1"/>
      <c r="E653" s="1"/>
      <c r="F653" s="1"/>
      <c r="G653" s="1"/>
      <c r="H653" s="1"/>
      <c r="I653" s="61"/>
      <c r="J653" s="1"/>
      <c r="K653" s="1"/>
    </row>
    <row r="654" spans="1:11" ht="15.75" customHeight="1">
      <c r="A654" s="2"/>
      <c r="B654" s="1"/>
      <c r="C654" s="1"/>
      <c r="D654" s="1"/>
      <c r="E654" s="1"/>
      <c r="F654" s="1"/>
      <c r="G654" s="1"/>
      <c r="H654" s="1"/>
      <c r="I654" s="61"/>
      <c r="J654" s="1"/>
      <c r="K654" s="1"/>
    </row>
    <row r="655" spans="1:11" ht="15.75" customHeight="1">
      <c r="A655" s="2"/>
      <c r="B655" s="1"/>
      <c r="C655" s="1"/>
      <c r="D655" s="1"/>
      <c r="E655" s="1"/>
      <c r="F655" s="1"/>
      <c r="G655" s="1"/>
      <c r="H655" s="1"/>
      <c r="I655" s="61"/>
      <c r="J655" s="1"/>
      <c r="K655" s="1"/>
    </row>
    <row r="656" spans="1:11" ht="15.75" customHeight="1">
      <c r="A656" s="2"/>
      <c r="B656" s="1"/>
      <c r="C656" s="1"/>
      <c r="D656" s="1"/>
      <c r="E656" s="1"/>
      <c r="F656" s="1"/>
      <c r="G656" s="1"/>
      <c r="H656" s="1"/>
      <c r="I656" s="61"/>
      <c r="J656" s="1"/>
      <c r="K656" s="1"/>
    </row>
    <row r="657" spans="1:11" ht="15.75" customHeight="1">
      <c r="A657" s="2"/>
      <c r="B657" s="1"/>
      <c r="C657" s="1"/>
      <c r="D657" s="1"/>
      <c r="E657" s="1"/>
      <c r="F657" s="1"/>
      <c r="G657" s="1"/>
      <c r="H657" s="1"/>
      <c r="I657" s="61"/>
      <c r="J657" s="1"/>
      <c r="K657" s="1"/>
    </row>
    <row r="658" spans="1:11" ht="15.75" customHeight="1">
      <c r="A658" s="2"/>
      <c r="B658" s="1"/>
      <c r="C658" s="1"/>
      <c r="D658" s="1"/>
      <c r="E658" s="1"/>
      <c r="F658" s="1"/>
      <c r="G658" s="1"/>
      <c r="H658" s="1"/>
      <c r="I658" s="61"/>
      <c r="J658" s="1"/>
      <c r="K658" s="1"/>
    </row>
    <row r="659" spans="1:11" ht="15.75" customHeight="1">
      <c r="A659" s="2"/>
      <c r="B659" s="1"/>
      <c r="C659" s="1"/>
      <c r="D659" s="1"/>
      <c r="E659" s="1"/>
      <c r="F659" s="1"/>
      <c r="G659" s="1"/>
      <c r="H659" s="1"/>
      <c r="I659" s="61"/>
      <c r="J659" s="1"/>
      <c r="K659" s="1"/>
    </row>
    <row r="660" spans="1:11" ht="15.75" customHeight="1">
      <c r="A660" s="2"/>
      <c r="B660" s="1"/>
      <c r="C660" s="1"/>
      <c r="D660" s="1"/>
      <c r="E660" s="1"/>
      <c r="F660" s="1"/>
      <c r="G660" s="1"/>
      <c r="H660" s="1"/>
      <c r="I660" s="61"/>
      <c r="J660" s="1"/>
      <c r="K660" s="1"/>
    </row>
    <row r="661" spans="1:11" ht="15.75" customHeight="1">
      <c r="A661" s="2"/>
      <c r="B661" s="1"/>
      <c r="C661" s="1"/>
      <c r="D661" s="1"/>
      <c r="E661" s="1"/>
      <c r="F661" s="1"/>
      <c r="G661" s="1"/>
      <c r="H661" s="1"/>
      <c r="I661" s="61"/>
      <c r="J661" s="1"/>
      <c r="K661" s="1"/>
    </row>
    <row r="662" spans="1:11" ht="15.75" customHeight="1">
      <c r="A662" s="2"/>
      <c r="B662" s="1"/>
      <c r="C662" s="1"/>
      <c r="D662" s="1"/>
      <c r="E662" s="1"/>
      <c r="F662" s="1"/>
      <c r="G662" s="1"/>
      <c r="H662" s="1"/>
      <c r="I662" s="61"/>
      <c r="J662" s="1"/>
      <c r="K662" s="1"/>
    </row>
    <row r="663" spans="1:11" ht="15.75" customHeight="1">
      <c r="A663" s="2"/>
      <c r="B663" s="1"/>
      <c r="C663" s="1"/>
      <c r="D663" s="1"/>
      <c r="E663" s="1"/>
      <c r="F663" s="1"/>
      <c r="G663" s="1"/>
      <c r="H663" s="1"/>
      <c r="I663" s="61"/>
      <c r="J663" s="1"/>
      <c r="K663" s="1"/>
    </row>
    <row r="664" spans="1:11" ht="15.75" customHeight="1">
      <c r="A664" s="2"/>
      <c r="B664" s="1"/>
      <c r="C664" s="1"/>
      <c r="D664" s="1"/>
      <c r="E664" s="1"/>
      <c r="F664" s="1"/>
      <c r="G664" s="1"/>
      <c r="H664" s="1"/>
      <c r="I664" s="61"/>
      <c r="J664" s="1"/>
      <c r="K664" s="1"/>
    </row>
    <row r="665" spans="1:11" ht="15.75" customHeight="1">
      <c r="A665" s="2"/>
      <c r="B665" s="1"/>
      <c r="C665" s="1"/>
      <c r="D665" s="1"/>
      <c r="E665" s="1"/>
      <c r="F665" s="1"/>
      <c r="G665" s="1"/>
      <c r="H665" s="1"/>
      <c r="I665" s="61"/>
      <c r="J665" s="1"/>
      <c r="K665" s="1"/>
    </row>
    <row r="666" spans="1:11" ht="15.75" customHeight="1">
      <c r="A666" s="2"/>
      <c r="B666" s="1"/>
      <c r="C666" s="1"/>
      <c r="D666" s="1"/>
      <c r="E666" s="1"/>
      <c r="F666" s="1"/>
      <c r="G666" s="1"/>
      <c r="H666" s="1"/>
      <c r="I666" s="61"/>
      <c r="J666" s="1"/>
      <c r="K666" s="1"/>
    </row>
    <row r="667" spans="1:11" ht="15.75" customHeight="1">
      <c r="A667" s="2"/>
      <c r="B667" s="1"/>
      <c r="C667" s="1"/>
      <c r="D667" s="1"/>
      <c r="E667" s="1"/>
      <c r="F667" s="1"/>
      <c r="G667" s="1"/>
      <c r="H667" s="1"/>
      <c r="I667" s="61"/>
      <c r="J667" s="1"/>
      <c r="K667" s="1"/>
    </row>
    <row r="668" spans="1:11" ht="15.75" customHeight="1">
      <c r="A668" s="2"/>
      <c r="B668" s="1"/>
      <c r="C668" s="1"/>
      <c r="D668" s="1"/>
      <c r="E668" s="1"/>
      <c r="F668" s="1"/>
      <c r="G668" s="1"/>
      <c r="H668" s="1"/>
      <c r="I668" s="61"/>
      <c r="J668" s="1"/>
      <c r="K668" s="1"/>
    </row>
    <row r="669" spans="1:11" ht="15.75" customHeight="1">
      <c r="A669" s="2"/>
      <c r="B669" s="1"/>
      <c r="C669" s="1"/>
      <c r="D669" s="1"/>
      <c r="E669" s="1"/>
      <c r="F669" s="1"/>
      <c r="G669" s="1"/>
      <c r="H669" s="1"/>
      <c r="I669" s="61"/>
      <c r="J669" s="1"/>
      <c r="K669" s="1"/>
    </row>
    <row r="670" spans="1:11" ht="15.75" customHeight="1">
      <c r="A670" s="2"/>
      <c r="B670" s="1"/>
      <c r="C670" s="1"/>
      <c r="D670" s="1"/>
      <c r="E670" s="1"/>
      <c r="F670" s="1"/>
      <c r="G670" s="1"/>
      <c r="H670" s="1"/>
      <c r="I670" s="61"/>
      <c r="J670" s="1"/>
      <c r="K670" s="1"/>
    </row>
    <row r="671" spans="1:11" ht="15.75" customHeight="1">
      <c r="A671" s="2"/>
      <c r="B671" s="1"/>
      <c r="C671" s="1"/>
      <c r="D671" s="1"/>
      <c r="E671" s="1"/>
      <c r="F671" s="1"/>
      <c r="G671" s="1"/>
      <c r="H671" s="1"/>
      <c r="I671" s="61"/>
      <c r="J671" s="1"/>
      <c r="K671" s="1"/>
    </row>
    <row r="672" spans="1:11" ht="15.75" customHeight="1">
      <c r="A672" s="2"/>
      <c r="B672" s="1"/>
      <c r="C672" s="1"/>
      <c r="D672" s="1"/>
      <c r="E672" s="1"/>
      <c r="F672" s="1"/>
      <c r="G672" s="1"/>
      <c r="H672" s="1"/>
      <c r="I672" s="61"/>
      <c r="J672" s="1"/>
      <c r="K672" s="1"/>
    </row>
    <row r="673" spans="1:11" ht="15.75" customHeight="1">
      <c r="A673" s="2"/>
      <c r="B673" s="1"/>
      <c r="C673" s="1"/>
      <c r="D673" s="1"/>
      <c r="E673" s="1"/>
      <c r="F673" s="1"/>
      <c r="G673" s="1"/>
      <c r="H673" s="1"/>
      <c r="I673" s="61"/>
      <c r="J673" s="1"/>
      <c r="K673" s="1"/>
    </row>
    <row r="674" spans="1:11" ht="15.75" customHeight="1">
      <c r="A674" s="2"/>
      <c r="B674" s="1"/>
      <c r="C674" s="1"/>
      <c r="D674" s="1"/>
      <c r="E674" s="1"/>
      <c r="F674" s="1"/>
      <c r="G674" s="1"/>
      <c r="H674" s="1"/>
      <c r="I674" s="61"/>
      <c r="J674" s="1"/>
      <c r="K674" s="1"/>
    </row>
    <row r="675" spans="1:11" ht="15.75" customHeight="1">
      <c r="A675" s="2"/>
      <c r="B675" s="1"/>
      <c r="C675" s="1"/>
      <c r="D675" s="1"/>
      <c r="E675" s="1"/>
      <c r="F675" s="1"/>
      <c r="G675" s="1"/>
      <c r="H675" s="1"/>
      <c r="I675" s="61"/>
      <c r="J675" s="1"/>
      <c r="K675" s="1"/>
    </row>
    <row r="676" spans="1:11" ht="15.75" customHeight="1">
      <c r="A676" s="2"/>
      <c r="B676" s="1"/>
      <c r="C676" s="1"/>
      <c r="D676" s="1"/>
      <c r="E676" s="1"/>
      <c r="F676" s="1"/>
      <c r="G676" s="1"/>
      <c r="H676" s="1"/>
      <c r="I676" s="61"/>
      <c r="J676" s="1"/>
      <c r="K676" s="1"/>
    </row>
    <row r="677" spans="1:11" ht="15.75" customHeight="1">
      <c r="A677" s="2"/>
      <c r="B677" s="1"/>
      <c r="C677" s="1"/>
      <c r="D677" s="1"/>
      <c r="E677" s="1"/>
      <c r="F677" s="1"/>
      <c r="G677" s="1"/>
      <c r="H677" s="1"/>
      <c r="I677" s="61"/>
      <c r="J677" s="1"/>
      <c r="K677" s="1"/>
    </row>
    <row r="678" spans="1:11" ht="15.75" customHeight="1">
      <c r="A678" s="2"/>
      <c r="B678" s="1"/>
      <c r="C678" s="1"/>
      <c r="D678" s="1"/>
      <c r="E678" s="1"/>
      <c r="F678" s="1"/>
      <c r="G678" s="1"/>
      <c r="H678" s="1"/>
      <c r="I678" s="61"/>
      <c r="J678" s="1"/>
      <c r="K678" s="1"/>
    </row>
    <row r="679" spans="1:11" ht="15.75" customHeight="1">
      <c r="A679" s="2"/>
      <c r="B679" s="1"/>
      <c r="C679" s="1"/>
      <c r="D679" s="1"/>
      <c r="E679" s="1"/>
      <c r="F679" s="1"/>
      <c r="G679" s="1"/>
      <c r="H679" s="1"/>
      <c r="I679" s="61"/>
      <c r="J679" s="1"/>
      <c r="K679" s="1"/>
    </row>
    <row r="680" spans="1:11" ht="15.75" customHeight="1">
      <c r="A680" s="2"/>
      <c r="B680" s="1"/>
      <c r="C680" s="1"/>
      <c r="D680" s="1"/>
      <c r="E680" s="1"/>
      <c r="F680" s="1"/>
      <c r="G680" s="1"/>
      <c r="H680" s="1"/>
      <c r="I680" s="61"/>
      <c r="J680" s="1"/>
      <c r="K680" s="1"/>
    </row>
    <row r="681" spans="1:11" ht="15.75" customHeight="1">
      <c r="A681" s="2"/>
      <c r="B681" s="1"/>
      <c r="C681" s="1"/>
      <c r="D681" s="1"/>
      <c r="E681" s="1"/>
      <c r="F681" s="1"/>
      <c r="G681" s="1"/>
      <c r="H681" s="1"/>
      <c r="I681" s="61"/>
      <c r="J681" s="1"/>
      <c r="K681" s="1"/>
    </row>
    <row r="682" spans="1:11" ht="15.75" customHeight="1">
      <c r="A682" s="2"/>
      <c r="B682" s="1"/>
      <c r="C682" s="1"/>
      <c r="D682" s="1"/>
      <c r="E682" s="1"/>
      <c r="F682" s="1"/>
      <c r="G682" s="1"/>
      <c r="H682" s="1"/>
      <c r="I682" s="61"/>
      <c r="J682" s="1"/>
      <c r="K682" s="1"/>
    </row>
    <row r="683" spans="1:11" ht="15.75" customHeight="1">
      <c r="A683" s="2"/>
      <c r="B683" s="1"/>
      <c r="C683" s="1"/>
      <c r="D683" s="1"/>
      <c r="E683" s="1"/>
      <c r="F683" s="1"/>
      <c r="G683" s="1"/>
      <c r="H683" s="1"/>
      <c r="I683" s="61"/>
      <c r="J683" s="1"/>
      <c r="K683" s="1"/>
    </row>
    <row r="684" spans="1:11" ht="15.75" customHeight="1">
      <c r="A684" s="2"/>
      <c r="B684" s="1"/>
      <c r="C684" s="1"/>
      <c r="D684" s="1"/>
      <c r="E684" s="1"/>
      <c r="F684" s="1"/>
      <c r="G684" s="1"/>
      <c r="H684" s="1"/>
      <c r="I684" s="61"/>
      <c r="J684" s="1"/>
      <c r="K684" s="1"/>
    </row>
    <row r="685" spans="1:11" ht="15.75" customHeight="1">
      <c r="A685" s="2"/>
      <c r="B685" s="1"/>
      <c r="C685" s="1"/>
      <c r="D685" s="1"/>
      <c r="E685" s="1"/>
      <c r="F685" s="1"/>
      <c r="G685" s="1"/>
      <c r="H685" s="1"/>
      <c r="I685" s="61"/>
      <c r="J685" s="1"/>
      <c r="K685" s="1"/>
    </row>
    <row r="686" spans="1:11" ht="15.75" customHeight="1">
      <c r="A686" s="2"/>
      <c r="B686" s="1"/>
      <c r="C686" s="1"/>
      <c r="D686" s="1"/>
      <c r="E686" s="1"/>
      <c r="F686" s="1"/>
      <c r="G686" s="1"/>
      <c r="H686" s="1"/>
      <c r="I686" s="61"/>
      <c r="J686" s="1"/>
      <c r="K686" s="1"/>
    </row>
    <row r="687" spans="1:11" ht="15.75" customHeight="1">
      <c r="A687" s="2"/>
      <c r="B687" s="1"/>
      <c r="C687" s="1"/>
      <c r="D687" s="1"/>
      <c r="E687" s="1"/>
      <c r="F687" s="1"/>
      <c r="G687" s="1"/>
      <c r="H687" s="1"/>
      <c r="I687" s="61"/>
      <c r="J687" s="1"/>
      <c r="K687" s="1"/>
    </row>
    <row r="688" spans="1:11" ht="15.75" customHeight="1">
      <c r="A688" s="2"/>
      <c r="B688" s="1"/>
      <c r="C688" s="1"/>
      <c r="D688" s="1"/>
      <c r="E688" s="1"/>
      <c r="F688" s="1"/>
      <c r="G688" s="1"/>
      <c r="H688" s="1"/>
      <c r="I688" s="61"/>
      <c r="J688" s="1"/>
      <c r="K688" s="1"/>
    </row>
    <row r="689" spans="1:11" ht="15.75" customHeight="1">
      <c r="A689" s="2"/>
      <c r="B689" s="1"/>
      <c r="C689" s="1"/>
      <c r="D689" s="1"/>
      <c r="E689" s="1"/>
      <c r="F689" s="1"/>
      <c r="G689" s="1"/>
      <c r="H689" s="1"/>
      <c r="I689" s="61"/>
      <c r="J689" s="1"/>
      <c r="K689" s="1"/>
    </row>
    <row r="690" spans="1:11" ht="15.75" customHeight="1">
      <c r="A690" s="2"/>
      <c r="B690" s="1"/>
      <c r="C690" s="1"/>
      <c r="D690" s="1"/>
      <c r="E690" s="1"/>
      <c r="F690" s="1"/>
      <c r="G690" s="1"/>
      <c r="H690" s="1"/>
      <c r="I690" s="61"/>
      <c r="J690" s="1"/>
      <c r="K690" s="1"/>
    </row>
    <row r="691" spans="1:11" ht="15.75" customHeight="1">
      <c r="A691" s="2"/>
      <c r="B691" s="1"/>
      <c r="C691" s="1"/>
      <c r="D691" s="1"/>
      <c r="E691" s="1"/>
      <c r="F691" s="1"/>
      <c r="G691" s="1"/>
      <c r="H691" s="1"/>
      <c r="I691" s="61"/>
      <c r="J691" s="1"/>
      <c r="K691" s="1"/>
    </row>
    <row r="692" spans="1:11" ht="15.75" customHeight="1">
      <c r="A692" s="2"/>
      <c r="B692" s="1"/>
      <c r="C692" s="1"/>
      <c r="D692" s="1"/>
      <c r="E692" s="1"/>
      <c r="F692" s="1"/>
      <c r="G692" s="1"/>
      <c r="H692" s="1"/>
      <c r="I692" s="61"/>
      <c r="J692" s="1"/>
      <c r="K692" s="1"/>
    </row>
    <row r="693" spans="1:11" ht="15.75" customHeight="1">
      <c r="A693" s="2"/>
      <c r="B693" s="1"/>
      <c r="C693" s="1"/>
      <c r="D693" s="1"/>
      <c r="E693" s="1"/>
      <c r="F693" s="1"/>
      <c r="G693" s="1"/>
      <c r="H693" s="1"/>
      <c r="I693" s="61"/>
      <c r="J693" s="1"/>
      <c r="K693" s="1"/>
    </row>
    <row r="694" spans="1:11" ht="15.75" customHeight="1">
      <c r="A694" s="2"/>
      <c r="B694" s="1"/>
      <c r="C694" s="1"/>
      <c r="D694" s="1"/>
      <c r="E694" s="1"/>
      <c r="F694" s="1"/>
      <c r="G694" s="1"/>
      <c r="H694" s="1"/>
      <c r="I694" s="61"/>
      <c r="J694" s="1"/>
      <c r="K694" s="1"/>
    </row>
    <row r="695" spans="1:11" ht="15.75" customHeight="1">
      <c r="A695" s="2"/>
      <c r="B695" s="1"/>
      <c r="C695" s="1"/>
      <c r="D695" s="1"/>
      <c r="E695" s="1"/>
      <c r="F695" s="1"/>
      <c r="G695" s="1"/>
      <c r="H695" s="1"/>
      <c r="I695" s="61"/>
      <c r="J695" s="1"/>
      <c r="K695" s="1"/>
    </row>
    <row r="696" spans="1:11" ht="15.75" customHeight="1">
      <c r="A696" s="2"/>
      <c r="B696" s="1"/>
      <c r="C696" s="1"/>
      <c r="D696" s="1"/>
      <c r="E696" s="1"/>
      <c r="F696" s="1"/>
      <c r="G696" s="1"/>
      <c r="H696" s="1"/>
      <c r="I696" s="61"/>
      <c r="J696" s="1"/>
      <c r="K696" s="1"/>
    </row>
    <row r="697" spans="1:11" ht="15.75" customHeight="1">
      <c r="A697" s="2"/>
      <c r="B697" s="1"/>
      <c r="C697" s="1"/>
      <c r="D697" s="1"/>
      <c r="E697" s="1"/>
      <c r="F697" s="1"/>
      <c r="G697" s="1"/>
      <c r="H697" s="1"/>
      <c r="I697" s="61"/>
      <c r="J697" s="1"/>
      <c r="K697" s="1"/>
    </row>
    <row r="698" spans="1:11" ht="15.75" customHeight="1">
      <c r="A698" s="2"/>
      <c r="B698" s="1"/>
      <c r="C698" s="1"/>
      <c r="D698" s="1"/>
      <c r="E698" s="1"/>
      <c r="F698" s="1"/>
      <c r="G698" s="1"/>
      <c r="H698" s="1"/>
      <c r="I698" s="61"/>
      <c r="J698" s="1"/>
      <c r="K698" s="1"/>
    </row>
    <row r="699" spans="1:11" ht="15.75" customHeight="1">
      <c r="A699" s="2"/>
      <c r="B699" s="1"/>
      <c r="C699" s="1"/>
      <c r="D699" s="1"/>
      <c r="E699" s="1"/>
      <c r="F699" s="1"/>
      <c r="G699" s="1"/>
      <c r="H699" s="1"/>
      <c r="I699" s="61"/>
      <c r="J699" s="1"/>
      <c r="K699" s="1"/>
    </row>
    <row r="700" spans="1:11" ht="15.75" customHeight="1">
      <c r="A700" s="2"/>
      <c r="B700" s="1"/>
      <c r="C700" s="1"/>
      <c r="D700" s="1"/>
      <c r="E700" s="1"/>
      <c r="F700" s="1"/>
      <c r="G700" s="1"/>
      <c r="H700" s="1"/>
      <c r="I700" s="61"/>
      <c r="J700" s="1"/>
      <c r="K700" s="1"/>
    </row>
    <row r="701" spans="1:11" ht="15.75" customHeight="1">
      <c r="A701" s="2"/>
      <c r="B701" s="1"/>
      <c r="C701" s="1"/>
      <c r="D701" s="1"/>
      <c r="E701" s="1"/>
      <c r="F701" s="1"/>
      <c r="G701" s="1"/>
      <c r="H701" s="1"/>
      <c r="I701" s="61"/>
      <c r="J701" s="1"/>
      <c r="K701" s="1"/>
    </row>
    <row r="702" spans="1:11" ht="15.75" customHeight="1">
      <c r="A702" s="2"/>
      <c r="B702" s="1"/>
      <c r="C702" s="1"/>
      <c r="D702" s="1"/>
      <c r="E702" s="1"/>
      <c r="F702" s="1"/>
      <c r="G702" s="1"/>
      <c r="H702" s="1"/>
      <c r="I702" s="61"/>
      <c r="J702" s="1"/>
      <c r="K702" s="1"/>
    </row>
    <row r="703" spans="1:11" ht="15.75" customHeight="1">
      <c r="A703" s="2"/>
      <c r="B703" s="1"/>
      <c r="C703" s="1"/>
      <c r="D703" s="1"/>
      <c r="E703" s="1"/>
      <c r="F703" s="1"/>
      <c r="G703" s="1"/>
      <c r="H703" s="1"/>
      <c r="I703" s="61"/>
      <c r="J703" s="1"/>
      <c r="K703" s="1"/>
    </row>
    <row r="704" spans="1:11" ht="15.75" customHeight="1">
      <c r="A704" s="2"/>
      <c r="B704" s="1"/>
      <c r="C704" s="1"/>
      <c r="D704" s="1"/>
      <c r="E704" s="1"/>
      <c r="F704" s="1"/>
      <c r="G704" s="1"/>
      <c r="H704" s="1"/>
      <c r="I704" s="61"/>
      <c r="J704" s="1"/>
      <c r="K704" s="1"/>
    </row>
    <row r="705" spans="1:11" ht="15.75" customHeight="1">
      <c r="A705" s="2"/>
      <c r="B705" s="1"/>
      <c r="C705" s="1"/>
      <c r="D705" s="1"/>
      <c r="E705" s="1"/>
      <c r="F705" s="1"/>
      <c r="G705" s="1"/>
      <c r="H705" s="1"/>
      <c r="I705" s="61"/>
      <c r="J705" s="1"/>
      <c r="K705" s="1"/>
    </row>
    <row r="706" spans="1:11" ht="15.75" customHeight="1">
      <c r="A706" s="2"/>
      <c r="B706" s="1"/>
      <c r="C706" s="1"/>
      <c r="D706" s="1"/>
      <c r="E706" s="1"/>
      <c r="F706" s="1"/>
      <c r="G706" s="1"/>
      <c r="H706" s="1"/>
      <c r="I706" s="61"/>
      <c r="J706" s="1"/>
      <c r="K706" s="1"/>
    </row>
    <row r="707" spans="1:11" ht="15.75" customHeight="1">
      <c r="A707" s="2"/>
      <c r="B707" s="1"/>
      <c r="C707" s="1"/>
      <c r="D707" s="1"/>
      <c r="E707" s="1"/>
      <c r="F707" s="1"/>
      <c r="G707" s="1"/>
      <c r="H707" s="1"/>
      <c r="I707" s="61"/>
      <c r="J707" s="1"/>
      <c r="K707" s="1"/>
    </row>
    <row r="708" spans="1:11" ht="15.75" customHeight="1">
      <c r="A708" s="2"/>
      <c r="B708" s="1"/>
      <c r="C708" s="1"/>
      <c r="D708" s="1"/>
      <c r="E708" s="1"/>
      <c r="F708" s="1"/>
      <c r="G708" s="1"/>
      <c r="H708" s="1"/>
      <c r="I708" s="61"/>
      <c r="J708" s="1"/>
      <c r="K708" s="1"/>
    </row>
    <row r="709" spans="1:11" ht="15.75" customHeight="1">
      <c r="A709" s="2"/>
      <c r="B709" s="1"/>
      <c r="C709" s="1"/>
      <c r="D709" s="1"/>
      <c r="E709" s="1"/>
      <c r="F709" s="1"/>
      <c r="G709" s="1"/>
      <c r="H709" s="1"/>
      <c r="I709" s="61"/>
      <c r="J709" s="1"/>
      <c r="K709" s="1"/>
    </row>
    <row r="710" spans="1:11" ht="15.75" customHeight="1">
      <c r="A710" s="2"/>
      <c r="B710" s="1"/>
      <c r="C710" s="1"/>
      <c r="D710" s="1"/>
      <c r="E710" s="1"/>
      <c r="F710" s="1"/>
      <c r="G710" s="1"/>
      <c r="H710" s="1"/>
      <c r="I710" s="61"/>
      <c r="J710" s="1"/>
      <c r="K710" s="1"/>
    </row>
    <row r="711" spans="1:11" ht="15.75" customHeight="1">
      <c r="A711" s="2"/>
      <c r="B711" s="1"/>
      <c r="C711" s="1"/>
      <c r="D711" s="1"/>
      <c r="E711" s="1"/>
      <c r="F711" s="1"/>
      <c r="G711" s="1"/>
      <c r="H711" s="1"/>
      <c r="I711" s="61"/>
      <c r="J711" s="1"/>
      <c r="K711" s="1"/>
    </row>
    <row r="712" spans="1:11" ht="15.75" customHeight="1">
      <c r="A712" s="2"/>
      <c r="B712" s="1"/>
      <c r="C712" s="1"/>
      <c r="D712" s="1"/>
      <c r="E712" s="1"/>
      <c r="F712" s="1"/>
      <c r="G712" s="1"/>
      <c r="H712" s="1"/>
      <c r="I712" s="61"/>
      <c r="J712" s="1"/>
      <c r="K712" s="1"/>
    </row>
    <row r="713" spans="1:11" ht="15.75" customHeight="1">
      <c r="A713" s="2"/>
      <c r="B713" s="1"/>
      <c r="C713" s="1"/>
      <c r="D713" s="1"/>
      <c r="E713" s="1"/>
      <c r="F713" s="1"/>
      <c r="G713" s="1"/>
      <c r="H713" s="1"/>
      <c r="I713" s="61"/>
      <c r="J713" s="1"/>
      <c r="K713" s="1"/>
    </row>
    <row r="714" spans="1:11" ht="15.75" customHeight="1">
      <c r="A714" s="2"/>
      <c r="B714" s="1"/>
      <c r="C714" s="1"/>
      <c r="D714" s="1"/>
      <c r="E714" s="1"/>
      <c r="F714" s="1"/>
      <c r="G714" s="1"/>
      <c r="H714" s="1"/>
      <c r="I714" s="61"/>
      <c r="J714" s="1"/>
      <c r="K714" s="1"/>
    </row>
    <row r="715" spans="1:11" ht="15.75" customHeight="1">
      <c r="A715" s="2"/>
      <c r="B715" s="1"/>
      <c r="C715" s="1"/>
      <c r="D715" s="1"/>
      <c r="E715" s="1"/>
      <c r="F715" s="1"/>
      <c r="G715" s="1"/>
      <c r="H715" s="1"/>
      <c r="I715" s="61"/>
      <c r="J715" s="1"/>
      <c r="K715" s="1"/>
    </row>
    <row r="716" spans="1:11" ht="15.75" customHeight="1">
      <c r="A716" s="2"/>
      <c r="B716" s="1"/>
      <c r="C716" s="1"/>
      <c r="D716" s="1"/>
      <c r="E716" s="1"/>
      <c r="F716" s="1"/>
      <c r="G716" s="1"/>
      <c r="H716" s="1"/>
      <c r="I716" s="61"/>
      <c r="J716" s="1"/>
      <c r="K716" s="1"/>
    </row>
    <row r="717" spans="1:11" ht="15.75" customHeight="1">
      <c r="A717" s="2"/>
      <c r="B717" s="1"/>
      <c r="C717" s="1"/>
      <c r="D717" s="1"/>
      <c r="E717" s="1"/>
      <c r="F717" s="1"/>
      <c r="G717" s="1"/>
      <c r="H717" s="1"/>
      <c r="I717" s="61"/>
      <c r="J717" s="1"/>
      <c r="K717" s="1"/>
    </row>
    <row r="718" spans="1:11" ht="15.75" customHeight="1">
      <c r="A718" s="2"/>
      <c r="B718" s="1"/>
      <c r="C718" s="1"/>
      <c r="D718" s="1"/>
      <c r="E718" s="1"/>
      <c r="F718" s="1"/>
      <c r="G718" s="1"/>
      <c r="H718" s="1"/>
      <c r="I718" s="61"/>
      <c r="J718" s="1"/>
      <c r="K718" s="1"/>
    </row>
    <row r="719" spans="1:11" ht="15.75" customHeight="1">
      <c r="A719" s="2"/>
      <c r="B719" s="1"/>
      <c r="C719" s="1"/>
      <c r="D719" s="1"/>
      <c r="E719" s="1"/>
      <c r="F719" s="1"/>
      <c r="G719" s="1"/>
      <c r="H719" s="1"/>
      <c r="I719" s="61"/>
      <c r="J719" s="1"/>
      <c r="K719" s="1"/>
    </row>
    <row r="720" spans="1:11" ht="15.75" customHeight="1">
      <c r="A720" s="2"/>
      <c r="B720" s="1"/>
      <c r="C720" s="1"/>
      <c r="D720" s="1"/>
      <c r="E720" s="1"/>
      <c r="F720" s="1"/>
      <c r="G720" s="1"/>
      <c r="H720" s="1"/>
      <c r="I720" s="61"/>
      <c r="J720" s="1"/>
      <c r="K720" s="1"/>
    </row>
    <row r="721" spans="1:11" ht="15.75" customHeight="1">
      <c r="A721" s="2"/>
      <c r="B721" s="1"/>
      <c r="C721" s="1"/>
      <c r="D721" s="1"/>
      <c r="E721" s="1"/>
      <c r="F721" s="1"/>
      <c r="G721" s="1"/>
      <c r="H721" s="1"/>
      <c r="I721" s="61"/>
      <c r="J721" s="1"/>
      <c r="K721" s="1"/>
    </row>
    <row r="722" spans="1:11" ht="15.75" customHeight="1">
      <c r="A722" s="2"/>
      <c r="B722" s="1"/>
      <c r="C722" s="1"/>
      <c r="D722" s="1"/>
      <c r="E722" s="1"/>
      <c r="F722" s="1"/>
      <c r="G722" s="1"/>
      <c r="H722" s="1"/>
      <c r="I722" s="61"/>
      <c r="J722" s="1"/>
      <c r="K722" s="1"/>
    </row>
    <row r="723" spans="1:11" ht="15.75" customHeight="1">
      <c r="A723" s="2"/>
      <c r="B723" s="1"/>
      <c r="C723" s="1"/>
      <c r="D723" s="1"/>
      <c r="E723" s="1"/>
      <c r="F723" s="1"/>
      <c r="G723" s="1"/>
      <c r="H723" s="1"/>
      <c r="I723" s="61"/>
      <c r="J723" s="1"/>
      <c r="K723" s="1"/>
    </row>
    <row r="724" spans="1:11" ht="15.75" customHeight="1">
      <c r="A724" s="2"/>
      <c r="B724" s="1"/>
      <c r="C724" s="1"/>
      <c r="D724" s="1"/>
      <c r="E724" s="1"/>
      <c r="F724" s="1"/>
      <c r="G724" s="1"/>
      <c r="H724" s="1"/>
      <c r="I724" s="61"/>
      <c r="J724" s="1"/>
      <c r="K724" s="1"/>
    </row>
    <row r="725" spans="1:11" ht="15.75" customHeight="1">
      <c r="A725" s="2"/>
      <c r="B725" s="1"/>
      <c r="C725" s="1"/>
      <c r="D725" s="1"/>
      <c r="E725" s="1"/>
      <c r="F725" s="1"/>
      <c r="G725" s="1"/>
      <c r="H725" s="1"/>
      <c r="I725" s="61"/>
      <c r="J725" s="1"/>
      <c r="K725" s="1"/>
    </row>
    <row r="726" spans="1:11" ht="15.75" customHeight="1">
      <c r="A726" s="2"/>
      <c r="B726" s="1"/>
      <c r="C726" s="1"/>
      <c r="D726" s="1"/>
      <c r="E726" s="1"/>
      <c r="F726" s="1"/>
      <c r="G726" s="1"/>
      <c r="H726" s="1"/>
      <c r="I726" s="61"/>
      <c r="J726" s="1"/>
      <c r="K726" s="1"/>
    </row>
    <row r="727" spans="1:11" ht="15.75" customHeight="1">
      <c r="A727" s="2"/>
      <c r="B727" s="1"/>
      <c r="C727" s="1"/>
      <c r="D727" s="1"/>
      <c r="E727" s="1"/>
      <c r="F727" s="1"/>
      <c r="G727" s="1"/>
      <c r="H727" s="1"/>
      <c r="I727" s="61"/>
      <c r="J727" s="1"/>
      <c r="K727" s="1"/>
    </row>
    <row r="728" spans="1:11" ht="15.75" customHeight="1">
      <c r="A728" s="2"/>
      <c r="B728" s="1"/>
      <c r="C728" s="1"/>
      <c r="D728" s="1"/>
      <c r="E728" s="1"/>
      <c r="F728" s="1"/>
      <c r="G728" s="1"/>
      <c r="H728" s="1"/>
      <c r="I728" s="61"/>
      <c r="J728" s="1"/>
      <c r="K728" s="1"/>
    </row>
    <row r="729" spans="1:11" ht="15.75" customHeight="1">
      <c r="A729" s="2"/>
      <c r="B729" s="1"/>
      <c r="C729" s="1"/>
      <c r="D729" s="1"/>
      <c r="E729" s="1"/>
      <c r="F729" s="1"/>
      <c r="G729" s="1"/>
      <c r="H729" s="1"/>
      <c r="I729" s="61"/>
      <c r="J729" s="1"/>
      <c r="K729" s="1"/>
    </row>
    <row r="730" spans="1:11" ht="15.75" customHeight="1">
      <c r="A730" s="2"/>
      <c r="B730" s="1"/>
      <c r="C730" s="1"/>
      <c r="D730" s="1"/>
      <c r="E730" s="1"/>
      <c r="F730" s="1"/>
      <c r="G730" s="1"/>
      <c r="H730" s="1"/>
      <c r="I730" s="61"/>
      <c r="J730" s="1"/>
      <c r="K730" s="1"/>
    </row>
    <row r="731" spans="1:11" ht="15.75" customHeight="1">
      <c r="A731" s="2"/>
      <c r="B731" s="1"/>
      <c r="C731" s="1"/>
      <c r="D731" s="1"/>
      <c r="E731" s="1"/>
      <c r="F731" s="1"/>
      <c r="G731" s="1"/>
      <c r="H731" s="1"/>
      <c r="I731" s="61"/>
      <c r="J731" s="1"/>
      <c r="K731" s="1"/>
    </row>
    <row r="732" spans="1:11" ht="15.75" customHeight="1">
      <c r="A732" s="2"/>
      <c r="B732" s="1"/>
      <c r="C732" s="1"/>
      <c r="D732" s="1"/>
      <c r="E732" s="1"/>
      <c r="F732" s="1"/>
      <c r="G732" s="1"/>
      <c r="H732" s="1"/>
      <c r="I732" s="61"/>
      <c r="J732" s="1"/>
      <c r="K732" s="1"/>
    </row>
    <row r="733" spans="1:11" ht="15.75" customHeight="1">
      <c r="A733" s="2"/>
      <c r="B733" s="1"/>
      <c r="C733" s="1"/>
      <c r="D733" s="1"/>
      <c r="E733" s="1"/>
      <c r="F733" s="1"/>
      <c r="G733" s="1"/>
      <c r="H733" s="1"/>
      <c r="I733" s="61"/>
      <c r="J733" s="1"/>
      <c r="K733" s="1"/>
    </row>
    <row r="734" spans="1:11" ht="15.75" customHeight="1">
      <c r="A734" s="2"/>
      <c r="B734" s="1"/>
      <c r="C734" s="1"/>
      <c r="D734" s="1"/>
      <c r="E734" s="1"/>
      <c r="F734" s="1"/>
      <c r="G734" s="1"/>
      <c r="H734" s="1"/>
      <c r="I734" s="61"/>
      <c r="J734" s="1"/>
      <c r="K734" s="1"/>
    </row>
    <row r="735" spans="1:11" ht="15.75" customHeight="1">
      <c r="A735" s="2"/>
      <c r="B735" s="1"/>
      <c r="C735" s="1"/>
      <c r="D735" s="1"/>
      <c r="E735" s="1"/>
      <c r="F735" s="1"/>
      <c r="G735" s="1"/>
      <c r="H735" s="1"/>
      <c r="I735" s="61"/>
      <c r="J735" s="1"/>
      <c r="K735" s="1"/>
    </row>
    <row r="736" spans="1:11" ht="15.75" customHeight="1">
      <c r="A736" s="2"/>
      <c r="B736" s="1"/>
      <c r="C736" s="1"/>
      <c r="D736" s="1"/>
      <c r="E736" s="1"/>
      <c r="F736" s="1"/>
      <c r="G736" s="1"/>
      <c r="H736" s="1"/>
      <c r="I736" s="61"/>
      <c r="J736" s="1"/>
      <c r="K736" s="1"/>
    </row>
    <row r="737" spans="1:11" ht="15.75" customHeight="1">
      <c r="A737" s="2"/>
      <c r="B737" s="1"/>
      <c r="C737" s="1"/>
      <c r="D737" s="1"/>
      <c r="E737" s="1"/>
      <c r="F737" s="1"/>
      <c r="G737" s="1"/>
      <c r="H737" s="1"/>
      <c r="I737" s="61"/>
      <c r="J737" s="1"/>
      <c r="K737" s="1"/>
    </row>
    <row r="738" spans="1:11" ht="15.75" customHeight="1">
      <c r="A738" s="2"/>
      <c r="B738" s="1"/>
      <c r="C738" s="1"/>
      <c r="D738" s="1"/>
      <c r="E738" s="1"/>
      <c r="F738" s="1"/>
      <c r="G738" s="1"/>
      <c r="H738" s="1"/>
      <c r="I738" s="61"/>
      <c r="J738" s="1"/>
      <c r="K738" s="1"/>
    </row>
    <row r="739" spans="1:11" ht="15.75" customHeight="1">
      <c r="A739" s="2"/>
      <c r="B739" s="1"/>
      <c r="C739" s="1"/>
      <c r="D739" s="1"/>
      <c r="E739" s="1"/>
      <c r="F739" s="1"/>
      <c r="G739" s="1"/>
      <c r="H739" s="1"/>
      <c r="I739" s="61"/>
      <c r="J739" s="1"/>
      <c r="K739" s="1"/>
    </row>
    <row r="740" spans="1:11" ht="15.75" customHeight="1">
      <c r="A740" s="2"/>
      <c r="B740" s="1"/>
      <c r="C740" s="1"/>
      <c r="D740" s="1"/>
      <c r="E740" s="1"/>
      <c r="F740" s="1"/>
      <c r="G740" s="1"/>
      <c r="H740" s="1"/>
      <c r="I740" s="61"/>
      <c r="J740" s="1"/>
      <c r="K740" s="1"/>
    </row>
    <row r="741" spans="1:11" ht="15.75" customHeight="1">
      <c r="A741" s="2"/>
      <c r="B741" s="1"/>
      <c r="C741" s="1"/>
      <c r="D741" s="1"/>
      <c r="E741" s="1"/>
      <c r="F741" s="1"/>
      <c r="G741" s="1"/>
      <c r="H741" s="1"/>
      <c r="I741" s="61"/>
      <c r="J741" s="1"/>
      <c r="K741" s="1"/>
    </row>
    <row r="742" spans="1:11" ht="15.75" customHeight="1">
      <c r="A742" s="2"/>
      <c r="B742" s="1"/>
      <c r="C742" s="1"/>
      <c r="D742" s="1"/>
      <c r="E742" s="1"/>
      <c r="F742" s="1"/>
      <c r="G742" s="1"/>
      <c r="H742" s="1"/>
      <c r="I742" s="61"/>
      <c r="J742" s="1"/>
      <c r="K742" s="1"/>
    </row>
    <row r="743" spans="1:11" ht="15.75" customHeight="1">
      <c r="A743" s="2"/>
      <c r="B743" s="1"/>
      <c r="C743" s="1"/>
      <c r="D743" s="1"/>
      <c r="E743" s="1"/>
      <c r="F743" s="1"/>
      <c r="G743" s="1"/>
      <c r="H743" s="1"/>
      <c r="I743" s="61"/>
      <c r="J743" s="1"/>
      <c r="K743" s="1"/>
    </row>
    <row r="744" spans="1:11" ht="15.75" customHeight="1">
      <c r="A744" s="2"/>
      <c r="B744" s="1"/>
      <c r="C744" s="1"/>
      <c r="D744" s="1"/>
      <c r="E744" s="1"/>
      <c r="F744" s="1"/>
      <c r="G744" s="1"/>
      <c r="H744" s="1"/>
      <c r="I744" s="61"/>
      <c r="J744" s="1"/>
      <c r="K744" s="1"/>
    </row>
    <row r="745" spans="1:11" ht="15.75" customHeight="1">
      <c r="A745" s="2"/>
      <c r="B745" s="1"/>
      <c r="C745" s="1"/>
      <c r="D745" s="1"/>
      <c r="E745" s="1"/>
      <c r="F745" s="1"/>
      <c r="G745" s="1"/>
      <c r="H745" s="1"/>
      <c r="I745" s="61"/>
      <c r="J745" s="1"/>
      <c r="K745" s="1"/>
    </row>
    <row r="746" spans="1:11" ht="15.75" customHeight="1">
      <c r="A746" s="2"/>
      <c r="B746" s="1"/>
      <c r="C746" s="1"/>
      <c r="D746" s="1"/>
      <c r="E746" s="1"/>
      <c r="F746" s="1"/>
      <c r="G746" s="1"/>
      <c r="H746" s="1"/>
      <c r="I746" s="61"/>
      <c r="J746" s="1"/>
      <c r="K746" s="1"/>
    </row>
    <row r="747" spans="1:11" ht="15.75" customHeight="1">
      <c r="A747" s="2"/>
      <c r="B747" s="1"/>
      <c r="C747" s="1"/>
      <c r="D747" s="1"/>
      <c r="E747" s="1"/>
      <c r="F747" s="1"/>
      <c r="G747" s="1"/>
      <c r="H747" s="1"/>
      <c r="I747" s="61"/>
      <c r="J747" s="1"/>
      <c r="K747" s="1"/>
    </row>
    <row r="748" spans="1:11" ht="15.75" customHeight="1">
      <c r="A748" s="2"/>
      <c r="B748" s="1"/>
      <c r="C748" s="1"/>
      <c r="D748" s="1"/>
      <c r="E748" s="1"/>
      <c r="F748" s="1"/>
      <c r="G748" s="1"/>
      <c r="H748" s="1"/>
      <c r="I748" s="61"/>
      <c r="J748" s="1"/>
      <c r="K748" s="1"/>
    </row>
    <row r="749" spans="1:11" ht="15.75" customHeight="1">
      <c r="A749" s="2"/>
      <c r="B749" s="1"/>
      <c r="C749" s="1"/>
      <c r="D749" s="1"/>
      <c r="E749" s="1"/>
      <c r="F749" s="1"/>
      <c r="G749" s="1"/>
      <c r="H749" s="1"/>
      <c r="I749" s="61"/>
      <c r="J749" s="1"/>
      <c r="K749" s="1"/>
    </row>
    <row r="750" spans="1:11" ht="15.75" customHeight="1">
      <c r="A750" s="2"/>
      <c r="B750" s="1"/>
      <c r="C750" s="1"/>
      <c r="D750" s="1"/>
      <c r="E750" s="1"/>
      <c r="F750" s="1"/>
      <c r="G750" s="1"/>
      <c r="H750" s="1"/>
      <c r="I750" s="61"/>
      <c r="J750" s="1"/>
      <c r="K750" s="1"/>
    </row>
    <row r="751" spans="1:11" ht="15.75" customHeight="1">
      <c r="A751" s="2"/>
      <c r="B751" s="1"/>
      <c r="C751" s="1"/>
      <c r="D751" s="1"/>
      <c r="E751" s="1"/>
      <c r="F751" s="1"/>
      <c r="G751" s="1"/>
      <c r="H751" s="1"/>
      <c r="I751" s="61"/>
      <c r="J751" s="1"/>
      <c r="K751" s="1"/>
    </row>
    <row r="752" spans="1:11" ht="15.75" customHeight="1">
      <c r="A752" s="2"/>
      <c r="B752" s="1"/>
      <c r="C752" s="1"/>
      <c r="D752" s="1"/>
      <c r="E752" s="1"/>
      <c r="F752" s="1"/>
      <c r="G752" s="1"/>
      <c r="H752" s="1"/>
      <c r="I752" s="61"/>
      <c r="J752" s="1"/>
      <c r="K752" s="1"/>
    </row>
    <row r="753" spans="1:11" ht="15.75" customHeight="1">
      <c r="A753" s="2"/>
      <c r="B753" s="1"/>
      <c r="C753" s="1"/>
      <c r="D753" s="1"/>
      <c r="E753" s="1"/>
      <c r="F753" s="1"/>
      <c r="G753" s="1"/>
      <c r="H753" s="1"/>
      <c r="I753" s="61"/>
      <c r="J753" s="1"/>
      <c r="K753" s="1"/>
    </row>
    <row r="754" spans="1:11" ht="15.75" customHeight="1">
      <c r="A754" s="2"/>
      <c r="B754" s="1"/>
      <c r="C754" s="1"/>
      <c r="D754" s="1"/>
      <c r="E754" s="1"/>
      <c r="F754" s="1"/>
      <c r="G754" s="1"/>
      <c r="H754" s="1"/>
      <c r="I754" s="61"/>
      <c r="J754" s="1"/>
      <c r="K754" s="1"/>
    </row>
    <row r="755" spans="1:11" ht="15.75" customHeight="1">
      <c r="A755" s="2"/>
      <c r="B755" s="1"/>
      <c r="C755" s="1"/>
      <c r="D755" s="1"/>
      <c r="E755" s="1"/>
      <c r="F755" s="1"/>
      <c r="G755" s="1"/>
      <c r="H755" s="1"/>
      <c r="I755" s="61"/>
      <c r="J755" s="1"/>
      <c r="K755" s="1"/>
    </row>
    <row r="756" spans="1:11" ht="15.75" customHeight="1">
      <c r="A756" s="2"/>
      <c r="B756" s="1"/>
      <c r="C756" s="1"/>
      <c r="D756" s="1"/>
      <c r="E756" s="1"/>
      <c r="F756" s="1"/>
      <c r="G756" s="1"/>
      <c r="H756" s="1"/>
      <c r="I756" s="61"/>
      <c r="J756" s="1"/>
      <c r="K756" s="1"/>
    </row>
    <row r="757" spans="1:11" ht="15.75" customHeight="1">
      <c r="A757" s="2"/>
      <c r="B757" s="1"/>
      <c r="C757" s="1"/>
      <c r="D757" s="1"/>
      <c r="E757" s="1"/>
      <c r="F757" s="1"/>
      <c r="G757" s="1"/>
      <c r="H757" s="1"/>
      <c r="I757" s="61"/>
      <c r="J757" s="1"/>
      <c r="K757" s="1"/>
    </row>
    <row r="758" spans="1:11" ht="15.75" customHeight="1">
      <c r="A758" s="2"/>
      <c r="B758" s="1"/>
      <c r="C758" s="1"/>
      <c r="D758" s="1"/>
      <c r="E758" s="1"/>
      <c r="F758" s="1"/>
      <c r="G758" s="1"/>
      <c r="H758" s="1"/>
      <c r="I758" s="61"/>
      <c r="J758" s="1"/>
      <c r="K758" s="1"/>
    </row>
    <row r="759" spans="1:11" ht="15.75" customHeight="1">
      <c r="A759" s="2"/>
      <c r="B759" s="1"/>
      <c r="C759" s="1"/>
      <c r="D759" s="1"/>
      <c r="E759" s="1"/>
      <c r="F759" s="1"/>
      <c r="G759" s="1"/>
      <c r="H759" s="1"/>
      <c r="I759" s="61"/>
      <c r="J759" s="1"/>
      <c r="K759" s="1"/>
    </row>
    <row r="760" spans="1:11" ht="15.75" customHeight="1">
      <c r="A760" s="2"/>
      <c r="B760" s="1"/>
      <c r="C760" s="1"/>
      <c r="D760" s="1"/>
      <c r="E760" s="1"/>
      <c r="F760" s="1"/>
      <c r="G760" s="1"/>
      <c r="H760" s="1"/>
      <c r="I760" s="61"/>
      <c r="J760" s="1"/>
      <c r="K760" s="1"/>
    </row>
    <row r="761" spans="1:11" ht="15.75" customHeight="1">
      <c r="A761" s="2"/>
      <c r="B761" s="1"/>
      <c r="C761" s="1"/>
      <c r="D761" s="1"/>
      <c r="E761" s="1"/>
      <c r="F761" s="1"/>
      <c r="G761" s="1"/>
      <c r="H761" s="1"/>
      <c r="I761" s="61"/>
      <c r="J761" s="1"/>
      <c r="K761" s="1"/>
    </row>
    <row r="762" spans="1:11" ht="15.75" customHeight="1">
      <c r="A762" s="2"/>
      <c r="B762" s="1"/>
      <c r="C762" s="1"/>
      <c r="D762" s="1"/>
      <c r="E762" s="1"/>
      <c r="F762" s="1"/>
      <c r="G762" s="1"/>
      <c r="H762" s="1"/>
      <c r="I762" s="61"/>
      <c r="J762" s="1"/>
      <c r="K762" s="1"/>
    </row>
    <row r="763" spans="1:11" ht="15.75" customHeight="1">
      <c r="A763" s="2"/>
      <c r="B763" s="1"/>
      <c r="C763" s="1"/>
      <c r="D763" s="1"/>
      <c r="E763" s="1"/>
      <c r="F763" s="1"/>
      <c r="G763" s="1"/>
      <c r="H763" s="1"/>
      <c r="I763" s="61"/>
      <c r="J763" s="1"/>
      <c r="K763" s="1"/>
    </row>
    <row r="764" spans="1:11" ht="15.75" customHeight="1">
      <c r="A764" s="2"/>
      <c r="B764" s="1"/>
      <c r="C764" s="1"/>
      <c r="D764" s="1"/>
      <c r="E764" s="1"/>
      <c r="F764" s="1"/>
      <c r="G764" s="1"/>
      <c r="H764" s="1"/>
      <c r="I764" s="61"/>
      <c r="J764" s="1"/>
      <c r="K764" s="1"/>
    </row>
    <row r="765" spans="1:11" ht="15.75" customHeight="1">
      <c r="A765" s="2"/>
      <c r="B765" s="1"/>
      <c r="C765" s="1"/>
      <c r="D765" s="1"/>
      <c r="E765" s="1"/>
      <c r="F765" s="1"/>
      <c r="G765" s="1"/>
      <c r="H765" s="1"/>
      <c r="I765" s="61"/>
      <c r="J765" s="1"/>
      <c r="K765" s="1"/>
    </row>
    <row r="766" spans="1:11" ht="15.75" customHeight="1">
      <c r="A766" s="2"/>
      <c r="B766" s="1"/>
      <c r="C766" s="1"/>
      <c r="D766" s="1"/>
      <c r="E766" s="1"/>
      <c r="F766" s="1"/>
      <c r="G766" s="1"/>
      <c r="H766" s="1"/>
      <c r="I766" s="61"/>
      <c r="J766" s="1"/>
      <c r="K766" s="1"/>
    </row>
    <row r="767" spans="1:11" ht="15.75" customHeight="1">
      <c r="A767" s="2"/>
      <c r="B767" s="1"/>
      <c r="C767" s="1"/>
      <c r="D767" s="1"/>
      <c r="E767" s="1"/>
      <c r="F767" s="1"/>
      <c r="G767" s="1"/>
      <c r="H767" s="1"/>
      <c r="I767" s="61"/>
      <c r="J767" s="1"/>
      <c r="K767" s="1"/>
    </row>
    <row r="768" spans="1:11" ht="15.75" customHeight="1">
      <c r="A768" s="2"/>
      <c r="B768" s="1"/>
      <c r="C768" s="1"/>
      <c r="D768" s="1"/>
      <c r="E768" s="1"/>
      <c r="F768" s="1"/>
      <c r="G768" s="1"/>
      <c r="H768" s="1"/>
      <c r="I768" s="61"/>
      <c r="J768" s="1"/>
      <c r="K768" s="1"/>
    </row>
    <row r="769" spans="1:11" ht="15.75" customHeight="1">
      <c r="A769" s="2"/>
      <c r="B769" s="1"/>
      <c r="C769" s="1"/>
      <c r="D769" s="1"/>
      <c r="E769" s="1"/>
      <c r="F769" s="1"/>
      <c r="G769" s="1"/>
      <c r="H769" s="1"/>
      <c r="I769" s="61"/>
      <c r="J769" s="1"/>
      <c r="K769" s="1"/>
    </row>
    <row r="770" spans="1:11" ht="15.75" customHeight="1">
      <c r="A770" s="2"/>
      <c r="B770" s="1"/>
      <c r="C770" s="1"/>
      <c r="D770" s="1"/>
      <c r="E770" s="1"/>
      <c r="F770" s="1"/>
      <c r="G770" s="1"/>
      <c r="H770" s="1"/>
      <c r="I770" s="61"/>
      <c r="J770" s="1"/>
      <c r="K770" s="1"/>
    </row>
    <row r="771" spans="1:11" ht="15.75" customHeight="1">
      <c r="A771" s="2"/>
      <c r="B771" s="1"/>
      <c r="C771" s="1"/>
      <c r="D771" s="1"/>
      <c r="E771" s="1"/>
      <c r="F771" s="1"/>
      <c r="G771" s="1"/>
      <c r="H771" s="1"/>
      <c r="I771" s="61"/>
      <c r="J771" s="1"/>
      <c r="K771" s="1"/>
    </row>
    <row r="772" spans="1:11" ht="15.75" customHeight="1">
      <c r="A772" s="2"/>
      <c r="B772" s="1"/>
      <c r="C772" s="1"/>
      <c r="D772" s="1"/>
      <c r="E772" s="1"/>
      <c r="F772" s="1"/>
      <c r="G772" s="1"/>
      <c r="H772" s="1"/>
      <c r="I772" s="61"/>
      <c r="J772" s="1"/>
      <c r="K772" s="1"/>
    </row>
    <row r="773" spans="1:11" ht="15.75" customHeight="1">
      <c r="A773" s="2"/>
      <c r="B773" s="1"/>
      <c r="C773" s="1"/>
      <c r="D773" s="1"/>
      <c r="E773" s="1"/>
      <c r="F773" s="1"/>
      <c r="G773" s="1"/>
      <c r="H773" s="1"/>
      <c r="I773" s="61"/>
      <c r="J773" s="1"/>
      <c r="K773" s="1"/>
    </row>
    <row r="774" spans="1:11" ht="15.75" customHeight="1">
      <c r="A774" s="2"/>
      <c r="B774" s="1"/>
      <c r="C774" s="1"/>
      <c r="D774" s="1"/>
      <c r="E774" s="1"/>
      <c r="F774" s="1"/>
      <c r="G774" s="1"/>
      <c r="H774" s="1"/>
      <c r="I774" s="61"/>
      <c r="J774" s="1"/>
      <c r="K774" s="1"/>
    </row>
    <row r="775" spans="1:11" ht="15.75" customHeight="1">
      <c r="A775" s="2"/>
      <c r="B775" s="1"/>
      <c r="C775" s="1"/>
      <c r="D775" s="1"/>
      <c r="E775" s="1"/>
      <c r="F775" s="1"/>
      <c r="G775" s="1"/>
      <c r="H775" s="1"/>
      <c r="I775" s="61"/>
      <c r="J775" s="1"/>
      <c r="K775" s="1"/>
    </row>
    <row r="776" spans="1:11" ht="15.75" customHeight="1">
      <c r="A776" s="2"/>
      <c r="B776" s="1"/>
      <c r="C776" s="1"/>
      <c r="D776" s="1"/>
      <c r="E776" s="1"/>
      <c r="F776" s="1"/>
      <c r="G776" s="1"/>
      <c r="H776" s="1"/>
      <c r="I776" s="61"/>
      <c r="J776" s="1"/>
      <c r="K776" s="1"/>
    </row>
    <row r="777" spans="1:11" ht="15.75" customHeight="1">
      <c r="A777" s="2"/>
      <c r="B777" s="1"/>
      <c r="C777" s="1"/>
      <c r="D777" s="1"/>
      <c r="E777" s="1"/>
      <c r="F777" s="1"/>
      <c r="G777" s="1"/>
      <c r="H777" s="1"/>
      <c r="I777" s="61"/>
      <c r="J777" s="1"/>
      <c r="K777" s="1"/>
    </row>
    <row r="778" spans="1:11" ht="15.75" customHeight="1">
      <c r="A778" s="2"/>
      <c r="B778" s="1"/>
      <c r="C778" s="1"/>
      <c r="D778" s="1"/>
      <c r="E778" s="1"/>
      <c r="F778" s="1"/>
      <c r="G778" s="1"/>
      <c r="H778" s="1"/>
      <c r="I778" s="61"/>
      <c r="J778" s="1"/>
      <c r="K778" s="1"/>
    </row>
    <row r="779" spans="1:11" ht="15.75" customHeight="1">
      <c r="A779" s="2"/>
      <c r="B779" s="1"/>
      <c r="C779" s="1"/>
      <c r="D779" s="1"/>
      <c r="E779" s="1"/>
      <c r="F779" s="1"/>
      <c r="G779" s="1"/>
      <c r="H779" s="1"/>
      <c r="I779" s="61"/>
      <c r="J779" s="1"/>
      <c r="K779" s="1"/>
    </row>
    <row r="780" spans="1:11" ht="15.75" customHeight="1">
      <c r="A780" s="2"/>
      <c r="B780" s="1"/>
      <c r="C780" s="1"/>
      <c r="D780" s="1"/>
      <c r="E780" s="1"/>
      <c r="F780" s="1"/>
      <c r="G780" s="1"/>
      <c r="H780" s="1"/>
      <c r="I780" s="61"/>
      <c r="J780" s="1"/>
      <c r="K780" s="1"/>
    </row>
    <row r="781" spans="1:11" ht="15.75" customHeight="1">
      <c r="A781" s="2"/>
      <c r="B781" s="1"/>
      <c r="C781" s="1"/>
      <c r="D781" s="1"/>
      <c r="E781" s="1"/>
      <c r="F781" s="1"/>
      <c r="G781" s="1"/>
      <c r="H781" s="1"/>
      <c r="I781" s="61"/>
      <c r="J781" s="1"/>
      <c r="K781" s="1"/>
    </row>
    <row r="782" spans="1:11" ht="15.75" customHeight="1">
      <c r="A782" s="2"/>
      <c r="B782" s="1"/>
      <c r="C782" s="1"/>
      <c r="D782" s="1"/>
      <c r="E782" s="1"/>
      <c r="F782" s="1"/>
      <c r="G782" s="1"/>
      <c r="H782" s="1"/>
      <c r="I782" s="61"/>
      <c r="J782" s="1"/>
      <c r="K782" s="1"/>
    </row>
    <row r="783" spans="1:11" ht="15.75" customHeight="1">
      <c r="A783" s="2"/>
      <c r="B783" s="1"/>
      <c r="C783" s="1"/>
      <c r="D783" s="1"/>
      <c r="E783" s="1"/>
      <c r="F783" s="1"/>
      <c r="G783" s="1"/>
      <c r="H783" s="1"/>
      <c r="I783" s="61"/>
      <c r="J783" s="1"/>
      <c r="K783" s="1"/>
    </row>
    <row r="784" spans="1:11" ht="15.75" customHeight="1">
      <c r="A784" s="2"/>
      <c r="B784" s="1"/>
      <c r="C784" s="1"/>
      <c r="D784" s="1"/>
      <c r="E784" s="1"/>
      <c r="F784" s="1"/>
      <c r="G784" s="1"/>
      <c r="H784" s="1"/>
      <c r="I784" s="61"/>
      <c r="J784" s="1"/>
      <c r="K784" s="1"/>
    </row>
    <row r="785" spans="1:11" ht="15.75" customHeight="1">
      <c r="A785" s="2"/>
      <c r="B785" s="1"/>
      <c r="C785" s="1"/>
      <c r="D785" s="1"/>
      <c r="E785" s="1"/>
      <c r="F785" s="1"/>
      <c r="G785" s="1"/>
      <c r="H785" s="1"/>
      <c r="I785" s="61"/>
      <c r="J785" s="1"/>
      <c r="K785" s="1"/>
    </row>
    <row r="786" spans="1:11" ht="15.75" customHeight="1">
      <c r="A786" s="2"/>
      <c r="B786" s="1"/>
      <c r="C786" s="1"/>
      <c r="D786" s="1"/>
      <c r="E786" s="1"/>
      <c r="F786" s="1"/>
      <c r="G786" s="1"/>
      <c r="H786" s="1"/>
      <c r="I786" s="61"/>
      <c r="J786" s="1"/>
      <c r="K786" s="1"/>
    </row>
    <row r="787" spans="1:11" ht="15.75" customHeight="1">
      <c r="A787" s="2"/>
      <c r="B787" s="1"/>
      <c r="C787" s="1"/>
      <c r="D787" s="1"/>
      <c r="E787" s="1"/>
      <c r="F787" s="1"/>
      <c r="G787" s="1"/>
      <c r="H787" s="1"/>
      <c r="I787" s="61"/>
      <c r="J787" s="1"/>
      <c r="K787" s="1"/>
    </row>
    <row r="788" spans="1:11" ht="15.75" customHeight="1">
      <c r="A788" s="2"/>
      <c r="B788" s="1"/>
      <c r="C788" s="1"/>
      <c r="D788" s="1"/>
      <c r="E788" s="1"/>
      <c r="F788" s="1"/>
      <c r="G788" s="1"/>
      <c r="H788" s="1"/>
      <c r="I788" s="61"/>
      <c r="J788" s="1"/>
      <c r="K788" s="1"/>
    </row>
    <row r="789" spans="1:11" ht="15.75" customHeight="1">
      <c r="A789" s="2"/>
      <c r="B789" s="1"/>
      <c r="C789" s="1"/>
      <c r="D789" s="1"/>
      <c r="E789" s="1"/>
      <c r="F789" s="1"/>
      <c r="G789" s="1"/>
      <c r="H789" s="1"/>
      <c r="I789" s="61"/>
      <c r="J789" s="1"/>
      <c r="K789" s="1"/>
    </row>
    <row r="790" spans="1:11" ht="15.75" customHeight="1">
      <c r="A790" s="2"/>
      <c r="B790" s="1"/>
      <c r="C790" s="1"/>
      <c r="D790" s="1"/>
      <c r="E790" s="1"/>
      <c r="F790" s="1"/>
      <c r="G790" s="1"/>
      <c r="H790" s="1"/>
      <c r="I790" s="61"/>
      <c r="J790" s="1"/>
      <c r="K790" s="1"/>
    </row>
    <row r="791" spans="1:11" ht="15.75" customHeight="1">
      <c r="A791" s="2"/>
      <c r="B791" s="1"/>
      <c r="C791" s="1"/>
      <c r="D791" s="1"/>
      <c r="E791" s="1"/>
      <c r="F791" s="1"/>
      <c r="G791" s="1"/>
      <c r="H791" s="1"/>
      <c r="I791" s="61"/>
      <c r="J791" s="1"/>
      <c r="K791" s="1"/>
    </row>
    <row r="792" spans="1:11" ht="15.75" customHeight="1">
      <c r="A792" s="2"/>
      <c r="B792" s="1"/>
      <c r="C792" s="1"/>
      <c r="D792" s="1"/>
      <c r="E792" s="1"/>
      <c r="F792" s="1"/>
      <c r="G792" s="1"/>
      <c r="H792" s="1"/>
      <c r="I792" s="61"/>
      <c r="J792" s="1"/>
      <c r="K792" s="1"/>
    </row>
    <row r="793" spans="1:11" ht="15.75" customHeight="1">
      <c r="A793" s="2"/>
      <c r="B793" s="1"/>
      <c r="C793" s="1"/>
      <c r="D793" s="1"/>
      <c r="E793" s="1"/>
      <c r="F793" s="1"/>
      <c r="G793" s="1"/>
      <c r="H793" s="1"/>
      <c r="I793" s="61"/>
      <c r="J793" s="1"/>
      <c r="K793" s="1"/>
    </row>
    <row r="794" spans="1:11" ht="15.75" customHeight="1">
      <c r="A794" s="2"/>
      <c r="B794" s="1"/>
      <c r="C794" s="1"/>
      <c r="D794" s="1"/>
      <c r="E794" s="1"/>
      <c r="F794" s="1"/>
      <c r="G794" s="1"/>
      <c r="H794" s="1"/>
      <c r="I794" s="61"/>
      <c r="J794" s="1"/>
      <c r="K794" s="1"/>
    </row>
    <row r="795" spans="1:11" ht="15.75" customHeight="1">
      <c r="A795" s="2"/>
      <c r="B795" s="1"/>
      <c r="C795" s="1"/>
      <c r="D795" s="1"/>
      <c r="E795" s="1"/>
      <c r="F795" s="1"/>
      <c r="G795" s="1"/>
      <c r="H795" s="1"/>
      <c r="I795" s="61"/>
      <c r="J795" s="1"/>
      <c r="K795" s="1"/>
    </row>
    <row r="796" spans="1:11" ht="15.75" customHeight="1">
      <c r="A796" s="2"/>
      <c r="B796" s="1"/>
      <c r="C796" s="1"/>
      <c r="D796" s="1"/>
      <c r="E796" s="1"/>
      <c r="F796" s="1"/>
      <c r="G796" s="1"/>
      <c r="H796" s="1"/>
      <c r="I796" s="61"/>
      <c r="J796" s="1"/>
      <c r="K796" s="1"/>
    </row>
    <row r="797" spans="1:11" ht="15.75" customHeight="1">
      <c r="A797" s="2"/>
      <c r="B797" s="1"/>
      <c r="C797" s="1"/>
      <c r="D797" s="1"/>
      <c r="E797" s="1"/>
      <c r="F797" s="1"/>
      <c r="G797" s="1"/>
      <c r="H797" s="1"/>
      <c r="I797" s="61"/>
      <c r="J797" s="1"/>
      <c r="K797" s="1"/>
    </row>
    <row r="798" spans="1:11" ht="15.75" customHeight="1">
      <c r="A798" s="2"/>
      <c r="B798" s="1"/>
      <c r="C798" s="1"/>
      <c r="D798" s="1"/>
      <c r="E798" s="1"/>
      <c r="F798" s="1"/>
      <c r="G798" s="1"/>
      <c r="H798" s="1"/>
      <c r="I798" s="61"/>
      <c r="J798" s="1"/>
      <c r="K798" s="1"/>
    </row>
    <row r="799" spans="1:11" ht="15.75" customHeight="1">
      <c r="A799" s="2"/>
      <c r="B799" s="1"/>
      <c r="C799" s="1"/>
      <c r="D799" s="1"/>
      <c r="E799" s="1"/>
      <c r="F799" s="1"/>
      <c r="G799" s="1"/>
      <c r="H799" s="1"/>
      <c r="I799" s="61"/>
      <c r="J799" s="1"/>
      <c r="K799" s="1"/>
    </row>
    <row r="800" spans="1:11" ht="15.75" customHeight="1">
      <c r="A800" s="2"/>
      <c r="B800" s="1"/>
      <c r="C800" s="1"/>
      <c r="D800" s="1"/>
      <c r="E800" s="1"/>
      <c r="F800" s="1"/>
      <c r="G800" s="1"/>
      <c r="H800" s="1"/>
      <c r="I800" s="61"/>
      <c r="J800" s="1"/>
      <c r="K800" s="1"/>
    </row>
    <row r="801" spans="1:11" ht="15.75" customHeight="1">
      <c r="A801" s="2"/>
      <c r="B801" s="1"/>
      <c r="C801" s="1"/>
      <c r="D801" s="1"/>
      <c r="E801" s="1"/>
      <c r="F801" s="1"/>
      <c r="G801" s="1"/>
      <c r="H801" s="1"/>
      <c r="I801" s="61"/>
      <c r="J801" s="1"/>
      <c r="K801" s="1"/>
    </row>
    <row r="802" spans="1:11" ht="15.75" customHeight="1">
      <c r="A802" s="2"/>
      <c r="B802" s="1"/>
      <c r="C802" s="1"/>
      <c r="D802" s="1"/>
      <c r="E802" s="1"/>
      <c r="F802" s="1"/>
      <c r="G802" s="1"/>
      <c r="H802" s="1"/>
      <c r="I802" s="61"/>
      <c r="J802" s="1"/>
      <c r="K802" s="1"/>
    </row>
    <row r="803" spans="1:11" ht="15.75" customHeight="1">
      <c r="A803" s="2"/>
      <c r="B803" s="1"/>
      <c r="C803" s="1"/>
      <c r="D803" s="1"/>
      <c r="E803" s="1"/>
      <c r="F803" s="1"/>
      <c r="G803" s="1"/>
      <c r="H803" s="1"/>
      <c r="I803" s="61"/>
      <c r="J803" s="1"/>
      <c r="K803" s="1"/>
    </row>
    <row r="804" spans="1:11" ht="15.75" customHeight="1">
      <c r="A804" s="2"/>
      <c r="B804" s="1"/>
      <c r="C804" s="1"/>
      <c r="D804" s="1"/>
      <c r="E804" s="1"/>
      <c r="F804" s="1"/>
      <c r="G804" s="1"/>
      <c r="H804" s="1"/>
      <c r="I804" s="61"/>
      <c r="J804" s="1"/>
      <c r="K804" s="1"/>
    </row>
    <row r="805" spans="1:11" ht="15.75" customHeight="1">
      <c r="A805" s="2"/>
      <c r="B805" s="1"/>
      <c r="C805" s="1"/>
      <c r="D805" s="1"/>
      <c r="E805" s="1"/>
      <c r="F805" s="1"/>
      <c r="G805" s="1"/>
      <c r="H805" s="1"/>
      <c r="I805" s="61"/>
      <c r="J805" s="1"/>
      <c r="K805" s="1"/>
    </row>
    <row r="806" spans="1:11" ht="15.75" customHeight="1">
      <c r="A806" s="2"/>
      <c r="B806" s="1"/>
      <c r="C806" s="1"/>
      <c r="D806" s="1"/>
      <c r="E806" s="1"/>
      <c r="F806" s="1"/>
      <c r="G806" s="1"/>
      <c r="H806" s="1"/>
      <c r="I806" s="61"/>
      <c r="J806" s="1"/>
      <c r="K806" s="1"/>
    </row>
    <row r="807" spans="1:11" ht="15.75" customHeight="1">
      <c r="A807" s="2"/>
      <c r="B807" s="1"/>
      <c r="C807" s="1"/>
      <c r="D807" s="1"/>
      <c r="E807" s="1"/>
      <c r="F807" s="1"/>
      <c r="G807" s="1"/>
      <c r="H807" s="1"/>
      <c r="I807" s="61"/>
      <c r="J807" s="1"/>
      <c r="K807" s="1"/>
    </row>
    <row r="808" spans="1:11" ht="15.75" customHeight="1">
      <c r="A808" s="2"/>
      <c r="B808" s="1"/>
      <c r="C808" s="1"/>
      <c r="D808" s="1"/>
      <c r="E808" s="1"/>
      <c r="F808" s="1"/>
      <c r="G808" s="1"/>
      <c r="H808" s="1"/>
      <c r="I808" s="61"/>
      <c r="J808" s="1"/>
      <c r="K808" s="1"/>
    </row>
    <row r="809" spans="1:11" ht="15.75" customHeight="1">
      <c r="A809" s="2"/>
      <c r="B809" s="1"/>
      <c r="C809" s="1"/>
      <c r="D809" s="1"/>
      <c r="E809" s="1"/>
      <c r="F809" s="1"/>
      <c r="G809" s="1"/>
      <c r="H809" s="1"/>
      <c r="I809" s="61"/>
      <c r="J809" s="1"/>
      <c r="K809" s="1"/>
    </row>
    <row r="810" spans="1:11" ht="15.75" customHeight="1">
      <c r="A810" s="2"/>
      <c r="B810" s="1"/>
      <c r="C810" s="1"/>
      <c r="D810" s="1"/>
      <c r="E810" s="1"/>
      <c r="F810" s="1"/>
      <c r="G810" s="1"/>
      <c r="H810" s="1"/>
      <c r="I810" s="61"/>
      <c r="J810" s="1"/>
      <c r="K810" s="1"/>
    </row>
    <row r="811" spans="1:11" ht="15.75" customHeight="1">
      <c r="A811" s="2"/>
      <c r="B811" s="1"/>
      <c r="C811" s="1"/>
      <c r="D811" s="1"/>
      <c r="E811" s="1"/>
      <c r="F811" s="1"/>
      <c r="G811" s="1"/>
      <c r="H811" s="1"/>
      <c r="I811" s="61"/>
      <c r="J811" s="1"/>
      <c r="K811" s="1"/>
    </row>
    <row r="812" spans="1:11" ht="15.75" customHeight="1">
      <c r="A812" s="2"/>
      <c r="B812" s="1"/>
      <c r="C812" s="1"/>
      <c r="D812" s="1"/>
      <c r="E812" s="1"/>
      <c r="F812" s="1"/>
      <c r="G812" s="1"/>
      <c r="H812" s="1"/>
      <c r="I812" s="61"/>
      <c r="J812" s="1"/>
      <c r="K812" s="1"/>
    </row>
    <row r="813" spans="1:11" ht="15.75" customHeight="1">
      <c r="A813" s="2"/>
      <c r="B813" s="1"/>
      <c r="C813" s="1"/>
      <c r="D813" s="1"/>
      <c r="E813" s="1"/>
      <c r="F813" s="1"/>
      <c r="G813" s="1"/>
      <c r="H813" s="1"/>
      <c r="I813" s="61"/>
      <c r="J813" s="1"/>
      <c r="K813" s="1"/>
    </row>
    <row r="814" spans="1:11" ht="15.75" customHeight="1">
      <c r="A814" s="2"/>
      <c r="B814" s="1"/>
      <c r="C814" s="1"/>
      <c r="D814" s="1"/>
      <c r="E814" s="1"/>
      <c r="F814" s="1"/>
      <c r="G814" s="1"/>
      <c r="H814" s="1"/>
      <c r="I814" s="61"/>
      <c r="J814" s="1"/>
      <c r="K814" s="1"/>
    </row>
    <row r="815" spans="1:11" ht="15.75" customHeight="1">
      <c r="A815" s="2"/>
      <c r="B815" s="1"/>
      <c r="C815" s="1"/>
      <c r="D815" s="1"/>
      <c r="E815" s="1"/>
      <c r="F815" s="1"/>
      <c r="G815" s="1"/>
      <c r="H815" s="1"/>
      <c r="I815" s="61"/>
      <c r="J815" s="1"/>
      <c r="K815" s="1"/>
    </row>
    <row r="816" spans="1:11" ht="15.75" customHeight="1">
      <c r="A816" s="2"/>
      <c r="B816" s="1"/>
      <c r="C816" s="1"/>
      <c r="D816" s="1"/>
      <c r="E816" s="1"/>
      <c r="F816" s="1"/>
      <c r="G816" s="1"/>
      <c r="H816" s="1"/>
      <c r="I816" s="61"/>
      <c r="J816" s="1"/>
      <c r="K816" s="1"/>
    </row>
    <row r="817" spans="1:11" ht="15.75" customHeight="1">
      <c r="A817" s="2"/>
      <c r="B817" s="1"/>
      <c r="C817" s="1"/>
      <c r="D817" s="1"/>
      <c r="E817" s="1"/>
      <c r="F817" s="1"/>
      <c r="G817" s="1"/>
      <c r="H817" s="1"/>
      <c r="I817" s="61"/>
      <c r="J817" s="1"/>
      <c r="K817" s="1"/>
    </row>
    <row r="818" spans="1:11" ht="15.75" customHeight="1">
      <c r="A818" s="2"/>
      <c r="B818" s="1"/>
      <c r="C818" s="1"/>
      <c r="D818" s="1"/>
      <c r="E818" s="1"/>
      <c r="F818" s="1"/>
      <c r="G818" s="1"/>
      <c r="H818" s="1"/>
      <c r="I818" s="61"/>
      <c r="J818" s="1"/>
      <c r="K818" s="1"/>
    </row>
    <row r="819" spans="1:11" ht="15.75" customHeight="1">
      <c r="A819" s="2"/>
      <c r="B819" s="1"/>
      <c r="C819" s="1"/>
      <c r="D819" s="1"/>
      <c r="E819" s="1"/>
      <c r="F819" s="1"/>
      <c r="G819" s="1"/>
      <c r="H819" s="1"/>
      <c r="I819" s="61"/>
      <c r="J819" s="1"/>
      <c r="K819" s="1"/>
    </row>
    <row r="820" spans="1:11" ht="15.75" customHeight="1">
      <c r="A820" s="2"/>
      <c r="B820" s="1"/>
      <c r="C820" s="1"/>
      <c r="D820" s="1"/>
      <c r="E820" s="1"/>
      <c r="F820" s="1"/>
      <c r="G820" s="1"/>
      <c r="H820" s="1"/>
      <c r="I820" s="61"/>
      <c r="J820" s="1"/>
      <c r="K820" s="1"/>
    </row>
    <row r="821" spans="1:11" ht="15.75" customHeight="1">
      <c r="A821" s="2"/>
      <c r="B821" s="1"/>
      <c r="C821" s="1"/>
      <c r="D821" s="1"/>
      <c r="E821" s="1"/>
      <c r="F821" s="1"/>
      <c r="G821" s="1"/>
      <c r="H821" s="1"/>
      <c r="I821" s="61"/>
      <c r="J821" s="1"/>
      <c r="K821" s="1"/>
    </row>
    <row r="822" spans="1:11" ht="15.75" customHeight="1">
      <c r="A822" s="2"/>
      <c r="B822" s="1"/>
      <c r="C822" s="1"/>
      <c r="D822" s="1"/>
      <c r="E822" s="1"/>
      <c r="F822" s="1"/>
      <c r="G822" s="1"/>
      <c r="H822" s="1"/>
      <c r="I822" s="61"/>
      <c r="J822" s="1"/>
      <c r="K822" s="1"/>
    </row>
    <row r="823" spans="1:11" ht="15.75" customHeight="1">
      <c r="A823" s="2"/>
      <c r="B823" s="1"/>
      <c r="C823" s="1"/>
      <c r="D823" s="1"/>
      <c r="E823" s="1"/>
      <c r="F823" s="1"/>
      <c r="G823" s="1"/>
      <c r="H823" s="1"/>
      <c r="I823" s="61"/>
      <c r="J823" s="1"/>
      <c r="K823" s="1"/>
    </row>
    <row r="824" spans="1:11" ht="15.75" customHeight="1">
      <c r="A824" s="2"/>
      <c r="B824" s="1"/>
      <c r="C824" s="1"/>
      <c r="D824" s="1"/>
      <c r="E824" s="1"/>
      <c r="F824" s="1"/>
      <c r="G824" s="1"/>
      <c r="H824" s="1"/>
      <c r="I824" s="61"/>
      <c r="J824" s="1"/>
      <c r="K824" s="1"/>
    </row>
    <row r="825" spans="1:11" ht="15.75" customHeight="1">
      <c r="A825" s="2"/>
      <c r="B825" s="1"/>
      <c r="C825" s="1"/>
      <c r="D825" s="1"/>
      <c r="E825" s="1"/>
      <c r="F825" s="1"/>
      <c r="G825" s="1"/>
      <c r="H825" s="1"/>
      <c r="I825" s="61"/>
      <c r="J825" s="1"/>
      <c r="K825" s="1"/>
    </row>
    <row r="826" spans="1:11" ht="15.75" customHeight="1">
      <c r="A826" s="2"/>
      <c r="B826" s="1"/>
      <c r="C826" s="1"/>
      <c r="D826" s="1"/>
      <c r="E826" s="1"/>
      <c r="F826" s="1"/>
      <c r="G826" s="1"/>
      <c r="H826" s="1"/>
      <c r="I826" s="61"/>
      <c r="J826" s="1"/>
      <c r="K826" s="1"/>
    </row>
    <row r="827" spans="1:11" ht="15.75" customHeight="1">
      <c r="A827" s="2"/>
      <c r="B827" s="1"/>
      <c r="C827" s="1"/>
      <c r="D827" s="1"/>
      <c r="E827" s="1"/>
      <c r="F827" s="1"/>
      <c r="G827" s="1"/>
      <c r="H827" s="1"/>
      <c r="I827" s="61"/>
      <c r="J827" s="1"/>
      <c r="K827" s="1"/>
    </row>
    <row r="828" spans="1:11" ht="15.75" customHeight="1">
      <c r="A828" s="2"/>
      <c r="B828" s="1"/>
      <c r="C828" s="1"/>
      <c r="D828" s="1"/>
      <c r="E828" s="1"/>
      <c r="F828" s="1"/>
      <c r="G828" s="1"/>
      <c r="H828" s="1"/>
      <c r="I828" s="61"/>
      <c r="J828" s="1"/>
      <c r="K828" s="1"/>
    </row>
    <row r="829" spans="1:11" ht="15.75" customHeight="1">
      <c r="A829" s="2"/>
      <c r="B829" s="1"/>
      <c r="C829" s="1"/>
      <c r="D829" s="1"/>
      <c r="E829" s="1"/>
      <c r="F829" s="1"/>
      <c r="G829" s="1"/>
      <c r="H829" s="1"/>
      <c r="I829" s="61"/>
      <c r="J829" s="1"/>
      <c r="K829" s="1"/>
    </row>
    <row r="830" spans="1:11" ht="15.75" customHeight="1">
      <c r="A830" s="2"/>
      <c r="B830" s="1"/>
      <c r="C830" s="1"/>
      <c r="D830" s="1"/>
      <c r="E830" s="1"/>
      <c r="F830" s="1"/>
      <c r="G830" s="1"/>
      <c r="H830" s="1"/>
      <c r="I830" s="61"/>
      <c r="J830" s="1"/>
      <c r="K830" s="1"/>
    </row>
    <row r="831" spans="1:11" ht="15.75" customHeight="1">
      <c r="A831" s="2"/>
      <c r="B831" s="1"/>
      <c r="C831" s="1"/>
      <c r="D831" s="1"/>
      <c r="E831" s="1"/>
      <c r="F831" s="1"/>
      <c r="G831" s="1"/>
      <c r="H831" s="1"/>
      <c r="I831" s="61"/>
      <c r="J831" s="1"/>
      <c r="K831" s="1"/>
    </row>
    <row r="832" spans="1:11" ht="15.75" customHeight="1">
      <c r="A832" s="2"/>
      <c r="B832" s="1"/>
      <c r="C832" s="1"/>
      <c r="D832" s="1"/>
      <c r="E832" s="1"/>
      <c r="F832" s="1"/>
      <c r="G832" s="1"/>
      <c r="H832" s="1"/>
      <c r="I832" s="61"/>
      <c r="J832" s="1"/>
      <c r="K832" s="1"/>
    </row>
    <row r="833" spans="1:11" ht="15.75" customHeight="1">
      <c r="A833" s="2"/>
      <c r="B833" s="1"/>
      <c r="C833" s="1"/>
      <c r="D833" s="1"/>
      <c r="E833" s="1"/>
      <c r="F833" s="1"/>
      <c r="G833" s="1"/>
      <c r="H833" s="1"/>
      <c r="I833" s="61"/>
      <c r="J833" s="1"/>
      <c r="K833" s="1"/>
    </row>
    <row r="834" spans="1:11" ht="15.75" customHeight="1">
      <c r="A834" s="2"/>
      <c r="B834" s="1"/>
      <c r="C834" s="1"/>
      <c r="D834" s="1"/>
      <c r="E834" s="1"/>
      <c r="F834" s="1"/>
      <c r="G834" s="1"/>
      <c r="H834" s="1"/>
      <c r="I834" s="61"/>
      <c r="J834" s="1"/>
      <c r="K834" s="1"/>
    </row>
    <row r="835" spans="1:11" ht="15.75" customHeight="1">
      <c r="A835" s="2"/>
      <c r="B835" s="1"/>
      <c r="C835" s="1"/>
      <c r="D835" s="1"/>
      <c r="E835" s="1"/>
      <c r="F835" s="1"/>
      <c r="G835" s="1"/>
      <c r="H835" s="1"/>
      <c r="I835" s="61"/>
      <c r="J835" s="1"/>
      <c r="K835" s="1"/>
    </row>
    <row r="836" spans="1:11" ht="15.75" customHeight="1">
      <c r="A836" s="2"/>
      <c r="B836" s="1"/>
      <c r="C836" s="1"/>
      <c r="D836" s="1"/>
      <c r="E836" s="1"/>
      <c r="F836" s="1"/>
      <c r="G836" s="1"/>
      <c r="H836" s="1"/>
      <c r="I836" s="61"/>
      <c r="J836" s="1"/>
      <c r="K836" s="1"/>
    </row>
    <row r="837" spans="1:11" ht="15.75" customHeight="1">
      <c r="A837" s="2"/>
      <c r="B837" s="1"/>
      <c r="C837" s="1"/>
      <c r="D837" s="1"/>
      <c r="E837" s="1"/>
      <c r="F837" s="1"/>
      <c r="G837" s="1"/>
      <c r="H837" s="1"/>
      <c r="I837" s="61"/>
      <c r="J837" s="1"/>
      <c r="K837" s="1"/>
    </row>
    <row r="838" spans="1:11" ht="15.75" customHeight="1">
      <c r="A838" s="2"/>
      <c r="B838" s="1"/>
      <c r="C838" s="1"/>
      <c r="D838" s="1"/>
      <c r="E838" s="1"/>
      <c r="F838" s="1"/>
      <c r="G838" s="1"/>
      <c r="H838" s="1"/>
      <c r="I838" s="61"/>
      <c r="J838" s="1"/>
      <c r="K838" s="1"/>
    </row>
    <row r="839" spans="1:11" ht="15.75" customHeight="1">
      <c r="A839" s="2"/>
      <c r="B839" s="1"/>
      <c r="C839" s="1"/>
      <c r="D839" s="1"/>
      <c r="E839" s="1"/>
      <c r="F839" s="1"/>
      <c r="G839" s="1"/>
      <c r="H839" s="1"/>
      <c r="I839" s="61"/>
      <c r="J839" s="1"/>
      <c r="K839" s="1"/>
    </row>
    <row r="840" spans="1:11" ht="15.75" customHeight="1">
      <c r="A840" s="2"/>
      <c r="B840" s="1"/>
      <c r="C840" s="1"/>
      <c r="D840" s="1"/>
      <c r="E840" s="1"/>
      <c r="F840" s="1"/>
      <c r="G840" s="1"/>
      <c r="H840" s="1"/>
      <c r="I840" s="61"/>
      <c r="J840" s="1"/>
      <c r="K840" s="1"/>
    </row>
    <row r="841" spans="1:11" ht="15.75" customHeight="1">
      <c r="A841" s="2"/>
      <c r="B841" s="1"/>
      <c r="C841" s="1"/>
      <c r="D841" s="1"/>
      <c r="E841" s="1"/>
      <c r="F841" s="1"/>
      <c r="G841" s="1"/>
      <c r="H841" s="1"/>
      <c r="I841" s="61"/>
      <c r="J841" s="1"/>
      <c r="K841" s="1"/>
    </row>
    <row r="842" spans="1:11" ht="15.75" customHeight="1">
      <c r="A842" s="2"/>
      <c r="B842" s="1"/>
      <c r="C842" s="1"/>
      <c r="D842" s="1"/>
      <c r="E842" s="1"/>
      <c r="F842" s="1"/>
      <c r="G842" s="1"/>
      <c r="H842" s="1"/>
      <c r="I842" s="61"/>
      <c r="J842" s="1"/>
      <c r="K842" s="1"/>
    </row>
    <row r="843" spans="1:11" ht="15.75" customHeight="1">
      <c r="A843" s="2"/>
      <c r="B843" s="1"/>
      <c r="C843" s="1"/>
      <c r="D843" s="1"/>
      <c r="E843" s="1"/>
      <c r="F843" s="1"/>
      <c r="G843" s="1"/>
      <c r="H843" s="1"/>
      <c r="I843" s="61"/>
      <c r="J843" s="1"/>
      <c r="K843" s="1"/>
    </row>
    <row r="844" spans="1:11" ht="15.75" customHeight="1">
      <c r="A844" s="2"/>
      <c r="B844" s="1"/>
      <c r="C844" s="1"/>
      <c r="D844" s="1"/>
      <c r="E844" s="1"/>
      <c r="F844" s="1"/>
      <c r="G844" s="1"/>
      <c r="H844" s="1"/>
      <c r="I844" s="61"/>
      <c r="J844" s="1"/>
      <c r="K844" s="1"/>
    </row>
    <row r="845" spans="1:11" ht="15.75" customHeight="1">
      <c r="A845" s="2"/>
      <c r="B845" s="1"/>
      <c r="C845" s="1"/>
      <c r="D845" s="1"/>
      <c r="E845" s="1"/>
      <c r="F845" s="1"/>
      <c r="G845" s="1"/>
      <c r="H845" s="1"/>
      <c r="I845" s="61"/>
      <c r="J845" s="1"/>
      <c r="K845" s="1"/>
    </row>
    <row r="846" spans="1:11" ht="15.75" customHeight="1">
      <c r="A846" s="2"/>
      <c r="B846" s="1"/>
      <c r="C846" s="1"/>
      <c r="D846" s="1"/>
      <c r="E846" s="1"/>
      <c r="F846" s="1"/>
      <c r="G846" s="1"/>
      <c r="H846" s="1"/>
      <c r="I846" s="61"/>
      <c r="J846" s="1"/>
      <c r="K846" s="1"/>
    </row>
    <row r="847" spans="1:11" ht="15.75" customHeight="1">
      <c r="A847" s="2"/>
      <c r="B847" s="1"/>
      <c r="C847" s="1"/>
      <c r="D847" s="1"/>
      <c r="E847" s="1"/>
      <c r="F847" s="1"/>
      <c r="G847" s="1"/>
      <c r="H847" s="1"/>
      <c r="I847" s="61"/>
      <c r="J847" s="1"/>
      <c r="K847" s="1"/>
    </row>
    <row r="848" spans="1:11" ht="15.75" customHeight="1">
      <c r="A848" s="2"/>
      <c r="B848" s="1"/>
      <c r="C848" s="1"/>
      <c r="D848" s="1"/>
      <c r="E848" s="1"/>
      <c r="F848" s="1"/>
      <c r="G848" s="1"/>
      <c r="H848" s="1"/>
      <c r="I848" s="61"/>
      <c r="J848" s="1"/>
      <c r="K848" s="1"/>
    </row>
    <row r="849" spans="1:11" ht="15.75" customHeight="1">
      <c r="A849" s="2"/>
      <c r="B849" s="1"/>
      <c r="C849" s="1"/>
      <c r="D849" s="1"/>
      <c r="E849" s="1"/>
      <c r="F849" s="1"/>
      <c r="G849" s="1"/>
      <c r="H849" s="1"/>
      <c r="I849" s="61"/>
      <c r="J849" s="1"/>
      <c r="K849" s="1"/>
    </row>
    <row r="850" spans="1:11" ht="15.75" customHeight="1">
      <c r="A850" s="2"/>
      <c r="B850" s="1"/>
      <c r="C850" s="1"/>
      <c r="D850" s="1"/>
      <c r="E850" s="1"/>
      <c r="F850" s="1"/>
      <c r="G850" s="1"/>
      <c r="H850" s="1"/>
      <c r="I850" s="61"/>
      <c r="J850" s="1"/>
      <c r="K850" s="1"/>
    </row>
    <row r="851" spans="1:11" ht="15.75" customHeight="1">
      <c r="A851" s="2"/>
      <c r="B851" s="1"/>
      <c r="C851" s="1"/>
      <c r="D851" s="1"/>
      <c r="E851" s="1"/>
      <c r="F851" s="1"/>
      <c r="G851" s="1"/>
      <c r="H851" s="1"/>
      <c r="I851" s="61"/>
      <c r="J851" s="1"/>
      <c r="K851" s="1"/>
    </row>
    <row r="852" spans="1:11" ht="15.75" customHeight="1">
      <c r="A852" s="2"/>
      <c r="B852" s="1"/>
      <c r="C852" s="1"/>
      <c r="D852" s="1"/>
      <c r="E852" s="1"/>
      <c r="F852" s="1"/>
      <c r="G852" s="1"/>
      <c r="H852" s="1"/>
      <c r="I852" s="61"/>
      <c r="J852" s="1"/>
      <c r="K852" s="1"/>
    </row>
    <row r="853" spans="1:11" ht="15.75" customHeight="1">
      <c r="A853" s="2"/>
      <c r="B853" s="1"/>
      <c r="C853" s="1"/>
      <c r="D853" s="1"/>
      <c r="E853" s="1"/>
      <c r="F853" s="1"/>
      <c r="G853" s="1"/>
      <c r="H853" s="1"/>
      <c r="I853" s="61"/>
      <c r="J853" s="1"/>
      <c r="K853" s="1"/>
    </row>
    <row r="854" spans="1:11" ht="15.75" customHeight="1">
      <c r="A854" s="2"/>
      <c r="B854" s="1"/>
      <c r="C854" s="1"/>
      <c r="D854" s="1"/>
      <c r="E854" s="1"/>
      <c r="F854" s="1"/>
      <c r="G854" s="1"/>
      <c r="H854" s="1"/>
      <c r="I854" s="61"/>
      <c r="J854" s="1"/>
      <c r="K854" s="1"/>
    </row>
    <row r="855" spans="1:11" ht="15.75" customHeight="1">
      <c r="A855" s="2"/>
      <c r="B855" s="1"/>
      <c r="C855" s="1"/>
      <c r="D855" s="1"/>
      <c r="E855" s="1"/>
      <c r="F855" s="1"/>
      <c r="G855" s="1"/>
      <c r="H855" s="1"/>
      <c r="I855" s="61"/>
      <c r="J855" s="1"/>
      <c r="K855" s="1"/>
    </row>
    <row r="856" spans="1:11" ht="15.75" customHeight="1">
      <c r="A856" s="2"/>
      <c r="B856" s="1"/>
      <c r="C856" s="1"/>
      <c r="D856" s="1"/>
      <c r="E856" s="1"/>
      <c r="F856" s="1"/>
      <c r="G856" s="1"/>
      <c r="H856" s="1"/>
      <c r="I856" s="61"/>
      <c r="J856" s="1"/>
      <c r="K856" s="1"/>
    </row>
    <row r="857" spans="1:11" ht="15.75" customHeight="1">
      <c r="A857" s="2"/>
      <c r="B857" s="1"/>
      <c r="C857" s="1"/>
      <c r="D857" s="1"/>
      <c r="E857" s="1"/>
      <c r="F857" s="1"/>
      <c r="G857" s="1"/>
      <c r="H857" s="1"/>
      <c r="I857" s="61"/>
      <c r="J857" s="1"/>
      <c r="K857" s="1"/>
    </row>
    <row r="858" spans="1:11" ht="15.75" customHeight="1">
      <c r="A858" s="2"/>
      <c r="B858" s="1"/>
      <c r="C858" s="1"/>
      <c r="D858" s="1"/>
      <c r="E858" s="1"/>
      <c r="F858" s="1"/>
      <c r="G858" s="1"/>
      <c r="H858" s="1"/>
      <c r="I858" s="61"/>
      <c r="J858" s="1"/>
      <c r="K858" s="1"/>
    </row>
    <row r="859" spans="1:11" ht="15.75" customHeight="1">
      <c r="A859" s="2"/>
      <c r="B859" s="1"/>
      <c r="C859" s="1"/>
      <c r="D859" s="1"/>
      <c r="E859" s="1"/>
      <c r="F859" s="1"/>
      <c r="G859" s="1"/>
      <c r="H859" s="1"/>
      <c r="I859" s="61"/>
      <c r="J859" s="1"/>
      <c r="K859" s="1"/>
    </row>
    <row r="860" spans="1:11" ht="15.75" customHeight="1">
      <c r="A860" s="2"/>
      <c r="B860" s="1"/>
      <c r="C860" s="1"/>
      <c r="D860" s="1"/>
      <c r="E860" s="1"/>
      <c r="F860" s="1"/>
      <c r="G860" s="1"/>
      <c r="H860" s="1"/>
      <c r="I860" s="61"/>
      <c r="J860" s="1"/>
      <c r="K860" s="1"/>
    </row>
    <row r="861" spans="1:11" ht="15.75" customHeight="1">
      <c r="A861" s="2"/>
      <c r="B861" s="1"/>
      <c r="C861" s="1"/>
      <c r="D861" s="1"/>
      <c r="E861" s="1"/>
      <c r="F861" s="1"/>
      <c r="G861" s="1"/>
      <c r="H861" s="1"/>
      <c r="I861" s="61"/>
      <c r="J861" s="1"/>
      <c r="K861" s="1"/>
    </row>
    <row r="862" spans="1:11" ht="15.75" customHeight="1">
      <c r="A862" s="2"/>
      <c r="B862" s="1"/>
      <c r="C862" s="1"/>
      <c r="D862" s="1"/>
      <c r="E862" s="1"/>
      <c r="F862" s="1"/>
      <c r="G862" s="1"/>
      <c r="H862" s="1"/>
      <c r="I862" s="61"/>
      <c r="J862" s="1"/>
      <c r="K862" s="1"/>
    </row>
    <row r="863" spans="1:11" ht="15.75" customHeight="1">
      <c r="A863" s="2"/>
      <c r="B863" s="1"/>
      <c r="C863" s="1"/>
      <c r="D863" s="1"/>
      <c r="E863" s="1"/>
      <c r="F863" s="1"/>
      <c r="G863" s="1"/>
      <c r="H863" s="1"/>
      <c r="I863" s="61"/>
      <c r="J863" s="1"/>
      <c r="K863" s="1"/>
    </row>
    <row r="864" spans="1:11" ht="15.75" customHeight="1">
      <c r="A864" s="2"/>
      <c r="B864" s="1"/>
      <c r="C864" s="1"/>
      <c r="D864" s="1"/>
      <c r="E864" s="1"/>
      <c r="F864" s="1"/>
      <c r="G864" s="1"/>
      <c r="H864" s="1"/>
      <c r="I864" s="61"/>
      <c r="J864" s="1"/>
      <c r="K864" s="1"/>
    </row>
    <row r="865" spans="1:11" ht="15.75" customHeight="1">
      <c r="A865" s="2"/>
      <c r="B865" s="1"/>
      <c r="C865" s="1"/>
      <c r="D865" s="1"/>
      <c r="E865" s="1"/>
      <c r="F865" s="1"/>
      <c r="G865" s="1"/>
      <c r="H865" s="1"/>
      <c r="I865" s="61"/>
      <c r="J865" s="1"/>
      <c r="K865" s="1"/>
    </row>
    <row r="866" spans="1:11" ht="15.75" customHeight="1">
      <c r="A866" s="2"/>
      <c r="B866" s="1"/>
      <c r="C866" s="1"/>
      <c r="D866" s="1"/>
      <c r="E866" s="1"/>
      <c r="F866" s="1"/>
      <c r="G866" s="1"/>
      <c r="H866" s="1"/>
      <c r="I866" s="61"/>
      <c r="J866" s="1"/>
      <c r="K866" s="1"/>
    </row>
    <row r="867" spans="1:11" ht="15.75" customHeight="1">
      <c r="A867" s="2"/>
      <c r="B867" s="1"/>
      <c r="C867" s="1"/>
      <c r="D867" s="1"/>
      <c r="E867" s="1"/>
      <c r="F867" s="1"/>
      <c r="G867" s="1"/>
      <c r="H867" s="1"/>
      <c r="I867" s="61"/>
      <c r="J867" s="1"/>
      <c r="K867" s="1"/>
    </row>
    <row r="868" spans="1:11" ht="15.75" customHeight="1">
      <c r="A868" s="2"/>
      <c r="B868" s="1"/>
      <c r="C868" s="1"/>
      <c r="D868" s="1"/>
      <c r="E868" s="1"/>
      <c r="F868" s="1"/>
      <c r="G868" s="1"/>
      <c r="H868" s="1"/>
      <c r="I868" s="61"/>
      <c r="J868" s="1"/>
      <c r="K868" s="1"/>
    </row>
    <row r="869" spans="1:11" ht="15.75" customHeight="1">
      <c r="A869" s="2"/>
      <c r="B869" s="1"/>
      <c r="C869" s="1"/>
      <c r="D869" s="1"/>
      <c r="E869" s="1"/>
      <c r="F869" s="1"/>
      <c r="G869" s="1"/>
      <c r="H869" s="1"/>
      <c r="I869" s="61"/>
      <c r="J869" s="1"/>
      <c r="K869" s="1"/>
    </row>
    <row r="870" spans="1:11" ht="15.75" customHeight="1">
      <c r="A870" s="2"/>
      <c r="B870" s="1"/>
      <c r="C870" s="1"/>
      <c r="D870" s="1"/>
      <c r="E870" s="1"/>
      <c r="F870" s="1"/>
      <c r="G870" s="1"/>
      <c r="H870" s="1"/>
      <c r="I870" s="61"/>
      <c r="J870" s="1"/>
      <c r="K870" s="1"/>
    </row>
    <row r="871" spans="1:11" ht="15.75" customHeight="1">
      <c r="A871" s="2"/>
      <c r="B871" s="1"/>
      <c r="C871" s="1"/>
      <c r="D871" s="1"/>
      <c r="E871" s="1"/>
      <c r="F871" s="1"/>
      <c r="G871" s="1"/>
      <c r="H871" s="1"/>
      <c r="I871" s="61"/>
      <c r="J871" s="1"/>
      <c r="K871" s="1"/>
    </row>
    <row r="872" spans="1:11" ht="15.75" customHeight="1">
      <c r="A872" s="2"/>
      <c r="B872" s="1"/>
      <c r="C872" s="1"/>
      <c r="D872" s="1"/>
      <c r="E872" s="1"/>
      <c r="F872" s="1"/>
      <c r="G872" s="1"/>
      <c r="H872" s="1"/>
      <c r="I872" s="61"/>
      <c r="J872" s="1"/>
      <c r="K872" s="1"/>
    </row>
    <row r="873" spans="1:11" ht="15.75" customHeight="1">
      <c r="A873" s="2"/>
      <c r="B873" s="1"/>
      <c r="C873" s="1"/>
      <c r="D873" s="1"/>
      <c r="E873" s="1"/>
      <c r="F873" s="1"/>
      <c r="G873" s="1"/>
      <c r="H873" s="1"/>
      <c r="I873" s="61"/>
      <c r="J873" s="1"/>
      <c r="K873" s="1"/>
    </row>
    <row r="874" spans="1:11" ht="15.75" customHeight="1">
      <c r="A874" s="2"/>
      <c r="B874" s="1"/>
      <c r="C874" s="1"/>
      <c r="D874" s="1"/>
      <c r="E874" s="1"/>
      <c r="F874" s="1"/>
      <c r="G874" s="1"/>
      <c r="H874" s="1"/>
      <c r="I874" s="61"/>
      <c r="J874" s="1"/>
      <c r="K874" s="1"/>
    </row>
    <row r="875" spans="1:11" ht="15.75" customHeight="1">
      <c r="A875" s="2"/>
      <c r="B875" s="1"/>
      <c r="C875" s="1"/>
      <c r="D875" s="1"/>
      <c r="E875" s="1"/>
      <c r="F875" s="1"/>
      <c r="G875" s="1"/>
      <c r="H875" s="1"/>
      <c r="I875" s="61"/>
      <c r="J875" s="1"/>
      <c r="K875" s="1"/>
    </row>
    <row r="876" spans="1:11" ht="15.75" customHeight="1">
      <c r="A876" s="2"/>
      <c r="B876" s="1"/>
      <c r="C876" s="1"/>
      <c r="D876" s="1"/>
      <c r="E876" s="1"/>
      <c r="F876" s="1"/>
      <c r="G876" s="1"/>
      <c r="H876" s="1"/>
      <c r="I876" s="61"/>
      <c r="J876" s="1"/>
      <c r="K876" s="1"/>
    </row>
    <row r="877" spans="1:11" ht="15.75" customHeight="1">
      <c r="A877" s="2"/>
      <c r="B877" s="1"/>
      <c r="C877" s="1"/>
      <c r="D877" s="1"/>
      <c r="E877" s="1"/>
      <c r="F877" s="1"/>
      <c r="G877" s="1"/>
      <c r="H877" s="1"/>
      <c r="I877" s="61"/>
      <c r="J877" s="1"/>
      <c r="K877" s="1"/>
    </row>
    <row r="878" spans="1:11" ht="15.75" customHeight="1">
      <c r="A878" s="2"/>
      <c r="B878" s="1"/>
      <c r="C878" s="1"/>
      <c r="D878" s="1"/>
      <c r="E878" s="1"/>
      <c r="F878" s="1"/>
      <c r="G878" s="1"/>
      <c r="H878" s="1"/>
      <c r="I878" s="61"/>
      <c r="J878" s="1"/>
      <c r="K878" s="1"/>
    </row>
    <row r="879" spans="1:11" ht="15.75" customHeight="1">
      <c r="A879" s="2"/>
      <c r="B879" s="1"/>
      <c r="C879" s="1"/>
      <c r="D879" s="1"/>
      <c r="E879" s="1"/>
      <c r="F879" s="1"/>
      <c r="G879" s="1"/>
      <c r="H879" s="1"/>
      <c r="I879" s="61"/>
      <c r="J879" s="1"/>
      <c r="K879" s="1"/>
    </row>
    <row r="880" spans="1:11" ht="15.75" customHeight="1">
      <c r="A880" s="2"/>
      <c r="B880" s="1"/>
      <c r="C880" s="1"/>
      <c r="D880" s="1"/>
      <c r="E880" s="1"/>
      <c r="F880" s="1"/>
      <c r="G880" s="1"/>
      <c r="H880" s="1"/>
      <c r="I880" s="61"/>
      <c r="J880" s="1"/>
      <c r="K880" s="1"/>
    </row>
    <row r="881" spans="1:11" ht="15.75" customHeight="1">
      <c r="A881" s="2"/>
      <c r="B881" s="1"/>
      <c r="C881" s="1"/>
      <c r="D881" s="1"/>
      <c r="E881" s="1"/>
      <c r="F881" s="1"/>
      <c r="G881" s="1"/>
      <c r="H881" s="1"/>
      <c r="I881" s="61"/>
      <c r="J881" s="1"/>
      <c r="K881" s="1"/>
    </row>
    <row r="882" spans="1:11" ht="15.75" customHeight="1">
      <c r="A882" s="2"/>
      <c r="B882" s="1"/>
      <c r="C882" s="1"/>
      <c r="D882" s="1"/>
      <c r="E882" s="1"/>
      <c r="F882" s="1"/>
      <c r="G882" s="1"/>
      <c r="H882" s="1"/>
      <c r="I882" s="61"/>
      <c r="J882" s="1"/>
      <c r="K882" s="1"/>
    </row>
    <row r="883" spans="1:11" ht="15.75" customHeight="1">
      <c r="A883" s="2"/>
      <c r="B883" s="1"/>
      <c r="C883" s="1"/>
      <c r="D883" s="1"/>
      <c r="E883" s="1"/>
      <c r="F883" s="1"/>
      <c r="G883" s="1"/>
      <c r="H883" s="1"/>
      <c r="I883" s="61"/>
      <c r="J883" s="1"/>
      <c r="K883" s="1"/>
    </row>
    <row r="884" spans="1:11" ht="15.75" customHeight="1">
      <c r="A884" s="2"/>
      <c r="B884" s="1"/>
      <c r="C884" s="1"/>
      <c r="D884" s="1"/>
      <c r="E884" s="1"/>
      <c r="F884" s="1"/>
      <c r="G884" s="1"/>
      <c r="H884" s="1"/>
      <c r="I884" s="61"/>
      <c r="J884" s="1"/>
      <c r="K884" s="1"/>
    </row>
    <row r="885" spans="1:11" ht="15.75" customHeight="1">
      <c r="A885" s="2"/>
      <c r="B885" s="1"/>
      <c r="C885" s="1"/>
      <c r="D885" s="1"/>
      <c r="E885" s="1"/>
      <c r="F885" s="1"/>
      <c r="G885" s="1"/>
      <c r="H885" s="1"/>
      <c r="I885" s="61"/>
      <c r="J885" s="1"/>
      <c r="K885" s="1"/>
    </row>
    <row r="886" spans="1:11" ht="15.75" customHeight="1">
      <c r="A886" s="2"/>
      <c r="B886" s="1"/>
      <c r="C886" s="1"/>
      <c r="D886" s="1"/>
      <c r="E886" s="1"/>
      <c r="F886" s="1"/>
      <c r="G886" s="1"/>
      <c r="H886" s="1"/>
      <c r="I886" s="61"/>
      <c r="J886" s="1"/>
      <c r="K886" s="1"/>
    </row>
    <row r="887" spans="1:11" ht="15.75" customHeight="1">
      <c r="A887" s="2"/>
      <c r="B887" s="1"/>
      <c r="C887" s="1"/>
      <c r="D887" s="1"/>
      <c r="E887" s="1"/>
      <c r="F887" s="1"/>
      <c r="G887" s="1"/>
      <c r="H887" s="1"/>
      <c r="I887" s="61"/>
      <c r="J887" s="1"/>
      <c r="K887" s="1"/>
    </row>
    <row r="888" spans="1:11" ht="15.75" customHeight="1">
      <c r="A888" s="2"/>
      <c r="B888" s="1"/>
      <c r="C888" s="1"/>
      <c r="D888" s="1"/>
      <c r="E888" s="1"/>
      <c r="F888" s="1"/>
      <c r="G888" s="1"/>
      <c r="H888" s="1"/>
      <c r="I888" s="61"/>
      <c r="J888" s="1"/>
      <c r="K888" s="1"/>
    </row>
    <row r="889" spans="1:11" ht="15.75" customHeight="1">
      <c r="A889" s="2"/>
      <c r="B889" s="1"/>
      <c r="C889" s="1"/>
      <c r="D889" s="1"/>
      <c r="E889" s="1"/>
      <c r="F889" s="1"/>
      <c r="G889" s="1"/>
      <c r="H889" s="1"/>
      <c r="I889" s="61"/>
      <c r="J889" s="1"/>
      <c r="K889" s="1"/>
    </row>
    <row r="890" spans="1:11" ht="15.75" customHeight="1">
      <c r="A890" s="2"/>
      <c r="B890" s="1"/>
      <c r="C890" s="1"/>
      <c r="D890" s="1"/>
      <c r="E890" s="1"/>
      <c r="F890" s="1"/>
      <c r="G890" s="1"/>
      <c r="H890" s="1"/>
      <c r="I890" s="61"/>
      <c r="J890" s="1"/>
      <c r="K890" s="1"/>
    </row>
    <row r="891" spans="1:11" ht="15.75" customHeight="1">
      <c r="A891" s="2"/>
      <c r="B891" s="1"/>
      <c r="C891" s="1"/>
      <c r="D891" s="1"/>
      <c r="E891" s="1"/>
      <c r="F891" s="1"/>
      <c r="G891" s="1"/>
      <c r="H891" s="1"/>
      <c r="I891" s="61"/>
      <c r="J891" s="1"/>
      <c r="K891" s="1"/>
    </row>
    <row r="892" spans="1:11" ht="15.75" customHeight="1">
      <c r="A892" s="2"/>
      <c r="B892" s="1"/>
      <c r="C892" s="1"/>
      <c r="D892" s="1"/>
      <c r="E892" s="1"/>
      <c r="F892" s="1"/>
      <c r="G892" s="1"/>
      <c r="H892" s="1"/>
      <c r="I892" s="61"/>
      <c r="J892" s="1"/>
      <c r="K892" s="1"/>
    </row>
    <row r="893" spans="1:11" ht="15.75" customHeight="1">
      <c r="A893" s="2"/>
      <c r="B893" s="1"/>
      <c r="C893" s="1"/>
      <c r="D893" s="1"/>
      <c r="E893" s="1"/>
      <c r="F893" s="1"/>
      <c r="G893" s="1"/>
      <c r="H893" s="1"/>
      <c r="I893" s="61"/>
      <c r="J893" s="1"/>
      <c r="K893" s="1"/>
    </row>
    <row r="894" spans="1:11" ht="15.75" customHeight="1">
      <c r="A894" s="2"/>
      <c r="B894" s="1"/>
      <c r="C894" s="1"/>
      <c r="D894" s="1"/>
      <c r="E894" s="1"/>
      <c r="F894" s="1"/>
      <c r="G894" s="1"/>
      <c r="H894" s="1"/>
      <c r="I894" s="61"/>
      <c r="J894" s="1"/>
      <c r="K894" s="1"/>
    </row>
    <row r="895" spans="1:11" ht="15.75" customHeight="1">
      <c r="A895" s="2"/>
      <c r="B895" s="1"/>
      <c r="C895" s="1"/>
      <c r="D895" s="1"/>
      <c r="E895" s="1"/>
      <c r="F895" s="1"/>
      <c r="G895" s="1"/>
      <c r="H895" s="1"/>
      <c r="I895" s="61"/>
      <c r="J895" s="1"/>
      <c r="K895" s="1"/>
    </row>
    <row r="896" spans="1:11" ht="15.75" customHeight="1">
      <c r="A896" s="2"/>
      <c r="B896" s="1"/>
      <c r="C896" s="1"/>
      <c r="D896" s="1"/>
      <c r="E896" s="1"/>
      <c r="F896" s="1"/>
      <c r="G896" s="1"/>
      <c r="H896" s="1"/>
      <c r="I896" s="61"/>
      <c r="J896" s="1"/>
      <c r="K896" s="1"/>
    </row>
    <row r="897" spans="1:11" ht="15.75" customHeight="1">
      <c r="A897" s="2"/>
      <c r="B897" s="1"/>
      <c r="C897" s="1"/>
      <c r="D897" s="1"/>
      <c r="E897" s="1"/>
      <c r="F897" s="1"/>
      <c r="G897" s="1"/>
      <c r="H897" s="1"/>
      <c r="I897" s="61"/>
      <c r="J897" s="1"/>
      <c r="K897" s="1"/>
    </row>
    <row r="898" spans="1:11" ht="15.75" customHeight="1">
      <c r="A898" s="2"/>
      <c r="B898" s="1"/>
      <c r="C898" s="1"/>
      <c r="D898" s="1"/>
      <c r="E898" s="1"/>
      <c r="F898" s="1"/>
      <c r="G898" s="1"/>
      <c r="H898" s="1"/>
      <c r="I898" s="61"/>
      <c r="J898" s="1"/>
      <c r="K898" s="1"/>
    </row>
    <row r="899" spans="1:11" ht="15.75" customHeight="1">
      <c r="A899" s="2"/>
      <c r="B899" s="1"/>
      <c r="C899" s="1"/>
      <c r="D899" s="1"/>
      <c r="E899" s="1"/>
      <c r="F899" s="1"/>
      <c r="G899" s="1"/>
      <c r="H899" s="1"/>
      <c r="I899" s="61"/>
      <c r="J899" s="1"/>
      <c r="K899" s="1"/>
    </row>
    <row r="900" spans="1:11" ht="15.75" customHeight="1">
      <c r="A900" s="2"/>
      <c r="B900" s="1"/>
      <c r="C900" s="1"/>
      <c r="D900" s="1"/>
      <c r="E900" s="1"/>
      <c r="F900" s="1"/>
      <c r="G900" s="1"/>
      <c r="H900" s="1"/>
      <c r="I900" s="61"/>
      <c r="J900" s="1"/>
      <c r="K900" s="1"/>
    </row>
    <row r="901" spans="1:11" ht="15.75" customHeight="1">
      <c r="A901" s="2"/>
      <c r="B901" s="1"/>
      <c r="C901" s="1"/>
      <c r="D901" s="1"/>
      <c r="E901" s="1"/>
      <c r="F901" s="1"/>
      <c r="G901" s="1"/>
      <c r="H901" s="1"/>
      <c r="I901" s="61"/>
      <c r="J901" s="1"/>
      <c r="K901" s="1"/>
    </row>
    <row r="902" spans="1:11" ht="15.75" customHeight="1">
      <c r="A902" s="2"/>
      <c r="B902" s="1"/>
      <c r="C902" s="1"/>
      <c r="D902" s="1"/>
      <c r="E902" s="1"/>
      <c r="F902" s="1"/>
      <c r="G902" s="1"/>
      <c r="H902" s="1"/>
      <c r="I902" s="61"/>
      <c r="J902" s="1"/>
      <c r="K902" s="1"/>
    </row>
    <row r="903" spans="1:11" ht="15.75" customHeight="1">
      <c r="A903" s="2"/>
      <c r="B903" s="1"/>
      <c r="C903" s="1"/>
      <c r="D903" s="1"/>
      <c r="E903" s="1"/>
      <c r="F903" s="1"/>
      <c r="G903" s="1"/>
      <c r="H903" s="1"/>
      <c r="I903" s="61"/>
      <c r="J903" s="1"/>
      <c r="K903" s="1"/>
    </row>
    <row r="904" spans="1:11" ht="15.75" customHeight="1">
      <c r="A904" s="2"/>
      <c r="B904" s="1"/>
      <c r="C904" s="1"/>
      <c r="D904" s="1"/>
      <c r="E904" s="1"/>
      <c r="F904" s="1"/>
      <c r="G904" s="1"/>
      <c r="H904" s="1"/>
      <c r="I904" s="61"/>
      <c r="J904" s="1"/>
      <c r="K904" s="1"/>
    </row>
    <row r="905" spans="1:11" ht="15.75" customHeight="1">
      <c r="A905" s="2"/>
      <c r="B905" s="1"/>
      <c r="C905" s="1"/>
      <c r="D905" s="1"/>
      <c r="E905" s="1"/>
      <c r="F905" s="1"/>
      <c r="G905" s="1"/>
      <c r="H905" s="1"/>
      <c r="I905" s="61"/>
      <c r="J905" s="1"/>
      <c r="K905" s="1"/>
    </row>
    <row r="906" spans="1:11" ht="15.75" customHeight="1">
      <c r="A906" s="2"/>
      <c r="B906" s="1"/>
      <c r="C906" s="1"/>
      <c r="D906" s="1"/>
      <c r="E906" s="1"/>
      <c r="F906" s="1"/>
      <c r="G906" s="1"/>
      <c r="H906" s="1"/>
      <c r="I906" s="61"/>
      <c r="J906" s="1"/>
      <c r="K906" s="1"/>
    </row>
    <row r="907" spans="1:11" ht="15.75" customHeight="1">
      <c r="A907" s="2"/>
      <c r="B907" s="1"/>
      <c r="C907" s="1"/>
      <c r="D907" s="1"/>
      <c r="E907" s="1"/>
      <c r="F907" s="1"/>
      <c r="G907" s="1"/>
      <c r="H907" s="1"/>
      <c r="I907" s="61"/>
      <c r="J907" s="1"/>
      <c r="K907" s="1"/>
    </row>
    <row r="908" spans="1:11" ht="15.75" customHeight="1">
      <c r="A908" s="2"/>
      <c r="B908" s="1"/>
      <c r="C908" s="1"/>
      <c r="D908" s="1"/>
      <c r="E908" s="1"/>
      <c r="F908" s="1"/>
      <c r="G908" s="1"/>
      <c r="H908" s="1"/>
      <c r="I908" s="61"/>
      <c r="J908" s="1"/>
      <c r="K908" s="1"/>
    </row>
    <row r="909" spans="1:11" ht="15.75" customHeight="1">
      <c r="A909" s="2"/>
      <c r="B909" s="1"/>
      <c r="C909" s="1"/>
      <c r="D909" s="1"/>
      <c r="E909" s="1"/>
      <c r="F909" s="1"/>
      <c r="G909" s="1"/>
      <c r="H909" s="1"/>
      <c r="I909" s="61"/>
      <c r="J909" s="1"/>
      <c r="K909" s="1"/>
    </row>
    <row r="910" spans="1:11" ht="15.75" customHeight="1">
      <c r="A910" s="2"/>
      <c r="B910" s="1"/>
      <c r="C910" s="1"/>
      <c r="D910" s="1"/>
      <c r="E910" s="1"/>
      <c r="F910" s="1"/>
      <c r="G910" s="1"/>
      <c r="H910" s="1"/>
      <c r="I910" s="61"/>
      <c r="J910" s="1"/>
      <c r="K910" s="1"/>
    </row>
    <row r="911" spans="1:11" ht="15.75" customHeight="1">
      <c r="A911" s="2"/>
      <c r="B911" s="1"/>
      <c r="C911" s="1"/>
      <c r="D911" s="1"/>
      <c r="E911" s="1"/>
      <c r="F911" s="1"/>
      <c r="G911" s="1"/>
      <c r="H911" s="1"/>
      <c r="I911" s="61"/>
      <c r="J911" s="1"/>
      <c r="K911" s="1"/>
    </row>
    <row r="912" spans="1:11" ht="15.75" customHeight="1">
      <c r="A912" s="2"/>
      <c r="B912" s="1"/>
      <c r="C912" s="1"/>
      <c r="D912" s="1"/>
      <c r="E912" s="1"/>
      <c r="F912" s="1"/>
      <c r="G912" s="1"/>
      <c r="H912" s="1"/>
      <c r="I912" s="61"/>
      <c r="J912" s="1"/>
      <c r="K912" s="1"/>
    </row>
    <row r="913" spans="1:11" ht="15.75" customHeight="1">
      <c r="A913" s="2"/>
      <c r="B913" s="1"/>
      <c r="C913" s="1"/>
      <c r="D913" s="1"/>
      <c r="E913" s="1"/>
      <c r="F913" s="1"/>
      <c r="G913" s="1"/>
      <c r="H913" s="1"/>
      <c r="I913" s="61"/>
      <c r="J913" s="1"/>
      <c r="K913" s="1"/>
    </row>
    <row r="914" spans="1:11" ht="15.75" customHeight="1">
      <c r="A914" s="2"/>
      <c r="B914" s="1"/>
      <c r="C914" s="1"/>
      <c r="D914" s="1"/>
      <c r="E914" s="1"/>
      <c r="F914" s="1"/>
      <c r="G914" s="1"/>
      <c r="H914" s="1"/>
      <c r="I914" s="61"/>
      <c r="J914" s="1"/>
      <c r="K914" s="1"/>
    </row>
    <row r="915" spans="1:11" ht="15.75" customHeight="1">
      <c r="A915" s="2"/>
      <c r="B915" s="1"/>
      <c r="C915" s="1"/>
      <c r="D915" s="1"/>
      <c r="E915" s="1"/>
      <c r="F915" s="1"/>
      <c r="G915" s="1"/>
      <c r="H915" s="1"/>
      <c r="I915" s="61"/>
      <c r="J915" s="1"/>
      <c r="K915" s="1"/>
    </row>
    <row r="916" spans="1:11" ht="15.75" customHeight="1">
      <c r="A916" s="2"/>
      <c r="B916" s="1"/>
      <c r="C916" s="1"/>
      <c r="D916" s="1"/>
      <c r="E916" s="1"/>
      <c r="F916" s="1"/>
      <c r="G916" s="1"/>
      <c r="H916" s="1"/>
      <c r="I916" s="61"/>
      <c r="J916" s="1"/>
      <c r="K916" s="1"/>
    </row>
    <row r="917" spans="1:11" ht="15.75" customHeight="1">
      <c r="A917" s="2"/>
      <c r="B917" s="1"/>
      <c r="C917" s="1"/>
      <c r="D917" s="1"/>
      <c r="E917" s="1"/>
      <c r="F917" s="1"/>
      <c r="G917" s="1"/>
      <c r="H917" s="1"/>
      <c r="I917" s="61"/>
      <c r="J917" s="1"/>
      <c r="K917" s="1"/>
    </row>
    <row r="918" spans="1:11" ht="15.75" customHeight="1">
      <c r="A918" s="2"/>
      <c r="B918" s="1"/>
      <c r="C918" s="1"/>
      <c r="D918" s="1"/>
      <c r="E918" s="1"/>
      <c r="F918" s="1"/>
      <c r="G918" s="1"/>
      <c r="H918" s="1"/>
      <c r="I918" s="61"/>
      <c r="J918" s="1"/>
      <c r="K918" s="1"/>
    </row>
    <row r="919" spans="1:11" ht="15.75" customHeight="1">
      <c r="A919" s="2"/>
      <c r="B919" s="1"/>
      <c r="C919" s="1"/>
      <c r="D919" s="1"/>
      <c r="E919" s="1"/>
      <c r="F919" s="1"/>
      <c r="G919" s="1"/>
      <c r="H919" s="1"/>
      <c r="I919" s="61"/>
      <c r="J919" s="1"/>
      <c r="K919" s="1"/>
    </row>
    <row r="920" spans="1:11" ht="15.75" customHeight="1">
      <c r="A920" s="2"/>
      <c r="B920" s="1"/>
      <c r="C920" s="1"/>
      <c r="D920" s="1"/>
      <c r="E920" s="1"/>
      <c r="F920" s="1"/>
      <c r="G920" s="1"/>
      <c r="H920" s="1"/>
      <c r="I920" s="61"/>
      <c r="J920" s="1"/>
      <c r="K920" s="1"/>
    </row>
    <row r="921" spans="1:11" ht="15.75" customHeight="1">
      <c r="A921" s="2"/>
      <c r="B921" s="1"/>
      <c r="C921" s="1"/>
      <c r="D921" s="1"/>
      <c r="E921" s="1"/>
      <c r="F921" s="1"/>
      <c r="G921" s="1"/>
      <c r="H921" s="1"/>
      <c r="I921" s="61"/>
      <c r="J921" s="1"/>
      <c r="K921" s="1"/>
    </row>
    <row r="922" spans="1:11" ht="15.75" customHeight="1">
      <c r="A922" s="2"/>
      <c r="B922" s="1"/>
      <c r="C922" s="1"/>
      <c r="D922" s="1"/>
      <c r="E922" s="1"/>
      <c r="F922" s="1"/>
      <c r="G922" s="1"/>
      <c r="H922" s="1"/>
      <c r="I922" s="61"/>
      <c r="J922" s="1"/>
      <c r="K922" s="1"/>
    </row>
    <row r="923" spans="1:11" ht="15.75" customHeight="1">
      <c r="A923" s="2"/>
      <c r="B923" s="1"/>
      <c r="C923" s="1"/>
      <c r="D923" s="1"/>
      <c r="E923" s="1"/>
      <c r="F923" s="1"/>
      <c r="G923" s="1"/>
      <c r="H923" s="1"/>
      <c r="I923" s="61"/>
      <c r="J923" s="1"/>
      <c r="K923" s="1"/>
    </row>
    <row r="924" spans="1:11" ht="15.75" customHeight="1">
      <c r="A924" s="2"/>
      <c r="B924" s="1"/>
      <c r="C924" s="1"/>
      <c r="D924" s="1"/>
      <c r="E924" s="1"/>
      <c r="F924" s="1"/>
      <c r="G924" s="1"/>
      <c r="H924" s="1"/>
      <c r="I924" s="61"/>
      <c r="J924" s="1"/>
      <c r="K924" s="1"/>
    </row>
    <row r="925" spans="1:11" ht="15.75" customHeight="1">
      <c r="A925" s="2"/>
      <c r="B925" s="1"/>
      <c r="C925" s="1"/>
      <c r="D925" s="1"/>
      <c r="E925" s="1"/>
      <c r="F925" s="1"/>
      <c r="G925" s="1"/>
      <c r="H925" s="1"/>
      <c r="I925" s="61"/>
      <c r="J925" s="1"/>
      <c r="K925" s="1"/>
    </row>
    <row r="926" spans="1:11" ht="15.75" customHeight="1">
      <c r="A926" s="2"/>
      <c r="B926" s="1"/>
      <c r="C926" s="1"/>
      <c r="D926" s="1"/>
      <c r="E926" s="1"/>
      <c r="F926" s="1"/>
      <c r="G926" s="1"/>
      <c r="H926" s="1"/>
      <c r="I926" s="61"/>
      <c r="J926" s="1"/>
      <c r="K926" s="1"/>
    </row>
    <row r="927" spans="1:11" ht="15.75" customHeight="1">
      <c r="A927" s="2"/>
      <c r="B927" s="1"/>
      <c r="C927" s="1"/>
      <c r="D927" s="1"/>
      <c r="E927" s="1"/>
      <c r="F927" s="1"/>
      <c r="G927" s="1"/>
      <c r="H927" s="1"/>
      <c r="I927" s="61"/>
      <c r="J927" s="1"/>
      <c r="K927" s="1"/>
    </row>
    <row r="928" spans="1:11" ht="15.75" customHeight="1">
      <c r="A928" s="2"/>
      <c r="B928" s="1"/>
      <c r="C928" s="1"/>
      <c r="D928" s="1"/>
      <c r="E928" s="1"/>
      <c r="F928" s="1"/>
      <c r="G928" s="1"/>
      <c r="H928" s="1"/>
      <c r="I928" s="61"/>
      <c r="J928" s="1"/>
      <c r="K928" s="1"/>
    </row>
    <row r="929" spans="1:11" ht="15.75" customHeight="1">
      <c r="A929" s="2"/>
      <c r="B929" s="1"/>
      <c r="C929" s="1"/>
      <c r="D929" s="1"/>
      <c r="E929" s="1"/>
      <c r="F929" s="1"/>
      <c r="G929" s="1"/>
      <c r="H929" s="1"/>
      <c r="I929" s="61"/>
      <c r="J929" s="1"/>
      <c r="K929" s="1"/>
    </row>
    <row r="930" spans="1:11" ht="15.75" customHeight="1">
      <c r="A930" s="2"/>
      <c r="B930" s="1"/>
      <c r="C930" s="1"/>
      <c r="D930" s="1"/>
      <c r="E930" s="1"/>
      <c r="F930" s="1"/>
      <c r="G930" s="1"/>
      <c r="H930" s="1"/>
      <c r="I930" s="61"/>
      <c r="J930" s="1"/>
      <c r="K930" s="1"/>
    </row>
    <row r="931" spans="1:11" ht="15.75" customHeight="1">
      <c r="A931" s="2"/>
      <c r="B931" s="1"/>
      <c r="C931" s="1"/>
      <c r="D931" s="1"/>
      <c r="E931" s="1"/>
      <c r="F931" s="1"/>
      <c r="G931" s="1"/>
      <c r="H931" s="1"/>
      <c r="I931" s="61"/>
      <c r="J931" s="1"/>
      <c r="K931" s="1"/>
    </row>
    <row r="932" spans="1:11" ht="15.75" customHeight="1">
      <c r="A932" s="2"/>
      <c r="B932" s="1"/>
      <c r="C932" s="1"/>
      <c r="D932" s="1"/>
      <c r="E932" s="1"/>
      <c r="F932" s="1"/>
      <c r="G932" s="1"/>
      <c r="H932" s="1"/>
      <c r="I932" s="61"/>
      <c r="J932" s="1"/>
      <c r="K932" s="1"/>
    </row>
    <row r="933" spans="1:11" ht="15.75" customHeight="1">
      <c r="A933" s="2"/>
      <c r="B933" s="1"/>
      <c r="C933" s="1"/>
      <c r="D933" s="1"/>
      <c r="E933" s="1"/>
      <c r="F933" s="1"/>
      <c r="G933" s="1"/>
      <c r="H933" s="1"/>
      <c r="I933" s="61"/>
      <c r="J933" s="1"/>
      <c r="K933" s="1"/>
    </row>
    <row r="934" spans="1:11" ht="15.75" customHeight="1">
      <c r="A934" s="2"/>
      <c r="B934" s="1"/>
      <c r="C934" s="1"/>
      <c r="D934" s="1"/>
      <c r="E934" s="1"/>
      <c r="F934" s="1"/>
      <c r="G934" s="1"/>
      <c r="H934" s="1"/>
      <c r="I934" s="61"/>
      <c r="J934" s="1"/>
      <c r="K934" s="1"/>
    </row>
    <row r="935" spans="1:11" ht="15.75" customHeight="1">
      <c r="A935" s="2"/>
      <c r="B935" s="1"/>
      <c r="C935" s="1"/>
      <c r="D935" s="1"/>
      <c r="E935" s="1"/>
      <c r="F935" s="1"/>
      <c r="G935" s="1"/>
      <c r="H935" s="1"/>
      <c r="I935" s="61"/>
      <c r="J935" s="1"/>
      <c r="K935" s="1"/>
    </row>
    <row r="936" spans="1:11" ht="15.75" customHeight="1">
      <c r="A936" s="2"/>
      <c r="B936" s="1"/>
      <c r="C936" s="1"/>
      <c r="D936" s="1"/>
      <c r="E936" s="1"/>
      <c r="F936" s="1"/>
      <c r="G936" s="1"/>
      <c r="H936" s="1"/>
      <c r="I936" s="61"/>
      <c r="J936" s="1"/>
      <c r="K936" s="1"/>
    </row>
    <row r="937" spans="1:11" ht="15.75" customHeight="1">
      <c r="A937" s="2"/>
      <c r="B937" s="1"/>
      <c r="C937" s="1"/>
      <c r="D937" s="1"/>
      <c r="E937" s="1"/>
      <c r="F937" s="1"/>
      <c r="G937" s="1"/>
      <c r="H937" s="1"/>
      <c r="I937" s="61"/>
      <c r="J937" s="1"/>
      <c r="K937" s="1"/>
    </row>
    <row r="938" spans="1:11" ht="15.75" customHeight="1">
      <c r="A938" s="2"/>
      <c r="B938" s="1"/>
      <c r="C938" s="1"/>
      <c r="D938" s="1"/>
      <c r="E938" s="1"/>
      <c r="F938" s="1"/>
      <c r="G938" s="1"/>
      <c r="H938" s="1"/>
      <c r="I938" s="61"/>
      <c r="J938" s="1"/>
      <c r="K938" s="1"/>
    </row>
    <row r="939" spans="1:11" ht="15.75" customHeight="1">
      <c r="A939" s="2"/>
      <c r="B939" s="1"/>
      <c r="C939" s="1"/>
      <c r="D939" s="1"/>
      <c r="E939" s="1"/>
      <c r="F939" s="1"/>
      <c r="G939" s="1"/>
      <c r="H939" s="1"/>
      <c r="I939" s="61"/>
      <c r="J939" s="1"/>
      <c r="K939" s="1"/>
    </row>
    <row r="940" spans="1:11" ht="15.75" customHeight="1">
      <c r="A940" s="2"/>
      <c r="B940" s="1"/>
      <c r="C940" s="1"/>
      <c r="D940" s="1"/>
      <c r="E940" s="1"/>
      <c r="F940" s="1"/>
      <c r="G940" s="1"/>
      <c r="H940" s="1"/>
      <c r="I940" s="61"/>
      <c r="J940" s="1"/>
      <c r="K940" s="1"/>
    </row>
    <row r="941" spans="1:11" ht="15.75" customHeight="1">
      <c r="A941" s="2"/>
      <c r="B941" s="1"/>
      <c r="C941" s="1"/>
      <c r="D941" s="1"/>
      <c r="E941" s="1"/>
      <c r="F941" s="1"/>
      <c r="G941" s="1"/>
      <c r="H941" s="1"/>
      <c r="I941" s="61"/>
      <c r="J941" s="1"/>
      <c r="K941" s="1"/>
    </row>
    <row r="942" spans="1:11" ht="15.75" customHeight="1">
      <c r="A942" s="2"/>
      <c r="B942" s="1"/>
      <c r="C942" s="1"/>
      <c r="D942" s="1"/>
      <c r="E942" s="1"/>
      <c r="F942" s="1"/>
      <c r="G942" s="1"/>
      <c r="H942" s="1"/>
      <c r="I942" s="61"/>
      <c r="J942" s="1"/>
      <c r="K942" s="1"/>
    </row>
    <row r="943" spans="1:11" ht="15.75" customHeight="1">
      <c r="A943" s="2"/>
      <c r="B943" s="1"/>
      <c r="C943" s="1"/>
      <c r="D943" s="1"/>
      <c r="E943" s="1"/>
      <c r="F943" s="1"/>
      <c r="G943" s="1"/>
      <c r="H943" s="1"/>
      <c r="I943" s="61"/>
      <c r="J943" s="1"/>
      <c r="K943" s="1"/>
    </row>
    <row r="944" spans="1:11" ht="15.75" customHeight="1">
      <c r="A944" s="2"/>
      <c r="B944" s="1"/>
      <c r="C944" s="1"/>
      <c r="D944" s="1"/>
      <c r="E944" s="1"/>
      <c r="F944" s="1"/>
      <c r="G944" s="1"/>
      <c r="H944" s="1"/>
      <c r="I944" s="61"/>
      <c r="J944" s="1"/>
      <c r="K944" s="1"/>
    </row>
    <row r="945" spans="1:11" ht="15.75" customHeight="1">
      <c r="A945" s="2"/>
      <c r="B945" s="1"/>
      <c r="C945" s="1"/>
      <c r="D945" s="1"/>
      <c r="E945" s="1"/>
      <c r="F945" s="1"/>
      <c r="G945" s="1"/>
      <c r="H945" s="1"/>
      <c r="I945" s="61"/>
      <c r="J945" s="1"/>
      <c r="K945" s="1"/>
    </row>
    <row r="946" spans="1:11" ht="15.75" customHeight="1">
      <c r="A946" s="2"/>
      <c r="B946" s="1"/>
      <c r="C946" s="1"/>
      <c r="D946" s="1"/>
      <c r="E946" s="1"/>
      <c r="F946" s="1"/>
      <c r="G946" s="1"/>
      <c r="H946" s="1"/>
      <c r="I946" s="61"/>
      <c r="J946" s="1"/>
      <c r="K946" s="1"/>
    </row>
    <row r="947" spans="1:11" ht="15.75" customHeight="1">
      <c r="A947" s="2"/>
      <c r="B947" s="1"/>
      <c r="C947" s="1"/>
      <c r="D947" s="1"/>
      <c r="E947" s="1"/>
      <c r="F947" s="1"/>
      <c r="G947" s="1"/>
      <c r="H947" s="1"/>
      <c r="I947" s="61"/>
      <c r="J947" s="1"/>
      <c r="K947" s="1"/>
    </row>
    <row r="948" spans="1:11" ht="15.75" customHeight="1">
      <c r="A948" s="2"/>
      <c r="B948" s="1"/>
      <c r="C948" s="1"/>
      <c r="D948" s="1"/>
      <c r="E948" s="1"/>
      <c r="F948" s="1"/>
      <c r="G948" s="1"/>
      <c r="H948" s="1"/>
      <c r="I948" s="61"/>
      <c r="J948" s="1"/>
      <c r="K948" s="1"/>
    </row>
    <row r="949" spans="1:11" ht="15.75" customHeight="1">
      <c r="A949" s="2"/>
      <c r="B949" s="1"/>
      <c r="C949" s="1"/>
      <c r="D949" s="1"/>
      <c r="E949" s="1"/>
      <c r="F949" s="1"/>
      <c r="G949" s="1"/>
      <c r="H949" s="1"/>
      <c r="I949" s="61"/>
      <c r="J949" s="1"/>
      <c r="K949" s="1"/>
    </row>
    <row r="950" spans="1:11" ht="15.75" customHeight="1">
      <c r="A950" s="2"/>
      <c r="B950" s="1"/>
      <c r="C950" s="1"/>
      <c r="D950" s="1"/>
      <c r="E950" s="1"/>
      <c r="F950" s="1"/>
      <c r="G950" s="1"/>
      <c r="H950" s="1"/>
      <c r="I950" s="61"/>
      <c r="J950" s="1"/>
      <c r="K950" s="1"/>
    </row>
    <row r="951" spans="1:11" ht="15.75" customHeight="1">
      <c r="A951" s="2"/>
      <c r="B951" s="1"/>
      <c r="C951" s="1"/>
      <c r="D951" s="1"/>
      <c r="E951" s="1"/>
      <c r="F951" s="1"/>
      <c r="G951" s="1"/>
      <c r="H951" s="1"/>
      <c r="I951" s="61"/>
      <c r="J951" s="1"/>
      <c r="K951" s="1"/>
    </row>
    <row r="952" spans="1:11" ht="15.75" customHeight="1">
      <c r="A952" s="2"/>
      <c r="B952" s="1"/>
      <c r="C952" s="1"/>
      <c r="D952" s="1"/>
      <c r="E952" s="1"/>
      <c r="F952" s="1"/>
      <c r="G952" s="1"/>
      <c r="H952" s="1"/>
      <c r="I952" s="61"/>
      <c r="J952" s="1"/>
      <c r="K952" s="1"/>
    </row>
    <row r="953" spans="1:11" ht="15.75" customHeight="1">
      <c r="A953" s="2"/>
      <c r="B953" s="1"/>
      <c r="C953" s="1"/>
      <c r="D953" s="1"/>
      <c r="E953" s="1"/>
      <c r="F953" s="1"/>
      <c r="G953" s="1"/>
      <c r="H953" s="1"/>
      <c r="I953" s="61"/>
      <c r="J953" s="1"/>
      <c r="K953" s="1"/>
    </row>
    <row r="954" spans="1:11" ht="15.75" customHeight="1">
      <c r="A954" s="2"/>
      <c r="B954" s="1"/>
      <c r="C954" s="1"/>
      <c r="D954" s="1"/>
      <c r="E954" s="1"/>
      <c r="F954" s="1"/>
      <c r="G954" s="1"/>
      <c r="H954" s="1"/>
      <c r="I954" s="61"/>
      <c r="J954" s="1"/>
      <c r="K954" s="1"/>
    </row>
    <row r="955" spans="1:11" ht="15.75" customHeight="1">
      <c r="A955" s="2"/>
      <c r="B955" s="1"/>
      <c r="C955" s="1"/>
      <c r="D955" s="1"/>
      <c r="E955" s="1"/>
      <c r="F955" s="1"/>
      <c r="G955" s="1"/>
      <c r="H955" s="1"/>
      <c r="I955" s="61"/>
      <c r="J955" s="1"/>
      <c r="K955" s="1"/>
    </row>
    <row r="956" spans="1:11" ht="15.75" customHeight="1">
      <c r="A956" s="2"/>
      <c r="B956" s="1"/>
      <c r="C956" s="1"/>
      <c r="D956" s="1"/>
      <c r="E956" s="1"/>
      <c r="F956" s="1"/>
      <c r="G956" s="1"/>
      <c r="H956" s="1"/>
      <c r="I956" s="61"/>
      <c r="J956" s="1"/>
      <c r="K956" s="1"/>
    </row>
    <row r="957" spans="1:11" ht="15.75" customHeight="1">
      <c r="A957" s="2"/>
      <c r="B957" s="1"/>
      <c r="C957" s="1"/>
      <c r="D957" s="1"/>
      <c r="E957" s="1"/>
      <c r="F957" s="1"/>
      <c r="G957" s="1"/>
      <c r="H957" s="1"/>
      <c r="I957" s="61"/>
      <c r="J957" s="1"/>
      <c r="K957" s="1"/>
    </row>
    <row r="958" spans="1:11" ht="15.75" customHeight="1">
      <c r="A958" s="2"/>
      <c r="B958" s="1"/>
      <c r="C958" s="1"/>
      <c r="D958" s="1"/>
      <c r="E958" s="1"/>
      <c r="F958" s="1"/>
      <c r="G958" s="1"/>
      <c r="H958" s="1"/>
      <c r="I958" s="61"/>
      <c r="J958" s="1"/>
      <c r="K958" s="1"/>
    </row>
    <row r="959" spans="1:11" ht="15.75" customHeight="1">
      <c r="A959" s="2"/>
      <c r="B959" s="1"/>
      <c r="C959" s="1"/>
      <c r="D959" s="1"/>
      <c r="E959" s="1"/>
      <c r="F959" s="1"/>
      <c r="G959" s="1"/>
      <c r="H959" s="1"/>
      <c r="I959" s="61"/>
      <c r="J959" s="1"/>
      <c r="K959" s="1"/>
    </row>
    <row r="960" spans="1:11" ht="15.75" customHeight="1">
      <c r="A960" s="2"/>
      <c r="B960" s="1"/>
      <c r="C960" s="1"/>
      <c r="D960" s="1"/>
      <c r="E960" s="1"/>
      <c r="F960" s="1"/>
      <c r="G960" s="1"/>
      <c r="H960" s="1"/>
      <c r="I960" s="61"/>
      <c r="J960" s="1"/>
      <c r="K960" s="1"/>
    </row>
    <row r="961" spans="1:11" ht="15.75" customHeight="1">
      <c r="A961" s="2"/>
      <c r="B961" s="1"/>
      <c r="C961" s="1"/>
      <c r="D961" s="1"/>
      <c r="E961" s="1"/>
      <c r="F961" s="1"/>
      <c r="G961" s="1"/>
      <c r="H961" s="1"/>
      <c r="I961" s="61"/>
      <c r="J961" s="1"/>
      <c r="K961" s="1"/>
    </row>
    <row r="962" spans="1:11" ht="15.75" customHeight="1">
      <c r="A962" s="2"/>
      <c r="B962" s="1"/>
      <c r="C962" s="1"/>
      <c r="D962" s="1"/>
      <c r="E962" s="1"/>
      <c r="F962" s="1"/>
      <c r="G962" s="1"/>
      <c r="H962" s="1"/>
      <c r="I962" s="61"/>
      <c r="J962" s="1"/>
      <c r="K962" s="1"/>
    </row>
    <row r="963" spans="1:11" ht="15.75" customHeight="1">
      <c r="A963" s="2"/>
      <c r="B963" s="1"/>
      <c r="C963" s="1"/>
      <c r="D963" s="1"/>
      <c r="E963" s="1"/>
      <c r="F963" s="1"/>
      <c r="G963" s="1"/>
      <c r="H963" s="1"/>
      <c r="I963" s="61"/>
      <c r="J963" s="1"/>
      <c r="K963" s="1"/>
    </row>
    <row r="964" spans="1:11" ht="15.75" customHeight="1">
      <c r="A964" s="2"/>
      <c r="B964" s="1"/>
      <c r="C964" s="1"/>
      <c r="D964" s="1"/>
      <c r="E964" s="1"/>
      <c r="F964" s="1"/>
      <c r="G964" s="1"/>
      <c r="H964" s="1"/>
      <c r="I964" s="61"/>
      <c r="J964" s="1"/>
      <c r="K964" s="1"/>
    </row>
    <row r="965" spans="1:11" ht="15.75" customHeight="1">
      <c r="A965" s="2"/>
      <c r="B965" s="1"/>
      <c r="C965" s="1"/>
      <c r="D965" s="1"/>
      <c r="E965" s="1"/>
      <c r="F965" s="1"/>
      <c r="G965" s="1"/>
      <c r="H965" s="1"/>
      <c r="I965" s="61"/>
      <c r="J965" s="1"/>
      <c r="K965" s="1"/>
    </row>
    <row r="966" spans="1:11" ht="15.75" customHeight="1">
      <c r="A966" s="2"/>
      <c r="B966" s="1"/>
      <c r="C966" s="1"/>
      <c r="D966" s="1"/>
      <c r="E966" s="1"/>
      <c r="F966" s="1"/>
      <c r="G966" s="1"/>
      <c r="H966" s="1"/>
      <c r="I966" s="61"/>
      <c r="J966" s="1"/>
      <c r="K966" s="1"/>
    </row>
    <row r="967" spans="1:11" ht="15.75" customHeight="1">
      <c r="A967" s="2"/>
      <c r="B967" s="1"/>
      <c r="C967" s="1"/>
      <c r="D967" s="1"/>
      <c r="E967" s="1"/>
      <c r="F967" s="1"/>
      <c r="G967" s="1"/>
      <c r="H967" s="1"/>
      <c r="I967" s="61"/>
      <c r="J967" s="1"/>
      <c r="K967" s="1"/>
    </row>
    <row r="968" spans="1:11" ht="15.75" customHeight="1">
      <c r="A968" s="2"/>
      <c r="B968" s="1"/>
      <c r="C968" s="1"/>
      <c r="D968" s="1"/>
      <c r="E968" s="1"/>
      <c r="F968" s="1"/>
      <c r="G968" s="1"/>
      <c r="H968" s="1"/>
      <c r="I968" s="61"/>
      <c r="J968" s="1"/>
      <c r="K968" s="1"/>
    </row>
    <row r="969" spans="1:11" ht="15.75" customHeight="1">
      <c r="A969" s="2"/>
      <c r="B969" s="1"/>
      <c r="C969" s="1"/>
      <c r="D969" s="1"/>
      <c r="E969" s="1"/>
      <c r="F969" s="1"/>
      <c r="G969" s="1"/>
      <c r="H969" s="1"/>
      <c r="I969" s="61"/>
      <c r="J969" s="1"/>
      <c r="K969" s="1"/>
    </row>
    <row r="970" spans="1:11" ht="15.75" customHeight="1">
      <c r="A970" s="2"/>
      <c r="B970" s="1"/>
      <c r="C970" s="1"/>
      <c r="D970" s="1"/>
      <c r="E970" s="1"/>
      <c r="F970" s="1"/>
      <c r="G970" s="1"/>
      <c r="H970" s="1"/>
      <c r="I970" s="61"/>
      <c r="J970" s="1"/>
      <c r="K970" s="1"/>
    </row>
    <row r="971" spans="1:11" ht="15.75" customHeight="1">
      <c r="A971" s="2"/>
      <c r="B971" s="1"/>
      <c r="C971" s="1"/>
      <c r="D971" s="1"/>
      <c r="E971" s="1"/>
      <c r="F971" s="1"/>
      <c r="G971" s="1"/>
      <c r="H971" s="1"/>
      <c r="I971" s="61"/>
      <c r="J971" s="1"/>
      <c r="K971" s="1"/>
    </row>
    <row r="972" spans="1:11" ht="15.75" customHeight="1">
      <c r="A972" s="2"/>
      <c r="B972" s="1"/>
      <c r="C972" s="1"/>
      <c r="D972" s="1"/>
      <c r="E972" s="1"/>
      <c r="F972" s="1"/>
      <c r="G972" s="1"/>
      <c r="H972" s="1"/>
      <c r="I972" s="61"/>
      <c r="J972" s="1"/>
      <c r="K972" s="1"/>
    </row>
    <row r="973" spans="1:11" ht="15.75" customHeight="1">
      <c r="A973" s="2"/>
      <c r="B973" s="1"/>
      <c r="C973" s="1"/>
      <c r="D973" s="1"/>
      <c r="E973" s="1"/>
      <c r="F973" s="1"/>
      <c r="G973" s="1"/>
      <c r="H973" s="1"/>
      <c r="I973" s="61"/>
      <c r="J973" s="1"/>
      <c r="K973" s="1"/>
    </row>
    <row r="974" spans="1:11" ht="15.75" customHeight="1">
      <c r="A974" s="2"/>
      <c r="B974" s="1"/>
      <c r="C974" s="1"/>
      <c r="D974" s="1"/>
      <c r="E974" s="1"/>
      <c r="F974" s="1"/>
      <c r="G974" s="1"/>
      <c r="H974" s="1"/>
      <c r="I974" s="61"/>
      <c r="J974" s="1"/>
      <c r="K974" s="1"/>
    </row>
    <row r="975" spans="1:11" ht="15.75" customHeight="1">
      <c r="A975" s="2"/>
      <c r="B975" s="1"/>
      <c r="C975" s="1"/>
      <c r="D975" s="1"/>
      <c r="E975" s="1"/>
      <c r="F975" s="1"/>
      <c r="G975" s="1"/>
      <c r="H975" s="1"/>
      <c r="I975" s="61"/>
      <c r="J975" s="1"/>
      <c r="K975" s="1"/>
    </row>
    <row r="976" spans="1:11" ht="15.75" customHeight="1">
      <c r="A976" s="2"/>
      <c r="B976" s="1"/>
      <c r="C976" s="1"/>
      <c r="D976" s="1"/>
      <c r="E976" s="1"/>
      <c r="F976" s="1"/>
      <c r="G976" s="1"/>
      <c r="H976" s="1"/>
      <c r="I976" s="61"/>
      <c r="J976" s="1"/>
      <c r="K976" s="1"/>
    </row>
    <row r="977" spans="1:11" ht="15.75" customHeight="1">
      <c r="A977" s="2"/>
      <c r="B977" s="1"/>
      <c r="C977" s="1"/>
      <c r="D977" s="1"/>
      <c r="E977" s="1"/>
      <c r="F977" s="1"/>
      <c r="G977" s="1"/>
      <c r="H977" s="1"/>
      <c r="I977" s="61"/>
      <c r="J977" s="1"/>
      <c r="K977" s="1"/>
    </row>
    <row r="978" spans="1:11" ht="15.75" customHeight="1">
      <c r="A978" s="2"/>
      <c r="B978" s="1"/>
      <c r="C978" s="1"/>
      <c r="D978" s="1"/>
      <c r="E978" s="1"/>
      <c r="F978" s="1"/>
      <c r="G978" s="1"/>
      <c r="H978" s="1"/>
      <c r="I978" s="61"/>
      <c r="J978" s="1"/>
      <c r="K978" s="1"/>
    </row>
    <row r="979" spans="1:11" ht="15.75" customHeight="1">
      <c r="A979" s="2"/>
      <c r="B979" s="1"/>
      <c r="C979" s="1"/>
      <c r="D979" s="1"/>
      <c r="E979" s="1"/>
      <c r="F979" s="1"/>
      <c r="G979" s="1"/>
      <c r="H979" s="1"/>
      <c r="I979" s="61"/>
      <c r="J979" s="1"/>
      <c r="K979" s="1"/>
    </row>
    <row r="980" spans="1:11" ht="15.75" customHeight="1">
      <c r="A980" s="2"/>
      <c r="B980" s="1"/>
      <c r="C980" s="1"/>
      <c r="D980" s="1"/>
      <c r="E980" s="1"/>
      <c r="F980" s="1"/>
      <c r="G980" s="1"/>
      <c r="H980" s="1"/>
      <c r="I980" s="61"/>
      <c r="J980" s="1"/>
      <c r="K980" s="1"/>
    </row>
    <row r="981" spans="1:11" ht="15.75" customHeight="1">
      <c r="A981" s="2"/>
      <c r="B981" s="1"/>
      <c r="C981" s="1"/>
      <c r="D981" s="1"/>
      <c r="E981" s="1"/>
      <c r="F981" s="1"/>
      <c r="G981" s="1"/>
      <c r="H981" s="1"/>
      <c r="I981" s="61"/>
      <c r="J981" s="1"/>
      <c r="K981" s="1"/>
    </row>
    <row r="982" spans="1:11" ht="15.75" customHeight="1">
      <c r="A982" s="2"/>
      <c r="B982" s="1"/>
      <c r="C982" s="1"/>
      <c r="D982" s="1"/>
      <c r="E982" s="1"/>
      <c r="F982" s="1"/>
      <c r="G982" s="1"/>
      <c r="H982" s="1"/>
      <c r="I982" s="61"/>
      <c r="J982" s="1"/>
      <c r="K982" s="1"/>
    </row>
    <row r="983" spans="1:11" ht="15.75" customHeight="1">
      <c r="A983" s="2"/>
      <c r="B983" s="1"/>
      <c r="C983" s="1"/>
      <c r="D983" s="1"/>
      <c r="E983" s="1"/>
      <c r="F983" s="1"/>
      <c r="G983" s="1"/>
      <c r="H983" s="1"/>
      <c r="I983" s="61"/>
      <c r="J983" s="1"/>
      <c r="K983" s="1"/>
    </row>
    <row r="984" spans="1:11" ht="15.75" customHeight="1">
      <c r="A984" s="2"/>
      <c r="B984" s="1"/>
      <c r="C984" s="1"/>
      <c r="D984" s="1"/>
      <c r="E984" s="1"/>
      <c r="F984" s="1"/>
      <c r="G984" s="1"/>
      <c r="H984" s="1"/>
      <c r="I984" s="61"/>
      <c r="J984" s="1"/>
      <c r="K984" s="1"/>
    </row>
    <row r="985" spans="1:11" ht="15.75" customHeight="1">
      <c r="A985" s="2"/>
      <c r="B985" s="1"/>
      <c r="C985" s="1"/>
      <c r="D985" s="1"/>
      <c r="E985" s="1"/>
      <c r="F985" s="1"/>
      <c r="G985" s="1"/>
      <c r="H985" s="1"/>
      <c r="I985" s="61"/>
      <c r="J985" s="1"/>
      <c r="K985" s="1"/>
    </row>
    <row r="986" spans="1:11" ht="15.75" customHeight="1">
      <c r="A986" s="2"/>
      <c r="B986" s="1"/>
      <c r="C986" s="1"/>
      <c r="D986" s="1"/>
      <c r="E986" s="1"/>
      <c r="F986" s="1"/>
      <c r="G986" s="1"/>
      <c r="H986" s="1"/>
      <c r="I986" s="61"/>
      <c r="J986" s="1"/>
      <c r="K986" s="1"/>
    </row>
    <row r="987" spans="1:11" ht="15.75" customHeight="1">
      <c r="A987" s="2"/>
      <c r="B987" s="1"/>
      <c r="C987" s="1"/>
      <c r="D987" s="1"/>
      <c r="E987" s="1"/>
      <c r="F987" s="1"/>
      <c r="G987" s="1"/>
      <c r="H987" s="1"/>
      <c r="I987" s="61"/>
      <c r="J987" s="1"/>
      <c r="K987" s="1"/>
    </row>
    <row r="988" spans="1:11" ht="15.75" customHeight="1">
      <c r="A988" s="2"/>
      <c r="B988" s="1"/>
      <c r="C988" s="1"/>
      <c r="D988" s="1"/>
      <c r="E988" s="1"/>
      <c r="F988" s="1"/>
      <c r="G988" s="1"/>
      <c r="H988" s="1"/>
      <c r="I988" s="61"/>
      <c r="J988" s="1"/>
      <c r="K988" s="1"/>
    </row>
    <row r="989" spans="1:11" ht="15.75" customHeight="1">
      <c r="A989" s="2"/>
      <c r="B989" s="1"/>
      <c r="C989" s="1"/>
      <c r="D989" s="1"/>
      <c r="E989" s="1"/>
      <c r="F989" s="1"/>
      <c r="G989" s="1"/>
      <c r="H989" s="1"/>
      <c r="I989" s="61"/>
      <c r="J989" s="1"/>
      <c r="K989" s="1"/>
    </row>
    <row r="990" spans="1:11" ht="15.75" customHeight="1">
      <c r="A990" s="2"/>
      <c r="B990" s="1"/>
      <c r="C990" s="1"/>
      <c r="D990" s="1"/>
      <c r="E990" s="1"/>
      <c r="F990" s="1"/>
      <c r="G990" s="1"/>
      <c r="H990" s="1"/>
      <c r="I990" s="61"/>
      <c r="J990" s="1"/>
      <c r="K990" s="1"/>
    </row>
    <row r="991" spans="1:11" ht="15.75" customHeight="1">
      <c r="A991" s="2"/>
      <c r="B991" s="1"/>
      <c r="C991" s="1"/>
      <c r="D991" s="1"/>
      <c r="E991" s="1"/>
      <c r="F991" s="1"/>
      <c r="G991" s="1"/>
      <c r="H991" s="1"/>
      <c r="I991" s="61"/>
      <c r="J991" s="1"/>
      <c r="K991" s="1"/>
    </row>
    <row r="992" spans="1:11" ht="15.75" customHeight="1">
      <c r="A992" s="2"/>
      <c r="B992" s="1"/>
      <c r="C992" s="1"/>
      <c r="D992" s="1"/>
      <c r="E992" s="1"/>
      <c r="F992" s="1"/>
      <c r="G992" s="1"/>
      <c r="H992" s="1"/>
      <c r="I992" s="61"/>
      <c r="J992" s="1"/>
      <c r="K992" s="1"/>
    </row>
    <row r="993" spans="1:11" ht="15.75" customHeight="1">
      <c r="A993" s="2"/>
      <c r="B993" s="1"/>
      <c r="C993" s="1"/>
      <c r="D993" s="1"/>
      <c r="E993" s="1"/>
      <c r="F993" s="1"/>
      <c r="G993" s="1"/>
      <c r="H993" s="1"/>
      <c r="I993" s="61"/>
      <c r="J993" s="1"/>
      <c r="K993" s="1"/>
    </row>
    <row r="994" spans="1:11" ht="15.75" customHeight="1">
      <c r="A994" s="2"/>
      <c r="B994" s="1"/>
      <c r="C994" s="1"/>
      <c r="D994" s="1"/>
      <c r="E994" s="1"/>
      <c r="F994" s="1"/>
      <c r="G994" s="1"/>
      <c r="H994" s="1"/>
      <c r="I994" s="61"/>
      <c r="J994" s="1"/>
      <c r="K994" s="1"/>
    </row>
    <row r="995" spans="1:11" ht="15.75" customHeight="1">
      <c r="A995" s="2"/>
      <c r="B995" s="1"/>
      <c r="C995" s="1"/>
      <c r="D995" s="1"/>
      <c r="E995" s="1"/>
      <c r="F995" s="1"/>
      <c r="G995" s="1"/>
      <c r="H995" s="1"/>
      <c r="I995" s="61"/>
      <c r="J995" s="1"/>
      <c r="K995" s="1"/>
    </row>
    <row r="996" spans="1:11" ht="15.75" customHeight="1">
      <c r="A996" s="2"/>
      <c r="B996" s="1"/>
      <c r="C996" s="1"/>
      <c r="D996" s="1"/>
      <c r="E996" s="1"/>
      <c r="F996" s="1"/>
      <c r="G996" s="1"/>
      <c r="H996" s="1"/>
      <c r="I996" s="61"/>
      <c r="J996" s="1"/>
      <c r="K996" s="1"/>
    </row>
    <row r="997" spans="1:11" ht="15.75" customHeight="1">
      <c r="A997" s="2"/>
      <c r="B997" s="1"/>
      <c r="C997" s="1"/>
      <c r="D997" s="1"/>
      <c r="E997" s="1"/>
      <c r="F997" s="1"/>
      <c r="G997" s="1"/>
      <c r="H997" s="1"/>
      <c r="I997" s="61"/>
      <c r="J997" s="1"/>
      <c r="K997" s="1"/>
    </row>
    <row r="998" spans="1:11" ht="15.75" customHeight="1">
      <c r="A998" s="2"/>
      <c r="B998" s="1"/>
      <c r="C998" s="1"/>
      <c r="D998" s="1"/>
      <c r="E998" s="1"/>
      <c r="F998" s="1"/>
      <c r="G998" s="1"/>
      <c r="H998" s="1"/>
      <c r="I998" s="61"/>
      <c r="J998" s="1"/>
      <c r="K998" s="1"/>
    </row>
    <row r="999" spans="1:11" ht="15.75" customHeight="1">
      <c r="A999" s="2"/>
      <c r="B999" s="1"/>
      <c r="C999" s="1"/>
      <c r="D999" s="1"/>
      <c r="E999" s="1"/>
      <c r="F999" s="1"/>
      <c r="G999" s="1"/>
      <c r="H999" s="1"/>
      <c r="I999" s="61"/>
      <c r="J999" s="1"/>
      <c r="K999" s="1"/>
    </row>
    <row r="1000" spans="1:11" ht="15.75" customHeight="1">
      <c r="A1000" s="2"/>
      <c r="B1000" s="1"/>
      <c r="C1000" s="1"/>
      <c r="D1000" s="1"/>
      <c r="E1000" s="1"/>
      <c r="F1000" s="1"/>
      <c r="G1000" s="1"/>
      <c r="H1000" s="1"/>
      <c r="I1000" s="61"/>
      <c r="J1000" s="1"/>
      <c r="K1000" s="1"/>
    </row>
  </sheetData>
  <mergeCells count="12">
    <mergeCell ref="A8:B8"/>
    <mergeCell ref="P13:Q13"/>
    <mergeCell ref="A1:K1"/>
    <mergeCell ref="A2:K2"/>
    <mergeCell ref="A6:B6"/>
    <mergeCell ref="F7:H7"/>
    <mergeCell ref="J7:K7"/>
    <mergeCell ref="R24:S24"/>
    <mergeCell ref="U24:V24"/>
    <mergeCell ref="P222:Q222"/>
    <mergeCell ref="E249:H249"/>
    <mergeCell ref="E250:H250"/>
  </mergeCells>
  <printOptions horizontalCentered="1"/>
  <pageMargins left="0.5" right="0.5" top="0.75" bottom="0.75" header="0" footer="0"/>
  <pageSetup paperSize="5" orientation="landscape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70C0"/>
  </sheetPr>
  <dimension ref="A1:O1000"/>
  <sheetViews>
    <sheetView topLeftCell="A7" workbookViewId="0">
      <selection sqref="A1:L1"/>
    </sheetView>
  </sheetViews>
  <sheetFormatPr defaultColWidth="14.42578125" defaultRowHeight="15" customHeight="1"/>
  <cols>
    <col min="1" max="1" width="4.7109375" customWidth="1"/>
    <col min="2" max="2" width="26.5703125" customWidth="1"/>
    <col min="3" max="3" width="7.28515625" customWidth="1"/>
    <col min="4" max="4" width="14" customWidth="1"/>
    <col min="5" max="5" width="14.85546875" customWidth="1"/>
    <col min="6" max="6" width="16.140625" customWidth="1"/>
    <col min="7" max="7" width="21.85546875" customWidth="1"/>
    <col min="8" max="8" width="12.42578125" customWidth="1"/>
    <col min="9" max="9" width="16.5703125" customWidth="1"/>
    <col min="10" max="10" width="13.7109375" customWidth="1"/>
    <col min="11" max="11" width="8.28515625" customWidth="1"/>
    <col min="12" max="12" width="18.140625" customWidth="1"/>
    <col min="13" max="26" width="8.7109375" customWidth="1"/>
  </cols>
  <sheetData>
    <row r="1" spans="1:15" ht="23.25">
      <c r="A1" s="555" t="s">
        <v>0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</row>
    <row r="2" spans="1:15" ht="18">
      <c r="A2" s="604" t="s">
        <v>3525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</row>
    <row r="3" spans="1:15">
      <c r="A3" s="2"/>
      <c r="B3" s="3"/>
      <c r="C3" s="71"/>
      <c r="D3" s="3"/>
      <c r="E3" s="3"/>
      <c r="G3" s="3"/>
      <c r="H3" s="71"/>
      <c r="I3" s="45"/>
      <c r="J3" s="72"/>
      <c r="K3" s="557" t="s">
        <v>3526</v>
      </c>
      <c r="L3" s="558"/>
    </row>
    <row r="4" spans="1:15">
      <c r="A4" s="2"/>
      <c r="B4" s="3"/>
      <c r="C4" s="71"/>
      <c r="D4" s="3"/>
      <c r="E4" s="3"/>
      <c r="G4" s="3"/>
      <c r="H4" s="71"/>
      <c r="I4" s="45"/>
      <c r="J4" s="72"/>
      <c r="K4" s="73" t="s">
        <v>3527</v>
      </c>
      <c r="L4" s="294">
        <v>7</v>
      </c>
    </row>
    <row r="5" spans="1:15">
      <c r="A5" s="2"/>
      <c r="B5" s="3"/>
      <c r="C5" s="71"/>
      <c r="D5" s="3"/>
      <c r="E5" s="3"/>
      <c r="G5" s="3"/>
      <c r="H5" s="71"/>
      <c r="I5" s="45"/>
      <c r="J5" s="72"/>
      <c r="K5" s="73" t="s">
        <v>3528</v>
      </c>
      <c r="L5" s="294">
        <v>3</v>
      </c>
    </row>
    <row r="6" spans="1:15" ht="18">
      <c r="A6" s="567" t="s">
        <v>360</v>
      </c>
      <c r="B6" s="560"/>
      <c r="C6" s="75"/>
      <c r="D6" s="3"/>
      <c r="E6" s="10"/>
      <c r="F6" s="76"/>
      <c r="G6" s="3"/>
      <c r="H6" s="71"/>
      <c r="I6" s="45"/>
      <c r="J6" s="72"/>
      <c r="K6" s="77" t="s">
        <v>3529</v>
      </c>
      <c r="L6" s="53"/>
    </row>
    <row r="7" spans="1:15">
      <c r="A7" s="11"/>
      <c r="B7" s="12"/>
      <c r="C7" s="78" t="s">
        <v>362</v>
      </c>
      <c r="D7" s="14"/>
      <c r="E7" s="14"/>
      <c r="F7" s="79" t="s">
        <v>363</v>
      </c>
      <c r="G7" s="78" t="s">
        <v>364</v>
      </c>
      <c r="H7" s="563" t="s">
        <v>365</v>
      </c>
      <c r="I7" s="558"/>
      <c r="J7" s="80"/>
      <c r="K7" s="550" t="s">
        <v>8</v>
      </c>
      <c r="L7" s="551"/>
    </row>
    <row r="8" spans="1:15">
      <c r="A8" s="565" t="s">
        <v>366</v>
      </c>
      <c r="B8" s="566"/>
      <c r="C8" s="79" t="s">
        <v>367</v>
      </c>
      <c r="D8" s="17" t="s">
        <v>11</v>
      </c>
      <c r="E8" s="18" t="s">
        <v>12</v>
      </c>
      <c r="F8" s="79" t="s">
        <v>368</v>
      </c>
      <c r="G8" s="81" t="s">
        <v>369</v>
      </c>
      <c r="H8" s="82"/>
      <c r="I8" s="83" t="s">
        <v>14</v>
      </c>
      <c r="J8" s="84" t="s">
        <v>15</v>
      </c>
      <c r="K8" s="24"/>
      <c r="L8" s="85"/>
    </row>
    <row r="9" spans="1:15">
      <c r="A9" s="25"/>
      <c r="B9" s="26"/>
      <c r="C9" s="79" t="s">
        <v>370</v>
      </c>
      <c r="D9" s="27"/>
      <c r="E9" s="26"/>
      <c r="F9" s="79" t="s">
        <v>371</v>
      </c>
      <c r="G9" s="81" t="s">
        <v>372</v>
      </c>
      <c r="H9" s="86" t="s">
        <v>17</v>
      </c>
      <c r="I9" s="83" t="s">
        <v>18</v>
      </c>
      <c r="J9" s="87"/>
      <c r="K9" s="17" t="s">
        <v>19</v>
      </c>
      <c r="L9" s="17" t="s">
        <v>20</v>
      </c>
    </row>
    <row r="10" spans="1:15">
      <c r="A10" s="30"/>
      <c r="B10" s="31"/>
      <c r="C10" s="88"/>
      <c r="D10" s="33"/>
      <c r="E10" s="33"/>
      <c r="F10" s="89" t="s">
        <v>373</v>
      </c>
      <c r="G10" s="38"/>
      <c r="H10" s="90"/>
      <c r="I10" s="91" t="s">
        <v>374</v>
      </c>
      <c r="J10" s="92"/>
      <c r="K10" s="34"/>
      <c r="L10" s="38" t="s">
        <v>22</v>
      </c>
    </row>
    <row r="11" spans="1:15">
      <c r="A11" s="39" t="s">
        <v>23</v>
      </c>
      <c r="B11" s="57"/>
      <c r="C11" s="93"/>
      <c r="D11" s="57"/>
      <c r="E11" s="57"/>
      <c r="F11" s="40"/>
      <c r="G11" s="57"/>
      <c r="H11" s="93"/>
      <c r="I11" s="44"/>
      <c r="J11" s="94"/>
      <c r="K11" s="40"/>
      <c r="L11" s="40"/>
    </row>
    <row r="12" spans="1:15" ht="29.25">
      <c r="A12" s="95">
        <v>5</v>
      </c>
      <c r="B12" s="333" t="s">
        <v>3530</v>
      </c>
      <c r="C12" s="334">
        <v>13</v>
      </c>
      <c r="D12" s="95" t="s">
        <v>158</v>
      </c>
      <c r="E12" s="95" t="s">
        <v>141</v>
      </c>
      <c r="F12" s="97"/>
      <c r="G12" s="341" t="s">
        <v>3531</v>
      </c>
      <c r="H12" s="338" t="s">
        <v>29</v>
      </c>
      <c r="I12" s="461">
        <v>25500</v>
      </c>
      <c r="J12" s="462" t="s">
        <v>822</v>
      </c>
      <c r="K12" s="95" t="s">
        <v>30</v>
      </c>
      <c r="L12" s="341" t="s">
        <v>31</v>
      </c>
    </row>
    <row r="13" spans="1:15">
      <c r="A13" s="95">
        <v>7</v>
      </c>
      <c r="B13" s="97" t="s">
        <v>3532</v>
      </c>
      <c r="C13" s="334">
        <v>13</v>
      </c>
      <c r="D13" s="97"/>
      <c r="E13" s="98" t="s">
        <v>2053</v>
      </c>
      <c r="F13" s="97"/>
      <c r="G13" s="96" t="s">
        <v>3533</v>
      </c>
      <c r="H13" s="295" t="s">
        <v>29</v>
      </c>
      <c r="I13" s="101">
        <v>15000</v>
      </c>
      <c r="J13" s="335" t="s">
        <v>822</v>
      </c>
      <c r="K13" s="98" t="s">
        <v>30</v>
      </c>
      <c r="L13" s="96" t="s">
        <v>31</v>
      </c>
    </row>
    <row r="14" spans="1:15">
      <c r="A14" s="95">
        <v>12</v>
      </c>
      <c r="B14" s="97" t="s">
        <v>3534</v>
      </c>
      <c r="C14" s="336">
        <v>13</v>
      </c>
      <c r="D14" s="97"/>
      <c r="E14" s="95" t="s">
        <v>141</v>
      </c>
      <c r="F14" s="97"/>
      <c r="G14" s="96" t="s">
        <v>2893</v>
      </c>
      <c r="H14" s="295" t="s">
        <v>29</v>
      </c>
      <c r="I14" s="101">
        <v>20000</v>
      </c>
      <c r="J14" s="337">
        <v>4000</v>
      </c>
      <c r="K14" s="98" t="s">
        <v>30</v>
      </c>
      <c r="L14" s="96" t="s">
        <v>31</v>
      </c>
      <c r="O14" s="65"/>
    </row>
    <row r="15" spans="1:15" ht="29.25">
      <c r="A15" s="95">
        <v>12</v>
      </c>
      <c r="B15" s="333" t="s">
        <v>3535</v>
      </c>
      <c r="C15" s="334">
        <v>13</v>
      </c>
      <c r="D15" s="95" t="s">
        <v>3353</v>
      </c>
      <c r="E15" s="95" t="s">
        <v>130</v>
      </c>
      <c r="F15" s="97"/>
      <c r="G15" s="341" t="s">
        <v>3536</v>
      </c>
      <c r="H15" s="338" t="s">
        <v>29</v>
      </c>
      <c r="I15" s="339">
        <v>5000</v>
      </c>
      <c r="J15" s="406" t="s">
        <v>822</v>
      </c>
      <c r="K15" s="95" t="s">
        <v>30</v>
      </c>
      <c r="L15" s="341" t="s">
        <v>31</v>
      </c>
    </row>
    <row r="16" spans="1:15">
      <c r="A16" s="389">
        <v>12</v>
      </c>
      <c r="B16" s="392" t="s">
        <v>3537</v>
      </c>
      <c r="C16" s="397">
        <v>1</v>
      </c>
      <c r="D16" s="392" t="s">
        <v>3538</v>
      </c>
      <c r="E16" s="463" t="s">
        <v>3539</v>
      </c>
      <c r="F16" s="392"/>
      <c r="G16" s="393" t="s">
        <v>3540</v>
      </c>
      <c r="H16" s="464" t="s">
        <v>29</v>
      </c>
      <c r="I16" s="395">
        <v>20000</v>
      </c>
      <c r="J16" s="396" t="s">
        <v>822</v>
      </c>
      <c r="K16" s="397" t="s">
        <v>30</v>
      </c>
      <c r="L16" s="393" t="s">
        <v>31</v>
      </c>
      <c r="O16" s="65"/>
    </row>
    <row r="17" spans="1:15">
      <c r="A17" s="106">
        <v>25</v>
      </c>
      <c r="B17" s="398" t="s">
        <v>1048</v>
      </c>
      <c r="C17" s="398"/>
      <c r="D17" s="398"/>
      <c r="E17" s="398" t="s">
        <v>1049</v>
      </c>
      <c r="F17" s="401" t="s">
        <v>1050</v>
      </c>
      <c r="G17" s="402" t="s">
        <v>3541</v>
      </c>
      <c r="H17" s="465" t="s">
        <v>29</v>
      </c>
      <c r="I17" s="404">
        <v>25500</v>
      </c>
      <c r="J17" s="466" t="s">
        <v>822</v>
      </c>
      <c r="K17" s="108" t="s">
        <v>30</v>
      </c>
      <c r="L17" s="402" t="s">
        <v>31</v>
      </c>
    </row>
    <row r="18" spans="1:15">
      <c r="A18" s="389">
        <v>25</v>
      </c>
      <c r="B18" s="392" t="s">
        <v>378</v>
      </c>
      <c r="C18" s="392"/>
      <c r="D18" s="392"/>
      <c r="E18" s="392" t="s">
        <v>216</v>
      </c>
      <c r="F18" s="467" t="s">
        <v>3542</v>
      </c>
      <c r="G18" s="393" t="s">
        <v>3543</v>
      </c>
      <c r="H18" s="464" t="s">
        <v>2313</v>
      </c>
      <c r="I18" s="395">
        <v>8000</v>
      </c>
      <c r="J18" s="396" t="s">
        <v>822</v>
      </c>
      <c r="K18" s="397"/>
      <c r="L18" s="393" t="s">
        <v>31</v>
      </c>
      <c r="O18" s="65"/>
    </row>
    <row r="19" spans="1:15">
      <c r="A19" s="106">
        <v>27</v>
      </c>
      <c r="B19" s="398" t="s">
        <v>378</v>
      </c>
      <c r="C19" s="398"/>
      <c r="D19" s="398"/>
      <c r="E19" s="398" t="s">
        <v>216</v>
      </c>
      <c r="F19" s="401" t="s">
        <v>3542</v>
      </c>
      <c r="G19" s="402" t="s">
        <v>3543</v>
      </c>
      <c r="H19" s="465" t="s">
        <v>2313</v>
      </c>
      <c r="I19" s="404">
        <v>35000</v>
      </c>
      <c r="J19" s="466" t="s">
        <v>822</v>
      </c>
      <c r="K19" s="108"/>
      <c r="L19" s="402" t="s">
        <v>31</v>
      </c>
    </row>
    <row r="20" spans="1:15">
      <c r="A20" s="95">
        <v>28</v>
      </c>
      <c r="B20" s="97" t="s">
        <v>378</v>
      </c>
      <c r="C20" s="97"/>
      <c r="D20" s="97"/>
      <c r="E20" s="97" t="s">
        <v>216</v>
      </c>
      <c r="F20" s="99" t="s">
        <v>3542</v>
      </c>
      <c r="G20" s="96" t="s">
        <v>3543</v>
      </c>
      <c r="H20" s="100" t="s">
        <v>2313</v>
      </c>
      <c r="I20" s="101">
        <v>15000</v>
      </c>
      <c r="J20" s="335" t="s">
        <v>822</v>
      </c>
      <c r="K20" s="98"/>
      <c r="L20" s="96" t="s">
        <v>31</v>
      </c>
    </row>
    <row r="21" spans="1:15" ht="15.75" customHeight="1">
      <c r="A21" s="95">
        <v>28</v>
      </c>
      <c r="B21" s="97" t="s">
        <v>3544</v>
      </c>
      <c r="C21" s="97"/>
      <c r="D21" s="97"/>
      <c r="E21" s="313" t="s">
        <v>2889</v>
      </c>
      <c r="F21" s="97"/>
      <c r="G21" s="96" t="s">
        <v>3545</v>
      </c>
      <c r="H21" s="100" t="s">
        <v>2313</v>
      </c>
      <c r="I21" s="101">
        <v>60000</v>
      </c>
      <c r="J21" s="343" t="s">
        <v>822</v>
      </c>
      <c r="K21" s="98"/>
      <c r="L21" s="96" t="s">
        <v>31</v>
      </c>
    </row>
    <row r="22" spans="1:15" ht="15.75" customHeight="1">
      <c r="A22" s="95"/>
      <c r="B22" s="97"/>
      <c r="C22" s="97"/>
      <c r="D22" s="97"/>
      <c r="E22" s="97"/>
      <c r="F22" s="97"/>
      <c r="G22" s="97"/>
      <c r="H22" s="110"/>
      <c r="I22" s="101"/>
      <c r="J22" s="97"/>
      <c r="K22" s="97"/>
      <c r="L22" s="97"/>
    </row>
    <row r="23" spans="1:15" ht="15.75" customHeight="1">
      <c r="A23" s="98"/>
      <c r="B23" s="97"/>
      <c r="C23" s="97"/>
      <c r="D23" s="97"/>
      <c r="E23" s="97"/>
      <c r="F23" s="97"/>
      <c r="G23" s="97"/>
      <c r="H23" s="110"/>
      <c r="I23" s="101"/>
      <c r="J23" s="97"/>
      <c r="K23" s="97"/>
      <c r="L23" s="97"/>
    </row>
    <row r="24" spans="1:15" ht="15.75" customHeight="1">
      <c r="A24" s="98"/>
      <c r="B24" s="97"/>
      <c r="C24" s="97"/>
      <c r="D24" s="97"/>
      <c r="E24" s="97"/>
      <c r="F24" s="97"/>
      <c r="G24" s="97"/>
      <c r="H24" s="110"/>
      <c r="I24" s="97"/>
      <c r="J24" s="97"/>
      <c r="K24" s="97"/>
      <c r="L24" s="97"/>
    </row>
    <row r="25" spans="1:15" ht="15.75" customHeight="1">
      <c r="I25" s="111" t="s">
        <v>335</v>
      </c>
      <c r="J25" s="63"/>
    </row>
    <row r="26" spans="1:15" ht="15.75" customHeight="1">
      <c r="I26" s="63" t="s">
        <v>338</v>
      </c>
      <c r="J26" s="291" t="s">
        <v>3546</v>
      </c>
    </row>
    <row r="27" spans="1:15" ht="15.75" customHeight="1">
      <c r="I27" s="63" t="s">
        <v>340</v>
      </c>
      <c r="J27" s="291" t="s">
        <v>3547</v>
      </c>
    </row>
    <row r="28" spans="1:15" ht="15.75" customHeight="1">
      <c r="B28" s="157" t="s">
        <v>336</v>
      </c>
      <c r="E28" s="157" t="s">
        <v>337</v>
      </c>
      <c r="I28" s="63" t="s">
        <v>342</v>
      </c>
      <c r="J28" s="292" t="s">
        <v>3548</v>
      </c>
    </row>
    <row r="29" spans="1:15" ht="15.75" customHeight="1">
      <c r="I29" s="63" t="s">
        <v>3549</v>
      </c>
      <c r="J29" s="292">
        <v>0</v>
      </c>
    </row>
    <row r="30" spans="1:15" ht="15.75" customHeight="1">
      <c r="I30" s="63" t="s">
        <v>349</v>
      </c>
      <c r="J30" s="292">
        <v>0</v>
      </c>
    </row>
    <row r="31" spans="1:15" ht="15.75" customHeight="1">
      <c r="B31" s="70" t="s">
        <v>343</v>
      </c>
      <c r="E31" s="568" t="s">
        <v>344</v>
      </c>
      <c r="F31" s="553"/>
      <c r="G31" s="553"/>
      <c r="H31" s="553"/>
      <c r="I31" s="63" t="s">
        <v>406</v>
      </c>
      <c r="J31" s="292">
        <v>0</v>
      </c>
    </row>
    <row r="32" spans="1:15" ht="15.75" customHeight="1">
      <c r="B32" s="157" t="s">
        <v>347</v>
      </c>
      <c r="E32" s="552" t="s">
        <v>348</v>
      </c>
      <c r="F32" s="553"/>
      <c r="G32" s="553"/>
      <c r="H32" s="553"/>
      <c r="I32" s="63" t="s">
        <v>353</v>
      </c>
      <c r="J32" s="293"/>
    </row>
    <row r="33" spans="9:10" ht="15.75" customHeight="1">
      <c r="I33" s="4" t="s">
        <v>407</v>
      </c>
      <c r="J33" s="291"/>
    </row>
    <row r="34" spans="9:10" ht="15.75" customHeight="1">
      <c r="I34" s="4" t="s">
        <v>3550</v>
      </c>
      <c r="J34" s="291"/>
    </row>
    <row r="35" spans="9:10" ht="15.75" customHeight="1"/>
    <row r="36" spans="9:10" ht="15.75" customHeight="1"/>
    <row r="37" spans="9:10" ht="15.75" customHeight="1"/>
    <row r="38" spans="9:10" ht="15.75" customHeight="1"/>
    <row r="39" spans="9:10" ht="15.75" customHeight="1"/>
    <row r="40" spans="9:10" ht="15.75" customHeight="1"/>
    <row r="41" spans="9:10" ht="15.75" customHeight="1"/>
    <row r="42" spans="9:10" ht="15.75" customHeight="1"/>
    <row r="43" spans="9:10" ht="15.75" customHeight="1"/>
    <row r="44" spans="9:10" ht="15.75" customHeight="1"/>
    <row r="45" spans="9:10" ht="15.75" customHeight="1"/>
    <row r="46" spans="9:10" ht="15.75" customHeight="1"/>
    <row r="47" spans="9:10" ht="15.75" customHeight="1"/>
    <row r="48" spans="9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E31:H31"/>
    <mergeCell ref="E32:H32"/>
    <mergeCell ref="A1:L1"/>
    <mergeCell ref="A2:L2"/>
    <mergeCell ref="K3:L3"/>
    <mergeCell ref="A6:B6"/>
    <mergeCell ref="H7:I7"/>
    <mergeCell ref="K7:L7"/>
    <mergeCell ref="A8:B8"/>
  </mergeCells>
  <pageMargins left="0.25" right="0.25" top="0.75" bottom="0.75" header="0" footer="0"/>
  <pageSetup scale="91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70C0"/>
  </sheetPr>
  <dimension ref="A1:Z1000"/>
  <sheetViews>
    <sheetView workbookViewId="0">
      <selection sqref="A1:K1"/>
    </sheetView>
  </sheetViews>
  <sheetFormatPr defaultColWidth="14.42578125" defaultRowHeight="15" customHeight="1"/>
  <cols>
    <col min="1" max="1" width="4.7109375" customWidth="1"/>
    <col min="2" max="2" width="26.5703125" customWidth="1"/>
    <col min="3" max="3" width="7.28515625" customWidth="1"/>
    <col min="4" max="4" width="16.140625" customWidth="1"/>
    <col min="5" max="5" width="14.5703125" customWidth="1"/>
    <col min="6" max="6" width="14.28515625" customWidth="1"/>
    <col min="7" max="7" width="14" customWidth="1"/>
    <col min="8" max="8" width="16.42578125" customWidth="1"/>
    <col min="9" max="9" width="16.85546875" customWidth="1"/>
    <col min="10" max="10" width="9.5703125" customWidth="1"/>
    <col min="11" max="11" width="17.85546875" customWidth="1"/>
    <col min="12" max="26" width="8.7109375" customWidth="1"/>
  </cols>
  <sheetData>
    <row r="1" spans="1:11" ht="23.25">
      <c r="A1" s="555" t="s">
        <v>0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</row>
    <row r="2" spans="1:11" ht="18">
      <c r="A2" s="604" t="s">
        <v>3551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</row>
    <row r="3" spans="1:11">
      <c r="A3" s="2"/>
      <c r="B3" s="3"/>
      <c r="C3" s="4"/>
      <c r="D3" s="3"/>
      <c r="E3" s="3"/>
      <c r="F3" s="1"/>
      <c r="G3" s="4"/>
      <c r="H3" s="5"/>
      <c r="I3" s="6"/>
      <c r="J3" s="371" t="s">
        <v>3552</v>
      </c>
      <c r="K3" s="372"/>
    </row>
    <row r="4" spans="1:11">
      <c r="A4" s="2"/>
      <c r="B4" s="3"/>
      <c r="C4" s="4"/>
      <c r="D4" s="3"/>
      <c r="E4" s="3"/>
      <c r="F4" s="1"/>
      <c r="G4" s="4"/>
      <c r="H4" s="5"/>
      <c r="I4" s="7"/>
      <c r="J4" s="373" t="s">
        <v>3</v>
      </c>
      <c r="K4" s="374">
        <v>177</v>
      </c>
    </row>
    <row r="5" spans="1:11">
      <c r="A5" s="2"/>
      <c r="B5" s="3"/>
      <c r="C5" s="4"/>
      <c r="D5" s="3"/>
      <c r="E5" s="3"/>
      <c r="F5" s="1"/>
      <c r="G5" s="4"/>
      <c r="H5" s="5"/>
      <c r="I5" s="7"/>
      <c r="J5" s="373" t="s">
        <v>4</v>
      </c>
      <c r="K5" s="374">
        <v>41</v>
      </c>
    </row>
    <row r="6" spans="1:11">
      <c r="A6" s="559" t="s">
        <v>5</v>
      </c>
      <c r="B6" s="560"/>
      <c r="C6" s="4"/>
      <c r="D6" s="3"/>
      <c r="E6" s="10"/>
      <c r="F6" s="1"/>
      <c r="G6" s="4"/>
      <c r="H6" s="5"/>
      <c r="I6" s="6"/>
      <c r="J6" s="375" t="s">
        <v>3553</v>
      </c>
      <c r="K6" s="376"/>
    </row>
    <row r="7" spans="1:11">
      <c r="A7" s="11"/>
      <c r="B7" s="12"/>
      <c r="C7" s="13"/>
      <c r="D7" s="14"/>
      <c r="E7" s="14"/>
      <c r="F7" s="563" t="s">
        <v>7</v>
      </c>
      <c r="G7" s="564"/>
      <c r="H7" s="558"/>
      <c r="I7" s="15"/>
      <c r="J7" s="550" t="s">
        <v>8</v>
      </c>
      <c r="K7" s="551"/>
    </row>
    <row r="8" spans="1:11">
      <c r="A8" s="565" t="s">
        <v>9</v>
      </c>
      <c r="B8" s="566"/>
      <c r="C8" s="16" t="s">
        <v>10</v>
      </c>
      <c r="D8" s="17" t="s">
        <v>11</v>
      </c>
      <c r="E8" s="18" t="s">
        <v>12</v>
      </c>
      <c r="F8" s="19" t="s">
        <v>13</v>
      </c>
      <c r="G8" s="20"/>
      <c r="H8" s="21" t="s">
        <v>14</v>
      </c>
      <c r="I8" s="22" t="s">
        <v>15</v>
      </c>
      <c r="J8" s="23"/>
      <c r="K8" s="24"/>
    </row>
    <row r="9" spans="1:11">
      <c r="A9" s="25"/>
      <c r="B9" s="26"/>
      <c r="C9" s="20"/>
      <c r="D9" s="27"/>
      <c r="E9" s="26"/>
      <c r="F9" s="28" t="s">
        <v>16</v>
      </c>
      <c r="G9" s="16" t="s">
        <v>17</v>
      </c>
      <c r="H9" s="21" t="s">
        <v>18</v>
      </c>
      <c r="I9" s="29"/>
      <c r="J9" s="17" t="s">
        <v>19</v>
      </c>
      <c r="K9" s="17" t="s">
        <v>20</v>
      </c>
    </row>
    <row r="10" spans="1:11">
      <c r="A10" s="30"/>
      <c r="B10" s="31"/>
      <c r="C10" s="32"/>
      <c r="D10" s="33"/>
      <c r="E10" s="33"/>
      <c r="F10" s="34"/>
      <c r="G10" s="35"/>
      <c r="H10" s="36" t="s">
        <v>21</v>
      </c>
      <c r="I10" s="37"/>
      <c r="J10" s="34"/>
      <c r="K10" s="38" t="s">
        <v>22</v>
      </c>
    </row>
    <row r="11" spans="1:11">
      <c r="A11" s="39" t="s">
        <v>23</v>
      </c>
      <c r="B11" s="40"/>
      <c r="C11" s="40"/>
      <c r="D11" s="40"/>
      <c r="E11" s="40"/>
      <c r="F11" s="40"/>
      <c r="G11" s="40"/>
      <c r="H11" s="40"/>
      <c r="I11" s="41"/>
      <c r="J11" s="40"/>
      <c r="K11" s="40"/>
    </row>
    <row r="12" spans="1:11">
      <c r="A12" s="42">
        <v>5</v>
      </c>
      <c r="B12" s="40" t="s">
        <v>2524</v>
      </c>
      <c r="C12" s="40" t="s">
        <v>25</v>
      </c>
      <c r="D12" s="40" t="s">
        <v>2380</v>
      </c>
      <c r="E12" s="40" t="s">
        <v>318</v>
      </c>
      <c r="F12" s="40"/>
      <c r="G12" s="40" t="s">
        <v>29</v>
      </c>
      <c r="H12" s="44">
        <v>6000</v>
      </c>
      <c r="I12" s="41">
        <v>1200</v>
      </c>
      <c r="J12" s="40" t="s">
        <v>30</v>
      </c>
      <c r="K12" s="40" t="s">
        <v>31</v>
      </c>
    </row>
    <row r="13" spans="1:11">
      <c r="A13" s="42">
        <v>5</v>
      </c>
      <c r="B13" s="40" t="s">
        <v>3554</v>
      </c>
      <c r="C13" s="40" t="s">
        <v>25</v>
      </c>
      <c r="D13" s="40" t="s">
        <v>63</v>
      </c>
      <c r="E13" s="40" t="s">
        <v>249</v>
      </c>
      <c r="F13" s="40"/>
      <c r="G13" s="40" t="s">
        <v>29</v>
      </c>
      <c r="H13" s="44">
        <v>2000</v>
      </c>
      <c r="I13" s="41">
        <v>400</v>
      </c>
      <c r="J13" s="40" t="s">
        <v>30</v>
      </c>
      <c r="K13" s="40" t="s">
        <v>31</v>
      </c>
    </row>
    <row r="14" spans="1:11">
      <c r="A14" s="42">
        <v>5</v>
      </c>
      <c r="B14" s="40" t="s">
        <v>3555</v>
      </c>
      <c r="C14" s="40" t="s">
        <v>59</v>
      </c>
      <c r="D14" s="40" t="s">
        <v>1678</v>
      </c>
      <c r="E14" s="40" t="s">
        <v>96</v>
      </c>
      <c r="F14" s="40"/>
      <c r="G14" s="40" t="s">
        <v>29</v>
      </c>
      <c r="H14" s="44">
        <v>1000</v>
      </c>
      <c r="I14" s="41">
        <v>200</v>
      </c>
      <c r="J14" s="40" t="s">
        <v>30</v>
      </c>
      <c r="K14" s="40" t="s">
        <v>31</v>
      </c>
    </row>
    <row r="15" spans="1:11">
      <c r="A15" s="42">
        <v>5</v>
      </c>
      <c r="B15" s="40" t="s">
        <v>3174</v>
      </c>
      <c r="C15" s="40" t="s">
        <v>25</v>
      </c>
      <c r="D15" s="40" t="s">
        <v>89</v>
      </c>
      <c r="E15" s="40" t="s">
        <v>46</v>
      </c>
      <c r="F15" s="40"/>
      <c r="G15" s="40" t="s">
        <v>29</v>
      </c>
      <c r="H15" s="44">
        <v>1000</v>
      </c>
      <c r="I15" s="41">
        <v>200</v>
      </c>
      <c r="J15" s="40" t="s">
        <v>30</v>
      </c>
      <c r="K15" s="40" t="s">
        <v>31</v>
      </c>
    </row>
    <row r="16" spans="1:11">
      <c r="A16" s="42">
        <v>5</v>
      </c>
      <c r="B16" s="40" t="s">
        <v>3556</v>
      </c>
      <c r="C16" s="40" t="s">
        <v>25</v>
      </c>
      <c r="D16" s="40" t="s">
        <v>103</v>
      </c>
      <c r="E16" s="40" t="s">
        <v>38</v>
      </c>
      <c r="F16" s="40"/>
      <c r="G16" s="40" t="s">
        <v>29</v>
      </c>
      <c r="H16" s="44">
        <v>1000</v>
      </c>
      <c r="I16" s="41">
        <v>200</v>
      </c>
      <c r="J16" s="40" t="s">
        <v>30</v>
      </c>
      <c r="K16" s="40" t="s">
        <v>31</v>
      </c>
    </row>
    <row r="17" spans="1:11">
      <c r="A17" s="42">
        <v>5</v>
      </c>
      <c r="B17" s="40" t="s">
        <v>3557</v>
      </c>
      <c r="C17" s="40" t="s">
        <v>25</v>
      </c>
      <c r="D17" s="40" t="s">
        <v>950</v>
      </c>
      <c r="E17" s="40" t="s">
        <v>96</v>
      </c>
      <c r="F17" s="40"/>
      <c r="G17" s="40" t="s">
        <v>29</v>
      </c>
      <c r="H17" s="44">
        <v>1000</v>
      </c>
      <c r="I17" s="41">
        <v>200</v>
      </c>
      <c r="J17" s="40" t="s">
        <v>30</v>
      </c>
      <c r="K17" s="40" t="s">
        <v>31</v>
      </c>
    </row>
    <row r="18" spans="1:11">
      <c r="A18" s="42">
        <v>5</v>
      </c>
      <c r="B18" s="40" t="s">
        <v>3558</v>
      </c>
      <c r="C18" s="40" t="s">
        <v>59</v>
      </c>
      <c r="D18" s="40" t="s">
        <v>3559</v>
      </c>
      <c r="E18" s="40" t="s">
        <v>249</v>
      </c>
      <c r="F18" s="40"/>
      <c r="G18" s="40" t="s">
        <v>29</v>
      </c>
      <c r="H18" s="44">
        <v>500</v>
      </c>
      <c r="I18" s="41" t="s">
        <v>101</v>
      </c>
      <c r="J18" s="40" t="s">
        <v>30</v>
      </c>
      <c r="K18" s="40" t="s">
        <v>31</v>
      </c>
    </row>
    <row r="19" spans="1:11">
      <c r="A19" s="42">
        <v>5</v>
      </c>
      <c r="B19" s="40" t="s">
        <v>3558</v>
      </c>
      <c r="C19" s="40" t="s">
        <v>59</v>
      </c>
      <c r="D19" s="40" t="s">
        <v>3559</v>
      </c>
      <c r="E19" s="40" t="s">
        <v>249</v>
      </c>
      <c r="F19" s="40"/>
      <c r="G19" s="40" t="s">
        <v>29</v>
      </c>
      <c r="H19" s="44">
        <v>500</v>
      </c>
      <c r="I19" s="41">
        <v>100</v>
      </c>
      <c r="J19" s="40" t="s">
        <v>30</v>
      </c>
      <c r="K19" s="40" t="s">
        <v>31</v>
      </c>
    </row>
    <row r="20" spans="1:11">
      <c r="A20" s="42">
        <v>5</v>
      </c>
      <c r="B20" s="40" t="s">
        <v>3560</v>
      </c>
      <c r="C20" s="40" t="s">
        <v>59</v>
      </c>
      <c r="D20" s="40" t="s">
        <v>1678</v>
      </c>
      <c r="E20" s="40" t="s">
        <v>96</v>
      </c>
      <c r="F20" s="40"/>
      <c r="G20" s="40" t="s">
        <v>29</v>
      </c>
      <c r="H20" s="44">
        <v>500</v>
      </c>
      <c r="I20" s="41">
        <v>100</v>
      </c>
      <c r="J20" s="40" t="s">
        <v>30</v>
      </c>
      <c r="K20" s="40" t="s">
        <v>31</v>
      </c>
    </row>
    <row r="21" spans="1:11" ht="15.75" customHeight="1">
      <c r="A21" s="42">
        <v>5</v>
      </c>
      <c r="B21" s="40" t="s">
        <v>3561</v>
      </c>
      <c r="C21" s="40" t="s">
        <v>59</v>
      </c>
      <c r="D21" s="40" t="s">
        <v>3562</v>
      </c>
      <c r="E21" s="40" t="s">
        <v>50</v>
      </c>
      <c r="F21" s="40"/>
      <c r="G21" s="40" t="s">
        <v>29</v>
      </c>
      <c r="H21" s="44">
        <v>500</v>
      </c>
      <c r="I21" s="41">
        <v>100</v>
      </c>
      <c r="J21" s="40" t="s">
        <v>30</v>
      </c>
      <c r="K21" s="40" t="s">
        <v>31</v>
      </c>
    </row>
    <row r="22" spans="1:11" ht="15.75" customHeight="1">
      <c r="A22" s="42">
        <v>5</v>
      </c>
      <c r="B22" s="40" t="s">
        <v>3563</v>
      </c>
      <c r="C22" s="40" t="s">
        <v>25</v>
      </c>
      <c r="D22" s="40" t="s">
        <v>950</v>
      </c>
      <c r="E22" s="40" t="s">
        <v>96</v>
      </c>
      <c r="F22" s="40"/>
      <c r="G22" s="40" t="s">
        <v>29</v>
      </c>
      <c r="H22" s="44">
        <v>500</v>
      </c>
      <c r="I22" s="41">
        <v>100</v>
      </c>
      <c r="J22" s="40" t="s">
        <v>30</v>
      </c>
      <c r="K22" s="40" t="s">
        <v>31</v>
      </c>
    </row>
    <row r="23" spans="1:11" ht="15.75" customHeight="1">
      <c r="A23" s="42">
        <v>5</v>
      </c>
      <c r="B23" s="40" t="s">
        <v>3564</v>
      </c>
      <c r="C23" s="40" t="s">
        <v>25</v>
      </c>
      <c r="D23" s="40" t="s">
        <v>209</v>
      </c>
      <c r="E23" s="40" t="s">
        <v>96</v>
      </c>
      <c r="F23" s="40"/>
      <c r="G23" s="40" t="s">
        <v>29</v>
      </c>
      <c r="H23" s="44">
        <v>4000</v>
      </c>
      <c r="I23" s="41">
        <v>800</v>
      </c>
      <c r="J23" s="40" t="s">
        <v>30</v>
      </c>
      <c r="K23" s="40" t="s">
        <v>31</v>
      </c>
    </row>
    <row r="24" spans="1:11" ht="15.75" customHeight="1">
      <c r="A24" s="42">
        <v>5</v>
      </c>
      <c r="B24" s="40" t="s">
        <v>3565</v>
      </c>
      <c r="C24" s="40" t="s">
        <v>25</v>
      </c>
      <c r="D24" s="40" t="s">
        <v>3566</v>
      </c>
      <c r="E24" s="40" t="s">
        <v>1049</v>
      </c>
      <c r="F24" s="40"/>
      <c r="G24" s="40" t="s">
        <v>29</v>
      </c>
      <c r="H24" s="44">
        <v>10000</v>
      </c>
      <c r="I24" s="41">
        <v>2000</v>
      </c>
      <c r="J24" s="40" t="s">
        <v>30</v>
      </c>
      <c r="K24" s="40" t="s">
        <v>31</v>
      </c>
    </row>
    <row r="25" spans="1:11" ht="15.75" customHeight="1">
      <c r="A25" s="42">
        <v>5</v>
      </c>
      <c r="B25" s="40" t="s">
        <v>3567</v>
      </c>
      <c r="C25" s="40" t="s">
        <v>25</v>
      </c>
      <c r="D25" s="40" t="s">
        <v>3021</v>
      </c>
      <c r="E25" s="40" t="s">
        <v>56</v>
      </c>
      <c r="F25" s="40"/>
      <c r="G25" s="40" t="s">
        <v>2160</v>
      </c>
      <c r="H25" s="44">
        <v>20</v>
      </c>
      <c r="I25" s="41">
        <v>100</v>
      </c>
      <c r="J25" s="40" t="s">
        <v>30</v>
      </c>
      <c r="K25" s="40" t="s">
        <v>31</v>
      </c>
    </row>
    <row r="26" spans="1:11" ht="15.75" customHeight="1">
      <c r="A26" s="42">
        <v>5</v>
      </c>
      <c r="B26" s="40" t="s">
        <v>3567</v>
      </c>
      <c r="C26" s="40" t="s">
        <v>25</v>
      </c>
      <c r="D26" s="40" t="s">
        <v>3021</v>
      </c>
      <c r="E26" s="40" t="s">
        <v>56</v>
      </c>
      <c r="F26" s="40"/>
      <c r="G26" s="40" t="s">
        <v>321</v>
      </c>
      <c r="H26" s="44">
        <v>4</v>
      </c>
      <c r="I26" s="41">
        <v>12</v>
      </c>
      <c r="J26" s="40"/>
      <c r="K26" s="40" t="s">
        <v>31</v>
      </c>
    </row>
    <row r="27" spans="1:11" ht="15.75" customHeight="1">
      <c r="A27" s="42">
        <v>5</v>
      </c>
      <c r="B27" s="40" t="s">
        <v>3568</v>
      </c>
      <c r="C27" s="40" t="s">
        <v>25</v>
      </c>
      <c r="D27" s="40" t="s">
        <v>89</v>
      </c>
      <c r="E27" s="40" t="s">
        <v>46</v>
      </c>
      <c r="F27" s="40"/>
      <c r="G27" s="40" t="s">
        <v>29</v>
      </c>
      <c r="H27" s="44">
        <v>400</v>
      </c>
      <c r="I27" s="41">
        <v>80</v>
      </c>
      <c r="J27" s="40" t="s">
        <v>30</v>
      </c>
      <c r="K27" s="40" t="s">
        <v>31</v>
      </c>
    </row>
    <row r="28" spans="1:11" ht="15.75" customHeight="1">
      <c r="A28" s="42">
        <v>5</v>
      </c>
      <c r="B28" s="40" t="s">
        <v>3569</v>
      </c>
      <c r="C28" s="40" t="s">
        <v>25</v>
      </c>
      <c r="D28" s="40" t="s">
        <v>1839</v>
      </c>
      <c r="E28" s="40" t="s">
        <v>38</v>
      </c>
      <c r="F28" s="40"/>
      <c r="G28" s="40" t="s">
        <v>2160</v>
      </c>
      <c r="H28" s="44">
        <v>40</v>
      </c>
      <c r="I28" s="41">
        <v>200</v>
      </c>
      <c r="J28" s="40"/>
      <c r="K28" s="40" t="s">
        <v>31</v>
      </c>
    </row>
    <row r="29" spans="1:11" ht="15.75" customHeight="1">
      <c r="A29" s="42">
        <v>5</v>
      </c>
      <c r="B29" s="40" t="s">
        <v>3570</v>
      </c>
      <c r="C29" s="40" t="s">
        <v>25</v>
      </c>
      <c r="D29" s="40" t="s">
        <v>3571</v>
      </c>
      <c r="E29" s="40" t="s">
        <v>311</v>
      </c>
      <c r="F29" s="40"/>
      <c r="G29" s="40" t="s">
        <v>29</v>
      </c>
      <c r="H29" s="44">
        <v>1000</v>
      </c>
      <c r="I29" s="41">
        <v>200</v>
      </c>
      <c r="J29" s="40" t="s">
        <v>30</v>
      </c>
      <c r="K29" s="40" t="s">
        <v>31</v>
      </c>
    </row>
    <row r="30" spans="1:11" ht="15.75" customHeight="1">
      <c r="A30" s="42">
        <v>5</v>
      </c>
      <c r="B30" s="40" t="s">
        <v>3572</v>
      </c>
      <c r="C30" s="40" t="s">
        <v>59</v>
      </c>
      <c r="D30" s="40" t="s">
        <v>63</v>
      </c>
      <c r="E30" s="40" t="s">
        <v>96</v>
      </c>
      <c r="F30" s="40"/>
      <c r="G30" s="40" t="s">
        <v>29</v>
      </c>
      <c r="H30" s="44">
        <v>1000</v>
      </c>
      <c r="I30" s="41">
        <v>200</v>
      </c>
      <c r="J30" s="40" t="s">
        <v>30</v>
      </c>
      <c r="K30" s="40" t="s">
        <v>31</v>
      </c>
    </row>
    <row r="31" spans="1:11" ht="15.75" customHeight="1">
      <c r="A31" s="42">
        <v>5</v>
      </c>
      <c r="B31" s="40" t="s">
        <v>3573</v>
      </c>
      <c r="C31" s="40" t="s">
        <v>25</v>
      </c>
      <c r="D31" s="40" t="s">
        <v>74</v>
      </c>
      <c r="E31" s="40" t="s">
        <v>38</v>
      </c>
      <c r="F31" s="40"/>
      <c r="G31" s="40" t="s">
        <v>29</v>
      </c>
      <c r="H31" s="44">
        <v>1000</v>
      </c>
      <c r="I31" s="41">
        <v>200</v>
      </c>
      <c r="J31" s="40" t="s">
        <v>30</v>
      </c>
      <c r="K31" s="40" t="s">
        <v>31</v>
      </c>
    </row>
    <row r="32" spans="1:11" ht="15.75" customHeight="1">
      <c r="A32" s="42">
        <v>5</v>
      </c>
      <c r="B32" s="40" t="s">
        <v>3574</v>
      </c>
      <c r="C32" s="40" t="s">
        <v>25</v>
      </c>
      <c r="D32" s="40" t="s">
        <v>74</v>
      </c>
      <c r="E32" s="40" t="s">
        <v>38</v>
      </c>
      <c r="F32" s="40"/>
      <c r="G32" s="40" t="s">
        <v>29</v>
      </c>
      <c r="H32" s="44">
        <v>1000</v>
      </c>
      <c r="I32" s="41">
        <v>200</v>
      </c>
      <c r="J32" s="40" t="s">
        <v>30</v>
      </c>
      <c r="K32" s="40" t="s">
        <v>31</v>
      </c>
    </row>
    <row r="33" spans="1:26" ht="15.75" customHeight="1">
      <c r="A33" s="42">
        <v>5</v>
      </c>
      <c r="B33" s="40" t="s">
        <v>3325</v>
      </c>
      <c r="C33" s="40" t="s">
        <v>59</v>
      </c>
      <c r="D33" s="40" t="s">
        <v>1282</v>
      </c>
      <c r="E33" s="40" t="s">
        <v>38</v>
      </c>
      <c r="F33" s="40"/>
      <c r="G33" s="40" t="s">
        <v>29</v>
      </c>
      <c r="H33" s="44">
        <v>1000</v>
      </c>
      <c r="I33" s="41">
        <v>200</v>
      </c>
      <c r="J33" s="40" t="s">
        <v>30</v>
      </c>
      <c r="K33" s="40" t="s">
        <v>31</v>
      </c>
    </row>
    <row r="34" spans="1:26" ht="15.75" customHeight="1">
      <c r="A34" s="42">
        <v>5</v>
      </c>
      <c r="B34" s="40" t="s">
        <v>3575</v>
      </c>
      <c r="C34" s="40" t="s">
        <v>25</v>
      </c>
      <c r="D34" s="40" t="s">
        <v>3576</v>
      </c>
      <c r="E34" s="40" t="s">
        <v>78</v>
      </c>
      <c r="F34" s="40"/>
      <c r="G34" s="40" t="s">
        <v>29</v>
      </c>
      <c r="H34" s="44">
        <v>2000</v>
      </c>
      <c r="I34" s="41">
        <v>400</v>
      </c>
      <c r="J34" s="40" t="s">
        <v>30</v>
      </c>
      <c r="K34" s="40" t="s">
        <v>31</v>
      </c>
    </row>
    <row r="35" spans="1:26" ht="15.75" customHeight="1">
      <c r="A35" s="42">
        <v>5</v>
      </c>
      <c r="B35" s="40" t="s">
        <v>3577</v>
      </c>
      <c r="C35" s="40" t="s">
        <v>25</v>
      </c>
      <c r="D35" s="40" t="s">
        <v>2021</v>
      </c>
      <c r="E35" s="40" t="s">
        <v>34</v>
      </c>
      <c r="F35" s="40"/>
      <c r="G35" s="40" t="s">
        <v>29</v>
      </c>
      <c r="H35" s="44">
        <v>3000</v>
      </c>
      <c r="I35" s="41">
        <v>600</v>
      </c>
      <c r="J35" s="40" t="s">
        <v>30</v>
      </c>
      <c r="K35" s="40" t="s">
        <v>31</v>
      </c>
    </row>
    <row r="36" spans="1:26" ht="15.75" customHeight="1">
      <c r="A36" s="42">
        <v>5</v>
      </c>
      <c r="B36" s="40" t="s">
        <v>3578</v>
      </c>
      <c r="C36" s="40" t="s">
        <v>25</v>
      </c>
      <c r="D36" s="40" t="s">
        <v>3579</v>
      </c>
      <c r="E36" s="40" t="s">
        <v>561</v>
      </c>
      <c r="F36" s="40"/>
      <c r="G36" s="40" t="s">
        <v>29</v>
      </c>
      <c r="H36" s="44">
        <v>4500</v>
      </c>
      <c r="I36" s="41">
        <v>900</v>
      </c>
      <c r="J36" s="40" t="s">
        <v>30</v>
      </c>
      <c r="K36" s="40" t="s">
        <v>31</v>
      </c>
    </row>
    <row r="37" spans="1:26" ht="15.75" customHeight="1">
      <c r="A37" s="42">
        <v>5</v>
      </c>
      <c r="B37" s="40" t="s">
        <v>3580</v>
      </c>
      <c r="C37" s="40" t="s">
        <v>25</v>
      </c>
      <c r="D37" s="40" t="s">
        <v>3581</v>
      </c>
      <c r="E37" s="40" t="s">
        <v>249</v>
      </c>
      <c r="F37" s="40"/>
      <c r="G37" s="40" t="s">
        <v>29</v>
      </c>
      <c r="H37" s="44">
        <v>5000</v>
      </c>
      <c r="I37" s="41">
        <v>1000</v>
      </c>
      <c r="J37" s="40" t="s">
        <v>30</v>
      </c>
      <c r="K37" s="40" t="s">
        <v>31</v>
      </c>
    </row>
    <row r="38" spans="1:26" ht="15.75" customHeight="1">
      <c r="A38" s="42">
        <v>5</v>
      </c>
      <c r="B38" s="40" t="s">
        <v>3582</v>
      </c>
      <c r="C38" s="40" t="s">
        <v>25</v>
      </c>
      <c r="D38" s="40" t="s">
        <v>3583</v>
      </c>
      <c r="E38" s="40" t="s">
        <v>46</v>
      </c>
      <c r="F38" s="40"/>
      <c r="G38" s="40" t="s">
        <v>29</v>
      </c>
      <c r="H38" s="44">
        <v>2000</v>
      </c>
      <c r="I38" s="41" t="s">
        <v>101</v>
      </c>
      <c r="J38" s="40" t="s">
        <v>30</v>
      </c>
      <c r="K38" s="40" t="s">
        <v>31</v>
      </c>
    </row>
    <row r="39" spans="1:26" ht="15.75" customHeight="1">
      <c r="A39" s="42">
        <v>5</v>
      </c>
      <c r="B39" s="40" t="s">
        <v>3584</v>
      </c>
      <c r="C39" s="40" t="s">
        <v>25</v>
      </c>
      <c r="D39" s="40" t="s">
        <v>3583</v>
      </c>
      <c r="E39" s="40" t="s">
        <v>46</v>
      </c>
      <c r="F39" s="40"/>
      <c r="G39" s="40" t="s">
        <v>29</v>
      </c>
      <c r="H39" s="44">
        <v>2000</v>
      </c>
      <c r="I39" s="41" t="s">
        <v>101</v>
      </c>
      <c r="J39" s="40" t="s">
        <v>30</v>
      </c>
      <c r="K39" s="40" t="s">
        <v>31</v>
      </c>
    </row>
    <row r="40" spans="1:26" ht="15.75" customHeight="1">
      <c r="A40" s="42">
        <v>6</v>
      </c>
      <c r="B40" s="40" t="s">
        <v>3585</v>
      </c>
      <c r="C40" s="40" t="s">
        <v>25</v>
      </c>
      <c r="D40" s="40" t="s">
        <v>74</v>
      </c>
      <c r="E40" s="40" t="s">
        <v>219</v>
      </c>
      <c r="F40" s="40"/>
      <c r="G40" s="40" t="s">
        <v>29</v>
      </c>
      <c r="H40" s="44">
        <v>5000</v>
      </c>
      <c r="I40" s="41">
        <v>1000</v>
      </c>
      <c r="J40" s="40" t="s">
        <v>30</v>
      </c>
      <c r="K40" s="40" t="s">
        <v>31</v>
      </c>
    </row>
    <row r="41" spans="1:26" ht="15.75" customHeight="1">
      <c r="A41" s="42">
        <v>6</v>
      </c>
      <c r="B41" s="40" t="s">
        <v>3586</v>
      </c>
      <c r="C41" s="40" t="s">
        <v>25</v>
      </c>
      <c r="D41" s="40" t="s">
        <v>248</v>
      </c>
      <c r="E41" s="40" t="s">
        <v>249</v>
      </c>
      <c r="F41" s="40"/>
      <c r="G41" s="40" t="s">
        <v>2160</v>
      </c>
      <c r="H41" s="44">
        <v>120</v>
      </c>
      <c r="I41" s="41">
        <v>1200</v>
      </c>
      <c r="J41" s="40"/>
      <c r="K41" s="40" t="s">
        <v>31</v>
      </c>
    </row>
    <row r="42" spans="1:26" ht="15.75" customHeight="1">
      <c r="A42" s="42">
        <v>6</v>
      </c>
      <c r="B42" s="40" t="s">
        <v>3587</v>
      </c>
      <c r="C42" s="40" t="s">
        <v>25</v>
      </c>
      <c r="D42" s="40" t="s">
        <v>268</v>
      </c>
      <c r="E42" s="40" t="s">
        <v>78</v>
      </c>
      <c r="F42" s="40"/>
      <c r="G42" s="40" t="s">
        <v>29</v>
      </c>
      <c r="H42" s="44">
        <v>1500</v>
      </c>
      <c r="I42" s="41">
        <v>300</v>
      </c>
      <c r="J42" s="40" t="s">
        <v>30</v>
      </c>
      <c r="K42" s="40" t="s">
        <v>31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42">
        <v>6</v>
      </c>
      <c r="B43" s="40" t="s">
        <v>3588</v>
      </c>
      <c r="C43" s="40" t="s">
        <v>25</v>
      </c>
      <c r="D43" s="40" t="s">
        <v>826</v>
      </c>
      <c r="E43" s="40" t="s">
        <v>96</v>
      </c>
      <c r="F43" s="40"/>
      <c r="G43" s="40" t="s">
        <v>29</v>
      </c>
      <c r="H43" s="44">
        <v>3000</v>
      </c>
      <c r="I43" s="41">
        <v>600</v>
      </c>
      <c r="J43" s="40" t="s">
        <v>30</v>
      </c>
      <c r="K43" s="40" t="s">
        <v>31</v>
      </c>
    </row>
    <row r="44" spans="1:26" ht="15.75" customHeight="1">
      <c r="A44" s="42">
        <v>6</v>
      </c>
      <c r="B44" s="40" t="s">
        <v>1837</v>
      </c>
      <c r="C44" s="40" t="s">
        <v>25</v>
      </c>
      <c r="D44" s="40" t="s">
        <v>792</v>
      </c>
      <c r="E44" s="40" t="s">
        <v>60</v>
      </c>
      <c r="F44" s="40"/>
      <c r="G44" s="40" t="s">
        <v>29</v>
      </c>
      <c r="H44" s="44">
        <v>1000</v>
      </c>
      <c r="I44" s="41">
        <v>200</v>
      </c>
      <c r="J44" s="40" t="s">
        <v>30</v>
      </c>
      <c r="K44" s="40" t="s">
        <v>31</v>
      </c>
    </row>
    <row r="45" spans="1:26" ht="15.75" customHeight="1">
      <c r="A45" s="42">
        <v>6</v>
      </c>
      <c r="B45" s="40" t="s">
        <v>1843</v>
      </c>
      <c r="C45" s="40" t="s">
        <v>25</v>
      </c>
      <c r="D45" s="40" t="s">
        <v>811</v>
      </c>
      <c r="E45" s="40" t="s">
        <v>78</v>
      </c>
      <c r="F45" s="40"/>
      <c r="G45" s="40" t="s">
        <v>29</v>
      </c>
      <c r="H45" s="44">
        <v>1000</v>
      </c>
      <c r="I45" s="41">
        <v>200</v>
      </c>
      <c r="J45" s="40" t="s">
        <v>30</v>
      </c>
      <c r="K45" s="40" t="s">
        <v>31</v>
      </c>
    </row>
    <row r="46" spans="1:26" ht="15.75" customHeight="1">
      <c r="A46" s="42">
        <v>6</v>
      </c>
      <c r="B46" s="40" t="s">
        <v>1754</v>
      </c>
      <c r="C46" s="40" t="s">
        <v>25</v>
      </c>
      <c r="D46" s="40" t="s">
        <v>1755</v>
      </c>
      <c r="E46" s="40" t="s">
        <v>60</v>
      </c>
      <c r="F46" s="40"/>
      <c r="G46" s="40" t="s">
        <v>29</v>
      </c>
      <c r="H46" s="44">
        <v>1000</v>
      </c>
      <c r="I46" s="41">
        <v>200</v>
      </c>
      <c r="J46" s="40" t="s">
        <v>30</v>
      </c>
      <c r="K46" s="40" t="s">
        <v>31</v>
      </c>
    </row>
    <row r="47" spans="1:26" ht="15.75" customHeight="1">
      <c r="A47" s="42">
        <v>6</v>
      </c>
      <c r="B47" s="40" t="s">
        <v>3589</v>
      </c>
      <c r="C47" s="40" t="s">
        <v>59</v>
      </c>
      <c r="D47" s="40" t="s">
        <v>209</v>
      </c>
      <c r="E47" s="40" t="s">
        <v>96</v>
      </c>
      <c r="F47" s="40"/>
      <c r="G47" s="40" t="s">
        <v>29</v>
      </c>
      <c r="H47" s="44">
        <v>1000</v>
      </c>
      <c r="I47" s="41">
        <v>200</v>
      </c>
      <c r="J47" s="40" t="s">
        <v>30</v>
      </c>
      <c r="K47" s="40" t="s">
        <v>31</v>
      </c>
    </row>
    <row r="48" spans="1:26" ht="15.75" customHeight="1">
      <c r="A48" s="42">
        <v>6</v>
      </c>
      <c r="B48" s="40" t="s">
        <v>3590</v>
      </c>
      <c r="C48" s="40" t="s">
        <v>59</v>
      </c>
      <c r="D48" s="40" t="s">
        <v>593</v>
      </c>
      <c r="E48" s="40" t="s">
        <v>50</v>
      </c>
      <c r="F48" s="40"/>
      <c r="G48" s="40" t="s">
        <v>2160</v>
      </c>
      <c r="H48" s="44">
        <v>240</v>
      </c>
      <c r="I48" s="41">
        <v>1200</v>
      </c>
      <c r="J48" s="40"/>
      <c r="K48" s="40" t="s">
        <v>31</v>
      </c>
    </row>
    <row r="49" spans="1:11" ht="15.75" customHeight="1">
      <c r="A49" s="42">
        <v>6</v>
      </c>
      <c r="B49" s="40" t="s">
        <v>2689</v>
      </c>
      <c r="C49" s="40" t="s">
        <v>25</v>
      </c>
      <c r="D49" s="40" t="s">
        <v>206</v>
      </c>
      <c r="E49" s="40" t="s">
        <v>96</v>
      </c>
      <c r="F49" s="40"/>
      <c r="G49" s="40" t="s">
        <v>29</v>
      </c>
      <c r="H49" s="44">
        <v>5000</v>
      </c>
      <c r="I49" s="41">
        <v>1000</v>
      </c>
      <c r="J49" s="40" t="s">
        <v>30</v>
      </c>
      <c r="K49" s="40" t="s">
        <v>31</v>
      </c>
    </row>
    <row r="50" spans="1:11" ht="15.75" customHeight="1">
      <c r="A50" s="431">
        <v>6</v>
      </c>
      <c r="B50" s="432" t="s">
        <v>3591</v>
      </c>
      <c r="C50" s="432" t="s">
        <v>25</v>
      </c>
      <c r="D50" s="432" t="s">
        <v>2000</v>
      </c>
      <c r="E50" s="432" t="s">
        <v>318</v>
      </c>
      <c r="F50" s="40"/>
      <c r="G50" s="40" t="s">
        <v>29</v>
      </c>
      <c r="H50" s="44">
        <v>20000</v>
      </c>
      <c r="I50" s="41">
        <v>4000</v>
      </c>
      <c r="J50" s="432" t="s">
        <v>30</v>
      </c>
      <c r="K50" s="432" t="s">
        <v>31</v>
      </c>
    </row>
    <row r="51" spans="1:11" ht="15.75" customHeight="1">
      <c r="A51" s="431">
        <v>6</v>
      </c>
      <c r="B51" s="432" t="s">
        <v>3591</v>
      </c>
      <c r="C51" s="432" t="s">
        <v>25</v>
      </c>
      <c r="D51" s="432" t="s">
        <v>2000</v>
      </c>
      <c r="E51" s="432" t="s">
        <v>318</v>
      </c>
      <c r="F51" s="40"/>
      <c r="G51" s="40" t="s">
        <v>2160</v>
      </c>
      <c r="H51" s="44">
        <v>20</v>
      </c>
      <c r="I51" s="41">
        <v>100</v>
      </c>
      <c r="J51" s="432"/>
      <c r="K51" s="432" t="s">
        <v>31</v>
      </c>
    </row>
    <row r="52" spans="1:11" ht="15.75" customHeight="1">
      <c r="A52" s="42">
        <v>6</v>
      </c>
      <c r="B52" s="40" t="s">
        <v>696</v>
      </c>
      <c r="C52" s="40" t="s">
        <v>25</v>
      </c>
      <c r="D52" s="40" t="s">
        <v>155</v>
      </c>
      <c r="E52" s="40" t="s">
        <v>42</v>
      </c>
      <c r="F52" s="40"/>
      <c r="G52" s="40" t="s">
        <v>2160</v>
      </c>
      <c r="H52" s="44">
        <v>100</v>
      </c>
      <c r="I52" s="41">
        <v>500</v>
      </c>
      <c r="J52" s="40"/>
      <c r="K52" s="40" t="s">
        <v>31</v>
      </c>
    </row>
    <row r="53" spans="1:11" ht="15.75" customHeight="1">
      <c r="A53" s="42">
        <v>6</v>
      </c>
      <c r="B53" s="40" t="s">
        <v>3592</v>
      </c>
      <c r="C53" s="40" t="s">
        <v>25</v>
      </c>
      <c r="D53" s="40" t="s">
        <v>548</v>
      </c>
      <c r="E53" s="40" t="s">
        <v>42</v>
      </c>
      <c r="F53" s="40"/>
      <c r="G53" s="40" t="s">
        <v>2160</v>
      </c>
      <c r="H53" s="44">
        <v>100</v>
      </c>
      <c r="I53" s="41">
        <v>500</v>
      </c>
      <c r="J53" s="40"/>
      <c r="K53" s="40" t="s">
        <v>31</v>
      </c>
    </row>
    <row r="54" spans="1:11" ht="15.75" customHeight="1">
      <c r="A54" s="42">
        <v>6</v>
      </c>
      <c r="B54" s="40" t="s">
        <v>3593</v>
      </c>
      <c r="C54" s="40" t="s">
        <v>25</v>
      </c>
      <c r="D54" s="40" t="s">
        <v>63</v>
      </c>
      <c r="E54" s="40" t="s">
        <v>60</v>
      </c>
      <c r="F54" s="40"/>
      <c r="G54" s="40" t="s">
        <v>29</v>
      </c>
      <c r="H54" s="44">
        <v>2000</v>
      </c>
      <c r="I54" s="41">
        <v>400</v>
      </c>
      <c r="J54" s="40" t="s">
        <v>30</v>
      </c>
      <c r="K54" s="40" t="s">
        <v>31</v>
      </c>
    </row>
    <row r="55" spans="1:11" ht="15.75" customHeight="1">
      <c r="A55" s="42">
        <v>6</v>
      </c>
      <c r="B55" s="40" t="s">
        <v>3594</v>
      </c>
      <c r="C55" s="40" t="s">
        <v>59</v>
      </c>
      <c r="D55" s="40" t="s">
        <v>33</v>
      </c>
      <c r="E55" s="40" t="s">
        <v>34</v>
      </c>
      <c r="F55" s="40"/>
      <c r="G55" s="40" t="s">
        <v>29</v>
      </c>
      <c r="H55" s="44">
        <v>500</v>
      </c>
      <c r="I55" s="41">
        <v>100</v>
      </c>
      <c r="J55" s="40" t="s">
        <v>30</v>
      </c>
      <c r="K55" s="40" t="s">
        <v>31</v>
      </c>
    </row>
    <row r="56" spans="1:11" ht="15.75" customHeight="1">
      <c r="A56" s="42">
        <v>6</v>
      </c>
      <c r="B56" s="40" t="s">
        <v>3515</v>
      </c>
      <c r="C56" s="40" t="s">
        <v>25</v>
      </c>
      <c r="D56" s="40" t="s">
        <v>3595</v>
      </c>
      <c r="E56" s="40" t="s">
        <v>150</v>
      </c>
      <c r="F56" s="40"/>
      <c r="G56" s="40" t="s">
        <v>29</v>
      </c>
      <c r="H56" s="44">
        <v>500</v>
      </c>
      <c r="I56" s="41">
        <v>100</v>
      </c>
      <c r="J56" s="40" t="s">
        <v>30</v>
      </c>
      <c r="K56" s="40" t="s">
        <v>31</v>
      </c>
    </row>
    <row r="57" spans="1:11" ht="15.75" customHeight="1">
      <c r="A57" s="42">
        <v>6</v>
      </c>
      <c r="B57" s="40" t="s">
        <v>3596</v>
      </c>
      <c r="C57" s="40" t="s">
        <v>25</v>
      </c>
      <c r="D57" s="40" t="s">
        <v>612</v>
      </c>
      <c r="E57" s="40" t="s">
        <v>78</v>
      </c>
      <c r="F57" s="40"/>
      <c r="G57" s="40" t="s">
        <v>29</v>
      </c>
      <c r="H57" s="44">
        <v>500</v>
      </c>
      <c r="I57" s="41">
        <v>100</v>
      </c>
      <c r="J57" s="40" t="s">
        <v>30</v>
      </c>
      <c r="K57" s="40" t="s">
        <v>31</v>
      </c>
    </row>
    <row r="58" spans="1:11" ht="15.75" customHeight="1">
      <c r="A58" s="42">
        <v>6</v>
      </c>
      <c r="B58" s="40" t="s">
        <v>3597</v>
      </c>
      <c r="C58" s="40" t="s">
        <v>25</v>
      </c>
      <c r="D58" s="40" t="s">
        <v>63</v>
      </c>
      <c r="E58" s="40" t="s">
        <v>38</v>
      </c>
      <c r="F58" s="40"/>
      <c r="G58" s="40" t="s">
        <v>29</v>
      </c>
      <c r="H58" s="44">
        <v>500</v>
      </c>
      <c r="I58" s="41">
        <v>100</v>
      </c>
      <c r="J58" s="40" t="s">
        <v>30</v>
      </c>
      <c r="K58" s="40" t="s">
        <v>31</v>
      </c>
    </row>
    <row r="59" spans="1:11" ht="15.75" customHeight="1">
      <c r="A59" s="42">
        <v>6</v>
      </c>
      <c r="B59" s="40" t="s">
        <v>3598</v>
      </c>
      <c r="C59" s="40" t="s">
        <v>25</v>
      </c>
      <c r="D59" s="40" t="s">
        <v>2459</v>
      </c>
      <c r="E59" s="40" t="s">
        <v>46</v>
      </c>
      <c r="F59" s="40"/>
      <c r="G59" s="40" t="s">
        <v>29</v>
      </c>
      <c r="H59" s="44">
        <v>350</v>
      </c>
      <c r="I59" s="41">
        <v>70</v>
      </c>
      <c r="J59" s="40" t="s">
        <v>30</v>
      </c>
      <c r="K59" s="40" t="s">
        <v>31</v>
      </c>
    </row>
    <row r="60" spans="1:11" ht="15.75" customHeight="1">
      <c r="A60" s="42">
        <v>6</v>
      </c>
      <c r="B60" s="40" t="s">
        <v>3598</v>
      </c>
      <c r="C60" s="40" t="s">
        <v>25</v>
      </c>
      <c r="D60" s="40" t="s">
        <v>2459</v>
      </c>
      <c r="E60" s="40" t="s">
        <v>46</v>
      </c>
      <c r="F60" s="40"/>
      <c r="G60" s="40" t="s">
        <v>2160</v>
      </c>
      <c r="H60" s="44">
        <v>20</v>
      </c>
      <c r="I60" s="41">
        <v>100</v>
      </c>
      <c r="J60" s="40" t="s">
        <v>30</v>
      </c>
      <c r="K60" s="40" t="s">
        <v>31</v>
      </c>
    </row>
    <row r="61" spans="1:11" ht="15.75" customHeight="1">
      <c r="A61" s="42">
        <v>6</v>
      </c>
      <c r="B61" s="40" t="s">
        <v>3599</v>
      </c>
      <c r="C61" s="40" t="s">
        <v>25</v>
      </c>
      <c r="D61" s="40" t="s">
        <v>3600</v>
      </c>
      <c r="E61" s="40" t="s">
        <v>150</v>
      </c>
      <c r="F61" s="40"/>
      <c r="G61" s="40" t="s">
        <v>29</v>
      </c>
      <c r="H61" s="44">
        <v>200</v>
      </c>
      <c r="I61" s="41">
        <v>40</v>
      </c>
      <c r="J61" s="40" t="s">
        <v>30</v>
      </c>
      <c r="K61" s="40" t="s">
        <v>31</v>
      </c>
    </row>
    <row r="62" spans="1:11" ht="15.75" customHeight="1">
      <c r="A62" s="42">
        <v>6</v>
      </c>
      <c r="B62" s="40" t="s">
        <v>3601</v>
      </c>
      <c r="C62" s="40" t="s">
        <v>59</v>
      </c>
      <c r="D62" s="40" t="s">
        <v>2021</v>
      </c>
      <c r="E62" s="40" t="s">
        <v>34</v>
      </c>
      <c r="F62" s="40"/>
      <c r="G62" s="40" t="s">
        <v>29</v>
      </c>
      <c r="H62" s="44">
        <v>100</v>
      </c>
      <c r="I62" s="41">
        <v>20</v>
      </c>
      <c r="J62" s="40" t="s">
        <v>30</v>
      </c>
      <c r="K62" s="40" t="s">
        <v>31</v>
      </c>
    </row>
    <row r="63" spans="1:11" ht="15.75" customHeight="1">
      <c r="A63" s="42">
        <v>6</v>
      </c>
      <c r="B63" s="40" t="s">
        <v>3602</v>
      </c>
      <c r="C63" s="40" t="s">
        <v>59</v>
      </c>
      <c r="D63" s="40" t="s">
        <v>92</v>
      </c>
      <c r="E63" s="40" t="s">
        <v>34</v>
      </c>
      <c r="F63" s="40"/>
      <c r="G63" s="40" t="s">
        <v>29</v>
      </c>
      <c r="H63" s="44">
        <v>15000</v>
      </c>
      <c r="I63" s="41">
        <v>3000</v>
      </c>
      <c r="J63" s="40" t="s">
        <v>30</v>
      </c>
      <c r="K63" s="40" t="s">
        <v>31</v>
      </c>
    </row>
    <row r="64" spans="1:11" ht="15.75" customHeight="1">
      <c r="A64" s="42">
        <v>7</v>
      </c>
      <c r="B64" s="40" t="s">
        <v>3603</v>
      </c>
      <c r="C64" s="40" t="s">
        <v>25</v>
      </c>
      <c r="D64" s="40" t="s">
        <v>3604</v>
      </c>
      <c r="E64" s="40" t="s">
        <v>801</v>
      </c>
      <c r="F64" s="40"/>
      <c r="G64" s="40" t="s">
        <v>2160</v>
      </c>
      <c r="H64" s="44">
        <v>200</v>
      </c>
      <c r="I64" s="41">
        <v>2000</v>
      </c>
      <c r="J64" s="40" t="s">
        <v>30</v>
      </c>
      <c r="K64" s="40" t="s">
        <v>31</v>
      </c>
    </row>
    <row r="65" spans="1:11" ht="15.75" customHeight="1">
      <c r="A65" s="42">
        <v>7</v>
      </c>
      <c r="B65" s="40" t="s">
        <v>3605</v>
      </c>
      <c r="C65" s="40" t="s">
        <v>25</v>
      </c>
      <c r="D65" s="40" t="s">
        <v>63</v>
      </c>
      <c r="E65" s="40" t="s">
        <v>60</v>
      </c>
      <c r="F65" s="40"/>
      <c r="G65" s="40" t="s">
        <v>29</v>
      </c>
      <c r="H65" s="44">
        <v>500</v>
      </c>
      <c r="I65" s="41">
        <v>100</v>
      </c>
      <c r="J65" s="40" t="s">
        <v>30</v>
      </c>
      <c r="K65" s="40" t="s">
        <v>31</v>
      </c>
    </row>
    <row r="66" spans="1:11" ht="15.75" customHeight="1">
      <c r="A66" s="42">
        <v>7</v>
      </c>
      <c r="B66" s="40" t="s">
        <v>3606</v>
      </c>
      <c r="C66" s="40" t="s">
        <v>25</v>
      </c>
      <c r="D66" s="40" t="s">
        <v>3607</v>
      </c>
      <c r="E66" s="40" t="s">
        <v>258</v>
      </c>
      <c r="F66" s="40"/>
      <c r="G66" s="40" t="s">
        <v>29</v>
      </c>
      <c r="H66" s="44">
        <v>500</v>
      </c>
      <c r="I66" s="41" t="s">
        <v>101</v>
      </c>
      <c r="J66" s="40" t="s">
        <v>30</v>
      </c>
      <c r="K66" s="40" t="s">
        <v>31</v>
      </c>
    </row>
    <row r="67" spans="1:11" ht="15.75" customHeight="1">
      <c r="A67" s="42">
        <v>7</v>
      </c>
      <c r="B67" s="40" t="s">
        <v>3606</v>
      </c>
      <c r="C67" s="40" t="s">
        <v>25</v>
      </c>
      <c r="D67" s="40" t="s">
        <v>3607</v>
      </c>
      <c r="E67" s="40" t="s">
        <v>258</v>
      </c>
      <c r="F67" s="40"/>
      <c r="G67" s="40" t="s">
        <v>29</v>
      </c>
      <c r="H67" s="44">
        <v>500</v>
      </c>
      <c r="I67" s="41">
        <v>100</v>
      </c>
      <c r="J67" s="40" t="s">
        <v>30</v>
      </c>
      <c r="K67" s="40" t="s">
        <v>31</v>
      </c>
    </row>
    <row r="68" spans="1:11" ht="15.75" customHeight="1">
      <c r="A68" s="42">
        <v>7</v>
      </c>
      <c r="B68" s="40" t="s">
        <v>3608</v>
      </c>
      <c r="C68" s="40" t="s">
        <v>25</v>
      </c>
      <c r="D68" s="40" t="s">
        <v>1678</v>
      </c>
      <c r="E68" s="40" t="s">
        <v>96</v>
      </c>
      <c r="F68" s="40"/>
      <c r="G68" s="40" t="s">
        <v>29</v>
      </c>
      <c r="H68" s="44">
        <v>1000</v>
      </c>
      <c r="I68" s="41">
        <v>200</v>
      </c>
      <c r="J68" s="40" t="s">
        <v>30</v>
      </c>
      <c r="K68" s="40" t="s">
        <v>31</v>
      </c>
    </row>
    <row r="69" spans="1:11" ht="15.75" customHeight="1">
      <c r="A69" s="42">
        <v>7</v>
      </c>
      <c r="B69" s="40" t="s">
        <v>3609</v>
      </c>
      <c r="C69" s="40" t="s">
        <v>25</v>
      </c>
      <c r="D69" s="40" t="s">
        <v>176</v>
      </c>
      <c r="E69" s="40" t="s">
        <v>27</v>
      </c>
      <c r="F69" s="40"/>
      <c r="G69" s="40" t="s">
        <v>29</v>
      </c>
      <c r="H69" s="44">
        <v>1000</v>
      </c>
      <c r="I69" s="41">
        <v>200</v>
      </c>
      <c r="J69" s="40" t="s">
        <v>30</v>
      </c>
      <c r="K69" s="40" t="s">
        <v>31</v>
      </c>
    </row>
    <row r="70" spans="1:11" ht="15.75" customHeight="1">
      <c r="A70" s="42">
        <v>7</v>
      </c>
      <c r="B70" s="40" t="s">
        <v>3610</v>
      </c>
      <c r="C70" s="40" t="s">
        <v>25</v>
      </c>
      <c r="D70" s="40" t="s">
        <v>185</v>
      </c>
      <c r="E70" s="40" t="s">
        <v>42</v>
      </c>
      <c r="F70" s="40"/>
      <c r="G70" s="40" t="s">
        <v>29</v>
      </c>
      <c r="H70" s="44">
        <v>1000</v>
      </c>
      <c r="I70" s="41">
        <v>200</v>
      </c>
      <c r="J70" s="40" t="s">
        <v>30</v>
      </c>
      <c r="K70" s="40" t="s">
        <v>31</v>
      </c>
    </row>
    <row r="71" spans="1:11" ht="15.75" customHeight="1">
      <c r="A71" s="42">
        <v>7</v>
      </c>
      <c r="B71" s="40" t="s">
        <v>1898</v>
      </c>
      <c r="C71" s="40" t="s">
        <v>25</v>
      </c>
      <c r="D71" s="40" t="s">
        <v>1899</v>
      </c>
      <c r="E71" s="40" t="s">
        <v>318</v>
      </c>
      <c r="F71" s="40"/>
      <c r="G71" s="40" t="s">
        <v>29</v>
      </c>
      <c r="H71" s="44">
        <v>10000</v>
      </c>
      <c r="I71" s="41">
        <v>2000</v>
      </c>
      <c r="J71" s="40" t="s">
        <v>30</v>
      </c>
      <c r="K71" s="40" t="s">
        <v>31</v>
      </c>
    </row>
    <row r="72" spans="1:11" ht="15.75" customHeight="1">
      <c r="A72" s="42">
        <v>7</v>
      </c>
      <c r="B72" s="40" t="s">
        <v>3611</v>
      </c>
      <c r="C72" s="40" t="s">
        <v>25</v>
      </c>
      <c r="D72" s="40" t="s">
        <v>532</v>
      </c>
      <c r="E72" s="40" t="s">
        <v>533</v>
      </c>
      <c r="F72" s="40"/>
      <c r="G72" s="40" t="s">
        <v>29</v>
      </c>
      <c r="H72" s="44">
        <v>10000</v>
      </c>
      <c r="I72" s="41">
        <v>2000</v>
      </c>
      <c r="J72" s="40" t="s">
        <v>30</v>
      </c>
      <c r="K72" s="40" t="s">
        <v>31</v>
      </c>
    </row>
    <row r="73" spans="1:11" ht="15.75" customHeight="1">
      <c r="A73" s="42">
        <v>7</v>
      </c>
      <c r="B73" s="40" t="s">
        <v>3611</v>
      </c>
      <c r="C73" s="40" t="s">
        <v>25</v>
      </c>
      <c r="D73" s="40" t="s">
        <v>532</v>
      </c>
      <c r="E73" s="40" t="s">
        <v>533</v>
      </c>
      <c r="F73" s="40"/>
      <c r="G73" s="40" t="s">
        <v>2160</v>
      </c>
      <c r="H73" s="200">
        <v>100</v>
      </c>
      <c r="I73" s="41">
        <v>500</v>
      </c>
      <c r="J73" s="40" t="s">
        <v>30</v>
      </c>
      <c r="K73" s="40" t="s">
        <v>31</v>
      </c>
    </row>
    <row r="74" spans="1:11" ht="15.75" customHeight="1">
      <c r="A74" s="42">
        <v>7</v>
      </c>
      <c r="B74" s="40" t="s">
        <v>3612</v>
      </c>
      <c r="C74" s="40" t="s">
        <v>25</v>
      </c>
      <c r="D74" s="40" t="s">
        <v>3613</v>
      </c>
      <c r="E74" s="40" t="s">
        <v>3614</v>
      </c>
      <c r="F74" s="40"/>
      <c r="G74" s="40" t="s">
        <v>29</v>
      </c>
      <c r="H74" s="200">
        <v>10000</v>
      </c>
      <c r="I74" s="41">
        <v>2000</v>
      </c>
      <c r="J74" s="40" t="s">
        <v>30</v>
      </c>
      <c r="K74" s="40" t="s">
        <v>31</v>
      </c>
    </row>
    <row r="75" spans="1:11" ht="15.75" customHeight="1">
      <c r="A75" s="42">
        <v>7</v>
      </c>
      <c r="B75" s="40" t="s">
        <v>3612</v>
      </c>
      <c r="C75" s="40" t="s">
        <v>25</v>
      </c>
      <c r="D75" s="40" t="s">
        <v>3613</v>
      </c>
      <c r="E75" s="40" t="s">
        <v>3614</v>
      </c>
      <c r="F75" s="40"/>
      <c r="G75" s="40" t="s">
        <v>2160</v>
      </c>
      <c r="H75" s="200">
        <v>50</v>
      </c>
      <c r="I75" s="41">
        <v>250</v>
      </c>
      <c r="J75" s="40" t="s">
        <v>30</v>
      </c>
      <c r="K75" s="40" t="s">
        <v>31</v>
      </c>
    </row>
    <row r="76" spans="1:11" ht="15.75" customHeight="1">
      <c r="A76" s="42">
        <v>7</v>
      </c>
      <c r="B76" s="40" t="s">
        <v>3615</v>
      </c>
      <c r="C76" s="40" t="s">
        <v>25</v>
      </c>
      <c r="D76" s="40" t="s">
        <v>63</v>
      </c>
      <c r="E76" s="40" t="s">
        <v>38</v>
      </c>
      <c r="F76" s="40"/>
      <c r="G76" s="40" t="s">
        <v>29</v>
      </c>
      <c r="H76" s="200">
        <v>15000</v>
      </c>
      <c r="I76" s="41">
        <v>3000</v>
      </c>
      <c r="J76" s="40" t="s">
        <v>30</v>
      </c>
      <c r="K76" s="40" t="s">
        <v>31</v>
      </c>
    </row>
    <row r="77" spans="1:11" ht="15.75" customHeight="1">
      <c r="A77" s="42">
        <v>7</v>
      </c>
      <c r="B77" s="40" t="s">
        <v>3616</v>
      </c>
      <c r="C77" s="40" t="s">
        <v>25</v>
      </c>
      <c r="D77" s="40" t="s">
        <v>2713</v>
      </c>
      <c r="E77" s="40" t="s">
        <v>38</v>
      </c>
      <c r="F77" s="40"/>
      <c r="G77" s="40" t="s">
        <v>29</v>
      </c>
      <c r="H77" s="200">
        <v>150</v>
      </c>
      <c r="I77" s="41">
        <v>30</v>
      </c>
      <c r="J77" s="40" t="s">
        <v>30</v>
      </c>
      <c r="K77" s="40" t="s">
        <v>31</v>
      </c>
    </row>
    <row r="78" spans="1:11" ht="15.75" customHeight="1">
      <c r="A78" s="42">
        <v>7</v>
      </c>
      <c r="B78" s="40" t="s">
        <v>2851</v>
      </c>
      <c r="C78" s="40" t="s">
        <v>25</v>
      </c>
      <c r="D78" s="40" t="s">
        <v>1511</v>
      </c>
      <c r="E78" s="40" t="s">
        <v>111</v>
      </c>
      <c r="F78" s="40"/>
      <c r="G78" s="40" t="s">
        <v>29</v>
      </c>
      <c r="H78" s="200">
        <v>5000</v>
      </c>
      <c r="I78" s="41">
        <v>1000</v>
      </c>
      <c r="J78" s="40" t="s">
        <v>30</v>
      </c>
      <c r="K78" s="40" t="s">
        <v>31</v>
      </c>
    </row>
    <row r="79" spans="1:11" ht="15.75" customHeight="1">
      <c r="A79" s="42">
        <v>7</v>
      </c>
      <c r="B79" s="40" t="s">
        <v>3617</v>
      </c>
      <c r="C79" s="40" t="s">
        <v>25</v>
      </c>
      <c r="D79" s="40" t="s">
        <v>3463</v>
      </c>
      <c r="E79" s="40" t="s">
        <v>216</v>
      </c>
      <c r="F79" s="40"/>
      <c r="G79" s="40" t="s">
        <v>29</v>
      </c>
      <c r="H79" s="200">
        <v>50</v>
      </c>
      <c r="I79" s="41" t="s">
        <v>101</v>
      </c>
      <c r="J79" s="40" t="s">
        <v>30</v>
      </c>
      <c r="K79" s="40" t="s">
        <v>31</v>
      </c>
    </row>
    <row r="80" spans="1:11" ht="15.75" customHeight="1">
      <c r="A80" s="42">
        <v>7</v>
      </c>
      <c r="B80" s="40" t="s">
        <v>3618</v>
      </c>
      <c r="C80" s="40" t="s">
        <v>59</v>
      </c>
      <c r="D80" s="40" t="s">
        <v>149</v>
      </c>
      <c r="E80" s="40" t="s">
        <v>150</v>
      </c>
      <c r="F80" s="40"/>
      <c r="G80" s="40" t="s">
        <v>29</v>
      </c>
      <c r="H80" s="200">
        <v>100</v>
      </c>
      <c r="I80" s="41" t="s">
        <v>101</v>
      </c>
      <c r="J80" s="40" t="s">
        <v>30</v>
      </c>
      <c r="K80" s="40" t="s">
        <v>31</v>
      </c>
    </row>
    <row r="81" spans="1:11" ht="15.75" customHeight="1">
      <c r="A81" s="42">
        <v>7</v>
      </c>
      <c r="B81" s="40" t="s">
        <v>3619</v>
      </c>
      <c r="C81" s="40" t="s">
        <v>25</v>
      </c>
      <c r="D81" s="40" t="s">
        <v>710</v>
      </c>
      <c r="E81" s="40" t="s">
        <v>46</v>
      </c>
      <c r="F81" s="40"/>
      <c r="G81" s="40" t="s">
        <v>29</v>
      </c>
      <c r="H81" s="200">
        <v>100</v>
      </c>
      <c r="I81" s="41">
        <v>20</v>
      </c>
      <c r="J81" s="40" t="s">
        <v>30</v>
      </c>
      <c r="K81" s="40" t="s">
        <v>31</v>
      </c>
    </row>
    <row r="82" spans="1:11" ht="15.75" customHeight="1">
      <c r="A82" s="42">
        <v>7</v>
      </c>
      <c r="B82" s="40" t="s">
        <v>3620</v>
      </c>
      <c r="C82" s="40" t="s">
        <v>25</v>
      </c>
      <c r="D82" s="40" t="s">
        <v>192</v>
      </c>
      <c r="E82" s="40" t="s">
        <v>78</v>
      </c>
      <c r="F82" s="40"/>
      <c r="G82" s="40" t="s">
        <v>29</v>
      </c>
      <c r="H82" s="200">
        <v>150</v>
      </c>
      <c r="I82" s="41">
        <v>30</v>
      </c>
      <c r="J82" s="40" t="s">
        <v>30</v>
      </c>
      <c r="K82" s="40" t="s">
        <v>31</v>
      </c>
    </row>
    <row r="83" spans="1:11" ht="15.75" customHeight="1">
      <c r="A83" s="42">
        <v>7</v>
      </c>
      <c r="B83" s="40" t="s">
        <v>3621</v>
      </c>
      <c r="C83" s="40" t="s">
        <v>25</v>
      </c>
      <c r="D83" s="40" t="s">
        <v>258</v>
      </c>
      <c r="E83" s="40" t="s">
        <v>96</v>
      </c>
      <c r="F83" s="40"/>
      <c r="G83" s="40" t="s">
        <v>29</v>
      </c>
      <c r="H83" s="200">
        <v>200</v>
      </c>
      <c r="I83" s="41">
        <v>40</v>
      </c>
      <c r="J83" s="40" t="s">
        <v>30</v>
      </c>
      <c r="K83" s="40" t="s">
        <v>31</v>
      </c>
    </row>
    <row r="84" spans="1:11" ht="15.75" customHeight="1">
      <c r="A84" s="42">
        <v>7</v>
      </c>
      <c r="B84" s="40" t="s">
        <v>1420</v>
      </c>
      <c r="C84" s="40" t="s">
        <v>25</v>
      </c>
      <c r="D84" s="40" t="s">
        <v>185</v>
      </c>
      <c r="E84" s="40" t="s">
        <v>42</v>
      </c>
      <c r="F84" s="40"/>
      <c r="G84" s="40" t="s">
        <v>29</v>
      </c>
      <c r="H84" s="200">
        <v>200</v>
      </c>
      <c r="I84" s="41">
        <v>40</v>
      </c>
      <c r="J84" s="40" t="s">
        <v>30</v>
      </c>
      <c r="K84" s="40" t="s">
        <v>31</v>
      </c>
    </row>
    <row r="85" spans="1:11" ht="15.75" customHeight="1">
      <c r="A85" s="42">
        <v>7</v>
      </c>
      <c r="B85" s="40" t="s">
        <v>3622</v>
      </c>
      <c r="C85" s="40" t="s">
        <v>25</v>
      </c>
      <c r="D85" s="40" t="s">
        <v>836</v>
      </c>
      <c r="E85" s="40" t="s">
        <v>42</v>
      </c>
      <c r="F85" s="40"/>
      <c r="G85" s="40" t="s">
        <v>29</v>
      </c>
      <c r="H85" s="200">
        <v>300</v>
      </c>
      <c r="I85" s="41">
        <v>60</v>
      </c>
      <c r="J85" s="40" t="s">
        <v>30</v>
      </c>
      <c r="K85" s="40" t="s">
        <v>31</v>
      </c>
    </row>
    <row r="86" spans="1:11" ht="15.75" customHeight="1">
      <c r="A86" s="42">
        <v>7</v>
      </c>
      <c r="B86" s="40" t="s">
        <v>3623</v>
      </c>
      <c r="C86" s="40" t="s">
        <v>25</v>
      </c>
      <c r="D86" s="40" t="s">
        <v>1190</v>
      </c>
      <c r="E86" s="40" t="s">
        <v>42</v>
      </c>
      <c r="F86" s="40"/>
      <c r="G86" s="40" t="s">
        <v>29</v>
      </c>
      <c r="H86" s="200">
        <v>600</v>
      </c>
      <c r="I86" s="41">
        <v>120</v>
      </c>
      <c r="J86" s="40" t="s">
        <v>30</v>
      </c>
      <c r="K86" s="40" t="s">
        <v>31</v>
      </c>
    </row>
    <row r="87" spans="1:11" ht="15.75" customHeight="1">
      <c r="A87" s="42">
        <v>7</v>
      </c>
      <c r="B87" s="40" t="s">
        <v>3624</v>
      </c>
      <c r="C87" s="40" t="s">
        <v>25</v>
      </c>
      <c r="D87" s="40" t="s">
        <v>1755</v>
      </c>
      <c r="E87" s="40" t="s">
        <v>60</v>
      </c>
      <c r="F87" s="40"/>
      <c r="G87" s="40" t="s">
        <v>29</v>
      </c>
      <c r="H87" s="200">
        <v>500</v>
      </c>
      <c r="I87" s="41">
        <v>100</v>
      </c>
      <c r="J87" s="40" t="s">
        <v>30</v>
      </c>
      <c r="K87" s="40" t="s">
        <v>31</v>
      </c>
    </row>
    <row r="88" spans="1:11" ht="15.75" customHeight="1">
      <c r="A88" s="42">
        <v>7</v>
      </c>
      <c r="B88" s="40" t="s">
        <v>3625</v>
      </c>
      <c r="C88" s="40" t="s">
        <v>59</v>
      </c>
      <c r="D88" s="40" t="s">
        <v>55</v>
      </c>
      <c r="E88" s="40" t="s">
        <v>56</v>
      </c>
      <c r="F88" s="40"/>
      <c r="G88" s="40" t="s">
        <v>29</v>
      </c>
      <c r="H88" s="200">
        <v>500</v>
      </c>
      <c r="I88" s="41">
        <v>100</v>
      </c>
      <c r="J88" s="40" t="s">
        <v>30</v>
      </c>
      <c r="K88" s="40" t="s">
        <v>31</v>
      </c>
    </row>
    <row r="89" spans="1:11" ht="15.75" customHeight="1">
      <c r="A89" s="42">
        <v>7</v>
      </c>
      <c r="B89" s="40" t="s">
        <v>3626</v>
      </c>
      <c r="C89" s="40" t="s">
        <v>25</v>
      </c>
      <c r="D89" s="40" t="s">
        <v>49</v>
      </c>
      <c r="E89" s="40" t="s">
        <v>50</v>
      </c>
      <c r="F89" s="40"/>
      <c r="G89" s="40" t="s">
        <v>29</v>
      </c>
      <c r="H89" s="200">
        <v>500</v>
      </c>
      <c r="I89" s="41">
        <v>100</v>
      </c>
      <c r="J89" s="40" t="s">
        <v>30</v>
      </c>
      <c r="K89" s="40" t="s">
        <v>31</v>
      </c>
    </row>
    <row r="90" spans="1:11" ht="15.75" customHeight="1">
      <c r="A90" s="42">
        <v>7</v>
      </c>
      <c r="B90" s="40" t="s">
        <v>3627</v>
      </c>
      <c r="C90" s="40" t="s">
        <v>59</v>
      </c>
      <c r="D90" s="40" t="s">
        <v>63</v>
      </c>
      <c r="E90" s="40" t="s">
        <v>540</v>
      </c>
      <c r="F90" s="40"/>
      <c r="G90" s="40" t="s">
        <v>29</v>
      </c>
      <c r="H90" s="200">
        <v>500</v>
      </c>
      <c r="I90" s="41">
        <v>100</v>
      </c>
      <c r="J90" s="40" t="s">
        <v>30</v>
      </c>
      <c r="K90" s="40" t="s">
        <v>31</v>
      </c>
    </row>
    <row r="91" spans="1:11" ht="15.75" customHeight="1">
      <c r="A91" s="42">
        <v>7</v>
      </c>
      <c r="B91" s="40" t="s">
        <v>3628</v>
      </c>
      <c r="C91" s="40" t="s">
        <v>25</v>
      </c>
      <c r="D91" s="40" t="s">
        <v>1282</v>
      </c>
      <c r="E91" s="40" t="s">
        <v>38</v>
      </c>
      <c r="F91" s="40"/>
      <c r="G91" s="40" t="s">
        <v>29</v>
      </c>
      <c r="H91" s="200">
        <v>500</v>
      </c>
      <c r="I91" s="41">
        <v>100</v>
      </c>
      <c r="J91" s="40" t="s">
        <v>30</v>
      </c>
      <c r="K91" s="40" t="s">
        <v>31</v>
      </c>
    </row>
    <row r="92" spans="1:11" ht="15.75" customHeight="1">
      <c r="A92" s="256">
        <v>7</v>
      </c>
      <c r="B92" s="48" t="s">
        <v>3629</v>
      </c>
      <c r="C92" s="48" t="s">
        <v>25</v>
      </c>
      <c r="D92" s="48" t="s">
        <v>1831</v>
      </c>
      <c r="E92" s="48" t="s">
        <v>311</v>
      </c>
      <c r="F92" s="48"/>
      <c r="G92" s="48" t="s">
        <v>2160</v>
      </c>
      <c r="H92" s="430">
        <v>120</v>
      </c>
      <c r="I92" s="51">
        <v>600</v>
      </c>
      <c r="J92" s="48" t="s">
        <v>30</v>
      </c>
      <c r="K92" s="48" t="s">
        <v>31</v>
      </c>
    </row>
    <row r="93" spans="1:11" ht="15.75" customHeight="1">
      <c r="A93" s="52">
        <v>8</v>
      </c>
      <c r="B93" s="53" t="s">
        <v>3630</v>
      </c>
      <c r="C93" s="53" t="s">
        <v>25</v>
      </c>
      <c r="D93" s="53" t="s">
        <v>836</v>
      </c>
      <c r="E93" s="53" t="s">
        <v>42</v>
      </c>
      <c r="F93" s="53"/>
      <c r="G93" s="53" t="s">
        <v>29</v>
      </c>
      <c r="H93" s="437">
        <v>200</v>
      </c>
      <c r="I93" s="55">
        <v>40</v>
      </c>
      <c r="J93" s="53" t="s">
        <v>30</v>
      </c>
      <c r="K93" s="53" t="s">
        <v>31</v>
      </c>
    </row>
    <row r="94" spans="1:11" ht="15.75" customHeight="1">
      <c r="A94" s="42">
        <v>8</v>
      </c>
      <c r="B94" s="40" t="s">
        <v>1076</v>
      </c>
      <c r="C94" s="40" t="s">
        <v>25</v>
      </c>
      <c r="D94" s="40" t="s">
        <v>2646</v>
      </c>
      <c r="E94" s="40" t="s">
        <v>561</v>
      </c>
      <c r="F94" s="40"/>
      <c r="G94" s="40" t="s">
        <v>29</v>
      </c>
      <c r="H94" s="200">
        <v>17000</v>
      </c>
      <c r="I94" s="41">
        <v>5100</v>
      </c>
      <c r="J94" s="40" t="s">
        <v>3631</v>
      </c>
      <c r="K94" s="40" t="s">
        <v>31</v>
      </c>
    </row>
    <row r="95" spans="1:11" ht="15.75" customHeight="1">
      <c r="A95" s="42">
        <v>8</v>
      </c>
      <c r="B95" s="40" t="s">
        <v>3632</v>
      </c>
      <c r="C95" s="40" t="s">
        <v>25</v>
      </c>
      <c r="D95" s="40" t="s">
        <v>55</v>
      </c>
      <c r="E95" s="40" t="s">
        <v>42</v>
      </c>
      <c r="F95" s="40"/>
      <c r="G95" s="40" t="s">
        <v>29</v>
      </c>
      <c r="H95" s="200">
        <v>1000</v>
      </c>
      <c r="I95" s="41">
        <v>200</v>
      </c>
      <c r="J95" s="40" t="s">
        <v>30</v>
      </c>
      <c r="K95" s="40" t="s">
        <v>31</v>
      </c>
    </row>
    <row r="96" spans="1:11" ht="15.75" customHeight="1">
      <c r="A96" s="42">
        <v>8</v>
      </c>
      <c r="B96" s="40" t="s">
        <v>3633</v>
      </c>
      <c r="C96" s="40" t="s">
        <v>59</v>
      </c>
      <c r="D96" s="40" t="s">
        <v>63</v>
      </c>
      <c r="E96" s="40" t="s">
        <v>60</v>
      </c>
      <c r="F96" s="40"/>
      <c r="G96" s="40" t="s">
        <v>29</v>
      </c>
      <c r="H96" s="200">
        <v>1000</v>
      </c>
      <c r="I96" s="41">
        <v>200</v>
      </c>
      <c r="J96" s="40" t="s">
        <v>30</v>
      </c>
      <c r="K96" s="40" t="s">
        <v>31</v>
      </c>
    </row>
    <row r="97" spans="1:11" ht="15.75" customHeight="1">
      <c r="A97" s="42">
        <v>8</v>
      </c>
      <c r="B97" s="40" t="s">
        <v>3634</v>
      </c>
      <c r="C97" s="40" t="s">
        <v>25</v>
      </c>
      <c r="D97" s="40" t="s">
        <v>3635</v>
      </c>
      <c r="E97" s="40" t="s">
        <v>3350</v>
      </c>
      <c r="F97" s="40"/>
      <c r="G97" s="40" t="s">
        <v>29</v>
      </c>
      <c r="H97" s="200">
        <v>20000</v>
      </c>
      <c r="I97" s="41">
        <v>4000</v>
      </c>
      <c r="J97" s="40" t="s">
        <v>30</v>
      </c>
      <c r="K97" s="40" t="s">
        <v>31</v>
      </c>
    </row>
    <row r="98" spans="1:11" ht="15.75" customHeight="1">
      <c r="A98" s="42">
        <v>8</v>
      </c>
      <c r="B98" s="40" t="s">
        <v>3636</v>
      </c>
      <c r="C98" s="40" t="s">
        <v>25</v>
      </c>
      <c r="D98" s="40" t="s">
        <v>552</v>
      </c>
      <c r="E98" s="40" t="s">
        <v>46</v>
      </c>
      <c r="F98" s="40"/>
      <c r="G98" s="40" t="s">
        <v>29</v>
      </c>
      <c r="H98" s="200">
        <v>250</v>
      </c>
      <c r="I98" s="41">
        <v>50</v>
      </c>
      <c r="J98" s="40" t="s">
        <v>30</v>
      </c>
      <c r="K98" s="40" t="s">
        <v>31</v>
      </c>
    </row>
    <row r="99" spans="1:11" ht="15.75" customHeight="1">
      <c r="A99" s="42">
        <v>8</v>
      </c>
      <c r="B99" s="40" t="s">
        <v>3637</v>
      </c>
      <c r="C99" s="40" t="s">
        <v>25</v>
      </c>
      <c r="D99" s="40" t="s">
        <v>2436</v>
      </c>
      <c r="E99" s="40" t="s">
        <v>50</v>
      </c>
      <c r="F99" s="40"/>
      <c r="G99" s="40" t="s">
        <v>29</v>
      </c>
      <c r="H99" s="200">
        <v>1000</v>
      </c>
      <c r="I99" s="41">
        <v>200</v>
      </c>
      <c r="J99" s="40" t="s">
        <v>30</v>
      </c>
      <c r="K99" s="40" t="s">
        <v>31</v>
      </c>
    </row>
    <row r="100" spans="1:11" ht="15.75" customHeight="1">
      <c r="A100" s="42">
        <v>8</v>
      </c>
      <c r="B100" s="40" t="s">
        <v>3638</v>
      </c>
      <c r="C100" s="40" t="s">
        <v>25</v>
      </c>
      <c r="D100" s="40" t="s">
        <v>1371</v>
      </c>
      <c r="E100" s="40" t="s">
        <v>96</v>
      </c>
      <c r="F100" s="40"/>
      <c r="G100" s="40" t="s">
        <v>29</v>
      </c>
      <c r="H100" s="200">
        <v>1000</v>
      </c>
      <c r="I100" s="41">
        <v>200</v>
      </c>
      <c r="J100" s="40" t="s">
        <v>30</v>
      </c>
      <c r="K100" s="40" t="s">
        <v>31</v>
      </c>
    </row>
    <row r="101" spans="1:11" ht="15.75" customHeight="1">
      <c r="A101" s="42">
        <v>8</v>
      </c>
      <c r="B101" s="40" t="s">
        <v>3639</v>
      </c>
      <c r="C101" s="40" t="s">
        <v>25</v>
      </c>
      <c r="D101" s="40" t="s">
        <v>3640</v>
      </c>
      <c r="E101" s="40" t="s">
        <v>533</v>
      </c>
      <c r="F101" s="40"/>
      <c r="G101" s="40" t="s">
        <v>29</v>
      </c>
      <c r="H101" s="200">
        <v>1000</v>
      </c>
      <c r="I101" s="41">
        <v>200</v>
      </c>
      <c r="J101" s="40" t="s">
        <v>30</v>
      </c>
      <c r="K101" s="40" t="s">
        <v>31</v>
      </c>
    </row>
    <row r="102" spans="1:11" ht="15.75" customHeight="1">
      <c r="A102" s="42">
        <v>8</v>
      </c>
      <c r="B102" s="40" t="s">
        <v>3641</v>
      </c>
      <c r="C102" s="40" t="s">
        <v>25</v>
      </c>
      <c r="D102" s="40" t="s">
        <v>947</v>
      </c>
      <c r="E102" s="40" t="s">
        <v>42</v>
      </c>
      <c r="F102" s="40"/>
      <c r="G102" s="40" t="s">
        <v>29</v>
      </c>
      <c r="H102" s="200">
        <v>1000</v>
      </c>
      <c r="I102" s="41">
        <v>200</v>
      </c>
      <c r="J102" s="40" t="s">
        <v>30</v>
      </c>
      <c r="K102" s="40" t="s">
        <v>31</v>
      </c>
    </row>
    <row r="103" spans="1:11" ht="15.75" customHeight="1">
      <c r="A103" s="42">
        <v>8</v>
      </c>
      <c r="B103" s="40" t="s">
        <v>3642</v>
      </c>
      <c r="C103" s="40" t="s">
        <v>25</v>
      </c>
      <c r="D103" s="40" t="s">
        <v>77</v>
      </c>
      <c r="E103" s="40" t="s">
        <v>78</v>
      </c>
      <c r="F103" s="40"/>
      <c r="G103" s="40" t="s">
        <v>29</v>
      </c>
      <c r="H103" s="200">
        <v>1000</v>
      </c>
      <c r="I103" s="41">
        <v>200</v>
      </c>
      <c r="J103" s="40" t="s">
        <v>30</v>
      </c>
      <c r="K103" s="40" t="s">
        <v>31</v>
      </c>
    </row>
    <row r="104" spans="1:11" ht="15.75" customHeight="1">
      <c r="A104" s="42">
        <v>8</v>
      </c>
      <c r="B104" s="40" t="s">
        <v>2853</v>
      </c>
      <c r="C104" s="40" t="s">
        <v>25</v>
      </c>
      <c r="D104" s="40" t="s">
        <v>258</v>
      </c>
      <c r="E104" s="40" t="s">
        <v>96</v>
      </c>
      <c r="F104" s="40"/>
      <c r="G104" s="40" t="s">
        <v>29</v>
      </c>
      <c r="H104" s="200">
        <v>500</v>
      </c>
      <c r="I104" s="41" t="s">
        <v>101</v>
      </c>
      <c r="J104" s="40" t="s">
        <v>30</v>
      </c>
      <c r="K104" s="40" t="s">
        <v>31</v>
      </c>
    </row>
    <row r="105" spans="1:11" ht="15.75" customHeight="1">
      <c r="A105" s="42">
        <v>8</v>
      </c>
      <c r="B105" s="40" t="s">
        <v>2853</v>
      </c>
      <c r="C105" s="40" t="s">
        <v>25</v>
      </c>
      <c r="D105" s="40" t="s">
        <v>258</v>
      </c>
      <c r="E105" s="40" t="s">
        <v>96</v>
      </c>
      <c r="F105" s="40"/>
      <c r="G105" s="40" t="s">
        <v>29</v>
      </c>
      <c r="H105" s="200">
        <v>1000</v>
      </c>
      <c r="I105" s="41">
        <v>200</v>
      </c>
      <c r="J105" s="40" t="s">
        <v>30</v>
      </c>
      <c r="K105" s="40" t="s">
        <v>31</v>
      </c>
    </row>
    <row r="106" spans="1:11" ht="15.75" customHeight="1">
      <c r="A106" s="42">
        <v>8</v>
      </c>
      <c r="B106" s="40" t="s">
        <v>3643</v>
      </c>
      <c r="C106" s="40" t="s">
        <v>25</v>
      </c>
      <c r="D106" s="40" t="s">
        <v>2844</v>
      </c>
      <c r="E106" s="40" t="s">
        <v>27</v>
      </c>
      <c r="F106" s="40"/>
      <c r="G106" s="40" t="s">
        <v>29</v>
      </c>
      <c r="H106" s="200">
        <v>1000</v>
      </c>
      <c r="I106" s="41">
        <v>200</v>
      </c>
      <c r="J106" s="40" t="s">
        <v>30</v>
      </c>
      <c r="K106" s="40" t="s">
        <v>31</v>
      </c>
    </row>
    <row r="107" spans="1:11" ht="15.75" customHeight="1">
      <c r="A107" s="42">
        <v>9</v>
      </c>
      <c r="B107" s="40" t="s">
        <v>3644</v>
      </c>
      <c r="C107" s="40" t="s">
        <v>25</v>
      </c>
      <c r="D107" s="40" t="s">
        <v>103</v>
      </c>
      <c r="E107" s="40" t="s">
        <v>34</v>
      </c>
      <c r="F107" s="40"/>
      <c r="G107" s="40" t="s">
        <v>29</v>
      </c>
      <c r="H107" s="200">
        <v>1000</v>
      </c>
      <c r="I107" s="41">
        <v>200</v>
      </c>
      <c r="J107" s="40" t="s">
        <v>30</v>
      </c>
      <c r="K107" s="40" t="s">
        <v>31</v>
      </c>
    </row>
    <row r="108" spans="1:11" ht="15.75" customHeight="1">
      <c r="A108" s="431">
        <v>9</v>
      </c>
      <c r="B108" s="432" t="s">
        <v>3645</v>
      </c>
      <c r="C108" s="40" t="s">
        <v>25</v>
      </c>
      <c r="D108" s="40" t="s">
        <v>826</v>
      </c>
      <c r="E108" s="40" t="s">
        <v>96</v>
      </c>
      <c r="F108" s="40"/>
      <c r="G108" s="40" t="s">
        <v>29</v>
      </c>
      <c r="H108" s="200">
        <v>1000</v>
      </c>
      <c r="I108" s="41">
        <v>200</v>
      </c>
      <c r="J108" s="40" t="s">
        <v>30</v>
      </c>
      <c r="K108" s="40" t="s">
        <v>31</v>
      </c>
    </row>
    <row r="109" spans="1:11" ht="15.75" customHeight="1">
      <c r="A109" s="431">
        <v>9</v>
      </c>
      <c r="B109" s="432" t="s">
        <v>3646</v>
      </c>
      <c r="C109" s="40" t="s">
        <v>25</v>
      </c>
      <c r="D109" s="40" t="s">
        <v>826</v>
      </c>
      <c r="E109" s="40" t="s">
        <v>96</v>
      </c>
      <c r="F109" s="40"/>
      <c r="G109" s="40" t="s">
        <v>29</v>
      </c>
      <c r="H109" s="200">
        <v>1000</v>
      </c>
      <c r="I109" s="41">
        <v>200</v>
      </c>
      <c r="J109" s="40" t="s">
        <v>30</v>
      </c>
      <c r="K109" s="40" t="s">
        <v>31</v>
      </c>
    </row>
    <row r="110" spans="1:11" ht="15.75" customHeight="1">
      <c r="A110" s="42">
        <v>9</v>
      </c>
      <c r="B110" s="40" t="s">
        <v>3647</v>
      </c>
      <c r="C110" s="40" t="s">
        <v>59</v>
      </c>
      <c r="D110" s="40" t="s">
        <v>169</v>
      </c>
      <c r="E110" s="40" t="s">
        <v>78</v>
      </c>
      <c r="F110" s="40"/>
      <c r="G110" s="40" t="s">
        <v>29</v>
      </c>
      <c r="H110" s="200">
        <v>1000</v>
      </c>
      <c r="I110" s="41">
        <v>200</v>
      </c>
      <c r="J110" s="40" t="s">
        <v>30</v>
      </c>
      <c r="K110" s="40" t="s">
        <v>31</v>
      </c>
    </row>
    <row r="111" spans="1:11" ht="15.75" customHeight="1">
      <c r="A111" s="42">
        <v>9</v>
      </c>
      <c r="B111" s="40" t="s">
        <v>1671</v>
      </c>
      <c r="C111" s="40" t="s">
        <v>25</v>
      </c>
      <c r="D111" s="40" t="s">
        <v>55</v>
      </c>
      <c r="E111" s="40" t="s">
        <v>96</v>
      </c>
      <c r="F111" s="40"/>
      <c r="G111" s="40" t="s">
        <v>29</v>
      </c>
      <c r="H111" s="200">
        <v>1000</v>
      </c>
      <c r="I111" s="41">
        <v>200</v>
      </c>
      <c r="J111" s="40" t="s">
        <v>30</v>
      </c>
      <c r="K111" s="40" t="s">
        <v>31</v>
      </c>
    </row>
    <row r="112" spans="1:11" ht="15.75" customHeight="1">
      <c r="A112" s="42">
        <v>9</v>
      </c>
      <c r="B112" s="40" t="s">
        <v>3648</v>
      </c>
      <c r="C112" s="40" t="s">
        <v>25</v>
      </c>
      <c r="D112" s="40" t="s">
        <v>1287</v>
      </c>
      <c r="E112" s="40" t="s">
        <v>42</v>
      </c>
      <c r="F112" s="40"/>
      <c r="G112" s="40" t="s">
        <v>29</v>
      </c>
      <c r="H112" s="200">
        <v>1000</v>
      </c>
      <c r="I112" s="41">
        <v>200</v>
      </c>
      <c r="J112" s="40" t="s">
        <v>30</v>
      </c>
      <c r="K112" s="40" t="s">
        <v>31</v>
      </c>
    </row>
    <row r="113" spans="1:11" ht="15.75" customHeight="1">
      <c r="A113" s="42">
        <v>9</v>
      </c>
      <c r="B113" s="40" t="s">
        <v>3649</v>
      </c>
      <c r="C113" s="40" t="s">
        <v>25</v>
      </c>
      <c r="D113" s="40" t="s">
        <v>77</v>
      </c>
      <c r="E113" s="40" t="s">
        <v>78</v>
      </c>
      <c r="F113" s="40"/>
      <c r="G113" s="40" t="s">
        <v>29</v>
      </c>
      <c r="H113" s="200">
        <v>1000</v>
      </c>
      <c r="I113" s="41">
        <v>200</v>
      </c>
      <c r="J113" s="40" t="s">
        <v>30</v>
      </c>
      <c r="K113" s="40" t="s">
        <v>31</v>
      </c>
    </row>
    <row r="114" spans="1:11" ht="15.75" customHeight="1">
      <c r="A114" s="42">
        <v>9</v>
      </c>
      <c r="B114" s="40" t="s">
        <v>3650</v>
      </c>
      <c r="C114" s="40" t="s">
        <v>25</v>
      </c>
      <c r="D114" s="40" t="s">
        <v>724</v>
      </c>
      <c r="E114" s="40" t="s">
        <v>540</v>
      </c>
      <c r="F114" s="40"/>
      <c r="G114" s="40" t="s">
        <v>29</v>
      </c>
      <c r="H114" s="200">
        <v>1000</v>
      </c>
      <c r="I114" s="41">
        <v>200</v>
      </c>
      <c r="J114" s="40" t="s">
        <v>30</v>
      </c>
      <c r="K114" s="40" t="s">
        <v>31</v>
      </c>
    </row>
    <row r="115" spans="1:11" ht="15.75" customHeight="1">
      <c r="A115" s="42">
        <v>9</v>
      </c>
      <c r="B115" s="40" t="s">
        <v>3651</v>
      </c>
      <c r="C115" s="40" t="s">
        <v>25</v>
      </c>
      <c r="D115" s="40" t="s">
        <v>3033</v>
      </c>
      <c r="E115" s="40" t="s">
        <v>141</v>
      </c>
      <c r="F115" s="40"/>
      <c r="G115" s="40" t="s">
        <v>29</v>
      </c>
      <c r="H115" s="200">
        <v>500</v>
      </c>
      <c r="I115" s="41">
        <v>100</v>
      </c>
      <c r="J115" s="40" t="s">
        <v>30</v>
      </c>
      <c r="K115" s="40" t="s">
        <v>31</v>
      </c>
    </row>
    <row r="116" spans="1:11" ht="15.75" customHeight="1">
      <c r="A116" s="42">
        <v>9</v>
      </c>
      <c r="B116" s="40" t="s">
        <v>3652</v>
      </c>
      <c r="C116" s="40" t="s">
        <v>25</v>
      </c>
      <c r="D116" s="40" t="s">
        <v>2129</v>
      </c>
      <c r="E116" s="40" t="s">
        <v>103</v>
      </c>
      <c r="F116" s="40"/>
      <c r="G116" s="40" t="s">
        <v>29</v>
      </c>
      <c r="H116" s="200">
        <v>500</v>
      </c>
      <c r="I116" s="41">
        <v>100</v>
      </c>
      <c r="J116" s="40" t="s">
        <v>30</v>
      </c>
      <c r="K116" s="40" t="s">
        <v>31</v>
      </c>
    </row>
    <row r="117" spans="1:11" ht="15.75" customHeight="1">
      <c r="A117" s="42">
        <v>9</v>
      </c>
      <c r="B117" s="40" t="s">
        <v>3653</v>
      </c>
      <c r="C117" s="40" t="s">
        <v>25</v>
      </c>
      <c r="D117" s="40" t="s">
        <v>103</v>
      </c>
      <c r="E117" s="40" t="s">
        <v>141</v>
      </c>
      <c r="F117" s="40"/>
      <c r="G117" s="40" t="s">
        <v>29</v>
      </c>
      <c r="H117" s="200">
        <v>500</v>
      </c>
      <c r="I117" s="41" t="s">
        <v>101</v>
      </c>
      <c r="J117" s="40" t="s">
        <v>30</v>
      </c>
      <c r="K117" s="40" t="s">
        <v>31</v>
      </c>
    </row>
    <row r="118" spans="1:11" ht="15.75" customHeight="1">
      <c r="A118" s="42">
        <v>9</v>
      </c>
      <c r="B118" s="40" t="s">
        <v>3653</v>
      </c>
      <c r="C118" s="40" t="s">
        <v>25</v>
      </c>
      <c r="D118" s="40" t="s">
        <v>103</v>
      </c>
      <c r="E118" s="40" t="s">
        <v>141</v>
      </c>
      <c r="F118" s="40"/>
      <c r="G118" s="40" t="s">
        <v>29</v>
      </c>
      <c r="H118" s="200">
        <v>500</v>
      </c>
      <c r="I118" s="41">
        <v>100</v>
      </c>
      <c r="J118" s="40" t="s">
        <v>30</v>
      </c>
      <c r="K118" s="40" t="s">
        <v>31</v>
      </c>
    </row>
    <row r="119" spans="1:11" ht="15.75" customHeight="1">
      <c r="A119" s="42">
        <v>9</v>
      </c>
      <c r="B119" s="40" t="s">
        <v>2723</v>
      </c>
      <c r="C119" s="40" t="s">
        <v>59</v>
      </c>
      <c r="D119" s="40" t="s">
        <v>800</v>
      </c>
      <c r="E119" s="40" t="s">
        <v>46</v>
      </c>
      <c r="F119" s="40"/>
      <c r="G119" s="40" t="s">
        <v>29</v>
      </c>
      <c r="H119" s="200">
        <v>500</v>
      </c>
      <c r="I119" s="41" t="s">
        <v>101</v>
      </c>
      <c r="J119" s="40" t="s">
        <v>30</v>
      </c>
      <c r="K119" s="40" t="s">
        <v>31</v>
      </c>
    </row>
    <row r="120" spans="1:11" ht="15.75" customHeight="1">
      <c r="A120" s="42">
        <v>9</v>
      </c>
      <c r="B120" s="40" t="s">
        <v>2723</v>
      </c>
      <c r="C120" s="40" t="s">
        <v>59</v>
      </c>
      <c r="D120" s="40" t="s">
        <v>800</v>
      </c>
      <c r="E120" s="40" t="s">
        <v>46</v>
      </c>
      <c r="F120" s="40"/>
      <c r="G120" s="40" t="s">
        <v>29</v>
      </c>
      <c r="H120" s="200">
        <v>500</v>
      </c>
      <c r="I120" s="41">
        <v>100</v>
      </c>
      <c r="J120" s="40" t="s">
        <v>30</v>
      </c>
      <c r="K120" s="40" t="s">
        <v>31</v>
      </c>
    </row>
    <row r="121" spans="1:11" ht="15.75" customHeight="1">
      <c r="A121" s="42">
        <v>9</v>
      </c>
      <c r="B121" s="40" t="s">
        <v>3654</v>
      </c>
      <c r="C121" s="40" t="s">
        <v>25</v>
      </c>
      <c r="D121" s="40" t="s">
        <v>706</v>
      </c>
      <c r="E121" s="40" t="s">
        <v>38</v>
      </c>
      <c r="F121" s="40"/>
      <c r="G121" s="40" t="s">
        <v>29</v>
      </c>
      <c r="H121" s="200">
        <v>500</v>
      </c>
      <c r="I121" s="41" t="s">
        <v>101</v>
      </c>
      <c r="J121" s="40" t="s">
        <v>30</v>
      </c>
      <c r="K121" s="40" t="s">
        <v>31</v>
      </c>
    </row>
    <row r="122" spans="1:11" ht="15.75" customHeight="1">
      <c r="A122" s="42">
        <v>10</v>
      </c>
      <c r="B122" s="40" t="s">
        <v>3592</v>
      </c>
      <c r="C122" s="40" t="s">
        <v>25</v>
      </c>
      <c r="D122" s="40" t="s">
        <v>548</v>
      </c>
      <c r="E122" s="40" t="s">
        <v>42</v>
      </c>
      <c r="F122" s="40"/>
      <c r="G122" s="40" t="s">
        <v>2160</v>
      </c>
      <c r="H122" s="200">
        <v>75</v>
      </c>
      <c r="I122" s="41">
        <v>750</v>
      </c>
      <c r="J122" s="40" t="s">
        <v>30</v>
      </c>
      <c r="K122" s="40" t="s">
        <v>31</v>
      </c>
    </row>
    <row r="123" spans="1:11" ht="15.75" customHeight="1">
      <c r="A123" s="42">
        <v>10</v>
      </c>
      <c r="B123" s="40" t="s">
        <v>3655</v>
      </c>
      <c r="C123" s="40" t="s">
        <v>25</v>
      </c>
      <c r="D123" s="40" t="s">
        <v>74</v>
      </c>
      <c r="E123" s="40" t="s">
        <v>38</v>
      </c>
      <c r="F123" s="40"/>
      <c r="G123" s="40" t="s">
        <v>2160</v>
      </c>
      <c r="H123" s="200">
        <v>60</v>
      </c>
      <c r="I123" s="41">
        <v>300</v>
      </c>
      <c r="J123" s="40" t="s">
        <v>30</v>
      </c>
      <c r="K123" s="40" t="s">
        <v>31</v>
      </c>
    </row>
    <row r="124" spans="1:11" ht="15.75" customHeight="1">
      <c r="A124" s="42">
        <v>10</v>
      </c>
      <c r="B124" s="40" t="s">
        <v>3656</v>
      </c>
      <c r="C124" s="40" t="s">
        <v>59</v>
      </c>
      <c r="D124" s="40" t="s">
        <v>63</v>
      </c>
      <c r="E124" s="40" t="s">
        <v>96</v>
      </c>
      <c r="F124" s="40"/>
      <c r="G124" s="40" t="s">
        <v>2160</v>
      </c>
      <c r="H124" s="200">
        <v>30</v>
      </c>
      <c r="I124" s="41">
        <v>300</v>
      </c>
      <c r="J124" s="40" t="s">
        <v>30</v>
      </c>
      <c r="K124" s="40" t="s">
        <v>31</v>
      </c>
    </row>
    <row r="125" spans="1:11" ht="15.75" customHeight="1">
      <c r="A125" s="42">
        <v>10</v>
      </c>
      <c r="B125" s="40" t="s">
        <v>3657</v>
      </c>
      <c r="C125" s="40" t="s">
        <v>25</v>
      </c>
      <c r="D125" s="40" t="s">
        <v>1102</v>
      </c>
      <c r="E125" s="40" t="s">
        <v>1049</v>
      </c>
      <c r="F125" s="40"/>
      <c r="G125" s="40" t="s">
        <v>29</v>
      </c>
      <c r="H125" s="200">
        <v>30</v>
      </c>
      <c r="I125" s="41" t="s">
        <v>101</v>
      </c>
      <c r="J125" s="40" t="s">
        <v>30</v>
      </c>
      <c r="K125" s="40" t="s">
        <v>31</v>
      </c>
    </row>
    <row r="126" spans="1:11" ht="15.75" customHeight="1">
      <c r="A126" s="42">
        <v>10</v>
      </c>
      <c r="B126" s="40" t="s">
        <v>3657</v>
      </c>
      <c r="C126" s="40" t="s">
        <v>25</v>
      </c>
      <c r="D126" s="40" t="s">
        <v>1102</v>
      </c>
      <c r="E126" s="40" t="s">
        <v>1049</v>
      </c>
      <c r="F126" s="40"/>
      <c r="G126" s="40" t="s">
        <v>2160</v>
      </c>
      <c r="H126" s="200">
        <v>20</v>
      </c>
      <c r="I126" s="41">
        <v>100</v>
      </c>
      <c r="J126" s="40" t="s">
        <v>30</v>
      </c>
      <c r="K126" s="40" t="s">
        <v>31</v>
      </c>
    </row>
    <row r="127" spans="1:11" ht="15.75" customHeight="1">
      <c r="A127" s="42">
        <v>10</v>
      </c>
      <c r="B127" s="40" t="s">
        <v>3658</v>
      </c>
      <c r="C127" s="40" t="s">
        <v>25</v>
      </c>
      <c r="D127" s="40" t="s">
        <v>141</v>
      </c>
      <c r="E127" s="40" t="s">
        <v>27</v>
      </c>
      <c r="F127" s="40"/>
      <c r="G127" s="40" t="s">
        <v>29</v>
      </c>
      <c r="H127" s="200">
        <v>1000</v>
      </c>
      <c r="I127" s="41" t="s">
        <v>101</v>
      </c>
      <c r="J127" s="40" t="s">
        <v>30</v>
      </c>
      <c r="K127" s="40" t="s">
        <v>31</v>
      </c>
    </row>
    <row r="128" spans="1:11" ht="15.75" customHeight="1">
      <c r="A128" s="42">
        <v>10</v>
      </c>
      <c r="B128" s="40" t="s">
        <v>3658</v>
      </c>
      <c r="C128" s="40" t="s">
        <v>25</v>
      </c>
      <c r="D128" s="40" t="s">
        <v>141</v>
      </c>
      <c r="E128" s="40" t="s">
        <v>27</v>
      </c>
      <c r="F128" s="40"/>
      <c r="G128" s="40" t="s">
        <v>29</v>
      </c>
      <c r="H128" s="200">
        <v>1500</v>
      </c>
      <c r="I128" s="41">
        <v>300</v>
      </c>
      <c r="J128" s="40" t="s">
        <v>30</v>
      </c>
      <c r="K128" s="40" t="s">
        <v>31</v>
      </c>
    </row>
    <row r="129" spans="1:11" ht="15.75" customHeight="1">
      <c r="A129" s="42">
        <v>10</v>
      </c>
      <c r="B129" s="40" t="s">
        <v>1824</v>
      </c>
      <c r="C129" s="40" t="s">
        <v>25</v>
      </c>
      <c r="D129" s="40" t="s">
        <v>63</v>
      </c>
      <c r="E129" s="40" t="s">
        <v>60</v>
      </c>
      <c r="F129" s="40"/>
      <c r="G129" s="40" t="s">
        <v>29</v>
      </c>
      <c r="H129" s="200">
        <v>1500</v>
      </c>
      <c r="I129" s="41">
        <v>300</v>
      </c>
      <c r="J129" s="40" t="s">
        <v>30</v>
      </c>
      <c r="K129" s="40" t="s">
        <v>31</v>
      </c>
    </row>
    <row r="130" spans="1:11" ht="15.75" customHeight="1">
      <c r="A130" s="42">
        <v>10</v>
      </c>
      <c r="B130" s="40" t="s">
        <v>3659</v>
      </c>
      <c r="C130" s="40" t="s">
        <v>25</v>
      </c>
      <c r="D130" s="40" t="s">
        <v>826</v>
      </c>
      <c r="E130" s="40" t="s">
        <v>96</v>
      </c>
      <c r="F130" s="40"/>
      <c r="G130" s="40" t="s">
        <v>29</v>
      </c>
      <c r="H130" s="200">
        <v>1500</v>
      </c>
      <c r="I130" s="41">
        <v>300</v>
      </c>
      <c r="J130" s="40" t="s">
        <v>30</v>
      </c>
      <c r="K130" s="40" t="s">
        <v>31</v>
      </c>
    </row>
    <row r="131" spans="1:11" ht="15.75" customHeight="1">
      <c r="A131" s="42">
        <v>10</v>
      </c>
      <c r="B131" s="40" t="s">
        <v>3660</v>
      </c>
      <c r="C131" s="40" t="s">
        <v>25</v>
      </c>
      <c r="D131" s="40" t="s">
        <v>2981</v>
      </c>
      <c r="E131" s="40" t="s">
        <v>1197</v>
      </c>
      <c r="F131" s="40"/>
      <c r="G131" s="40" t="s">
        <v>29</v>
      </c>
      <c r="H131" s="200">
        <v>500</v>
      </c>
      <c r="I131" s="41">
        <v>100</v>
      </c>
      <c r="J131" s="40" t="s">
        <v>30</v>
      </c>
      <c r="K131" s="40" t="s">
        <v>31</v>
      </c>
    </row>
    <row r="132" spans="1:11" ht="15.75" customHeight="1">
      <c r="A132" s="42">
        <v>10</v>
      </c>
      <c r="B132" s="40" t="s">
        <v>3661</v>
      </c>
      <c r="C132" s="40" t="s">
        <v>25</v>
      </c>
      <c r="D132" s="40" t="s">
        <v>3576</v>
      </c>
      <c r="E132" s="40" t="s">
        <v>78</v>
      </c>
      <c r="F132" s="40"/>
      <c r="G132" s="40" t="s">
        <v>29</v>
      </c>
      <c r="H132" s="200">
        <v>500</v>
      </c>
      <c r="I132" s="41">
        <v>100</v>
      </c>
      <c r="J132" s="40" t="s">
        <v>30</v>
      </c>
      <c r="K132" s="40" t="s">
        <v>31</v>
      </c>
    </row>
    <row r="133" spans="1:11" ht="15.75" customHeight="1">
      <c r="A133" s="42">
        <v>10</v>
      </c>
      <c r="B133" s="40" t="s">
        <v>3661</v>
      </c>
      <c r="C133" s="40" t="s">
        <v>25</v>
      </c>
      <c r="D133" s="40" t="s">
        <v>3576</v>
      </c>
      <c r="E133" s="40" t="s">
        <v>78</v>
      </c>
      <c r="F133" s="40"/>
      <c r="G133" s="40" t="s">
        <v>2160</v>
      </c>
      <c r="H133" s="200">
        <v>10</v>
      </c>
      <c r="I133" s="41">
        <v>50</v>
      </c>
      <c r="J133" s="40"/>
      <c r="K133" s="40" t="s">
        <v>31</v>
      </c>
    </row>
    <row r="134" spans="1:11" ht="15.75" customHeight="1">
      <c r="A134" s="438">
        <v>10</v>
      </c>
      <c r="B134" s="439" t="s">
        <v>3662</v>
      </c>
      <c r="C134" s="40" t="s">
        <v>25</v>
      </c>
      <c r="D134" s="40" t="s">
        <v>852</v>
      </c>
      <c r="E134" s="40" t="s">
        <v>34</v>
      </c>
      <c r="F134" s="40"/>
      <c r="G134" s="40" t="s">
        <v>29</v>
      </c>
      <c r="H134" s="200">
        <v>6500</v>
      </c>
      <c r="I134" s="41">
        <v>1300</v>
      </c>
      <c r="J134" s="40" t="s">
        <v>30</v>
      </c>
      <c r="K134" s="40" t="s">
        <v>31</v>
      </c>
    </row>
    <row r="135" spans="1:11" ht="15.75" customHeight="1">
      <c r="A135" s="438">
        <v>10</v>
      </c>
      <c r="B135" s="439" t="s">
        <v>1446</v>
      </c>
      <c r="C135" s="40" t="s">
        <v>25</v>
      </c>
      <c r="D135" s="40" t="s">
        <v>2246</v>
      </c>
      <c r="E135" s="40" t="s">
        <v>318</v>
      </c>
      <c r="F135" s="40"/>
      <c r="G135" s="40" t="s">
        <v>29</v>
      </c>
      <c r="H135" s="200">
        <v>1200</v>
      </c>
      <c r="I135" s="41">
        <v>240</v>
      </c>
      <c r="J135" s="40" t="s">
        <v>30</v>
      </c>
      <c r="K135" s="40" t="s">
        <v>31</v>
      </c>
    </row>
    <row r="136" spans="1:11" ht="15.75" customHeight="1">
      <c r="A136" s="438">
        <v>10</v>
      </c>
      <c r="B136" s="439" t="s">
        <v>3663</v>
      </c>
      <c r="C136" s="40" t="s">
        <v>25</v>
      </c>
      <c r="D136" s="40" t="s">
        <v>688</v>
      </c>
      <c r="E136" s="40" t="s">
        <v>38</v>
      </c>
      <c r="F136" s="40"/>
      <c r="G136" s="40" t="s">
        <v>29</v>
      </c>
      <c r="H136" s="200">
        <v>100</v>
      </c>
      <c r="I136" s="41">
        <v>20</v>
      </c>
      <c r="J136" s="40" t="s">
        <v>30</v>
      </c>
      <c r="K136" s="40" t="s">
        <v>31</v>
      </c>
    </row>
    <row r="137" spans="1:11" ht="15.75" customHeight="1">
      <c r="A137" s="438">
        <v>11</v>
      </c>
      <c r="B137" s="439" t="s">
        <v>3664</v>
      </c>
      <c r="C137" s="40" t="s">
        <v>25</v>
      </c>
      <c r="D137" s="40" t="s">
        <v>826</v>
      </c>
      <c r="E137" s="40" t="s">
        <v>96</v>
      </c>
      <c r="F137" s="40"/>
      <c r="G137" s="40" t="s">
        <v>29</v>
      </c>
      <c r="H137" s="200">
        <v>3000</v>
      </c>
      <c r="I137" s="41">
        <v>600</v>
      </c>
      <c r="J137" s="40" t="s">
        <v>30</v>
      </c>
      <c r="K137" s="40" t="s">
        <v>31</v>
      </c>
    </row>
    <row r="138" spans="1:11" ht="15.75" customHeight="1">
      <c r="A138" s="438">
        <v>11</v>
      </c>
      <c r="B138" s="439" t="s">
        <v>3665</v>
      </c>
      <c r="C138" s="40" t="s">
        <v>25</v>
      </c>
      <c r="D138" s="40" t="s">
        <v>3666</v>
      </c>
      <c r="E138" s="40" t="s">
        <v>219</v>
      </c>
      <c r="F138" s="40"/>
      <c r="G138" s="468" t="s">
        <v>29</v>
      </c>
      <c r="H138" s="200">
        <v>3000</v>
      </c>
      <c r="I138" s="41">
        <v>600</v>
      </c>
      <c r="J138" s="40" t="s">
        <v>30</v>
      </c>
      <c r="K138" s="40" t="s">
        <v>31</v>
      </c>
    </row>
    <row r="139" spans="1:11" ht="15.75" customHeight="1">
      <c r="A139" s="438">
        <v>11</v>
      </c>
      <c r="B139" s="439" t="s">
        <v>3667</v>
      </c>
      <c r="C139" s="40" t="s">
        <v>25</v>
      </c>
      <c r="D139" s="40" t="s">
        <v>258</v>
      </c>
      <c r="E139" s="40" t="s">
        <v>96</v>
      </c>
      <c r="F139" s="40"/>
      <c r="G139" s="40" t="s">
        <v>29</v>
      </c>
      <c r="H139" s="200">
        <v>3000</v>
      </c>
      <c r="I139" s="41">
        <v>600</v>
      </c>
      <c r="J139" s="40" t="s">
        <v>30</v>
      </c>
      <c r="K139" s="40" t="s">
        <v>31</v>
      </c>
    </row>
    <row r="140" spans="1:11" ht="15.75" customHeight="1">
      <c r="A140" s="438">
        <v>11</v>
      </c>
      <c r="B140" s="439" t="s">
        <v>3668</v>
      </c>
      <c r="C140" s="40" t="s">
        <v>59</v>
      </c>
      <c r="D140" s="40" t="s">
        <v>63</v>
      </c>
      <c r="E140" s="40" t="s">
        <v>533</v>
      </c>
      <c r="F140" s="40"/>
      <c r="G140" s="40" t="s">
        <v>29</v>
      </c>
      <c r="H140" s="200">
        <v>2000</v>
      </c>
      <c r="I140" s="41">
        <v>400</v>
      </c>
      <c r="J140" s="40" t="s">
        <v>30</v>
      </c>
      <c r="K140" s="40" t="s">
        <v>31</v>
      </c>
    </row>
    <row r="141" spans="1:11" ht="15.75" customHeight="1">
      <c r="A141" s="438">
        <v>11</v>
      </c>
      <c r="B141" s="439" t="s">
        <v>3668</v>
      </c>
      <c r="C141" s="40" t="s">
        <v>59</v>
      </c>
      <c r="D141" s="40" t="s">
        <v>63</v>
      </c>
      <c r="E141" s="40" t="s">
        <v>533</v>
      </c>
      <c r="F141" s="40"/>
      <c r="G141" s="40" t="s">
        <v>2160</v>
      </c>
      <c r="H141" s="200">
        <v>30</v>
      </c>
      <c r="I141" s="41">
        <v>150</v>
      </c>
      <c r="J141" s="40" t="s">
        <v>30</v>
      </c>
      <c r="K141" s="40" t="s">
        <v>31</v>
      </c>
    </row>
    <row r="142" spans="1:11" ht="15.75" customHeight="1">
      <c r="A142" s="438">
        <v>11</v>
      </c>
      <c r="B142" s="439" t="s">
        <v>3258</v>
      </c>
      <c r="C142" s="40" t="s">
        <v>25</v>
      </c>
      <c r="D142" s="40" t="s">
        <v>3259</v>
      </c>
      <c r="E142" s="40" t="s">
        <v>130</v>
      </c>
      <c r="F142" s="40"/>
      <c r="G142" s="40" t="s">
        <v>29</v>
      </c>
      <c r="H142" s="200">
        <v>2000</v>
      </c>
      <c r="I142" s="41">
        <v>400</v>
      </c>
      <c r="J142" s="40" t="s">
        <v>30</v>
      </c>
      <c r="K142" s="40" t="s">
        <v>31</v>
      </c>
    </row>
    <row r="143" spans="1:11" ht="15.75" customHeight="1">
      <c r="A143" s="438">
        <v>11</v>
      </c>
      <c r="B143" s="439" t="s">
        <v>3669</v>
      </c>
      <c r="C143" s="40" t="s">
        <v>25</v>
      </c>
      <c r="D143" s="40" t="s">
        <v>826</v>
      </c>
      <c r="E143" s="40" t="s">
        <v>96</v>
      </c>
      <c r="F143" s="40"/>
      <c r="G143" s="40" t="s">
        <v>29</v>
      </c>
      <c r="H143" s="200">
        <v>2000</v>
      </c>
      <c r="I143" s="41">
        <v>400</v>
      </c>
      <c r="J143" s="40" t="s">
        <v>30</v>
      </c>
      <c r="K143" s="40" t="s">
        <v>31</v>
      </c>
    </row>
    <row r="144" spans="1:11" ht="15.75" customHeight="1">
      <c r="A144" s="438">
        <v>11</v>
      </c>
      <c r="B144" s="439" t="s">
        <v>3670</v>
      </c>
      <c r="C144" s="40" t="s">
        <v>25</v>
      </c>
      <c r="D144" s="40" t="s">
        <v>144</v>
      </c>
      <c r="E144" s="40" t="s">
        <v>50</v>
      </c>
      <c r="F144" s="40"/>
      <c r="G144" s="40" t="s">
        <v>29</v>
      </c>
      <c r="H144" s="200">
        <v>1000</v>
      </c>
      <c r="I144" s="41">
        <v>200</v>
      </c>
      <c r="J144" s="40" t="s">
        <v>30</v>
      </c>
      <c r="K144" s="40" t="s">
        <v>31</v>
      </c>
    </row>
    <row r="145" spans="1:11" ht="15.75" customHeight="1">
      <c r="A145" s="438">
        <v>12</v>
      </c>
      <c r="B145" s="439" t="s">
        <v>576</v>
      </c>
      <c r="C145" s="40" t="s">
        <v>25</v>
      </c>
      <c r="D145" s="40" t="s">
        <v>55</v>
      </c>
      <c r="E145" s="40" t="s">
        <v>96</v>
      </c>
      <c r="F145" s="40"/>
      <c r="G145" s="40" t="s">
        <v>2160</v>
      </c>
      <c r="H145" s="200">
        <v>20</v>
      </c>
      <c r="I145" s="41">
        <v>100</v>
      </c>
      <c r="J145" s="40" t="s">
        <v>30</v>
      </c>
      <c r="K145" s="40" t="s">
        <v>31</v>
      </c>
    </row>
    <row r="146" spans="1:11" ht="15.75" customHeight="1">
      <c r="A146" s="438">
        <v>12</v>
      </c>
      <c r="B146" s="439" t="s">
        <v>1402</v>
      </c>
      <c r="C146" s="40" t="s">
        <v>25</v>
      </c>
      <c r="D146" s="40" t="s">
        <v>1403</v>
      </c>
      <c r="E146" s="40" t="s">
        <v>46</v>
      </c>
      <c r="F146" s="40"/>
      <c r="G146" s="40" t="s">
        <v>2160</v>
      </c>
      <c r="H146" s="200">
        <v>50</v>
      </c>
      <c r="I146" s="41">
        <v>250</v>
      </c>
      <c r="J146" s="40" t="s">
        <v>30</v>
      </c>
      <c r="K146" s="40" t="s">
        <v>31</v>
      </c>
    </row>
    <row r="147" spans="1:11" ht="15.75" customHeight="1">
      <c r="A147" s="438">
        <v>12</v>
      </c>
      <c r="B147" s="439" t="s">
        <v>3671</v>
      </c>
      <c r="C147" s="40" t="s">
        <v>25</v>
      </c>
      <c r="D147" s="40" t="s">
        <v>621</v>
      </c>
      <c r="E147" s="40" t="s">
        <v>540</v>
      </c>
      <c r="F147" s="40"/>
      <c r="G147" s="40" t="s">
        <v>29</v>
      </c>
      <c r="H147" s="200">
        <v>600</v>
      </c>
      <c r="I147" s="41">
        <v>120</v>
      </c>
      <c r="J147" s="40" t="s">
        <v>30</v>
      </c>
      <c r="K147" s="40" t="s">
        <v>31</v>
      </c>
    </row>
    <row r="148" spans="1:11" ht="15.75" customHeight="1">
      <c r="A148" s="438">
        <v>12</v>
      </c>
      <c r="B148" s="439" t="s">
        <v>3672</v>
      </c>
      <c r="C148" s="40" t="s">
        <v>25</v>
      </c>
      <c r="D148" s="40" t="s">
        <v>3673</v>
      </c>
      <c r="E148" s="40" t="s">
        <v>46</v>
      </c>
      <c r="F148" s="40"/>
      <c r="G148" s="40" t="s">
        <v>29</v>
      </c>
      <c r="H148" s="200">
        <v>600</v>
      </c>
      <c r="I148" s="41">
        <v>120</v>
      </c>
      <c r="J148" s="40" t="s">
        <v>30</v>
      </c>
      <c r="K148" s="40" t="s">
        <v>31</v>
      </c>
    </row>
    <row r="149" spans="1:11" ht="15.75" customHeight="1">
      <c r="A149" s="434">
        <v>12</v>
      </c>
      <c r="B149" s="435" t="s">
        <v>3674</v>
      </c>
      <c r="C149" s="48" t="s">
        <v>25</v>
      </c>
      <c r="D149" s="48" t="s">
        <v>710</v>
      </c>
      <c r="E149" s="48" t="s">
        <v>216</v>
      </c>
      <c r="F149" s="48"/>
      <c r="G149" s="48" t="s">
        <v>29</v>
      </c>
      <c r="H149" s="430">
        <v>1200</v>
      </c>
      <c r="I149" s="51">
        <v>240</v>
      </c>
      <c r="J149" s="48" t="s">
        <v>30</v>
      </c>
      <c r="K149" s="48" t="s">
        <v>31</v>
      </c>
    </row>
    <row r="150" spans="1:11" ht="15.75" customHeight="1">
      <c r="A150" s="436">
        <v>14</v>
      </c>
      <c r="B150" s="77" t="s">
        <v>3675</v>
      </c>
      <c r="C150" s="53" t="s">
        <v>25</v>
      </c>
      <c r="D150" s="53" t="s">
        <v>3676</v>
      </c>
      <c r="E150" s="53" t="s">
        <v>561</v>
      </c>
      <c r="F150" s="53"/>
      <c r="G150" s="53" t="s">
        <v>29</v>
      </c>
      <c r="H150" s="437">
        <v>5000</v>
      </c>
      <c r="I150" s="55">
        <v>1500</v>
      </c>
      <c r="J150" s="53" t="s">
        <v>3631</v>
      </c>
      <c r="K150" s="53" t="s">
        <v>31</v>
      </c>
    </row>
    <row r="151" spans="1:11" ht="15.75" customHeight="1">
      <c r="A151" s="438">
        <v>14</v>
      </c>
      <c r="B151" s="439" t="s">
        <v>3677</v>
      </c>
      <c r="C151" s="40" t="s">
        <v>25</v>
      </c>
      <c r="D151" s="40" t="s">
        <v>33</v>
      </c>
      <c r="E151" s="40" t="s">
        <v>38</v>
      </c>
      <c r="F151" s="40"/>
      <c r="G151" s="40" t="s">
        <v>2160</v>
      </c>
      <c r="H151" s="200">
        <v>200</v>
      </c>
      <c r="I151" s="41">
        <v>1000</v>
      </c>
      <c r="J151" s="40"/>
      <c r="K151" s="40" t="s">
        <v>31</v>
      </c>
    </row>
    <row r="152" spans="1:11" ht="15.75" customHeight="1">
      <c r="A152" s="438">
        <v>14</v>
      </c>
      <c r="B152" s="439" t="s">
        <v>1409</v>
      </c>
      <c r="C152" s="40" t="s">
        <v>25</v>
      </c>
      <c r="D152" s="40" t="s">
        <v>3678</v>
      </c>
      <c r="E152" s="40" t="s">
        <v>34</v>
      </c>
      <c r="F152" s="40"/>
      <c r="G152" s="40" t="s">
        <v>29</v>
      </c>
      <c r="H152" s="200">
        <v>15000</v>
      </c>
      <c r="I152" s="41">
        <v>3000</v>
      </c>
      <c r="J152" s="40" t="s">
        <v>30</v>
      </c>
      <c r="K152" s="40" t="s">
        <v>31</v>
      </c>
    </row>
    <row r="153" spans="1:11" ht="15.75" customHeight="1">
      <c r="A153" s="438">
        <v>14</v>
      </c>
      <c r="B153" s="439" t="s">
        <v>3578</v>
      </c>
      <c r="C153" s="40" t="s">
        <v>25</v>
      </c>
      <c r="D153" s="40" t="s">
        <v>2646</v>
      </c>
      <c r="E153" s="40" t="s">
        <v>561</v>
      </c>
      <c r="F153" s="40"/>
      <c r="G153" s="40" t="s">
        <v>29</v>
      </c>
      <c r="H153" s="200">
        <v>4000</v>
      </c>
      <c r="I153" s="41">
        <v>1200</v>
      </c>
      <c r="J153" s="40" t="s">
        <v>30</v>
      </c>
      <c r="K153" s="40" t="s">
        <v>31</v>
      </c>
    </row>
    <row r="154" spans="1:11" ht="15.75" customHeight="1">
      <c r="A154" s="438">
        <v>14</v>
      </c>
      <c r="B154" s="439" t="s">
        <v>1266</v>
      </c>
      <c r="C154" s="40" t="s">
        <v>25</v>
      </c>
      <c r="D154" s="40" t="s">
        <v>779</v>
      </c>
      <c r="E154" s="40" t="s">
        <v>42</v>
      </c>
      <c r="F154" s="40"/>
      <c r="G154" s="40" t="s">
        <v>29</v>
      </c>
      <c r="H154" s="200">
        <v>2800</v>
      </c>
      <c r="I154" s="41">
        <v>560</v>
      </c>
      <c r="J154" s="40" t="s">
        <v>30</v>
      </c>
      <c r="K154" s="40" t="s">
        <v>31</v>
      </c>
    </row>
    <row r="155" spans="1:11" ht="15.75" customHeight="1">
      <c r="A155" s="438">
        <v>14</v>
      </c>
      <c r="B155" s="439" t="s">
        <v>3679</v>
      </c>
      <c r="C155" s="40" t="s">
        <v>59</v>
      </c>
      <c r="D155" s="40" t="s">
        <v>103</v>
      </c>
      <c r="E155" s="40" t="s">
        <v>249</v>
      </c>
      <c r="F155" s="40"/>
      <c r="G155" s="40" t="s">
        <v>29</v>
      </c>
      <c r="H155" s="200">
        <v>1000</v>
      </c>
      <c r="I155" s="41">
        <v>200</v>
      </c>
      <c r="J155" s="40" t="s">
        <v>30</v>
      </c>
      <c r="K155" s="40" t="s">
        <v>31</v>
      </c>
    </row>
    <row r="156" spans="1:11" ht="15.75" customHeight="1">
      <c r="A156" s="438">
        <v>14</v>
      </c>
      <c r="B156" s="439" t="s">
        <v>3680</v>
      </c>
      <c r="C156" s="40" t="s">
        <v>25</v>
      </c>
      <c r="D156" s="40"/>
      <c r="E156" s="40" t="s">
        <v>533</v>
      </c>
      <c r="F156" s="40"/>
      <c r="G156" s="40" t="s">
        <v>29</v>
      </c>
      <c r="H156" s="200">
        <v>1000</v>
      </c>
      <c r="I156" s="41">
        <v>200</v>
      </c>
      <c r="J156" s="40" t="s">
        <v>30</v>
      </c>
      <c r="K156" s="40" t="s">
        <v>31</v>
      </c>
    </row>
    <row r="157" spans="1:11" ht="15.75" customHeight="1">
      <c r="A157" s="438">
        <v>14</v>
      </c>
      <c r="B157" s="439" t="s">
        <v>3680</v>
      </c>
      <c r="C157" s="40" t="s">
        <v>25</v>
      </c>
      <c r="D157" s="40"/>
      <c r="E157" s="40" t="s">
        <v>533</v>
      </c>
      <c r="F157" s="40"/>
      <c r="G157" s="40" t="s">
        <v>2160</v>
      </c>
      <c r="H157" s="200">
        <v>100</v>
      </c>
      <c r="I157" s="41">
        <v>500</v>
      </c>
      <c r="J157" s="40"/>
      <c r="K157" s="40" t="s">
        <v>31</v>
      </c>
    </row>
    <row r="158" spans="1:11" ht="15.75" customHeight="1">
      <c r="A158" s="438">
        <v>14</v>
      </c>
      <c r="B158" s="439" t="s">
        <v>1124</v>
      </c>
      <c r="C158" s="40" t="s">
        <v>25</v>
      </c>
      <c r="D158" s="40" t="s">
        <v>3562</v>
      </c>
      <c r="E158" s="40" t="s">
        <v>50</v>
      </c>
      <c r="F158" s="40"/>
      <c r="G158" s="40" t="s">
        <v>29</v>
      </c>
      <c r="H158" s="200">
        <v>1000</v>
      </c>
      <c r="I158" s="41">
        <v>300</v>
      </c>
      <c r="J158" s="40" t="s">
        <v>30</v>
      </c>
      <c r="K158" s="40" t="s">
        <v>31</v>
      </c>
    </row>
    <row r="159" spans="1:11" ht="15.75" customHeight="1">
      <c r="A159" s="438">
        <v>14</v>
      </c>
      <c r="B159" s="439" t="s">
        <v>3681</v>
      </c>
      <c r="C159" s="40" t="s">
        <v>25</v>
      </c>
      <c r="D159" s="40" t="s">
        <v>831</v>
      </c>
      <c r="E159" s="40" t="s">
        <v>50</v>
      </c>
      <c r="F159" s="40"/>
      <c r="G159" s="40" t="s">
        <v>2160</v>
      </c>
      <c r="H159" s="200">
        <v>130</v>
      </c>
      <c r="I159" s="41">
        <v>650</v>
      </c>
      <c r="J159" s="40" t="s">
        <v>30</v>
      </c>
      <c r="K159" s="40" t="s">
        <v>31</v>
      </c>
    </row>
    <row r="160" spans="1:11" ht="15.75" customHeight="1">
      <c r="A160" s="438">
        <v>14</v>
      </c>
      <c r="B160" s="439" t="s">
        <v>3682</v>
      </c>
      <c r="C160" s="40" t="s">
        <v>25</v>
      </c>
      <c r="D160" s="40" t="s">
        <v>3683</v>
      </c>
      <c r="E160" s="40" t="s">
        <v>311</v>
      </c>
      <c r="F160" s="40"/>
      <c r="G160" s="40" t="s">
        <v>29</v>
      </c>
      <c r="H160" s="200">
        <v>1000</v>
      </c>
      <c r="I160" s="41">
        <v>200</v>
      </c>
      <c r="J160" s="40" t="s">
        <v>30</v>
      </c>
      <c r="K160" s="40" t="s">
        <v>31</v>
      </c>
    </row>
    <row r="161" spans="1:11" ht="15.75" customHeight="1">
      <c r="A161" s="438">
        <v>14</v>
      </c>
      <c r="B161" s="439" t="s">
        <v>3684</v>
      </c>
      <c r="C161" s="40" t="s">
        <v>25</v>
      </c>
      <c r="D161" s="40" t="s">
        <v>1282</v>
      </c>
      <c r="E161" s="40" t="s">
        <v>38</v>
      </c>
      <c r="F161" s="40"/>
      <c r="G161" s="40" t="s">
        <v>29</v>
      </c>
      <c r="H161" s="200">
        <v>500</v>
      </c>
      <c r="I161" s="41">
        <v>100</v>
      </c>
      <c r="J161" s="40" t="s">
        <v>30</v>
      </c>
      <c r="K161" s="40" t="s">
        <v>31</v>
      </c>
    </row>
    <row r="162" spans="1:11" ht="15.75" customHeight="1">
      <c r="A162" s="438">
        <v>14</v>
      </c>
      <c r="B162" s="439" t="s">
        <v>3685</v>
      </c>
      <c r="C162" s="40" t="s">
        <v>59</v>
      </c>
      <c r="D162" s="40" t="s">
        <v>63</v>
      </c>
      <c r="E162" s="40" t="s">
        <v>60</v>
      </c>
      <c r="F162" s="40"/>
      <c r="G162" s="40" t="s">
        <v>29</v>
      </c>
      <c r="H162" s="200">
        <v>300</v>
      </c>
      <c r="I162" s="41">
        <v>60</v>
      </c>
      <c r="J162" s="40" t="s">
        <v>30</v>
      </c>
      <c r="K162" s="40" t="s">
        <v>31</v>
      </c>
    </row>
    <row r="163" spans="1:11" ht="15.75" customHeight="1">
      <c r="A163" s="438">
        <v>14</v>
      </c>
      <c r="B163" s="439" t="s">
        <v>3685</v>
      </c>
      <c r="C163" s="40" t="s">
        <v>59</v>
      </c>
      <c r="D163" s="40" t="s">
        <v>63</v>
      </c>
      <c r="E163" s="40" t="s">
        <v>60</v>
      </c>
      <c r="F163" s="40"/>
      <c r="G163" s="40" t="s">
        <v>2160</v>
      </c>
      <c r="H163" s="200">
        <v>20</v>
      </c>
      <c r="I163" s="41">
        <v>100</v>
      </c>
      <c r="J163" s="40"/>
      <c r="K163" s="40" t="s">
        <v>31</v>
      </c>
    </row>
    <row r="164" spans="1:11" ht="15.75" customHeight="1">
      <c r="A164" s="438">
        <v>14</v>
      </c>
      <c r="B164" s="439" t="s">
        <v>3686</v>
      </c>
      <c r="C164" s="40" t="s">
        <v>25</v>
      </c>
      <c r="D164" s="40" t="s">
        <v>263</v>
      </c>
      <c r="E164" s="40" t="s">
        <v>42</v>
      </c>
      <c r="F164" s="40"/>
      <c r="G164" s="40" t="s">
        <v>29</v>
      </c>
      <c r="H164" s="200">
        <v>300</v>
      </c>
      <c r="I164" s="41">
        <v>60</v>
      </c>
      <c r="J164" s="40" t="s">
        <v>30</v>
      </c>
      <c r="K164" s="40" t="s">
        <v>31</v>
      </c>
    </row>
    <row r="165" spans="1:11" ht="15.75" customHeight="1">
      <c r="A165" s="438">
        <v>14</v>
      </c>
      <c r="B165" s="439" t="s">
        <v>3686</v>
      </c>
      <c r="C165" s="40" t="s">
        <v>25</v>
      </c>
      <c r="D165" s="40" t="s">
        <v>263</v>
      </c>
      <c r="E165" s="40" t="s">
        <v>42</v>
      </c>
      <c r="F165" s="40"/>
      <c r="G165" s="40" t="s">
        <v>2160</v>
      </c>
      <c r="H165" s="200">
        <v>10</v>
      </c>
      <c r="I165" s="41">
        <v>100</v>
      </c>
      <c r="J165" s="40"/>
      <c r="K165" s="40" t="s">
        <v>31</v>
      </c>
    </row>
    <row r="166" spans="1:11" ht="15.75" customHeight="1">
      <c r="A166" s="438">
        <v>14</v>
      </c>
      <c r="B166" s="439" t="s">
        <v>3686</v>
      </c>
      <c r="C166" s="40" t="s">
        <v>25</v>
      </c>
      <c r="D166" s="40" t="s">
        <v>263</v>
      </c>
      <c r="E166" s="40" t="s">
        <v>42</v>
      </c>
      <c r="F166" s="40"/>
      <c r="G166" s="40" t="s">
        <v>321</v>
      </c>
      <c r="H166" s="200">
        <v>30</v>
      </c>
      <c r="I166" s="41">
        <v>90</v>
      </c>
      <c r="J166" s="40"/>
      <c r="K166" s="40" t="s">
        <v>31</v>
      </c>
    </row>
    <row r="167" spans="1:11" ht="15.75" customHeight="1">
      <c r="A167" s="438">
        <v>14</v>
      </c>
      <c r="B167" s="439" t="s">
        <v>3687</v>
      </c>
      <c r="C167" s="40" t="s">
        <v>25</v>
      </c>
      <c r="D167" s="40" t="s">
        <v>3688</v>
      </c>
      <c r="E167" s="40" t="s">
        <v>103</v>
      </c>
      <c r="F167" s="40"/>
      <c r="G167" s="40" t="s">
        <v>29</v>
      </c>
      <c r="H167" s="200">
        <v>300</v>
      </c>
      <c r="I167" s="41">
        <v>60</v>
      </c>
      <c r="J167" s="40" t="s">
        <v>30</v>
      </c>
      <c r="K167" s="40" t="s">
        <v>31</v>
      </c>
    </row>
    <row r="168" spans="1:11" ht="15.75" customHeight="1">
      <c r="A168" s="438">
        <v>14</v>
      </c>
      <c r="B168" s="439" t="s">
        <v>3689</v>
      </c>
      <c r="C168" s="40" t="s">
        <v>25</v>
      </c>
      <c r="D168" s="40" t="s">
        <v>33</v>
      </c>
      <c r="E168" s="40" t="s">
        <v>34</v>
      </c>
      <c r="F168" s="40"/>
      <c r="G168" s="40" t="s">
        <v>29</v>
      </c>
      <c r="H168" s="200">
        <v>1000</v>
      </c>
      <c r="I168" s="41">
        <v>200</v>
      </c>
      <c r="J168" s="40" t="s">
        <v>30</v>
      </c>
      <c r="K168" s="40" t="s">
        <v>31</v>
      </c>
    </row>
    <row r="169" spans="1:11" ht="15.75" customHeight="1">
      <c r="A169" s="438">
        <v>14</v>
      </c>
      <c r="B169" s="439" t="s">
        <v>3690</v>
      </c>
      <c r="C169" s="40" t="s">
        <v>25</v>
      </c>
      <c r="D169" s="40" t="s">
        <v>3691</v>
      </c>
      <c r="E169" s="40" t="s">
        <v>1461</v>
      </c>
      <c r="F169" s="40"/>
      <c r="G169" s="40" t="s">
        <v>29</v>
      </c>
      <c r="H169" s="200">
        <v>1000</v>
      </c>
      <c r="I169" s="41">
        <v>200</v>
      </c>
      <c r="J169" s="40" t="s">
        <v>30</v>
      </c>
      <c r="K169" s="40" t="s">
        <v>31</v>
      </c>
    </row>
    <row r="170" spans="1:11" ht="15.75" customHeight="1">
      <c r="A170" s="438">
        <v>14</v>
      </c>
      <c r="B170" s="439" t="s">
        <v>3692</v>
      </c>
      <c r="C170" s="40" t="s">
        <v>25</v>
      </c>
      <c r="D170" s="40" t="s">
        <v>3678</v>
      </c>
      <c r="E170" s="40" t="s">
        <v>311</v>
      </c>
      <c r="F170" s="40"/>
      <c r="G170" s="40" t="s">
        <v>29</v>
      </c>
      <c r="H170" s="200">
        <v>250</v>
      </c>
      <c r="I170" s="41">
        <v>50</v>
      </c>
      <c r="J170" s="40" t="s">
        <v>30</v>
      </c>
      <c r="K170" s="40" t="s">
        <v>31</v>
      </c>
    </row>
    <row r="171" spans="1:11" ht="15.75" customHeight="1">
      <c r="A171" s="438">
        <v>14</v>
      </c>
      <c r="B171" s="439" t="s">
        <v>3693</v>
      </c>
      <c r="C171" s="40" t="s">
        <v>25</v>
      </c>
      <c r="D171" s="40" t="s">
        <v>185</v>
      </c>
      <c r="E171" s="40" t="s">
        <v>42</v>
      </c>
      <c r="F171" s="40"/>
      <c r="G171" s="40" t="s">
        <v>29</v>
      </c>
      <c r="H171" s="200">
        <v>200</v>
      </c>
      <c r="I171" s="41">
        <v>40</v>
      </c>
      <c r="J171" s="40" t="s">
        <v>30</v>
      </c>
      <c r="K171" s="40" t="s">
        <v>31</v>
      </c>
    </row>
    <row r="172" spans="1:11" ht="15.75" customHeight="1">
      <c r="A172" s="438">
        <v>14</v>
      </c>
      <c r="B172" s="439" t="s">
        <v>3694</v>
      </c>
      <c r="C172" s="40" t="s">
        <v>25</v>
      </c>
      <c r="D172" s="40" t="s">
        <v>2436</v>
      </c>
      <c r="E172" s="40" t="s">
        <v>50</v>
      </c>
      <c r="F172" s="40"/>
      <c r="G172" s="40" t="s">
        <v>29</v>
      </c>
      <c r="H172" s="200">
        <v>200</v>
      </c>
      <c r="I172" s="41">
        <v>40</v>
      </c>
      <c r="J172" s="40" t="s">
        <v>30</v>
      </c>
      <c r="K172" s="40" t="s">
        <v>31</v>
      </c>
    </row>
    <row r="173" spans="1:11" ht="15.75" customHeight="1">
      <c r="A173" s="438">
        <v>14</v>
      </c>
      <c r="B173" s="439" t="s">
        <v>3617</v>
      </c>
      <c r="C173" s="40" t="s">
        <v>25</v>
      </c>
      <c r="D173" s="40" t="s">
        <v>3463</v>
      </c>
      <c r="E173" s="40" t="s">
        <v>216</v>
      </c>
      <c r="F173" s="40"/>
      <c r="G173" s="40" t="s">
        <v>29</v>
      </c>
      <c r="H173" s="200">
        <v>100</v>
      </c>
      <c r="I173" s="41">
        <v>20</v>
      </c>
      <c r="J173" s="40" t="s">
        <v>30</v>
      </c>
      <c r="K173" s="40" t="s">
        <v>31</v>
      </c>
    </row>
    <row r="174" spans="1:11" ht="15.75" customHeight="1">
      <c r="A174" s="438">
        <v>14</v>
      </c>
      <c r="B174" s="439" t="s">
        <v>3695</v>
      </c>
      <c r="C174" s="40" t="s">
        <v>25</v>
      </c>
      <c r="D174" s="40" t="s">
        <v>1371</v>
      </c>
      <c r="E174" s="40" t="s">
        <v>96</v>
      </c>
      <c r="F174" s="40"/>
      <c r="G174" s="40" t="s">
        <v>29</v>
      </c>
      <c r="H174" s="200">
        <v>300</v>
      </c>
      <c r="I174" s="41">
        <v>60</v>
      </c>
      <c r="J174" s="40" t="s">
        <v>30</v>
      </c>
      <c r="K174" s="40" t="s">
        <v>31</v>
      </c>
    </row>
    <row r="175" spans="1:11" ht="15.75" customHeight="1">
      <c r="A175" s="438">
        <v>14</v>
      </c>
      <c r="B175" s="439" t="s">
        <v>3696</v>
      </c>
      <c r="C175" s="40" t="s">
        <v>59</v>
      </c>
      <c r="D175" s="40" t="s">
        <v>700</v>
      </c>
      <c r="E175" s="40" t="s">
        <v>46</v>
      </c>
      <c r="F175" s="40"/>
      <c r="G175" s="40" t="s">
        <v>29</v>
      </c>
      <c r="H175" s="200">
        <v>2000</v>
      </c>
      <c r="I175" s="41">
        <v>400</v>
      </c>
      <c r="J175" s="40" t="s">
        <v>30</v>
      </c>
      <c r="K175" s="40" t="s">
        <v>31</v>
      </c>
    </row>
    <row r="176" spans="1:11" ht="15.75" customHeight="1">
      <c r="A176" s="438">
        <v>14</v>
      </c>
      <c r="B176" s="439" t="s">
        <v>2917</v>
      </c>
      <c r="C176" s="40" t="s">
        <v>25</v>
      </c>
      <c r="D176" s="40" t="s">
        <v>2918</v>
      </c>
      <c r="E176" s="40" t="s">
        <v>1461</v>
      </c>
      <c r="F176" s="40"/>
      <c r="G176" s="40" t="s">
        <v>29</v>
      </c>
      <c r="H176" s="200">
        <v>2000</v>
      </c>
      <c r="I176" s="41">
        <v>400</v>
      </c>
      <c r="J176" s="40" t="s">
        <v>30</v>
      </c>
      <c r="K176" s="40" t="s">
        <v>31</v>
      </c>
    </row>
    <row r="177" spans="1:11" ht="15.75" customHeight="1">
      <c r="A177" s="438">
        <v>14</v>
      </c>
      <c r="B177" s="439" t="s">
        <v>2917</v>
      </c>
      <c r="C177" s="40" t="s">
        <v>25</v>
      </c>
      <c r="D177" s="40" t="s">
        <v>2918</v>
      </c>
      <c r="E177" s="40" t="s">
        <v>1461</v>
      </c>
      <c r="F177" s="40"/>
      <c r="G177" s="40" t="s">
        <v>2160</v>
      </c>
      <c r="H177" s="200">
        <v>10</v>
      </c>
      <c r="I177" s="41">
        <v>50</v>
      </c>
      <c r="J177" s="40"/>
      <c r="K177" s="40" t="s">
        <v>31</v>
      </c>
    </row>
    <row r="178" spans="1:11" ht="15.75" customHeight="1">
      <c r="A178" s="438">
        <v>14</v>
      </c>
      <c r="B178" s="439" t="s">
        <v>3697</v>
      </c>
      <c r="C178" s="40" t="s">
        <v>25</v>
      </c>
      <c r="D178" s="40" t="s">
        <v>3698</v>
      </c>
      <c r="E178" s="40" t="s">
        <v>150</v>
      </c>
      <c r="F178" s="40"/>
      <c r="G178" s="40" t="s">
        <v>2160</v>
      </c>
      <c r="H178" s="200">
        <v>10</v>
      </c>
      <c r="I178" s="41" t="s">
        <v>101</v>
      </c>
      <c r="J178" s="40"/>
      <c r="K178" s="40" t="s">
        <v>31</v>
      </c>
    </row>
    <row r="179" spans="1:11" ht="15.75" customHeight="1">
      <c r="A179" s="438">
        <v>15</v>
      </c>
      <c r="B179" s="439" t="s">
        <v>3699</v>
      </c>
      <c r="C179" s="40" t="s">
        <v>25</v>
      </c>
      <c r="D179" s="40" t="s">
        <v>3296</v>
      </c>
      <c r="E179" s="40" t="s">
        <v>533</v>
      </c>
      <c r="F179" s="40"/>
      <c r="G179" s="40" t="s">
        <v>29</v>
      </c>
      <c r="H179" s="200">
        <v>300</v>
      </c>
      <c r="I179" s="41">
        <v>60</v>
      </c>
      <c r="J179" s="40" t="s">
        <v>30</v>
      </c>
      <c r="K179" s="40" t="s">
        <v>31</v>
      </c>
    </row>
    <row r="180" spans="1:11" ht="15.75" customHeight="1">
      <c r="A180" s="438">
        <v>15</v>
      </c>
      <c r="B180" s="439" t="s">
        <v>3700</v>
      </c>
      <c r="C180" s="40" t="s">
        <v>25</v>
      </c>
      <c r="D180" s="40" t="s">
        <v>3701</v>
      </c>
      <c r="E180" s="40" t="s">
        <v>2477</v>
      </c>
      <c r="F180" s="40"/>
      <c r="G180" s="40" t="s">
        <v>2160</v>
      </c>
      <c r="H180" s="200">
        <v>200</v>
      </c>
      <c r="I180" s="41">
        <v>2000</v>
      </c>
      <c r="J180" s="40" t="s">
        <v>30</v>
      </c>
      <c r="K180" s="40" t="s">
        <v>31</v>
      </c>
    </row>
    <row r="181" spans="1:11" ht="15.75" customHeight="1">
      <c r="A181" s="438">
        <v>15</v>
      </c>
      <c r="B181" s="439" t="s">
        <v>3702</v>
      </c>
      <c r="C181" s="40" t="s">
        <v>25</v>
      </c>
      <c r="D181" s="40" t="s">
        <v>3703</v>
      </c>
      <c r="E181" s="40" t="s">
        <v>1461</v>
      </c>
      <c r="F181" s="40"/>
      <c r="G181" s="40" t="s">
        <v>29</v>
      </c>
      <c r="H181" s="200">
        <v>500</v>
      </c>
      <c r="I181" s="41">
        <v>100</v>
      </c>
      <c r="J181" s="40" t="s">
        <v>30</v>
      </c>
      <c r="K181" s="40" t="s">
        <v>31</v>
      </c>
    </row>
    <row r="182" spans="1:11" ht="15.75" customHeight="1">
      <c r="A182" s="438">
        <v>15</v>
      </c>
      <c r="B182" s="439" t="s">
        <v>3702</v>
      </c>
      <c r="C182" s="40" t="s">
        <v>25</v>
      </c>
      <c r="D182" s="40" t="s">
        <v>3703</v>
      </c>
      <c r="E182" s="40" t="s">
        <v>1461</v>
      </c>
      <c r="F182" s="40"/>
      <c r="G182" s="40" t="s">
        <v>2160</v>
      </c>
      <c r="H182" s="200">
        <v>10</v>
      </c>
      <c r="I182" s="41">
        <v>50</v>
      </c>
      <c r="J182" s="40"/>
      <c r="K182" s="40" t="s">
        <v>31</v>
      </c>
    </row>
    <row r="183" spans="1:11" ht="15.75" customHeight="1">
      <c r="A183" s="438">
        <v>15</v>
      </c>
      <c r="B183" s="439" t="s">
        <v>3704</v>
      </c>
      <c r="C183" s="40" t="s">
        <v>25</v>
      </c>
      <c r="D183" s="40" t="s">
        <v>258</v>
      </c>
      <c r="E183" s="40" t="s">
        <v>96</v>
      </c>
      <c r="F183" s="40"/>
      <c r="G183" s="40" t="s">
        <v>29</v>
      </c>
      <c r="H183" s="200">
        <v>200</v>
      </c>
      <c r="I183" s="41">
        <v>40</v>
      </c>
      <c r="J183" s="40" t="s">
        <v>30</v>
      </c>
      <c r="K183" s="40" t="s">
        <v>31</v>
      </c>
    </row>
    <row r="184" spans="1:11" ht="15.75" customHeight="1">
      <c r="A184" s="438">
        <v>15</v>
      </c>
      <c r="B184" s="439" t="s">
        <v>3705</v>
      </c>
      <c r="C184" s="40" t="s">
        <v>25</v>
      </c>
      <c r="D184" s="40" t="s">
        <v>2090</v>
      </c>
      <c r="E184" s="40" t="s">
        <v>96</v>
      </c>
      <c r="F184" s="40"/>
      <c r="G184" s="40" t="s">
        <v>29</v>
      </c>
      <c r="H184" s="200">
        <v>400</v>
      </c>
      <c r="I184" s="41">
        <v>80</v>
      </c>
      <c r="J184" s="40" t="s">
        <v>30</v>
      </c>
      <c r="K184" s="40" t="s">
        <v>31</v>
      </c>
    </row>
    <row r="185" spans="1:11" ht="15.75" customHeight="1">
      <c r="A185" s="438">
        <v>15</v>
      </c>
      <c r="B185" s="439" t="s">
        <v>3706</v>
      </c>
      <c r="C185" s="40" t="s">
        <v>59</v>
      </c>
      <c r="D185" s="40" t="s">
        <v>831</v>
      </c>
      <c r="E185" s="40" t="s">
        <v>50</v>
      </c>
      <c r="F185" s="40"/>
      <c r="G185" s="40" t="s">
        <v>29</v>
      </c>
      <c r="H185" s="200">
        <v>700</v>
      </c>
      <c r="I185" s="41">
        <v>140</v>
      </c>
      <c r="J185" s="40" t="s">
        <v>30</v>
      </c>
      <c r="K185" s="40" t="s">
        <v>31</v>
      </c>
    </row>
    <row r="186" spans="1:11" ht="15.75" customHeight="1">
      <c r="A186" s="438">
        <v>15</v>
      </c>
      <c r="B186" s="439" t="s">
        <v>3707</v>
      </c>
      <c r="C186" s="40" t="s">
        <v>25</v>
      </c>
      <c r="D186" s="40" t="s">
        <v>263</v>
      </c>
      <c r="E186" s="40" t="s">
        <v>42</v>
      </c>
      <c r="F186" s="40"/>
      <c r="G186" s="40" t="s">
        <v>29</v>
      </c>
      <c r="H186" s="200">
        <v>1000</v>
      </c>
      <c r="I186" s="41">
        <v>200</v>
      </c>
      <c r="J186" s="40" t="s">
        <v>30</v>
      </c>
      <c r="K186" s="40" t="s">
        <v>31</v>
      </c>
    </row>
    <row r="187" spans="1:11" ht="15.75" customHeight="1">
      <c r="A187" s="438">
        <v>15</v>
      </c>
      <c r="B187" s="439" t="s">
        <v>3708</v>
      </c>
      <c r="C187" s="40" t="s">
        <v>25</v>
      </c>
      <c r="D187" s="40" t="s">
        <v>99</v>
      </c>
      <c r="E187" s="40" t="s">
        <v>42</v>
      </c>
      <c r="F187" s="40"/>
      <c r="G187" s="40" t="s">
        <v>29</v>
      </c>
      <c r="H187" s="200">
        <v>1000</v>
      </c>
      <c r="I187" s="41">
        <v>200</v>
      </c>
      <c r="J187" s="40" t="s">
        <v>30</v>
      </c>
      <c r="K187" s="40" t="s">
        <v>31</v>
      </c>
    </row>
    <row r="188" spans="1:11" ht="15.75" customHeight="1">
      <c r="A188" s="438">
        <v>15</v>
      </c>
      <c r="B188" s="439" t="s">
        <v>3709</v>
      </c>
      <c r="C188" s="40" t="s">
        <v>25</v>
      </c>
      <c r="D188" s="40" t="s">
        <v>63</v>
      </c>
      <c r="E188" s="40" t="s">
        <v>60</v>
      </c>
      <c r="F188" s="40"/>
      <c r="G188" s="40" t="s">
        <v>29</v>
      </c>
      <c r="H188" s="200">
        <v>1000</v>
      </c>
      <c r="I188" s="41">
        <v>200</v>
      </c>
      <c r="J188" s="40" t="s">
        <v>30</v>
      </c>
      <c r="K188" s="40" t="s">
        <v>31</v>
      </c>
    </row>
    <row r="189" spans="1:11" ht="15.75" customHeight="1">
      <c r="A189" s="438">
        <v>15</v>
      </c>
      <c r="B189" s="439" t="s">
        <v>3710</v>
      </c>
      <c r="C189" s="40" t="s">
        <v>59</v>
      </c>
      <c r="D189" s="40" t="s">
        <v>3711</v>
      </c>
      <c r="E189" s="40" t="s">
        <v>60</v>
      </c>
      <c r="F189" s="40"/>
      <c r="G189" s="40" t="s">
        <v>29</v>
      </c>
      <c r="H189" s="200">
        <v>1000</v>
      </c>
      <c r="I189" s="41">
        <v>200</v>
      </c>
      <c r="J189" s="40" t="s">
        <v>30</v>
      </c>
      <c r="K189" s="40" t="s">
        <v>31</v>
      </c>
    </row>
    <row r="190" spans="1:11" ht="15.75" customHeight="1">
      <c r="A190" s="438">
        <v>15</v>
      </c>
      <c r="B190" s="439" t="s">
        <v>3712</v>
      </c>
      <c r="C190" s="40" t="s">
        <v>25</v>
      </c>
      <c r="D190" s="40" t="s">
        <v>74</v>
      </c>
      <c r="E190" s="40" t="s">
        <v>38</v>
      </c>
      <c r="F190" s="40"/>
      <c r="G190" s="40" t="s">
        <v>29</v>
      </c>
      <c r="H190" s="200">
        <v>1000</v>
      </c>
      <c r="I190" s="41">
        <v>200</v>
      </c>
      <c r="J190" s="40" t="s">
        <v>30</v>
      </c>
      <c r="K190" s="40" t="s">
        <v>31</v>
      </c>
    </row>
    <row r="191" spans="1:11" ht="15.75" customHeight="1">
      <c r="A191" s="438">
        <v>15</v>
      </c>
      <c r="B191" s="439" t="s">
        <v>3713</v>
      </c>
      <c r="C191" s="40" t="s">
        <v>25</v>
      </c>
      <c r="D191" s="40" t="s">
        <v>27</v>
      </c>
      <c r="E191" s="40" t="s">
        <v>111</v>
      </c>
      <c r="F191" s="40"/>
      <c r="G191" s="40" t="s">
        <v>29</v>
      </c>
      <c r="H191" s="200">
        <v>1000</v>
      </c>
      <c r="I191" s="41">
        <v>200</v>
      </c>
      <c r="J191" s="40" t="s">
        <v>30</v>
      </c>
      <c r="K191" s="40" t="s">
        <v>31</v>
      </c>
    </row>
    <row r="192" spans="1:11" ht="15.75" customHeight="1">
      <c r="A192" s="438">
        <v>15</v>
      </c>
      <c r="B192" s="439" t="s">
        <v>3714</v>
      </c>
      <c r="C192" s="40" t="s">
        <v>25</v>
      </c>
      <c r="D192" s="40" t="s">
        <v>3715</v>
      </c>
      <c r="E192" s="40" t="s">
        <v>96</v>
      </c>
      <c r="F192" s="40"/>
      <c r="G192" s="40" t="s">
        <v>29</v>
      </c>
      <c r="H192" s="200">
        <v>1000</v>
      </c>
      <c r="I192" s="41">
        <v>200</v>
      </c>
      <c r="J192" s="40" t="s">
        <v>30</v>
      </c>
      <c r="K192" s="40" t="s">
        <v>31</v>
      </c>
    </row>
    <row r="193" spans="1:11" ht="15.75" customHeight="1">
      <c r="A193" s="438">
        <v>15</v>
      </c>
      <c r="B193" s="439" t="s">
        <v>3716</v>
      </c>
      <c r="C193" s="40" t="s">
        <v>59</v>
      </c>
      <c r="D193" s="40" t="s">
        <v>942</v>
      </c>
      <c r="E193" s="40" t="s">
        <v>130</v>
      </c>
      <c r="F193" s="40"/>
      <c r="G193" s="40" t="s">
        <v>29</v>
      </c>
      <c r="H193" s="200">
        <v>4000</v>
      </c>
      <c r="I193" s="41">
        <v>800</v>
      </c>
      <c r="J193" s="40" t="s">
        <v>30</v>
      </c>
      <c r="K193" s="40" t="s">
        <v>31</v>
      </c>
    </row>
    <row r="194" spans="1:11" ht="15.75" customHeight="1">
      <c r="A194" s="438">
        <v>15</v>
      </c>
      <c r="B194" s="439" t="s">
        <v>3717</v>
      </c>
      <c r="C194" s="40" t="s">
        <v>59</v>
      </c>
      <c r="D194" s="40" t="s">
        <v>2651</v>
      </c>
      <c r="E194" s="40" t="s">
        <v>46</v>
      </c>
      <c r="F194" s="40"/>
      <c r="G194" s="40" t="s">
        <v>29</v>
      </c>
      <c r="H194" s="200">
        <v>500</v>
      </c>
      <c r="I194" s="41">
        <v>100</v>
      </c>
      <c r="J194" s="40" t="s">
        <v>30</v>
      </c>
      <c r="K194" s="40" t="s">
        <v>31</v>
      </c>
    </row>
    <row r="195" spans="1:11" ht="15.75" customHeight="1">
      <c r="A195" s="438">
        <v>15</v>
      </c>
      <c r="B195" s="439" t="s">
        <v>3718</v>
      </c>
      <c r="C195" s="40" t="s">
        <v>25</v>
      </c>
      <c r="D195" s="40" t="s">
        <v>1282</v>
      </c>
      <c r="E195" s="40" t="s">
        <v>38</v>
      </c>
      <c r="F195" s="40"/>
      <c r="G195" s="40" t="s">
        <v>29</v>
      </c>
      <c r="H195" s="200">
        <v>500</v>
      </c>
      <c r="I195" s="41">
        <v>100</v>
      </c>
      <c r="J195" s="40" t="s">
        <v>30</v>
      </c>
      <c r="K195" s="40" t="s">
        <v>31</v>
      </c>
    </row>
    <row r="196" spans="1:11" ht="15.75" customHeight="1">
      <c r="A196" s="438">
        <v>15</v>
      </c>
      <c r="B196" s="439" t="s">
        <v>3719</v>
      </c>
      <c r="C196" s="40" t="s">
        <v>25</v>
      </c>
      <c r="D196" s="40" t="s">
        <v>63</v>
      </c>
      <c r="E196" s="40" t="s">
        <v>78</v>
      </c>
      <c r="F196" s="40"/>
      <c r="G196" s="40" t="s">
        <v>2160</v>
      </c>
      <c r="H196" s="200">
        <v>38</v>
      </c>
      <c r="I196" s="41">
        <v>190</v>
      </c>
      <c r="J196" s="40"/>
      <c r="K196" s="40" t="s">
        <v>31</v>
      </c>
    </row>
    <row r="197" spans="1:11" ht="15.75" customHeight="1">
      <c r="A197" s="438">
        <v>15</v>
      </c>
      <c r="B197" s="439" t="s">
        <v>3720</v>
      </c>
      <c r="C197" s="40" t="s">
        <v>59</v>
      </c>
      <c r="D197" s="40" t="s">
        <v>3711</v>
      </c>
      <c r="E197" s="40" t="s">
        <v>60</v>
      </c>
      <c r="F197" s="40"/>
      <c r="G197" s="40" t="s">
        <v>29</v>
      </c>
      <c r="H197" s="200">
        <v>1000</v>
      </c>
      <c r="I197" s="41">
        <v>200</v>
      </c>
      <c r="J197" s="40" t="s">
        <v>30</v>
      </c>
      <c r="K197" s="40" t="s">
        <v>31</v>
      </c>
    </row>
    <row r="198" spans="1:11" ht="15.75" customHeight="1">
      <c r="A198" s="438">
        <v>15</v>
      </c>
      <c r="B198" s="439" t="s">
        <v>3721</v>
      </c>
      <c r="C198" s="40" t="s">
        <v>25</v>
      </c>
      <c r="D198" s="40" t="s">
        <v>3688</v>
      </c>
      <c r="E198" s="40" t="s">
        <v>103</v>
      </c>
      <c r="F198" s="40"/>
      <c r="G198" s="40" t="s">
        <v>29</v>
      </c>
      <c r="H198" s="200">
        <v>50</v>
      </c>
      <c r="I198" s="41" t="s">
        <v>101</v>
      </c>
      <c r="J198" s="40" t="s">
        <v>30</v>
      </c>
      <c r="K198" s="40" t="s">
        <v>31</v>
      </c>
    </row>
    <row r="199" spans="1:11" ht="15.75" customHeight="1">
      <c r="A199" s="438">
        <v>15</v>
      </c>
      <c r="B199" s="439" t="s">
        <v>3722</v>
      </c>
      <c r="C199" s="40" t="s">
        <v>25</v>
      </c>
      <c r="D199" s="40" t="s">
        <v>3723</v>
      </c>
      <c r="E199" s="40" t="s">
        <v>78</v>
      </c>
      <c r="F199" s="40"/>
      <c r="G199" s="40" t="s">
        <v>29</v>
      </c>
      <c r="H199" s="200">
        <v>1000</v>
      </c>
      <c r="I199" s="41">
        <v>200</v>
      </c>
      <c r="J199" s="40" t="s">
        <v>30</v>
      </c>
      <c r="K199" s="40" t="s">
        <v>31</v>
      </c>
    </row>
    <row r="200" spans="1:11" ht="15.75" customHeight="1">
      <c r="A200" s="438">
        <v>15</v>
      </c>
      <c r="B200" s="439" t="s">
        <v>3724</v>
      </c>
      <c r="C200" s="40" t="s">
        <v>25</v>
      </c>
      <c r="D200" s="40" t="s">
        <v>1085</v>
      </c>
      <c r="E200" s="40" t="s">
        <v>34</v>
      </c>
      <c r="F200" s="40"/>
      <c r="G200" s="40" t="s">
        <v>29</v>
      </c>
      <c r="H200" s="200">
        <v>1000</v>
      </c>
      <c r="I200" s="41">
        <v>200</v>
      </c>
      <c r="J200" s="40" t="s">
        <v>30</v>
      </c>
      <c r="K200" s="40" t="s">
        <v>31</v>
      </c>
    </row>
    <row r="201" spans="1:11" ht="15.75" customHeight="1">
      <c r="A201" s="438">
        <v>15</v>
      </c>
      <c r="B201" s="439" t="s">
        <v>3725</v>
      </c>
      <c r="C201" s="40" t="s">
        <v>25</v>
      </c>
      <c r="D201" s="40" t="s">
        <v>1371</v>
      </c>
      <c r="E201" s="40" t="s">
        <v>96</v>
      </c>
      <c r="F201" s="40"/>
      <c r="G201" s="40" t="s">
        <v>29</v>
      </c>
      <c r="H201" s="200">
        <v>2500</v>
      </c>
      <c r="I201" s="41">
        <v>500</v>
      </c>
      <c r="J201" s="40" t="s">
        <v>30</v>
      </c>
      <c r="K201" s="40" t="s">
        <v>31</v>
      </c>
    </row>
    <row r="202" spans="1:11" ht="15.75" customHeight="1">
      <c r="A202" s="438">
        <v>15</v>
      </c>
      <c r="B202" s="439" t="s">
        <v>3726</v>
      </c>
      <c r="C202" s="40" t="s">
        <v>25</v>
      </c>
      <c r="D202" s="40" t="s">
        <v>95</v>
      </c>
      <c r="E202" s="40" t="s">
        <v>96</v>
      </c>
      <c r="F202" s="40"/>
      <c r="G202" s="40" t="s">
        <v>29</v>
      </c>
      <c r="H202" s="200">
        <v>4000</v>
      </c>
      <c r="I202" s="41">
        <v>800</v>
      </c>
      <c r="J202" s="40" t="s">
        <v>30</v>
      </c>
      <c r="K202" s="40" t="s">
        <v>31</v>
      </c>
    </row>
    <row r="203" spans="1:11" ht="15.75" customHeight="1">
      <c r="A203" s="438">
        <v>15</v>
      </c>
      <c r="B203" s="439" t="s">
        <v>3727</v>
      </c>
      <c r="C203" s="40" t="s">
        <v>25</v>
      </c>
      <c r="D203" s="40" t="s">
        <v>3271</v>
      </c>
      <c r="E203" s="40" t="s">
        <v>130</v>
      </c>
      <c r="F203" s="40"/>
      <c r="G203" s="40" t="s">
        <v>29</v>
      </c>
      <c r="H203" s="200">
        <v>1500</v>
      </c>
      <c r="I203" s="41">
        <v>300</v>
      </c>
      <c r="J203" s="40" t="s">
        <v>30</v>
      </c>
      <c r="K203" s="40" t="s">
        <v>31</v>
      </c>
    </row>
    <row r="204" spans="1:11" ht="15.75" customHeight="1">
      <c r="A204" s="438">
        <v>15</v>
      </c>
      <c r="B204" s="439" t="s">
        <v>3728</v>
      </c>
      <c r="C204" s="40" t="s">
        <v>25</v>
      </c>
      <c r="D204" s="40" t="s">
        <v>950</v>
      </c>
      <c r="E204" s="40" t="s">
        <v>96</v>
      </c>
      <c r="F204" s="40"/>
      <c r="G204" s="40" t="s">
        <v>29</v>
      </c>
      <c r="H204" s="200">
        <v>400</v>
      </c>
      <c r="I204" s="41">
        <v>80</v>
      </c>
      <c r="J204" s="40" t="s">
        <v>30</v>
      </c>
      <c r="K204" s="40" t="s">
        <v>31</v>
      </c>
    </row>
    <row r="205" spans="1:11" ht="15.75" customHeight="1">
      <c r="A205" s="438">
        <v>16</v>
      </c>
      <c r="B205" s="439" t="s">
        <v>1076</v>
      </c>
      <c r="C205" s="40" t="s">
        <v>25</v>
      </c>
      <c r="D205" s="40" t="s">
        <v>2646</v>
      </c>
      <c r="E205" s="40" t="s">
        <v>561</v>
      </c>
      <c r="F205" s="40"/>
      <c r="G205" s="40" t="s">
        <v>29</v>
      </c>
      <c r="H205" s="200">
        <v>10000</v>
      </c>
      <c r="I205" s="41">
        <v>3000</v>
      </c>
      <c r="J205" s="40" t="s">
        <v>3631</v>
      </c>
      <c r="K205" s="40" t="s">
        <v>31</v>
      </c>
    </row>
    <row r="206" spans="1:11" ht="15.75" customHeight="1">
      <c r="A206" s="438">
        <v>16</v>
      </c>
      <c r="B206" s="439" t="s">
        <v>3729</v>
      </c>
      <c r="C206" s="40" t="s">
        <v>25</v>
      </c>
      <c r="D206" s="40" t="s">
        <v>99</v>
      </c>
      <c r="E206" s="40" t="s">
        <v>42</v>
      </c>
      <c r="F206" s="40"/>
      <c r="G206" s="40" t="s">
        <v>29</v>
      </c>
      <c r="H206" s="200">
        <v>5000</v>
      </c>
      <c r="I206" s="41">
        <v>1500</v>
      </c>
      <c r="J206" s="40" t="s">
        <v>30</v>
      </c>
      <c r="K206" s="40" t="s">
        <v>31</v>
      </c>
    </row>
    <row r="207" spans="1:11" ht="15.75" customHeight="1">
      <c r="A207" s="438">
        <v>16</v>
      </c>
      <c r="B207" s="439" t="s">
        <v>3730</v>
      </c>
      <c r="C207" s="40" t="s">
        <v>59</v>
      </c>
      <c r="D207" s="40" t="s">
        <v>3216</v>
      </c>
      <c r="E207" s="40" t="s">
        <v>870</v>
      </c>
      <c r="F207" s="40"/>
      <c r="G207" s="40" t="s">
        <v>29</v>
      </c>
      <c r="H207" s="200">
        <v>600</v>
      </c>
      <c r="I207" s="41">
        <v>120</v>
      </c>
      <c r="J207" s="40" t="s">
        <v>30</v>
      </c>
      <c r="K207" s="40" t="s">
        <v>31</v>
      </c>
    </row>
    <row r="208" spans="1:11" ht="15.75" customHeight="1">
      <c r="A208" s="438">
        <v>16</v>
      </c>
      <c r="B208" s="439" t="s">
        <v>3731</v>
      </c>
      <c r="C208" s="40" t="s">
        <v>25</v>
      </c>
      <c r="D208" s="40" t="s">
        <v>3732</v>
      </c>
      <c r="E208" s="40" t="s">
        <v>319</v>
      </c>
      <c r="F208" s="40"/>
      <c r="G208" s="40" t="s">
        <v>29</v>
      </c>
      <c r="H208" s="200">
        <v>200</v>
      </c>
      <c r="I208" s="41">
        <v>40</v>
      </c>
      <c r="J208" s="40" t="s">
        <v>30</v>
      </c>
      <c r="K208" s="40" t="s">
        <v>31</v>
      </c>
    </row>
    <row r="209" spans="1:11" ht="15.75" customHeight="1">
      <c r="A209" s="434">
        <v>16</v>
      </c>
      <c r="B209" s="435" t="s">
        <v>3731</v>
      </c>
      <c r="C209" s="48" t="s">
        <v>25</v>
      </c>
      <c r="D209" s="48" t="s">
        <v>3732</v>
      </c>
      <c r="E209" s="48" t="s">
        <v>319</v>
      </c>
      <c r="F209" s="48"/>
      <c r="G209" s="48" t="s">
        <v>2160</v>
      </c>
      <c r="H209" s="430">
        <v>30</v>
      </c>
      <c r="I209" s="51">
        <v>300</v>
      </c>
      <c r="J209" s="48" t="s">
        <v>30</v>
      </c>
      <c r="K209" s="48" t="s">
        <v>31</v>
      </c>
    </row>
    <row r="210" spans="1:11" ht="15.75" customHeight="1">
      <c r="A210" s="436">
        <v>17</v>
      </c>
      <c r="B210" s="77" t="s">
        <v>3733</v>
      </c>
      <c r="C210" s="53" t="s">
        <v>25</v>
      </c>
      <c r="D210" s="53" t="s">
        <v>1190</v>
      </c>
      <c r="E210" s="53" t="s">
        <v>42</v>
      </c>
      <c r="F210" s="53"/>
      <c r="G210" s="53" t="s">
        <v>2160</v>
      </c>
      <c r="H210" s="437">
        <v>40</v>
      </c>
      <c r="I210" s="55">
        <v>400</v>
      </c>
      <c r="J210" s="53" t="s">
        <v>30</v>
      </c>
      <c r="K210" s="53" t="s">
        <v>31</v>
      </c>
    </row>
    <row r="211" spans="1:11" ht="15.75" customHeight="1">
      <c r="A211" s="438">
        <v>17</v>
      </c>
      <c r="B211" s="439" t="s">
        <v>3734</v>
      </c>
      <c r="C211" s="40" t="s">
        <v>25</v>
      </c>
      <c r="D211" s="40" t="s">
        <v>215</v>
      </c>
      <c r="E211" s="40" t="s">
        <v>216</v>
      </c>
      <c r="F211" s="40"/>
      <c r="G211" s="40" t="s">
        <v>29</v>
      </c>
      <c r="H211" s="200">
        <v>500</v>
      </c>
      <c r="I211" s="41">
        <v>100</v>
      </c>
      <c r="J211" s="40" t="s">
        <v>30</v>
      </c>
      <c r="K211" s="40" t="s">
        <v>31</v>
      </c>
    </row>
    <row r="212" spans="1:11" ht="15.75" customHeight="1">
      <c r="A212" s="438">
        <v>17</v>
      </c>
      <c r="B212" s="439" t="s">
        <v>3734</v>
      </c>
      <c r="C212" s="40" t="s">
        <v>25</v>
      </c>
      <c r="D212" s="40" t="s">
        <v>215</v>
      </c>
      <c r="E212" s="40" t="s">
        <v>216</v>
      </c>
      <c r="F212" s="40"/>
      <c r="G212" s="40" t="s">
        <v>2160</v>
      </c>
      <c r="H212" s="200">
        <v>200</v>
      </c>
      <c r="I212" s="41">
        <v>1000</v>
      </c>
      <c r="J212" s="40"/>
      <c r="K212" s="40" t="s">
        <v>31</v>
      </c>
    </row>
    <row r="213" spans="1:11" ht="15.75" customHeight="1">
      <c r="A213" s="438">
        <v>17</v>
      </c>
      <c r="B213" s="439" t="s">
        <v>3735</v>
      </c>
      <c r="C213" s="40" t="s">
        <v>59</v>
      </c>
      <c r="D213" s="40" t="s">
        <v>792</v>
      </c>
      <c r="E213" s="40" t="s">
        <v>60</v>
      </c>
      <c r="F213" s="40"/>
      <c r="G213" s="40" t="s">
        <v>29</v>
      </c>
      <c r="H213" s="200">
        <v>10000</v>
      </c>
      <c r="I213" s="41">
        <v>2000</v>
      </c>
      <c r="J213" s="40" t="s">
        <v>30</v>
      </c>
      <c r="K213" s="40" t="s">
        <v>31</v>
      </c>
    </row>
    <row r="214" spans="1:11" ht="15.75" customHeight="1">
      <c r="A214" s="438">
        <v>17</v>
      </c>
      <c r="B214" s="439" t="s">
        <v>3736</v>
      </c>
      <c r="C214" s="40" t="s">
        <v>25</v>
      </c>
      <c r="D214" s="40" t="s">
        <v>63</v>
      </c>
      <c r="E214" s="40" t="s">
        <v>34</v>
      </c>
      <c r="F214" s="40"/>
      <c r="G214" s="40" t="s">
        <v>29</v>
      </c>
      <c r="H214" s="200">
        <v>5000</v>
      </c>
      <c r="I214" s="41">
        <v>1000</v>
      </c>
      <c r="J214" s="40" t="s">
        <v>30</v>
      </c>
      <c r="K214" s="40" t="s">
        <v>31</v>
      </c>
    </row>
    <row r="215" spans="1:11" ht="15.75" customHeight="1">
      <c r="A215" s="438">
        <v>17</v>
      </c>
      <c r="B215" s="439" t="s">
        <v>3737</v>
      </c>
      <c r="C215" s="40" t="s">
        <v>59</v>
      </c>
      <c r="D215" s="40" t="s">
        <v>63</v>
      </c>
      <c r="E215" s="40" t="s">
        <v>141</v>
      </c>
      <c r="F215" s="40"/>
      <c r="G215" s="40" t="s">
        <v>2160</v>
      </c>
      <c r="H215" s="200">
        <v>40</v>
      </c>
      <c r="I215" s="41">
        <v>200</v>
      </c>
      <c r="J215" s="40" t="s">
        <v>30</v>
      </c>
      <c r="K215" s="40" t="s">
        <v>31</v>
      </c>
    </row>
    <row r="216" spans="1:11" ht="15.75" customHeight="1">
      <c r="A216" s="438">
        <v>17</v>
      </c>
      <c r="B216" s="439" t="s">
        <v>3738</v>
      </c>
      <c r="C216" s="40" t="s">
        <v>59</v>
      </c>
      <c r="D216" s="40" t="s">
        <v>3683</v>
      </c>
      <c r="E216" s="40" t="s">
        <v>311</v>
      </c>
      <c r="F216" s="40"/>
      <c r="G216" s="40" t="s">
        <v>29</v>
      </c>
      <c r="H216" s="200">
        <v>1000</v>
      </c>
      <c r="I216" s="41">
        <v>200</v>
      </c>
      <c r="J216" s="40" t="s">
        <v>30</v>
      </c>
      <c r="K216" s="40" t="s">
        <v>31</v>
      </c>
    </row>
    <row r="217" spans="1:11" ht="15.75" customHeight="1">
      <c r="A217" s="438">
        <v>17</v>
      </c>
      <c r="B217" s="439" t="s">
        <v>3738</v>
      </c>
      <c r="C217" s="40" t="s">
        <v>59</v>
      </c>
      <c r="D217" s="40" t="s">
        <v>3683</v>
      </c>
      <c r="E217" s="40" t="s">
        <v>311</v>
      </c>
      <c r="F217" s="40"/>
      <c r="G217" s="40" t="s">
        <v>2160</v>
      </c>
      <c r="H217" s="200">
        <v>40</v>
      </c>
      <c r="I217" s="41">
        <v>400</v>
      </c>
      <c r="J217" s="40"/>
      <c r="K217" s="40" t="s">
        <v>31</v>
      </c>
    </row>
    <row r="218" spans="1:11" ht="15.75" customHeight="1">
      <c r="A218" s="438">
        <v>17</v>
      </c>
      <c r="B218" s="439" t="s">
        <v>1446</v>
      </c>
      <c r="C218" s="40" t="s">
        <v>25</v>
      </c>
      <c r="D218" s="40" t="s">
        <v>2246</v>
      </c>
      <c r="E218" s="40" t="s">
        <v>318</v>
      </c>
      <c r="F218" s="40"/>
      <c r="G218" s="40" t="s">
        <v>29</v>
      </c>
      <c r="H218" s="200">
        <v>1000</v>
      </c>
      <c r="I218" s="41" t="s">
        <v>101</v>
      </c>
      <c r="J218" s="40" t="s">
        <v>30</v>
      </c>
      <c r="K218" s="40" t="s">
        <v>31</v>
      </c>
    </row>
    <row r="219" spans="1:11" ht="15.75" customHeight="1">
      <c r="A219" s="438">
        <v>19</v>
      </c>
      <c r="B219" s="439" t="s">
        <v>3739</v>
      </c>
      <c r="C219" s="40" t="s">
        <v>59</v>
      </c>
      <c r="D219" s="40" t="s">
        <v>3740</v>
      </c>
      <c r="E219" s="40" t="s">
        <v>42</v>
      </c>
      <c r="F219" s="40"/>
      <c r="G219" s="40" t="s">
        <v>29</v>
      </c>
      <c r="H219" s="200">
        <v>400</v>
      </c>
      <c r="I219" s="41">
        <v>80</v>
      </c>
      <c r="J219" s="40" t="s">
        <v>30</v>
      </c>
      <c r="K219" s="40" t="s">
        <v>31</v>
      </c>
    </row>
    <row r="220" spans="1:11" ht="15.75" customHeight="1">
      <c r="A220" s="438">
        <v>19</v>
      </c>
      <c r="B220" s="439" t="s">
        <v>3741</v>
      </c>
      <c r="C220" s="40" t="s">
        <v>25</v>
      </c>
      <c r="D220" s="40" t="s">
        <v>2713</v>
      </c>
      <c r="E220" s="40" t="s">
        <v>38</v>
      </c>
      <c r="F220" s="40"/>
      <c r="G220" s="40" t="s">
        <v>29</v>
      </c>
      <c r="H220" s="200">
        <v>500</v>
      </c>
      <c r="I220" s="41">
        <v>100</v>
      </c>
      <c r="J220" s="40" t="s">
        <v>30</v>
      </c>
      <c r="K220" s="40" t="s">
        <v>31</v>
      </c>
    </row>
    <row r="221" spans="1:11" ht="15.75" customHeight="1">
      <c r="A221" s="438">
        <v>19</v>
      </c>
      <c r="B221" s="439" t="s">
        <v>3254</v>
      </c>
      <c r="C221" s="40" t="s">
        <v>25</v>
      </c>
      <c r="D221" s="40" t="s">
        <v>3397</v>
      </c>
      <c r="E221" s="40" t="s">
        <v>311</v>
      </c>
      <c r="F221" s="40"/>
      <c r="G221" s="40" t="s">
        <v>29</v>
      </c>
      <c r="H221" s="200">
        <v>500</v>
      </c>
      <c r="I221" s="41">
        <v>100</v>
      </c>
      <c r="J221" s="40" t="s">
        <v>30</v>
      </c>
      <c r="K221" s="40" t="s">
        <v>31</v>
      </c>
    </row>
    <row r="222" spans="1:11" ht="15.75" customHeight="1">
      <c r="A222" s="438">
        <v>19</v>
      </c>
      <c r="B222" s="439" t="s">
        <v>3742</v>
      </c>
      <c r="C222" s="40" t="s">
        <v>25</v>
      </c>
      <c r="D222" s="40" t="s">
        <v>3397</v>
      </c>
      <c r="E222" s="40" t="s">
        <v>311</v>
      </c>
      <c r="F222" s="40"/>
      <c r="G222" s="40" t="s">
        <v>29</v>
      </c>
      <c r="H222" s="200">
        <v>500</v>
      </c>
      <c r="I222" s="41">
        <v>100</v>
      </c>
      <c r="J222" s="40" t="s">
        <v>30</v>
      </c>
      <c r="K222" s="40" t="s">
        <v>31</v>
      </c>
    </row>
    <row r="223" spans="1:11" ht="15.75" customHeight="1">
      <c r="A223" s="438">
        <v>19</v>
      </c>
      <c r="B223" s="439" t="s">
        <v>3743</v>
      </c>
      <c r="C223" s="40" t="s">
        <v>25</v>
      </c>
      <c r="D223" s="40" t="s">
        <v>3021</v>
      </c>
      <c r="E223" s="40" t="s">
        <v>389</v>
      </c>
      <c r="F223" s="40"/>
      <c r="G223" s="40" t="s">
        <v>2160</v>
      </c>
      <c r="H223" s="200">
        <v>150</v>
      </c>
      <c r="I223" s="41">
        <v>1500</v>
      </c>
      <c r="J223" s="40" t="s">
        <v>30</v>
      </c>
      <c r="K223" s="40" t="s">
        <v>31</v>
      </c>
    </row>
    <row r="224" spans="1:11" ht="15.75" customHeight="1">
      <c r="A224" s="438">
        <v>19</v>
      </c>
      <c r="B224" s="439" t="s">
        <v>3744</v>
      </c>
      <c r="C224" s="40" t="s">
        <v>25</v>
      </c>
      <c r="D224" s="40" t="s">
        <v>706</v>
      </c>
      <c r="E224" s="40" t="s">
        <v>38</v>
      </c>
      <c r="F224" s="40"/>
      <c r="G224" s="40" t="s">
        <v>29</v>
      </c>
      <c r="H224" s="200">
        <v>5000</v>
      </c>
      <c r="I224" s="41">
        <v>1500</v>
      </c>
      <c r="J224" s="40" t="s">
        <v>30</v>
      </c>
      <c r="K224" s="40" t="s">
        <v>31</v>
      </c>
    </row>
    <row r="225" spans="1:11" ht="15.75" customHeight="1">
      <c r="A225" s="438">
        <v>19</v>
      </c>
      <c r="B225" s="439" t="s">
        <v>3745</v>
      </c>
      <c r="C225" s="40" t="s">
        <v>25</v>
      </c>
      <c r="D225" s="40"/>
      <c r="E225" s="40" t="s">
        <v>533</v>
      </c>
      <c r="F225" s="40"/>
      <c r="G225" s="40" t="s">
        <v>29</v>
      </c>
      <c r="H225" s="200">
        <v>500</v>
      </c>
      <c r="I225" s="41">
        <v>100</v>
      </c>
      <c r="J225" s="40" t="s">
        <v>30</v>
      </c>
      <c r="K225" s="40" t="s">
        <v>31</v>
      </c>
    </row>
    <row r="226" spans="1:11" ht="15.75" customHeight="1">
      <c r="A226" s="438">
        <v>19</v>
      </c>
      <c r="B226" s="439" t="s">
        <v>3746</v>
      </c>
      <c r="C226" s="40" t="s">
        <v>25</v>
      </c>
      <c r="D226" s="40" t="s">
        <v>831</v>
      </c>
      <c r="E226" s="40" t="s">
        <v>50</v>
      </c>
      <c r="F226" s="40"/>
      <c r="G226" s="40" t="s">
        <v>2160</v>
      </c>
      <c r="H226" s="200">
        <v>170</v>
      </c>
      <c r="I226" s="41">
        <v>1075</v>
      </c>
      <c r="J226" s="40" t="s">
        <v>30</v>
      </c>
      <c r="K226" s="40" t="s">
        <v>31</v>
      </c>
    </row>
    <row r="227" spans="1:11" ht="15.75" customHeight="1">
      <c r="A227" s="438">
        <v>19</v>
      </c>
      <c r="B227" s="439" t="s">
        <v>3746</v>
      </c>
      <c r="C227" s="40" t="s">
        <v>25</v>
      </c>
      <c r="D227" s="40" t="s">
        <v>831</v>
      </c>
      <c r="E227" s="40" t="s">
        <v>50</v>
      </c>
      <c r="F227" s="40"/>
      <c r="G227" s="40" t="s">
        <v>321</v>
      </c>
      <c r="H227" s="200">
        <v>10</v>
      </c>
      <c r="I227" s="41">
        <v>30</v>
      </c>
      <c r="J227" s="40"/>
      <c r="K227" s="40" t="s">
        <v>31</v>
      </c>
    </row>
    <row r="228" spans="1:11" ht="15.75" customHeight="1">
      <c r="A228" s="438">
        <v>19</v>
      </c>
      <c r="B228" s="439" t="s">
        <v>3747</v>
      </c>
      <c r="C228" s="40" t="s">
        <v>25</v>
      </c>
      <c r="D228" s="40" t="s">
        <v>55</v>
      </c>
      <c r="E228" s="40" t="s">
        <v>96</v>
      </c>
      <c r="F228" s="40"/>
      <c r="G228" s="40" t="s">
        <v>29</v>
      </c>
      <c r="H228" s="200">
        <v>3000</v>
      </c>
      <c r="I228" s="41">
        <v>600</v>
      </c>
      <c r="J228" s="40" t="s">
        <v>30</v>
      </c>
      <c r="K228" s="40" t="s">
        <v>31</v>
      </c>
    </row>
    <row r="229" spans="1:11" ht="15.75" customHeight="1">
      <c r="A229" s="438">
        <v>19</v>
      </c>
      <c r="B229" s="439" t="s">
        <v>764</v>
      </c>
      <c r="C229" s="40" t="s">
        <v>59</v>
      </c>
      <c r="D229" s="40" t="s">
        <v>86</v>
      </c>
      <c r="E229" s="40" t="s">
        <v>42</v>
      </c>
      <c r="F229" s="40"/>
      <c r="G229" s="40" t="s">
        <v>29</v>
      </c>
      <c r="H229" s="200">
        <v>500</v>
      </c>
      <c r="I229" s="41" t="s">
        <v>101</v>
      </c>
      <c r="J229" s="40" t="s">
        <v>30</v>
      </c>
      <c r="K229" s="40" t="s">
        <v>31</v>
      </c>
    </row>
    <row r="230" spans="1:11" ht="15.75" customHeight="1">
      <c r="A230" s="434">
        <v>19</v>
      </c>
      <c r="B230" s="435" t="s">
        <v>764</v>
      </c>
      <c r="C230" s="48" t="s">
        <v>59</v>
      </c>
      <c r="D230" s="48" t="s">
        <v>86</v>
      </c>
      <c r="E230" s="48" t="s">
        <v>42</v>
      </c>
      <c r="F230" s="48"/>
      <c r="G230" s="48" t="s">
        <v>29</v>
      </c>
      <c r="H230" s="430">
        <v>5000</v>
      </c>
      <c r="I230" s="51">
        <v>1500</v>
      </c>
      <c r="J230" s="48" t="s">
        <v>30</v>
      </c>
      <c r="K230" s="48" t="s">
        <v>31</v>
      </c>
    </row>
    <row r="231" spans="1:11" ht="15.75" customHeight="1">
      <c r="A231" s="436">
        <v>20</v>
      </c>
      <c r="B231" s="77" t="s">
        <v>3748</v>
      </c>
      <c r="C231" s="53" t="s">
        <v>25</v>
      </c>
      <c r="D231" s="53" t="s">
        <v>3583</v>
      </c>
      <c r="E231" s="53" t="s">
        <v>46</v>
      </c>
      <c r="F231" s="53"/>
      <c r="G231" s="53" t="s">
        <v>2160</v>
      </c>
      <c r="H231" s="437">
        <v>300</v>
      </c>
      <c r="I231" s="55">
        <v>1500</v>
      </c>
      <c r="J231" s="53" t="s">
        <v>30</v>
      </c>
      <c r="K231" s="53" t="s">
        <v>31</v>
      </c>
    </row>
    <row r="232" spans="1:11" ht="15.75" customHeight="1">
      <c r="A232" s="438">
        <v>21</v>
      </c>
      <c r="B232" s="439" t="s">
        <v>3749</v>
      </c>
      <c r="C232" s="40" t="s">
        <v>59</v>
      </c>
      <c r="D232" s="40" t="s">
        <v>3750</v>
      </c>
      <c r="E232" s="40" t="s">
        <v>103</v>
      </c>
      <c r="F232" s="40"/>
      <c r="G232" s="40" t="s">
        <v>2160</v>
      </c>
      <c r="H232" s="200">
        <v>30</v>
      </c>
      <c r="I232" s="41">
        <v>300</v>
      </c>
      <c r="J232" s="40"/>
      <c r="K232" s="40" t="s">
        <v>31</v>
      </c>
    </row>
    <row r="233" spans="1:11" ht="15.75" customHeight="1">
      <c r="A233" s="438">
        <v>21</v>
      </c>
      <c r="B233" s="439" t="s">
        <v>576</v>
      </c>
      <c r="C233" s="40" t="s">
        <v>25</v>
      </c>
      <c r="D233" s="40" t="s">
        <v>55</v>
      </c>
      <c r="E233" s="40" t="s">
        <v>96</v>
      </c>
      <c r="F233" s="40"/>
      <c r="G233" s="40" t="s">
        <v>29</v>
      </c>
      <c r="H233" s="200">
        <v>1000</v>
      </c>
      <c r="I233" s="41">
        <v>200</v>
      </c>
      <c r="J233" s="40" t="s">
        <v>30</v>
      </c>
      <c r="K233" s="40" t="s">
        <v>31</v>
      </c>
    </row>
    <row r="234" spans="1:11" ht="15.75" customHeight="1">
      <c r="A234" s="438">
        <v>22</v>
      </c>
      <c r="B234" s="439" t="s">
        <v>3751</v>
      </c>
      <c r="C234" s="40" t="s">
        <v>25</v>
      </c>
      <c r="D234" s="40" t="s">
        <v>3678</v>
      </c>
      <c r="E234" s="40" t="s">
        <v>34</v>
      </c>
      <c r="F234" s="40"/>
      <c r="G234" s="40" t="s">
        <v>29</v>
      </c>
      <c r="H234" s="200">
        <v>12000</v>
      </c>
      <c r="I234" s="41">
        <v>3600</v>
      </c>
      <c r="J234" s="40" t="s">
        <v>30</v>
      </c>
      <c r="K234" s="40" t="s">
        <v>31</v>
      </c>
    </row>
    <row r="235" spans="1:11" ht="15.75" customHeight="1">
      <c r="A235" s="438">
        <v>22</v>
      </c>
      <c r="B235" s="439" t="s">
        <v>1751</v>
      </c>
      <c r="C235" s="40" t="s">
        <v>59</v>
      </c>
      <c r="D235" s="40" t="s">
        <v>86</v>
      </c>
      <c r="E235" s="40" t="s">
        <v>42</v>
      </c>
      <c r="F235" s="40"/>
      <c r="G235" s="40" t="s">
        <v>29</v>
      </c>
      <c r="H235" s="200">
        <v>5000</v>
      </c>
      <c r="I235" s="41">
        <v>1000</v>
      </c>
      <c r="J235" s="40" t="s">
        <v>30</v>
      </c>
      <c r="K235" s="40" t="s">
        <v>31</v>
      </c>
    </row>
    <row r="236" spans="1:11" ht="15.75" customHeight="1">
      <c r="A236" s="438">
        <v>23</v>
      </c>
      <c r="B236" s="439" t="s">
        <v>3752</v>
      </c>
      <c r="C236" s="40" t="s">
        <v>25</v>
      </c>
      <c r="D236" s="40" t="s">
        <v>600</v>
      </c>
      <c r="E236" s="40" t="s">
        <v>60</v>
      </c>
      <c r="F236" s="40"/>
      <c r="G236" s="40" t="s">
        <v>29</v>
      </c>
      <c r="H236" s="200">
        <v>1000</v>
      </c>
      <c r="I236" s="41">
        <v>200</v>
      </c>
      <c r="J236" s="40" t="s">
        <v>30</v>
      </c>
      <c r="K236" s="40" t="s">
        <v>31</v>
      </c>
    </row>
    <row r="237" spans="1:11" ht="15.75" customHeight="1">
      <c r="A237" s="438">
        <v>23</v>
      </c>
      <c r="B237" s="439" t="s">
        <v>3753</v>
      </c>
      <c r="C237" s="40" t="s">
        <v>25</v>
      </c>
      <c r="D237" s="40" t="s">
        <v>2844</v>
      </c>
      <c r="E237" s="40" t="s">
        <v>27</v>
      </c>
      <c r="F237" s="40"/>
      <c r="G237" s="40" t="s">
        <v>29</v>
      </c>
      <c r="H237" s="200">
        <v>1000</v>
      </c>
      <c r="I237" s="41">
        <v>200</v>
      </c>
      <c r="J237" s="40" t="s">
        <v>30</v>
      </c>
      <c r="K237" s="40" t="s">
        <v>31</v>
      </c>
    </row>
    <row r="238" spans="1:11" ht="15.75" customHeight="1">
      <c r="A238" s="438">
        <v>23</v>
      </c>
      <c r="B238" s="439" t="s">
        <v>3754</v>
      </c>
      <c r="C238" s="40" t="s">
        <v>25</v>
      </c>
      <c r="D238" s="40" t="s">
        <v>548</v>
      </c>
      <c r="E238" s="40" t="s">
        <v>42</v>
      </c>
      <c r="F238" s="40"/>
      <c r="G238" s="40" t="s">
        <v>29</v>
      </c>
      <c r="H238" s="200">
        <v>500</v>
      </c>
      <c r="I238" s="41">
        <v>100</v>
      </c>
      <c r="J238" s="40" t="s">
        <v>30</v>
      </c>
      <c r="K238" s="40" t="s">
        <v>31</v>
      </c>
    </row>
    <row r="239" spans="1:11" ht="15.75" customHeight="1">
      <c r="A239" s="438">
        <v>23</v>
      </c>
      <c r="B239" s="439" t="s">
        <v>3755</v>
      </c>
      <c r="C239" s="40" t="s">
        <v>59</v>
      </c>
      <c r="D239" s="40" t="s">
        <v>86</v>
      </c>
      <c r="E239" s="40" t="s">
        <v>42</v>
      </c>
      <c r="F239" s="40"/>
      <c r="G239" s="40" t="s">
        <v>29</v>
      </c>
      <c r="H239" s="200">
        <v>25000</v>
      </c>
      <c r="I239" s="41">
        <v>5000</v>
      </c>
      <c r="J239" s="40" t="s">
        <v>30</v>
      </c>
      <c r="K239" s="40" t="s">
        <v>31</v>
      </c>
    </row>
    <row r="240" spans="1:11" ht="15.75" customHeight="1">
      <c r="A240" s="438">
        <v>23</v>
      </c>
      <c r="B240" s="439" t="s">
        <v>3756</v>
      </c>
      <c r="C240" s="40" t="s">
        <v>25</v>
      </c>
      <c r="D240" s="40" t="s">
        <v>3757</v>
      </c>
      <c r="E240" s="40" t="s">
        <v>216</v>
      </c>
      <c r="F240" s="40"/>
      <c r="G240" s="40" t="s">
        <v>2160</v>
      </c>
      <c r="H240" s="200">
        <v>350</v>
      </c>
      <c r="I240" s="41">
        <v>1750</v>
      </c>
      <c r="J240" s="40" t="s">
        <v>30</v>
      </c>
      <c r="K240" s="40" t="s">
        <v>31</v>
      </c>
    </row>
    <row r="241" spans="1:11" ht="15.75" customHeight="1">
      <c r="A241" s="438">
        <v>23</v>
      </c>
      <c r="B241" s="439" t="s">
        <v>3758</v>
      </c>
      <c r="C241" s="40" t="s">
        <v>25</v>
      </c>
      <c r="D241" s="40" t="s">
        <v>3759</v>
      </c>
      <c r="E241" s="40" t="s">
        <v>38</v>
      </c>
      <c r="F241" s="40"/>
      <c r="G241" s="40" t="s">
        <v>2160</v>
      </c>
      <c r="H241" s="200">
        <v>15</v>
      </c>
      <c r="I241" s="41">
        <v>150</v>
      </c>
      <c r="J241" s="40" t="s">
        <v>30</v>
      </c>
      <c r="K241" s="40" t="s">
        <v>31</v>
      </c>
    </row>
    <row r="242" spans="1:11" ht="15.75" customHeight="1">
      <c r="A242" s="434">
        <v>23</v>
      </c>
      <c r="B242" s="435" t="s">
        <v>3760</v>
      </c>
      <c r="C242" s="48" t="s">
        <v>59</v>
      </c>
      <c r="D242" s="48" t="s">
        <v>3761</v>
      </c>
      <c r="E242" s="48" t="s">
        <v>318</v>
      </c>
      <c r="F242" s="48"/>
      <c r="G242" s="48" t="s">
        <v>2160</v>
      </c>
      <c r="H242" s="430">
        <v>100</v>
      </c>
      <c r="I242" s="51">
        <v>1000</v>
      </c>
      <c r="J242" s="48" t="s">
        <v>30</v>
      </c>
      <c r="K242" s="48" t="s">
        <v>31</v>
      </c>
    </row>
    <row r="243" spans="1:11" ht="15.75" customHeight="1">
      <c r="A243" s="436">
        <v>26</v>
      </c>
      <c r="B243" s="77" t="s">
        <v>3762</v>
      </c>
      <c r="C243" s="53" t="s">
        <v>25</v>
      </c>
      <c r="D243" s="53" t="s">
        <v>1511</v>
      </c>
      <c r="E243" s="53" t="s">
        <v>111</v>
      </c>
      <c r="F243" s="53"/>
      <c r="G243" s="53" t="s">
        <v>29</v>
      </c>
      <c r="H243" s="437">
        <v>450</v>
      </c>
      <c r="I243" s="55">
        <v>90</v>
      </c>
      <c r="J243" s="53" t="s">
        <v>30</v>
      </c>
      <c r="K243" s="53" t="s">
        <v>31</v>
      </c>
    </row>
    <row r="244" spans="1:11" ht="15.75" customHeight="1">
      <c r="A244" s="438">
        <v>26</v>
      </c>
      <c r="B244" s="439" t="s">
        <v>3372</v>
      </c>
      <c r="C244" s="40" t="s">
        <v>25</v>
      </c>
      <c r="D244" s="40" t="s">
        <v>3571</v>
      </c>
      <c r="E244" s="40" t="s">
        <v>311</v>
      </c>
      <c r="F244" s="40"/>
      <c r="G244" s="40" t="s">
        <v>29</v>
      </c>
      <c r="H244" s="200">
        <v>300</v>
      </c>
      <c r="I244" s="41">
        <v>60</v>
      </c>
      <c r="J244" s="40" t="s">
        <v>30</v>
      </c>
      <c r="K244" s="40" t="s">
        <v>31</v>
      </c>
    </row>
    <row r="245" spans="1:11" ht="15.75" customHeight="1">
      <c r="A245" s="438">
        <v>26</v>
      </c>
      <c r="B245" s="439" t="s">
        <v>3763</v>
      </c>
      <c r="C245" s="40" t="s">
        <v>25</v>
      </c>
      <c r="D245" s="40" t="s">
        <v>3764</v>
      </c>
      <c r="E245" s="40" t="s">
        <v>96</v>
      </c>
      <c r="F245" s="40"/>
      <c r="G245" s="40" t="s">
        <v>2160</v>
      </c>
      <c r="H245" s="200">
        <v>6</v>
      </c>
      <c r="I245" s="41">
        <v>60</v>
      </c>
      <c r="J245" s="40"/>
      <c r="K245" s="40" t="s">
        <v>31</v>
      </c>
    </row>
    <row r="246" spans="1:11" ht="15.75" customHeight="1">
      <c r="A246" s="438">
        <v>26</v>
      </c>
      <c r="B246" s="439" t="s">
        <v>3765</v>
      </c>
      <c r="C246" s="40" t="s">
        <v>59</v>
      </c>
      <c r="D246" s="40" t="s">
        <v>149</v>
      </c>
      <c r="E246" s="40" t="s">
        <v>150</v>
      </c>
      <c r="F246" s="40"/>
      <c r="G246" s="40" t="s">
        <v>2160</v>
      </c>
      <c r="H246" s="200">
        <v>20</v>
      </c>
      <c r="I246" s="41">
        <v>100</v>
      </c>
      <c r="J246" s="40" t="s">
        <v>30</v>
      </c>
      <c r="K246" s="40" t="s">
        <v>31</v>
      </c>
    </row>
    <row r="247" spans="1:11" ht="15.75" customHeight="1">
      <c r="A247" s="438">
        <v>26</v>
      </c>
      <c r="B247" s="439" t="s">
        <v>3766</v>
      </c>
      <c r="C247" s="40" t="s">
        <v>25</v>
      </c>
      <c r="D247" s="40" t="s">
        <v>192</v>
      </c>
      <c r="E247" s="40" t="s">
        <v>78</v>
      </c>
      <c r="F247" s="40"/>
      <c r="G247" s="40" t="s">
        <v>29</v>
      </c>
      <c r="H247" s="200">
        <v>600</v>
      </c>
      <c r="I247" s="41">
        <v>120</v>
      </c>
      <c r="J247" s="40" t="s">
        <v>30</v>
      </c>
      <c r="K247" s="40" t="s">
        <v>31</v>
      </c>
    </row>
    <row r="248" spans="1:11" ht="15.75" customHeight="1">
      <c r="A248" s="438">
        <v>26</v>
      </c>
      <c r="B248" s="439" t="s">
        <v>3767</v>
      </c>
      <c r="C248" s="40" t="s">
        <v>25</v>
      </c>
      <c r="D248" s="40" t="s">
        <v>1678</v>
      </c>
      <c r="E248" s="40" t="s">
        <v>96</v>
      </c>
      <c r="F248" s="40"/>
      <c r="G248" s="40" t="s">
        <v>2160</v>
      </c>
      <c r="H248" s="200">
        <v>25</v>
      </c>
      <c r="I248" s="41">
        <v>125</v>
      </c>
      <c r="J248" s="40"/>
      <c r="K248" s="40" t="s">
        <v>31</v>
      </c>
    </row>
    <row r="249" spans="1:11" ht="15.75" customHeight="1">
      <c r="A249" s="438">
        <v>26</v>
      </c>
      <c r="B249" s="439" t="s">
        <v>3768</v>
      </c>
      <c r="C249" s="40" t="s">
        <v>59</v>
      </c>
      <c r="D249" s="40" t="s">
        <v>195</v>
      </c>
      <c r="E249" s="40" t="s">
        <v>96</v>
      </c>
      <c r="F249" s="40"/>
      <c r="G249" s="40" t="s">
        <v>29</v>
      </c>
      <c r="H249" s="200">
        <v>300</v>
      </c>
      <c r="I249" s="41">
        <v>90</v>
      </c>
      <c r="J249" s="40" t="s">
        <v>30</v>
      </c>
      <c r="K249" s="40" t="s">
        <v>31</v>
      </c>
    </row>
    <row r="250" spans="1:11" ht="15.75" customHeight="1">
      <c r="A250" s="438">
        <v>26</v>
      </c>
      <c r="B250" s="439" t="s">
        <v>2917</v>
      </c>
      <c r="C250" s="40" t="s">
        <v>25</v>
      </c>
      <c r="D250" s="40" t="s">
        <v>2918</v>
      </c>
      <c r="E250" s="40" t="s">
        <v>1461</v>
      </c>
      <c r="F250" s="40"/>
      <c r="G250" s="40" t="s">
        <v>29</v>
      </c>
      <c r="H250" s="200">
        <v>2000</v>
      </c>
      <c r="I250" s="41">
        <v>400</v>
      </c>
      <c r="J250" s="40" t="s">
        <v>30</v>
      </c>
      <c r="K250" s="40" t="s">
        <v>31</v>
      </c>
    </row>
    <row r="251" spans="1:11" ht="15.75" customHeight="1">
      <c r="A251" s="438">
        <v>26</v>
      </c>
      <c r="B251" s="439" t="s">
        <v>3769</v>
      </c>
      <c r="C251" s="40" t="s">
        <v>59</v>
      </c>
      <c r="D251" s="40" t="s">
        <v>710</v>
      </c>
      <c r="E251" s="40" t="s">
        <v>216</v>
      </c>
      <c r="F251" s="40"/>
      <c r="G251" s="40" t="s">
        <v>29</v>
      </c>
      <c r="H251" s="200">
        <v>1500</v>
      </c>
      <c r="I251" s="41" t="s">
        <v>101</v>
      </c>
      <c r="J251" s="40" t="s">
        <v>30</v>
      </c>
      <c r="K251" s="40" t="s">
        <v>31</v>
      </c>
    </row>
    <row r="252" spans="1:11" ht="15.75" customHeight="1">
      <c r="A252" s="438">
        <v>27</v>
      </c>
      <c r="B252" s="439" t="s">
        <v>3770</v>
      </c>
      <c r="C252" s="40" t="s">
        <v>59</v>
      </c>
      <c r="D252" s="40" t="s">
        <v>235</v>
      </c>
      <c r="E252" s="40" t="s">
        <v>78</v>
      </c>
      <c r="F252" s="40"/>
      <c r="G252" s="40" t="s">
        <v>29</v>
      </c>
      <c r="H252" s="200">
        <v>100</v>
      </c>
      <c r="I252" s="41">
        <v>20</v>
      </c>
      <c r="J252" s="40" t="s">
        <v>30</v>
      </c>
      <c r="K252" s="40" t="s">
        <v>31</v>
      </c>
    </row>
    <row r="253" spans="1:11" ht="15.75" customHeight="1">
      <c r="A253" s="438">
        <v>27</v>
      </c>
      <c r="B253" s="439" t="s">
        <v>2140</v>
      </c>
      <c r="C253" s="40" t="s">
        <v>25</v>
      </c>
      <c r="D253" s="40" t="s">
        <v>2141</v>
      </c>
      <c r="E253" s="40" t="s">
        <v>533</v>
      </c>
      <c r="F253" s="40"/>
      <c r="G253" s="40" t="s">
        <v>29</v>
      </c>
      <c r="H253" s="200">
        <v>1500</v>
      </c>
      <c r="I253" s="41">
        <v>300</v>
      </c>
      <c r="J253" s="40" t="s">
        <v>30</v>
      </c>
      <c r="K253" s="40" t="s">
        <v>31</v>
      </c>
    </row>
    <row r="254" spans="1:11" ht="15.75" customHeight="1">
      <c r="A254" s="438">
        <v>27</v>
      </c>
      <c r="B254" s="439" t="s">
        <v>3771</v>
      </c>
      <c r="C254" s="40" t="s">
        <v>25</v>
      </c>
      <c r="D254" s="40" t="s">
        <v>103</v>
      </c>
      <c r="E254" s="40" t="s">
        <v>34</v>
      </c>
      <c r="F254" s="40"/>
      <c r="G254" s="40" t="s">
        <v>29</v>
      </c>
      <c r="H254" s="200">
        <v>500</v>
      </c>
      <c r="I254" s="41">
        <v>100</v>
      </c>
      <c r="J254" s="40" t="s">
        <v>30</v>
      </c>
      <c r="K254" s="40" t="s">
        <v>31</v>
      </c>
    </row>
    <row r="255" spans="1:11" ht="15.75" customHeight="1">
      <c r="A255" s="438">
        <v>27</v>
      </c>
      <c r="B255" s="439" t="s">
        <v>3681</v>
      </c>
      <c r="C255" s="40" t="s">
        <v>25</v>
      </c>
      <c r="D255" s="40" t="s">
        <v>831</v>
      </c>
      <c r="E255" s="40" t="s">
        <v>50</v>
      </c>
      <c r="F255" s="40"/>
      <c r="G255" s="40" t="s">
        <v>2160</v>
      </c>
      <c r="H255" s="200">
        <v>90</v>
      </c>
      <c r="I255" s="41">
        <v>450</v>
      </c>
      <c r="J255" s="40" t="s">
        <v>30</v>
      </c>
      <c r="K255" s="40" t="s">
        <v>31</v>
      </c>
    </row>
    <row r="256" spans="1:11" ht="15.75" customHeight="1">
      <c r="A256" s="438"/>
      <c r="B256" s="439"/>
      <c r="C256" s="40"/>
      <c r="D256" s="40"/>
      <c r="E256" s="40"/>
      <c r="F256" s="40"/>
      <c r="G256" s="40"/>
      <c r="H256" s="200"/>
      <c r="I256" s="41"/>
      <c r="J256" s="40"/>
      <c r="K256" s="40"/>
    </row>
    <row r="257" spans="1:26" ht="15.75" customHeight="1">
      <c r="A257" s="2"/>
      <c r="B257" s="1"/>
      <c r="C257" s="1"/>
      <c r="D257" s="1"/>
      <c r="E257" s="1"/>
      <c r="F257" s="1"/>
      <c r="G257" s="1"/>
      <c r="H257" s="45"/>
      <c r="I257" s="61"/>
      <c r="J257" s="1"/>
      <c r="K257" s="1"/>
    </row>
    <row r="258" spans="1:26" ht="15.75" customHeight="1">
      <c r="A258" s="2"/>
      <c r="B258" s="1"/>
      <c r="C258" s="1"/>
      <c r="D258" s="1"/>
      <c r="E258" s="1"/>
      <c r="F258" s="1"/>
      <c r="G258" s="1"/>
      <c r="H258" s="1"/>
      <c r="I258" s="61"/>
      <c r="J258" s="1"/>
      <c r="K258" s="1"/>
    </row>
    <row r="259" spans="1:26" ht="15.75" customHeight="1">
      <c r="A259" s="2"/>
      <c r="B259" s="1"/>
      <c r="C259" s="1"/>
      <c r="D259" s="1"/>
      <c r="E259" s="1"/>
      <c r="F259" s="1"/>
      <c r="G259" s="1"/>
      <c r="H259" s="1"/>
      <c r="I259" s="62" t="s">
        <v>335</v>
      </c>
      <c r="J259" s="63"/>
      <c r="K259" s="1"/>
    </row>
    <row r="260" spans="1:26" ht="16.5" customHeight="1">
      <c r="A260" s="2"/>
      <c r="B260" s="1" t="s">
        <v>336</v>
      </c>
      <c r="C260" s="1"/>
      <c r="D260" s="1"/>
      <c r="E260" s="1" t="s">
        <v>337</v>
      </c>
      <c r="F260" s="1"/>
      <c r="G260" s="1"/>
      <c r="H260" s="1"/>
      <c r="I260" s="6" t="s">
        <v>338</v>
      </c>
      <c r="J260" s="292" t="s">
        <v>3772</v>
      </c>
      <c r="K260" s="1"/>
    </row>
    <row r="261" spans="1:26" ht="15.75" customHeight="1">
      <c r="A261" s="2"/>
      <c r="B261" s="1"/>
      <c r="C261" s="1"/>
      <c r="D261" s="1"/>
      <c r="E261" s="1"/>
      <c r="F261" s="1"/>
      <c r="G261" s="1"/>
      <c r="H261" s="1"/>
      <c r="I261" s="6" t="s">
        <v>340</v>
      </c>
      <c r="J261" s="292" t="s">
        <v>3773</v>
      </c>
      <c r="K261" s="65"/>
    </row>
    <row r="262" spans="1:26" ht="15.75" customHeight="1">
      <c r="A262" s="2"/>
      <c r="B262" s="1"/>
      <c r="C262" s="1"/>
      <c r="D262" s="1"/>
      <c r="E262" s="1"/>
      <c r="F262" s="1"/>
      <c r="G262" s="1"/>
      <c r="H262" s="1"/>
      <c r="I262" s="6" t="s">
        <v>342</v>
      </c>
      <c r="J262" s="292">
        <v>0</v>
      </c>
      <c r="K262" s="1"/>
    </row>
    <row r="263" spans="1:26" ht="15.75" customHeight="1">
      <c r="A263" s="2"/>
      <c r="B263" s="67" t="s">
        <v>343</v>
      </c>
      <c r="C263" s="1"/>
      <c r="D263" s="1"/>
      <c r="E263" s="554" t="s">
        <v>344</v>
      </c>
      <c r="F263" s="553"/>
      <c r="G263" s="553"/>
      <c r="H263" s="553"/>
      <c r="I263" s="6" t="s">
        <v>345</v>
      </c>
      <c r="J263" s="292" t="s">
        <v>3774</v>
      </c>
      <c r="K263" s="1"/>
    </row>
    <row r="264" spans="1:26" ht="15.75" customHeight="1">
      <c r="A264" s="2"/>
      <c r="B264" s="1" t="s">
        <v>347</v>
      </c>
      <c r="C264" s="1"/>
      <c r="D264" s="1"/>
      <c r="E264" s="552" t="s">
        <v>348</v>
      </c>
      <c r="F264" s="553"/>
      <c r="G264" s="553"/>
      <c r="H264" s="553"/>
      <c r="I264" s="6" t="s">
        <v>349</v>
      </c>
      <c r="J264" s="292">
        <v>0</v>
      </c>
      <c r="K264" s="1"/>
    </row>
    <row r="265" spans="1:26" ht="15.75" customHeight="1">
      <c r="A265" s="2"/>
      <c r="B265" s="1"/>
      <c r="C265" s="1"/>
      <c r="D265" s="1"/>
      <c r="E265" s="1"/>
      <c r="F265" s="1"/>
      <c r="G265" s="1"/>
      <c r="H265" s="1"/>
      <c r="I265" s="6" t="s">
        <v>351</v>
      </c>
      <c r="J265" s="292">
        <v>0</v>
      </c>
      <c r="K265" s="1"/>
    </row>
    <row r="266" spans="1:26" ht="15.75" customHeight="1">
      <c r="A266" s="2"/>
      <c r="B266" s="1"/>
      <c r="C266" s="1"/>
      <c r="D266" s="1"/>
      <c r="E266" s="1"/>
      <c r="F266" s="1"/>
      <c r="G266" s="1"/>
      <c r="H266" s="1"/>
      <c r="I266" s="6" t="s">
        <v>353</v>
      </c>
      <c r="J266" s="293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2"/>
      <c r="B267" s="1"/>
      <c r="C267" s="1"/>
      <c r="D267" s="1"/>
      <c r="E267" s="1"/>
      <c r="F267" s="1"/>
      <c r="G267" s="1"/>
      <c r="H267" s="1"/>
      <c r="I267" s="68" t="s">
        <v>354</v>
      </c>
      <c r="J267" s="291" t="s">
        <v>3775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2"/>
      <c r="B268" s="1"/>
      <c r="C268" s="1"/>
      <c r="D268" s="1"/>
      <c r="E268" s="1"/>
      <c r="F268" s="1"/>
      <c r="G268" s="1"/>
      <c r="H268" s="1"/>
      <c r="I268" s="68" t="s">
        <v>356</v>
      </c>
      <c r="J268" s="69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2"/>
      <c r="B269" s="70"/>
      <c r="C269" s="1"/>
      <c r="D269" s="1"/>
      <c r="E269" s="70"/>
      <c r="F269" s="70"/>
      <c r="G269" s="70"/>
      <c r="H269" s="1"/>
      <c r="I269" s="6"/>
      <c r="J269" s="63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2"/>
      <c r="B270" s="1"/>
      <c r="C270" s="1"/>
      <c r="D270" s="1"/>
      <c r="E270" s="1"/>
      <c r="F270" s="1"/>
      <c r="G270" s="1"/>
      <c r="H270" s="1"/>
      <c r="I270" s="61"/>
      <c r="J270" s="1"/>
      <c r="K270" s="1"/>
    </row>
    <row r="271" spans="1:26" ht="15.75" customHeight="1">
      <c r="A271" s="2"/>
      <c r="B271" s="1"/>
      <c r="C271" s="1"/>
      <c r="D271" s="1"/>
      <c r="E271" s="1"/>
      <c r="F271" s="1"/>
      <c r="G271" s="1"/>
      <c r="H271" s="1"/>
      <c r="I271" s="61"/>
      <c r="J271" s="1"/>
      <c r="K271" s="1"/>
    </row>
    <row r="272" spans="1:26" ht="15.75" customHeight="1">
      <c r="A272" s="2"/>
      <c r="B272" s="1"/>
      <c r="C272" s="1"/>
      <c r="D272" s="1"/>
      <c r="E272" s="1"/>
      <c r="F272" s="1"/>
      <c r="G272" s="1"/>
      <c r="H272" s="1"/>
      <c r="I272" s="61"/>
      <c r="J272" s="1"/>
      <c r="K272" s="1"/>
    </row>
    <row r="273" spans="1:11" ht="15.75" customHeight="1">
      <c r="A273" s="2"/>
      <c r="B273" s="1"/>
      <c r="C273" s="1"/>
      <c r="D273" s="1"/>
      <c r="E273" s="1"/>
      <c r="F273" s="1"/>
      <c r="G273" s="1"/>
      <c r="H273" s="1"/>
      <c r="I273" s="61"/>
      <c r="J273" s="1"/>
      <c r="K273" s="1"/>
    </row>
    <row r="274" spans="1:11" ht="15.75" customHeight="1">
      <c r="A274" s="2"/>
      <c r="B274" s="1"/>
      <c r="C274" s="1"/>
      <c r="D274" s="1"/>
      <c r="E274" s="1"/>
      <c r="F274" s="1"/>
      <c r="G274" s="1"/>
      <c r="H274" s="1"/>
      <c r="I274" s="61"/>
      <c r="J274" s="1"/>
      <c r="K274" s="1"/>
    </row>
    <row r="275" spans="1:11" ht="15.75" customHeight="1">
      <c r="A275" s="2"/>
      <c r="B275" s="1"/>
      <c r="C275" s="1"/>
      <c r="D275" s="1"/>
      <c r="E275" s="1"/>
      <c r="F275" s="1"/>
      <c r="G275" s="1"/>
      <c r="H275" s="1"/>
      <c r="I275" s="61"/>
      <c r="J275" s="1"/>
      <c r="K275" s="1"/>
    </row>
    <row r="276" spans="1:11" ht="15.75" customHeight="1">
      <c r="A276" s="2"/>
      <c r="B276" s="1"/>
      <c r="C276" s="1"/>
      <c r="D276" s="1"/>
      <c r="E276" s="1"/>
      <c r="F276" s="1"/>
      <c r="G276" s="1"/>
      <c r="H276" s="1"/>
      <c r="I276" s="61"/>
      <c r="J276" s="1"/>
      <c r="K276" s="1"/>
    </row>
    <row r="277" spans="1:11" ht="15.75" customHeight="1">
      <c r="A277" s="2"/>
      <c r="B277" s="1"/>
      <c r="C277" s="1"/>
      <c r="D277" s="1"/>
      <c r="E277" s="1"/>
      <c r="F277" s="1"/>
      <c r="G277" s="1"/>
      <c r="H277" s="1"/>
      <c r="I277" s="61"/>
      <c r="J277" s="1"/>
      <c r="K277" s="1"/>
    </row>
    <row r="278" spans="1:11" ht="15.75" customHeight="1">
      <c r="A278" s="2"/>
      <c r="B278" s="1"/>
      <c r="C278" s="1"/>
      <c r="D278" s="1"/>
      <c r="E278" s="1"/>
      <c r="F278" s="1"/>
      <c r="G278" s="1"/>
      <c r="H278" s="1"/>
      <c r="I278" s="61"/>
      <c r="J278" s="1"/>
      <c r="K278" s="1"/>
    </row>
    <row r="279" spans="1:11" ht="15.75" customHeight="1">
      <c r="A279" s="2"/>
      <c r="B279" s="1"/>
      <c r="C279" s="1"/>
      <c r="D279" s="1"/>
      <c r="E279" s="1"/>
      <c r="F279" s="1"/>
      <c r="G279" s="1"/>
      <c r="H279" s="1"/>
      <c r="I279" s="61"/>
      <c r="J279" s="1"/>
      <c r="K279" s="1"/>
    </row>
    <row r="280" spans="1:11" ht="15.75" customHeight="1">
      <c r="A280" s="2"/>
      <c r="B280" s="1"/>
      <c r="C280" s="1"/>
      <c r="D280" s="1"/>
      <c r="E280" s="1"/>
      <c r="F280" s="1"/>
      <c r="G280" s="1"/>
      <c r="H280" s="1"/>
      <c r="I280" s="61"/>
      <c r="J280" s="1"/>
      <c r="K280" s="1"/>
    </row>
    <row r="281" spans="1:11" ht="15.75" customHeight="1">
      <c r="A281" s="2"/>
      <c r="B281" s="1"/>
      <c r="C281" s="1"/>
      <c r="D281" s="1"/>
      <c r="E281" s="1"/>
      <c r="F281" s="1"/>
      <c r="G281" s="1"/>
      <c r="H281" s="1"/>
      <c r="I281" s="61"/>
      <c r="J281" s="1"/>
      <c r="K281" s="1"/>
    </row>
    <row r="282" spans="1:11" ht="15.75" customHeight="1">
      <c r="A282" s="2"/>
      <c r="B282" s="1"/>
      <c r="C282" s="1"/>
      <c r="D282" s="1"/>
      <c r="E282" s="1"/>
      <c r="F282" s="1"/>
      <c r="G282" s="1"/>
      <c r="H282" s="1"/>
      <c r="I282" s="61"/>
      <c r="J282" s="1"/>
      <c r="K282" s="1"/>
    </row>
    <row r="283" spans="1:11" ht="15.75" customHeight="1">
      <c r="A283" s="2"/>
      <c r="B283" s="1"/>
      <c r="C283" s="1"/>
      <c r="D283" s="1"/>
      <c r="E283" s="1"/>
      <c r="F283" s="1"/>
      <c r="G283" s="1"/>
      <c r="H283" s="1"/>
      <c r="I283" s="61"/>
      <c r="J283" s="1"/>
      <c r="K283" s="1"/>
    </row>
    <row r="284" spans="1:11" ht="15.75" customHeight="1">
      <c r="A284" s="2"/>
      <c r="B284" s="1"/>
      <c r="C284" s="1"/>
      <c r="D284" s="1"/>
      <c r="E284" s="1"/>
      <c r="F284" s="1"/>
      <c r="G284" s="1"/>
      <c r="H284" s="1"/>
      <c r="I284" s="61"/>
      <c r="J284" s="1"/>
      <c r="K284" s="1"/>
    </row>
    <row r="285" spans="1:11" ht="15.75" customHeight="1">
      <c r="A285" s="2"/>
      <c r="B285" s="1"/>
      <c r="C285" s="1"/>
      <c r="D285" s="1"/>
      <c r="E285" s="1"/>
      <c r="F285" s="1"/>
      <c r="G285" s="1"/>
      <c r="H285" s="1"/>
      <c r="I285" s="61"/>
      <c r="J285" s="1"/>
      <c r="K285" s="1"/>
    </row>
    <row r="286" spans="1:11" ht="15.75" customHeight="1">
      <c r="A286" s="2"/>
      <c r="B286" s="1"/>
      <c r="C286" s="1"/>
      <c r="D286" s="1"/>
      <c r="E286" s="1"/>
      <c r="F286" s="1"/>
      <c r="G286" s="1"/>
      <c r="H286" s="1"/>
      <c r="I286" s="61"/>
      <c r="J286" s="1"/>
      <c r="K286" s="1"/>
    </row>
    <row r="287" spans="1:11" ht="15.75" customHeight="1">
      <c r="A287" s="2"/>
      <c r="B287" s="1"/>
      <c r="C287" s="1"/>
      <c r="D287" s="1"/>
      <c r="E287" s="1"/>
      <c r="F287" s="1"/>
      <c r="G287" s="1"/>
      <c r="H287" s="1"/>
      <c r="I287" s="61"/>
      <c r="J287" s="1"/>
      <c r="K287" s="1"/>
    </row>
    <row r="288" spans="1:11" ht="15.75" customHeight="1">
      <c r="A288" s="2"/>
      <c r="B288" s="1"/>
      <c r="C288" s="1"/>
      <c r="D288" s="1"/>
      <c r="E288" s="1"/>
      <c r="F288" s="1"/>
      <c r="G288" s="1"/>
      <c r="H288" s="1"/>
      <c r="I288" s="61"/>
      <c r="J288" s="1"/>
      <c r="K288" s="1"/>
    </row>
    <row r="289" spans="1:11" ht="15.75" customHeight="1">
      <c r="A289" s="2"/>
      <c r="B289" s="1"/>
      <c r="C289" s="1"/>
      <c r="D289" s="1"/>
      <c r="E289" s="1"/>
      <c r="F289" s="1"/>
      <c r="G289" s="1"/>
      <c r="H289" s="1"/>
      <c r="I289" s="61"/>
      <c r="J289" s="1"/>
      <c r="K289" s="1"/>
    </row>
    <row r="290" spans="1:11" ht="15.75" customHeight="1">
      <c r="A290" s="2"/>
      <c r="B290" s="1"/>
      <c r="C290" s="1"/>
      <c r="D290" s="1"/>
      <c r="E290" s="1"/>
      <c r="F290" s="1"/>
      <c r="G290" s="1"/>
      <c r="H290" s="1"/>
      <c r="I290" s="61"/>
      <c r="J290" s="1"/>
      <c r="K290" s="1"/>
    </row>
    <row r="291" spans="1:11" ht="15.75" customHeight="1">
      <c r="A291" s="2"/>
      <c r="B291" s="1"/>
      <c r="C291" s="1"/>
      <c r="D291" s="1"/>
      <c r="E291" s="1"/>
      <c r="F291" s="1"/>
      <c r="G291" s="1"/>
      <c r="H291" s="1"/>
      <c r="I291" s="61"/>
      <c r="J291" s="1"/>
      <c r="K291" s="1"/>
    </row>
    <row r="292" spans="1:11" ht="15.75" customHeight="1">
      <c r="A292" s="2"/>
      <c r="B292" s="1"/>
      <c r="C292" s="1"/>
      <c r="D292" s="1"/>
      <c r="E292" s="1"/>
      <c r="F292" s="1"/>
      <c r="G292" s="1"/>
      <c r="H292" s="1"/>
      <c r="I292" s="61"/>
      <c r="J292" s="1"/>
      <c r="K292" s="1"/>
    </row>
    <row r="293" spans="1:11" ht="15.75" customHeight="1">
      <c r="A293" s="2"/>
      <c r="B293" s="1"/>
      <c r="C293" s="1"/>
      <c r="D293" s="1"/>
      <c r="E293" s="1"/>
      <c r="F293" s="1"/>
      <c r="G293" s="1"/>
      <c r="H293" s="1"/>
      <c r="I293" s="61"/>
      <c r="J293" s="1"/>
      <c r="K293" s="1"/>
    </row>
    <row r="294" spans="1:11" ht="15.75" customHeight="1">
      <c r="A294" s="2"/>
      <c r="B294" s="1"/>
      <c r="C294" s="1"/>
      <c r="D294" s="1"/>
      <c r="E294" s="1"/>
      <c r="F294" s="1"/>
      <c r="G294" s="1"/>
      <c r="H294" s="1"/>
      <c r="I294" s="61"/>
      <c r="J294" s="1"/>
      <c r="K294" s="1"/>
    </row>
    <row r="295" spans="1:11" ht="15.75" customHeight="1">
      <c r="A295" s="2"/>
      <c r="B295" s="1"/>
      <c r="C295" s="1"/>
      <c r="D295" s="1"/>
      <c r="E295" s="1"/>
      <c r="F295" s="1"/>
      <c r="G295" s="1"/>
      <c r="H295" s="1"/>
      <c r="I295" s="61"/>
      <c r="J295" s="1"/>
      <c r="K295" s="1"/>
    </row>
    <row r="296" spans="1:11" ht="15.75" customHeight="1">
      <c r="A296" s="2"/>
      <c r="B296" s="1"/>
      <c r="C296" s="1"/>
      <c r="D296" s="1"/>
      <c r="E296" s="1"/>
      <c r="F296" s="1"/>
      <c r="G296" s="1"/>
      <c r="H296" s="1"/>
      <c r="I296" s="61"/>
      <c r="J296" s="1"/>
      <c r="K296" s="1"/>
    </row>
    <row r="297" spans="1:11" ht="15.75" customHeight="1">
      <c r="A297" s="2"/>
      <c r="B297" s="1"/>
      <c r="C297" s="1"/>
      <c r="D297" s="1"/>
      <c r="E297" s="1"/>
      <c r="F297" s="1"/>
      <c r="G297" s="1"/>
      <c r="H297" s="1"/>
      <c r="I297" s="61"/>
      <c r="J297" s="1"/>
      <c r="K297" s="1"/>
    </row>
    <row r="298" spans="1:11" ht="15.75" customHeight="1">
      <c r="A298" s="2"/>
      <c r="B298" s="1"/>
      <c r="C298" s="1"/>
      <c r="D298" s="1"/>
      <c r="E298" s="1"/>
      <c r="F298" s="1"/>
      <c r="G298" s="1"/>
      <c r="H298" s="1"/>
      <c r="I298" s="61"/>
      <c r="J298" s="1"/>
      <c r="K298" s="1"/>
    </row>
    <row r="299" spans="1:11" ht="15.75" customHeight="1">
      <c r="A299" s="2"/>
      <c r="B299" s="1"/>
      <c r="C299" s="1"/>
      <c r="D299" s="1"/>
      <c r="E299" s="1"/>
      <c r="F299" s="1"/>
      <c r="G299" s="1"/>
      <c r="H299" s="1"/>
      <c r="I299" s="61"/>
      <c r="J299" s="1"/>
      <c r="K299" s="1"/>
    </row>
    <row r="300" spans="1:11" ht="15.75" customHeight="1">
      <c r="A300" s="2"/>
      <c r="B300" s="1"/>
      <c r="C300" s="1"/>
      <c r="D300" s="1"/>
      <c r="E300" s="1"/>
      <c r="F300" s="1"/>
      <c r="G300" s="1"/>
      <c r="H300" s="1"/>
      <c r="I300" s="61"/>
      <c r="J300" s="1"/>
      <c r="K300" s="1"/>
    </row>
    <row r="301" spans="1:11" ht="15.75" customHeight="1">
      <c r="A301" s="2"/>
      <c r="B301" s="1"/>
      <c r="C301" s="1"/>
      <c r="D301" s="1"/>
      <c r="E301" s="1"/>
      <c r="F301" s="1"/>
      <c r="G301" s="1"/>
      <c r="H301" s="1"/>
      <c r="I301" s="61"/>
      <c r="J301" s="1"/>
      <c r="K301" s="1"/>
    </row>
    <row r="302" spans="1:11" ht="15.75" customHeight="1">
      <c r="A302" s="2"/>
      <c r="B302" s="1"/>
      <c r="C302" s="1"/>
      <c r="D302" s="1"/>
      <c r="E302" s="1"/>
      <c r="F302" s="1"/>
      <c r="G302" s="1"/>
      <c r="H302" s="1"/>
      <c r="I302" s="61"/>
      <c r="J302" s="1"/>
      <c r="K302" s="1"/>
    </row>
    <row r="303" spans="1:11" ht="15.75" customHeight="1">
      <c r="A303" s="2"/>
      <c r="B303" s="1"/>
      <c r="C303" s="1"/>
      <c r="D303" s="1"/>
      <c r="E303" s="1"/>
      <c r="F303" s="1"/>
      <c r="G303" s="1"/>
      <c r="H303" s="1"/>
      <c r="I303" s="61"/>
      <c r="J303" s="1"/>
      <c r="K303" s="1"/>
    </row>
    <row r="304" spans="1:11" ht="15.75" customHeight="1">
      <c r="A304" s="2"/>
      <c r="B304" s="1"/>
      <c r="C304" s="1"/>
      <c r="D304" s="1"/>
      <c r="E304" s="1"/>
      <c r="F304" s="1"/>
      <c r="G304" s="1"/>
      <c r="H304" s="1"/>
      <c r="I304" s="61"/>
      <c r="J304" s="1"/>
      <c r="K304" s="1"/>
    </row>
    <row r="305" spans="1:11" ht="15.75" customHeight="1">
      <c r="A305" s="2"/>
      <c r="B305" s="1"/>
      <c r="C305" s="1"/>
      <c r="D305" s="1"/>
      <c r="E305" s="1"/>
      <c r="F305" s="1"/>
      <c r="G305" s="1"/>
      <c r="H305" s="1"/>
      <c r="I305" s="61"/>
      <c r="J305" s="1"/>
      <c r="K305" s="1"/>
    </row>
    <row r="306" spans="1:11" ht="15.75" customHeight="1">
      <c r="A306" s="2"/>
      <c r="B306" s="1"/>
      <c r="C306" s="1"/>
      <c r="D306" s="1"/>
      <c r="E306" s="1"/>
      <c r="F306" s="1"/>
      <c r="G306" s="1"/>
      <c r="H306" s="1"/>
      <c r="I306" s="61"/>
      <c r="J306" s="1"/>
      <c r="K306" s="1"/>
    </row>
    <row r="307" spans="1:11" ht="15.75" customHeight="1">
      <c r="A307" s="2"/>
      <c r="B307" s="1"/>
      <c r="C307" s="1"/>
      <c r="D307" s="1"/>
      <c r="E307" s="1"/>
      <c r="F307" s="1"/>
      <c r="G307" s="1"/>
      <c r="H307" s="1"/>
      <c r="I307" s="61"/>
      <c r="J307" s="1"/>
      <c r="K307" s="1"/>
    </row>
    <row r="308" spans="1:11" ht="15.75" customHeight="1">
      <c r="A308" s="2"/>
      <c r="B308" s="1"/>
      <c r="C308" s="1"/>
      <c r="D308" s="1"/>
      <c r="E308" s="1"/>
      <c r="F308" s="1"/>
      <c r="G308" s="1"/>
      <c r="H308" s="1"/>
      <c r="I308" s="61"/>
      <c r="J308" s="1"/>
      <c r="K308" s="1"/>
    </row>
    <row r="309" spans="1:11" ht="15.75" customHeight="1">
      <c r="A309" s="2"/>
      <c r="B309" s="1"/>
      <c r="C309" s="1"/>
      <c r="D309" s="1"/>
      <c r="E309" s="1"/>
      <c r="F309" s="1"/>
      <c r="G309" s="1"/>
      <c r="H309" s="1"/>
      <c r="I309" s="61"/>
      <c r="J309" s="1"/>
      <c r="K309" s="1"/>
    </row>
    <row r="310" spans="1:11" ht="15.75" customHeight="1">
      <c r="A310" s="2"/>
      <c r="B310" s="1"/>
      <c r="C310" s="1"/>
      <c r="D310" s="1"/>
      <c r="E310" s="1"/>
      <c r="F310" s="1"/>
      <c r="G310" s="1"/>
      <c r="H310" s="1"/>
      <c r="I310" s="61"/>
      <c r="J310" s="1"/>
      <c r="K310" s="1"/>
    </row>
    <row r="311" spans="1:11" ht="15.75" customHeight="1">
      <c r="A311" s="2"/>
      <c r="B311" s="1"/>
      <c r="C311" s="1"/>
      <c r="D311" s="1"/>
      <c r="E311" s="1"/>
      <c r="F311" s="1"/>
      <c r="G311" s="1"/>
      <c r="H311" s="1"/>
      <c r="I311" s="61"/>
      <c r="J311" s="1"/>
      <c r="K311" s="1"/>
    </row>
    <row r="312" spans="1:11" ht="15.75" customHeight="1">
      <c r="A312" s="2"/>
      <c r="B312" s="1"/>
      <c r="C312" s="1"/>
      <c r="D312" s="1"/>
      <c r="E312" s="1"/>
      <c r="F312" s="1"/>
      <c r="G312" s="1"/>
      <c r="H312" s="1"/>
      <c r="I312" s="61"/>
      <c r="J312" s="1"/>
      <c r="K312" s="1"/>
    </row>
    <row r="313" spans="1:11" ht="15.75" customHeight="1">
      <c r="A313" s="2"/>
      <c r="B313" s="1"/>
      <c r="C313" s="1"/>
      <c r="D313" s="1"/>
      <c r="E313" s="1"/>
      <c r="F313" s="1"/>
      <c r="G313" s="1"/>
      <c r="H313" s="1"/>
      <c r="I313" s="61"/>
      <c r="J313" s="1"/>
      <c r="K313" s="1"/>
    </row>
    <row r="314" spans="1:11" ht="15.75" customHeight="1">
      <c r="A314" s="2"/>
      <c r="B314" s="1"/>
      <c r="C314" s="1"/>
      <c r="D314" s="1"/>
      <c r="E314" s="1"/>
      <c r="F314" s="1"/>
      <c r="G314" s="1"/>
      <c r="H314" s="1"/>
      <c r="I314" s="61"/>
      <c r="J314" s="1"/>
      <c r="K314" s="1"/>
    </row>
    <row r="315" spans="1:11" ht="15.75" customHeight="1">
      <c r="A315" s="2"/>
      <c r="B315" s="1"/>
      <c r="C315" s="1"/>
      <c r="D315" s="1"/>
      <c r="E315" s="1"/>
      <c r="F315" s="1"/>
      <c r="G315" s="1"/>
      <c r="H315" s="1"/>
      <c r="I315" s="61"/>
      <c r="J315" s="1"/>
      <c r="K315" s="1"/>
    </row>
    <row r="316" spans="1:11" ht="15.75" customHeight="1">
      <c r="A316" s="2"/>
      <c r="B316" s="1"/>
      <c r="C316" s="1"/>
      <c r="D316" s="1"/>
      <c r="E316" s="1"/>
      <c r="F316" s="1"/>
      <c r="G316" s="1"/>
      <c r="H316" s="1"/>
      <c r="I316" s="61"/>
      <c r="J316" s="1"/>
      <c r="K316" s="1"/>
    </row>
    <row r="317" spans="1:11" ht="15.75" customHeight="1">
      <c r="A317" s="2"/>
      <c r="B317" s="1"/>
      <c r="C317" s="1"/>
      <c r="D317" s="1"/>
      <c r="E317" s="1"/>
      <c r="F317" s="1"/>
      <c r="G317" s="1"/>
      <c r="H317" s="1"/>
      <c r="I317" s="61"/>
      <c r="J317" s="1"/>
      <c r="K317" s="1"/>
    </row>
    <row r="318" spans="1:11" ht="15.75" customHeight="1">
      <c r="A318" s="2"/>
      <c r="B318" s="1"/>
      <c r="C318" s="1"/>
      <c r="D318" s="1"/>
      <c r="E318" s="1"/>
      <c r="F318" s="1"/>
      <c r="G318" s="1"/>
      <c r="H318" s="1"/>
      <c r="I318" s="61"/>
      <c r="J318" s="1"/>
      <c r="K318" s="1"/>
    </row>
    <row r="319" spans="1:11" ht="15.75" customHeight="1">
      <c r="A319" s="2"/>
      <c r="B319" s="1"/>
      <c r="C319" s="1"/>
      <c r="D319" s="1"/>
      <c r="E319" s="1"/>
      <c r="F319" s="1"/>
      <c r="G319" s="1"/>
      <c r="H319" s="1"/>
      <c r="I319" s="61"/>
      <c r="J319" s="1"/>
      <c r="K319" s="1"/>
    </row>
    <row r="320" spans="1:11" ht="15.75" customHeight="1">
      <c r="A320" s="2"/>
      <c r="B320" s="1"/>
      <c r="C320" s="1"/>
      <c r="D320" s="1"/>
      <c r="E320" s="1"/>
      <c r="F320" s="1"/>
      <c r="G320" s="1"/>
      <c r="H320" s="1"/>
      <c r="I320" s="61"/>
      <c r="J320" s="1"/>
      <c r="K320" s="1"/>
    </row>
    <row r="321" spans="1:11" ht="15.75" customHeight="1">
      <c r="A321" s="2"/>
      <c r="B321" s="1"/>
      <c r="C321" s="1"/>
      <c r="D321" s="1"/>
      <c r="E321" s="1"/>
      <c r="F321" s="1"/>
      <c r="G321" s="1"/>
      <c r="H321" s="1"/>
      <c r="I321" s="61"/>
      <c r="J321" s="1"/>
      <c r="K321" s="1"/>
    </row>
    <row r="322" spans="1:11" ht="15.75" customHeight="1">
      <c r="A322" s="2"/>
      <c r="B322" s="1"/>
      <c r="C322" s="1"/>
      <c r="D322" s="1"/>
      <c r="E322" s="1"/>
      <c r="F322" s="1"/>
      <c r="G322" s="1"/>
      <c r="H322" s="1"/>
      <c r="I322" s="61"/>
      <c r="J322" s="1"/>
      <c r="K322" s="1"/>
    </row>
    <row r="323" spans="1:11" ht="15.75" customHeight="1">
      <c r="A323" s="2"/>
      <c r="B323" s="1"/>
      <c r="C323" s="1"/>
      <c r="D323" s="1"/>
      <c r="E323" s="1"/>
      <c r="F323" s="1"/>
      <c r="G323" s="1"/>
      <c r="H323" s="1"/>
      <c r="I323" s="61"/>
      <c r="J323" s="1"/>
      <c r="K323" s="1"/>
    </row>
    <row r="324" spans="1:11" ht="15.75" customHeight="1">
      <c r="A324" s="2"/>
      <c r="B324" s="1"/>
      <c r="C324" s="1"/>
      <c r="D324" s="1"/>
      <c r="E324" s="1"/>
      <c r="F324" s="1"/>
      <c r="G324" s="1"/>
      <c r="H324" s="1"/>
      <c r="I324" s="61"/>
      <c r="J324" s="1"/>
      <c r="K324" s="1"/>
    </row>
    <row r="325" spans="1:11" ht="15.75" customHeight="1">
      <c r="A325" s="2"/>
      <c r="B325" s="1"/>
      <c r="C325" s="1"/>
      <c r="D325" s="1"/>
      <c r="E325" s="1"/>
      <c r="F325" s="1"/>
      <c r="G325" s="1"/>
      <c r="H325" s="1"/>
      <c r="I325" s="61"/>
      <c r="J325" s="1"/>
      <c r="K325" s="1"/>
    </row>
    <row r="326" spans="1:11" ht="15.75" customHeight="1">
      <c r="A326" s="2"/>
      <c r="B326" s="1"/>
      <c r="C326" s="1"/>
      <c r="D326" s="1"/>
      <c r="E326" s="1"/>
      <c r="F326" s="1"/>
      <c r="G326" s="1"/>
      <c r="H326" s="1"/>
      <c r="I326" s="61"/>
      <c r="J326" s="1"/>
      <c r="K326" s="1"/>
    </row>
    <row r="327" spans="1:11" ht="15.75" customHeight="1">
      <c r="A327" s="2"/>
      <c r="B327" s="1"/>
      <c r="C327" s="1"/>
      <c r="D327" s="1"/>
      <c r="E327" s="1"/>
      <c r="F327" s="1"/>
      <c r="G327" s="1"/>
      <c r="H327" s="1"/>
      <c r="I327" s="61"/>
      <c r="J327" s="1"/>
      <c r="K327" s="1"/>
    </row>
    <row r="328" spans="1:11" ht="15.75" customHeight="1">
      <c r="A328" s="2"/>
      <c r="B328" s="1"/>
      <c r="C328" s="1"/>
      <c r="D328" s="1"/>
      <c r="E328" s="1"/>
      <c r="F328" s="1"/>
      <c r="G328" s="1"/>
      <c r="H328" s="1"/>
      <c r="I328" s="61"/>
      <c r="J328" s="1"/>
      <c r="K328" s="1"/>
    </row>
    <row r="329" spans="1:11" ht="15.75" customHeight="1">
      <c r="A329" s="2"/>
      <c r="B329" s="1"/>
      <c r="C329" s="1"/>
      <c r="D329" s="1"/>
      <c r="E329" s="1"/>
      <c r="F329" s="1"/>
      <c r="G329" s="1"/>
      <c r="H329" s="1"/>
      <c r="I329" s="61"/>
      <c r="J329" s="1"/>
      <c r="K329" s="1"/>
    </row>
    <row r="330" spans="1:11" ht="15.75" customHeight="1">
      <c r="A330" s="2"/>
      <c r="B330" s="1"/>
      <c r="C330" s="1"/>
      <c r="D330" s="1"/>
      <c r="E330" s="1"/>
      <c r="F330" s="1"/>
      <c r="G330" s="1"/>
      <c r="H330" s="1"/>
      <c r="I330" s="61"/>
      <c r="J330" s="1"/>
      <c r="K330" s="1"/>
    </row>
    <row r="331" spans="1:11" ht="15.75" customHeight="1">
      <c r="A331" s="2"/>
      <c r="B331" s="1"/>
      <c r="C331" s="1"/>
      <c r="D331" s="1"/>
      <c r="E331" s="1"/>
      <c r="F331" s="1"/>
      <c r="G331" s="1"/>
      <c r="H331" s="1"/>
      <c r="I331" s="61"/>
      <c r="J331" s="1"/>
      <c r="K331" s="1"/>
    </row>
    <row r="332" spans="1:11" ht="15.75" customHeight="1">
      <c r="A332" s="2"/>
      <c r="B332" s="1"/>
      <c r="C332" s="1"/>
      <c r="D332" s="1"/>
      <c r="E332" s="1"/>
      <c r="F332" s="1"/>
      <c r="G332" s="1"/>
      <c r="H332" s="1"/>
      <c r="I332" s="61"/>
      <c r="J332" s="1"/>
      <c r="K332" s="1"/>
    </row>
    <row r="333" spans="1:11" ht="15.75" customHeight="1">
      <c r="A333" s="2"/>
      <c r="B333" s="1"/>
      <c r="C333" s="1"/>
      <c r="D333" s="1"/>
      <c r="E333" s="1"/>
      <c r="F333" s="1"/>
      <c r="G333" s="1"/>
      <c r="H333" s="1"/>
      <c r="I333" s="61"/>
      <c r="J333" s="1"/>
      <c r="K333" s="1"/>
    </row>
    <row r="334" spans="1:11" ht="15.75" customHeight="1">
      <c r="A334" s="2"/>
      <c r="B334" s="1"/>
      <c r="C334" s="1"/>
      <c r="D334" s="1"/>
      <c r="E334" s="1"/>
      <c r="F334" s="1"/>
      <c r="G334" s="1"/>
      <c r="H334" s="1"/>
      <c r="I334" s="61"/>
      <c r="J334" s="1"/>
      <c r="K334" s="1"/>
    </row>
    <row r="335" spans="1:11" ht="15.75" customHeight="1">
      <c r="A335" s="2"/>
      <c r="B335" s="1"/>
      <c r="C335" s="1"/>
      <c r="D335" s="1"/>
      <c r="E335" s="1"/>
      <c r="F335" s="1"/>
      <c r="G335" s="1"/>
      <c r="H335" s="1"/>
      <c r="I335" s="61"/>
      <c r="J335" s="1"/>
      <c r="K335" s="1"/>
    </row>
    <row r="336" spans="1:11" ht="15.75" customHeight="1">
      <c r="A336" s="2"/>
      <c r="B336" s="1"/>
      <c r="C336" s="1"/>
      <c r="D336" s="1"/>
      <c r="E336" s="1"/>
      <c r="F336" s="1"/>
      <c r="G336" s="1"/>
      <c r="H336" s="1"/>
      <c r="I336" s="61"/>
      <c r="J336" s="1"/>
      <c r="K336" s="1"/>
    </row>
    <row r="337" spans="1:11" ht="15.75" customHeight="1">
      <c r="A337" s="2"/>
      <c r="B337" s="1"/>
      <c r="C337" s="1"/>
      <c r="D337" s="1"/>
      <c r="E337" s="1"/>
      <c r="F337" s="1"/>
      <c r="G337" s="1"/>
      <c r="H337" s="1"/>
      <c r="I337" s="61"/>
      <c r="J337" s="1"/>
      <c r="K337" s="1"/>
    </row>
    <row r="338" spans="1:11" ht="15.75" customHeight="1">
      <c r="A338" s="2"/>
      <c r="B338" s="1"/>
      <c r="C338" s="1"/>
      <c r="D338" s="1"/>
      <c r="E338" s="1"/>
      <c r="F338" s="1"/>
      <c r="G338" s="1"/>
      <c r="H338" s="1"/>
      <c r="I338" s="61"/>
      <c r="J338" s="1"/>
      <c r="K338" s="1"/>
    </row>
    <row r="339" spans="1:11" ht="15.75" customHeight="1">
      <c r="A339" s="2"/>
      <c r="B339" s="1"/>
      <c r="C339" s="1"/>
      <c r="D339" s="1"/>
      <c r="E339" s="1"/>
      <c r="F339" s="1"/>
      <c r="G339" s="1"/>
      <c r="H339" s="1"/>
      <c r="I339" s="61"/>
      <c r="J339" s="1"/>
      <c r="K339" s="1"/>
    </row>
    <row r="340" spans="1:11" ht="15.75" customHeight="1">
      <c r="A340" s="2"/>
      <c r="B340" s="1"/>
      <c r="C340" s="1"/>
      <c r="D340" s="1"/>
      <c r="E340" s="1"/>
      <c r="F340" s="1"/>
      <c r="G340" s="1"/>
      <c r="H340" s="1"/>
      <c r="I340" s="61"/>
      <c r="J340" s="1"/>
      <c r="K340" s="1"/>
    </row>
    <row r="341" spans="1:11" ht="15.75" customHeight="1">
      <c r="A341" s="2"/>
      <c r="B341" s="1"/>
      <c r="C341" s="1"/>
      <c r="D341" s="1"/>
      <c r="E341" s="1"/>
      <c r="F341" s="1"/>
      <c r="G341" s="1"/>
      <c r="H341" s="1"/>
      <c r="I341" s="61"/>
      <c r="J341" s="1"/>
      <c r="K341" s="1"/>
    </row>
    <row r="342" spans="1:11" ht="15.75" customHeight="1">
      <c r="A342" s="2"/>
      <c r="B342" s="1"/>
      <c r="C342" s="1"/>
      <c r="D342" s="1"/>
      <c r="E342" s="1"/>
      <c r="F342" s="1"/>
      <c r="G342" s="1"/>
      <c r="H342" s="1"/>
      <c r="I342" s="61"/>
      <c r="J342" s="1"/>
      <c r="K342" s="1"/>
    </row>
    <row r="343" spans="1:11" ht="15.75" customHeight="1">
      <c r="A343" s="2"/>
      <c r="B343" s="1"/>
      <c r="C343" s="1"/>
      <c r="D343" s="1"/>
      <c r="E343" s="1"/>
      <c r="F343" s="1"/>
      <c r="G343" s="1"/>
      <c r="H343" s="1"/>
      <c r="I343" s="61"/>
      <c r="J343" s="1"/>
      <c r="K343" s="1"/>
    </row>
    <row r="344" spans="1:11" ht="15.75" customHeight="1">
      <c r="A344" s="2"/>
      <c r="B344" s="1"/>
      <c r="C344" s="1"/>
      <c r="D344" s="1"/>
      <c r="E344" s="1"/>
      <c r="F344" s="1"/>
      <c r="G344" s="1"/>
      <c r="H344" s="1"/>
      <c r="I344" s="61"/>
      <c r="J344" s="1"/>
      <c r="K344" s="1"/>
    </row>
    <row r="345" spans="1:11" ht="15.75" customHeight="1">
      <c r="A345" s="2"/>
      <c r="B345" s="1"/>
      <c r="C345" s="1"/>
      <c r="D345" s="1"/>
      <c r="E345" s="1"/>
      <c r="F345" s="1"/>
      <c r="G345" s="1"/>
      <c r="H345" s="1"/>
      <c r="I345" s="61"/>
      <c r="J345" s="1"/>
      <c r="K345" s="1"/>
    </row>
    <row r="346" spans="1:11" ht="15.75" customHeight="1">
      <c r="A346" s="2"/>
      <c r="B346" s="1"/>
      <c r="C346" s="1"/>
      <c r="D346" s="1"/>
      <c r="E346" s="1"/>
      <c r="F346" s="1"/>
      <c r="G346" s="1"/>
      <c r="H346" s="1"/>
      <c r="I346" s="61"/>
      <c r="J346" s="1"/>
      <c r="K346" s="1"/>
    </row>
    <row r="347" spans="1:11" ht="15.75" customHeight="1">
      <c r="A347" s="2"/>
      <c r="B347" s="1"/>
      <c r="C347" s="1"/>
      <c r="D347" s="1"/>
      <c r="E347" s="1"/>
      <c r="F347" s="1"/>
      <c r="G347" s="1"/>
      <c r="H347" s="1"/>
      <c r="I347" s="61"/>
      <c r="J347" s="1"/>
      <c r="K347" s="1"/>
    </row>
    <row r="348" spans="1:11" ht="15.75" customHeight="1">
      <c r="A348" s="2"/>
      <c r="B348" s="1"/>
      <c r="C348" s="1"/>
      <c r="D348" s="1"/>
      <c r="E348" s="1"/>
      <c r="F348" s="1"/>
      <c r="G348" s="1"/>
      <c r="H348" s="1"/>
      <c r="I348" s="61"/>
      <c r="J348" s="1"/>
      <c r="K348" s="1"/>
    </row>
    <row r="349" spans="1:11" ht="15.75" customHeight="1">
      <c r="A349" s="2"/>
      <c r="B349" s="1"/>
      <c r="C349" s="1"/>
      <c r="D349" s="1"/>
      <c r="E349" s="1"/>
      <c r="F349" s="1"/>
      <c r="G349" s="1"/>
      <c r="H349" s="1"/>
      <c r="I349" s="61"/>
      <c r="J349" s="1"/>
      <c r="K349" s="1"/>
    </row>
    <row r="350" spans="1:11" ht="15.75" customHeight="1">
      <c r="A350" s="2"/>
      <c r="B350" s="1"/>
      <c r="C350" s="1"/>
      <c r="D350" s="1"/>
      <c r="E350" s="1"/>
      <c r="F350" s="1"/>
      <c r="G350" s="1"/>
      <c r="H350" s="1"/>
      <c r="I350" s="61"/>
      <c r="J350" s="1"/>
      <c r="K350" s="1"/>
    </row>
    <row r="351" spans="1:11" ht="15.75" customHeight="1">
      <c r="A351" s="2"/>
      <c r="B351" s="1"/>
      <c r="C351" s="1"/>
      <c r="D351" s="1"/>
      <c r="E351" s="1"/>
      <c r="F351" s="1"/>
      <c r="G351" s="1"/>
      <c r="H351" s="1"/>
      <c r="I351" s="61"/>
      <c r="J351" s="1"/>
      <c r="K351" s="1"/>
    </row>
    <row r="352" spans="1:11" ht="15.75" customHeight="1">
      <c r="A352" s="2"/>
      <c r="B352" s="1"/>
      <c r="C352" s="1"/>
      <c r="D352" s="1"/>
      <c r="E352" s="1"/>
      <c r="F352" s="1"/>
      <c r="G352" s="1"/>
      <c r="H352" s="1"/>
      <c r="I352" s="61"/>
      <c r="J352" s="1"/>
      <c r="K352" s="1"/>
    </row>
    <row r="353" spans="1:11" ht="15.75" customHeight="1">
      <c r="A353" s="2"/>
      <c r="B353" s="1"/>
      <c r="C353" s="1"/>
      <c r="D353" s="1"/>
      <c r="E353" s="1"/>
      <c r="F353" s="1"/>
      <c r="G353" s="1"/>
      <c r="H353" s="1"/>
      <c r="I353" s="61"/>
      <c r="J353" s="1"/>
      <c r="K353" s="1"/>
    </row>
    <row r="354" spans="1:11" ht="15.75" customHeight="1">
      <c r="A354" s="2"/>
      <c r="B354" s="1"/>
      <c r="C354" s="1"/>
      <c r="D354" s="1"/>
      <c r="E354" s="1"/>
      <c r="F354" s="1"/>
      <c r="G354" s="1"/>
      <c r="H354" s="1"/>
      <c r="I354" s="61"/>
      <c r="J354" s="1"/>
      <c r="K354" s="1"/>
    </row>
    <row r="355" spans="1:11" ht="15.75" customHeight="1">
      <c r="A355" s="2"/>
      <c r="B355" s="1"/>
      <c r="C355" s="1"/>
      <c r="D355" s="1"/>
      <c r="E355" s="1"/>
      <c r="F355" s="1"/>
      <c r="G355" s="1"/>
      <c r="H355" s="1"/>
      <c r="I355" s="61"/>
      <c r="J355" s="1"/>
      <c r="K355" s="1"/>
    </row>
    <row r="356" spans="1:11" ht="15.75" customHeight="1">
      <c r="A356" s="2"/>
      <c r="B356" s="1"/>
      <c r="C356" s="1"/>
      <c r="D356" s="1"/>
      <c r="E356" s="1"/>
      <c r="F356" s="1"/>
      <c r="G356" s="1"/>
      <c r="H356" s="1"/>
      <c r="I356" s="61"/>
      <c r="J356" s="1"/>
      <c r="K356" s="1"/>
    </row>
    <row r="357" spans="1:11" ht="15.75" customHeight="1">
      <c r="A357" s="2"/>
      <c r="B357" s="1"/>
      <c r="C357" s="1"/>
      <c r="D357" s="1"/>
      <c r="E357" s="1"/>
      <c r="F357" s="1"/>
      <c r="G357" s="1"/>
      <c r="H357" s="1"/>
      <c r="I357" s="61"/>
      <c r="J357" s="1"/>
      <c r="K357" s="1"/>
    </row>
    <row r="358" spans="1:11" ht="15.75" customHeight="1">
      <c r="A358" s="2"/>
      <c r="B358" s="1"/>
      <c r="C358" s="1"/>
      <c r="D358" s="1"/>
      <c r="E358" s="1"/>
      <c r="F358" s="1"/>
      <c r="G358" s="1"/>
      <c r="H358" s="1"/>
      <c r="I358" s="61"/>
      <c r="J358" s="1"/>
      <c r="K358" s="1"/>
    </row>
    <row r="359" spans="1:11" ht="15.75" customHeight="1">
      <c r="A359" s="2"/>
      <c r="B359" s="1"/>
      <c r="C359" s="1"/>
      <c r="D359" s="1"/>
      <c r="E359" s="1"/>
      <c r="F359" s="1"/>
      <c r="G359" s="1"/>
      <c r="H359" s="1"/>
      <c r="I359" s="61"/>
      <c r="J359" s="1"/>
      <c r="K359" s="1"/>
    </row>
    <row r="360" spans="1:11" ht="15.75" customHeight="1">
      <c r="A360" s="2"/>
      <c r="B360" s="1"/>
      <c r="C360" s="1"/>
      <c r="D360" s="1"/>
      <c r="E360" s="1"/>
      <c r="F360" s="1"/>
      <c r="G360" s="1"/>
      <c r="H360" s="1"/>
      <c r="I360" s="61"/>
      <c r="J360" s="1"/>
      <c r="K360" s="1"/>
    </row>
    <row r="361" spans="1:11" ht="15.75" customHeight="1">
      <c r="A361" s="2"/>
      <c r="B361" s="1"/>
      <c r="C361" s="1"/>
      <c r="D361" s="1"/>
      <c r="E361" s="1"/>
      <c r="F361" s="1"/>
      <c r="G361" s="1"/>
      <c r="H361" s="1"/>
      <c r="I361" s="61"/>
      <c r="J361" s="1"/>
      <c r="K361" s="1"/>
    </row>
    <row r="362" spans="1:11" ht="15.75" customHeight="1">
      <c r="A362" s="2"/>
      <c r="B362" s="1"/>
      <c r="C362" s="1"/>
      <c r="D362" s="1"/>
      <c r="E362" s="1"/>
      <c r="F362" s="1"/>
      <c r="G362" s="1"/>
      <c r="H362" s="1"/>
      <c r="I362" s="61"/>
      <c r="J362" s="1"/>
      <c r="K362" s="1"/>
    </row>
    <row r="363" spans="1:11" ht="15.75" customHeight="1">
      <c r="A363" s="2"/>
      <c r="B363" s="1"/>
      <c r="C363" s="1"/>
      <c r="D363" s="1"/>
      <c r="E363" s="1"/>
      <c r="F363" s="1"/>
      <c r="G363" s="1"/>
      <c r="H363" s="1"/>
      <c r="I363" s="61"/>
      <c r="J363" s="1"/>
      <c r="K363" s="1"/>
    </row>
    <row r="364" spans="1:11" ht="15.75" customHeight="1">
      <c r="A364" s="2"/>
      <c r="B364" s="1"/>
      <c r="C364" s="1"/>
      <c r="D364" s="1"/>
      <c r="E364" s="1"/>
      <c r="F364" s="1"/>
      <c r="G364" s="1"/>
      <c r="H364" s="1"/>
      <c r="I364" s="61"/>
      <c r="J364" s="1"/>
      <c r="K364" s="1"/>
    </row>
    <row r="365" spans="1:11" ht="15.75" customHeight="1">
      <c r="A365" s="2"/>
      <c r="B365" s="1"/>
      <c r="C365" s="1"/>
      <c r="D365" s="1"/>
      <c r="E365" s="1"/>
      <c r="F365" s="1"/>
      <c r="G365" s="1"/>
      <c r="H365" s="1"/>
      <c r="I365" s="61"/>
      <c r="J365" s="1"/>
      <c r="K365" s="1"/>
    </row>
    <row r="366" spans="1:11" ht="15.75" customHeight="1">
      <c r="A366" s="2"/>
      <c r="B366" s="1"/>
      <c r="C366" s="1"/>
      <c r="D366" s="1"/>
      <c r="E366" s="1"/>
      <c r="F366" s="1"/>
      <c r="G366" s="1"/>
      <c r="H366" s="1"/>
      <c r="I366" s="61"/>
      <c r="J366" s="1"/>
      <c r="K366" s="1"/>
    </row>
    <row r="367" spans="1:11" ht="15.75" customHeight="1">
      <c r="A367" s="2"/>
      <c r="B367" s="1"/>
      <c r="C367" s="1"/>
      <c r="D367" s="1"/>
      <c r="E367" s="1"/>
      <c r="F367" s="1"/>
      <c r="G367" s="1"/>
      <c r="H367" s="1"/>
      <c r="I367" s="61"/>
      <c r="J367" s="1"/>
      <c r="K367" s="1"/>
    </row>
    <row r="368" spans="1:11" ht="15.75" customHeight="1">
      <c r="A368" s="2"/>
      <c r="B368" s="1"/>
      <c r="C368" s="1"/>
      <c r="D368" s="1"/>
      <c r="E368" s="1"/>
      <c r="F368" s="1"/>
      <c r="G368" s="1"/>
      <c r="H368" s="1"/>
      <c r="I368" s="61"/>
      <c r="J368" s="1"/>
      <c r="K368" s="1"/>
    </row>
    <row r="369" spans="1:11" ht="15.75" customHeight="1">
      <c r="A369" s="2"/>
      <c r="B369" s="1"/>
      <c r="C369" s="1"/>
      <c r="D369" s="1"/>
      <c r="E369" s="1"/>
      <c r="F369" s="1"/>
      <c r="G369" s="1"/>
      <c r="H369" s="1"/>
      <c r="I369" s="61"/>
      <c r="J369" s="1"/>
      <c r="K369" s="1"/>
    </row>
    <row r="370" spans="1:11" ht="15.75" customHeight="1">
      <c r="A370" s="2"/>
      <c r="B370" s="1"/>
      <c r="C370" s="1"/>
      <c r="D370" s="1"/>
      <c r="E370" s="1"/>
      <c r="F370" s="1"/>
      <c r="G370" s="1"/>
      <c r="H370" s="1"/>
      <c r="I370" s="61"/>
      <c r="J370" s="1"/>
      <c r="K370" s="1"/>
    </row>
    <row r="371" spans="1:11" ht="15.75" customHeight="1">
      <c r="A371" s="2"/>
      <c r="B371" s="1"/>
      <c r="C371" s="1"/>
      <c r="D371" s="1"/>
      <c r="E371" s="1"/>
      <c r="F371" s="1"/>
      <c r="G371" s="1"/>
      <c r="H371" s="1"/>
      <c r="I371" s="61"/>
      <c r="J371" s="1"/>
      <c r="K371" s="1"/>
    </row>
    <row r="372" spans="1:11" ht="15.75" customHeight="1">
      <c r="A372" s="2"/>
      <c r="B372" s="1"/>
      <c r="C372" s="1"/>
      <c r="D372" s="1"/>
      <c r="E372" s="1"/>
      <c r="F372" s="1"/>
      <c r="G372" s="1"/>
      <c r="H372" s="1"/>
      <c r="I372" s="61"/>
      <c r="J372" s="1"/>
      <c r="K372" s="1"/>
    </row>
    <row r="373" spans="1:11" ht="15.75" customHeight="1">
      <c r="A373" s="2"/>
      <c r="B373" s="1"/>
      <c r="C373" s="1"/>
      <c r="D373" s="1"/>
      <c r="E373" s="1"/>
      <c r="F373" s="1"/>
      <c r="G373" s="1"/>
      <c r="H373" s="1"/>
      <c r="I373" s="61"/>
      <c r="J373" s="1"/>
      <c r="K373" s="1"/>
    </row>
    <row r="374" spans="1:11" ht="15.75" customHeight="1">
      <c r="A374" s="2"/>
      <c r="B374" s="1"/>
      <c r="C374" s="1"/>
      <c r="D374" s="1"/>
      <c r="E374" s="1"/>
      <c r="F374" s="1"/>
      <c r="G374" s="1"/>
      <c r="H374" s="1"/>
      <c r="I374" s="61"/>
      <c r="J374" s="1"/>
      <c r="K374" s="1"/>
    </row>
    <row r="375" spans="1:11" ht="15.75" customHeight="1">
      <c r="A375" s="2"/>
      <c r="B375" s="1"/>
      <c r="C375" s="1"/>
      <c r="D375" s="1"/>
      <c r="E375" s="1"/>
      <c r="F375" s="1"/>
      <c r="G375" s="1"/>
      <c r="H375" s="1"/>
      <c r="I375" s="61"/>
      <c r="J375" s="1"/>
      <c r="K375" s="1"/>
    </row>
    <row r="376" spans="1:11" ht="15.75" customHeight="1">
      <c r="A376" s="2"/>
      <c r="B376" s="1"/>
      <c r="C376" s="1"/>
      <c r="D376" s="1"/>
      <c r="E376" s="1"/>
      <c r="F376" s="1"/>
      <c r="G376" s="1"/>
      <c r="H376" s="1"/>
      <c r="I376" s="61"/>
      <c r="J376" s="1"/>
      <c r="K376" s="1"/>
    </row>
    <row r="377" spans="1:11" ht="15.75" customHeight="1">
      <c r="A377" s="2"/>
      <c r="B377" s="1"/>
      <c r="C377" s="1"/>
      <c r="D377" s="1"/>
      <c r="E377" s="1"/>
      <c r="F377" s="1"/>
      <c r="G377" s="1"/>
      <c r="H377" s="1"/>
      <c r="I377" s="61"/>
      <c r="J377" s="1"/>
      <c r="K377" s="1"/>
    </row>
    <row r="378" spans="1:11" ht="15.75" customHeight="1">
      <c r="A378" s="2"/>
      <c r="B378" s="1"/>
      <c r="C378" s="1"/>
      <c r="D378" s="1"/>
      <c r="E378" s="1"/>
      <c r="F378" s="1"/>
      <c r="G378" s="1"/>
      <c r="H378" s="1"/>
      <c r="I378" s="61"/>
      <c r="J378" s="1"/>
      <c r="K378" s="1"/>
    </row>
    <row r="379" spans="1:11" ht="15.75" customHeight="1">
      <c r="A379" s="2"/>
      <c r="B379" s="1"/>
      <c r="C379" s="1"/>
      <c r="D379" s="1"/>
      <c r="E379" s="1"/>
      <c r="F379" s="1"/>
      <c r="G379" s="1"/>
      <c r="H379" s="1"/>
      <c r="I379" s="61"/>
      <c r="J379" s="1"/>
      <c r="K379" s="1"/>
    </row>
    <row r="380" spans="1:11" ht="15.75" customHeight="1">
      <c r="A380" s="2"/>
      <c r="B380" s="1"/>
      <c r="C380" s="1"/>
      <c r="D380" s="1"/>
      <c r="E380" s="1"/>
      <c r="F380" s="1"/>
      <c r="G380" s="1"/>
      <c r="H380" s="1"/>
      <c r="I380" s="61"/>
      <c r="J380" s="1"/>
      <c r="K380" s="1"/>
    </row>
    <row r="381" spans="1:11" ht="15.75" customHeight="1">
      <c r="A381" s="2"/>
      <c r="B381" s="1"/>
      <c r="C381" s="1"/>
      <c r="D381" s="1"/>
      <c r="E381" s="1"/>
      <c r="F381" s="1"/>
      <c r="G381" s="1"/>
      <c r="H381" s="1"/>
      <c r="I381" s="61"/>
      <c r="J381" s="1"/>
      <c r="K381" s="1"/>
    </row>
    <row r="382" spans="1:11" ht="15.75" customHeight="1">
      <c r="A382" s="2"/>
      <c r="B382" s="1"/>
      <c r="C382" s="1"/>
      <c r="D382" s="1"/>
      <c r="E382" s="1"/>
      <c r="F382" s="1"/>
      <c r="G382" s="1"/>
      <c r="H382" s="1"/>
      <c r="I382" s="61"/>
      <c r="J382" s="1"/>
      <c r="K382" s="1"/>
    </row>
    <row r="383" spans="1:11" ht="15.75" customHeight="1">
      <c r="A383" s="2"/>
      <c r="B383" s="1"/>
      <c r="C383" s="1"/>
      <c r="D383" s="1"/>
      <c r="E383" s="1"/>
      <c r="F383" s="1"/>
      <c r="G383" s="1"/>
      <c r="H383" s="1"/>
      <c r="I383" s="61"/>
      <c r="J383" s="1"/>
      <c r="K383" s="1"/>
    </row>
    <row r="384" spans="1:11" ht="15.75" customHeight="1">
      <c r="A384" s="2"/>
      <c r="B384" s="1"/>
      <c r="C384" s="1"/>
      <c r="D384" s="1"/>
      <c r="E384" s="1"/>
      <c r="F384" s="1"/>
      <c r="G384" s="1"/>
      <c r="H384" s="1"/>
      <c r="I384" s="61"/>
      <c r="J384" s="1"/>
      <c r="K384" s="1"/>
    </row>
    <row r="385" spans="1:11" ht="15.75" customHeight="1">
      <c r="A385" s="2"/>
      <c r="B385" s="1"/>
      <c r="C385" s="1"/>
      <c r="D385" s="1"/>
      <c r="E385" s="1"/>
      <c r="F385" s="1"/>
      <c r="G385" s="1"/>
      <c r="H385" s="1"/>
      <c r="I385" s="61"/>
      <c r="J385" s="1"/>
      <c r="K385" s="1"/>
    </row>
    <row r="386" spans="1:11" ht="15.75" customHeight="1">
      <c r="A386" s="2"/>
      <c r="B386" s="1"/>
      <c r="C386" s="1"/>
      <c r="D386" s="1"/>
      <c r="E386" s="1"/>
      <c r="F386" s="1"/>
      <c r="G386" s="1"/>
      <c r="H386" s="1"/>
      <c r="I386" s="61"/>
      <c r="J386" s="1"/>
      <c r="K386" s="1"/>
    </row>
    <row r="387" spans="1:11" ht="15.75" customHeight="1">
      <c r="A387" s="2"/>
      <c r="B387" s="1"/>
      <c r="C387" s="1"/>
      <c r="D387" s="1"/>
      <c r="E387" s="1"/>
      <c r="F387" s="1"/>
      <c r="G387" s="1"/>
      <c r="H387" s="1"/>
      <c r="I387" s="61"/>
      <c r="J387" s="1"/>
      <c r="K387" s="1"/>
    </row>
    <row r="388" spans="1:11" ht="15.75" customHeight="1">
      <c r="A388" s="2"/>
      <c r="B388" s="1"/>
      <c r="C388" s="1"/>
      <c r="D388" s="1"/>
      <c r="E388" s="1"/>
      <c r="F388" s="1"/>
      <c r="G388" s="1"/>
      <c r="H388" s="1"/>
      <c r="I388" s="61"/>
      <c r="J388" s="1"/>
      <c r="K388" s="1"/>
    </row>
    <row r="389" spans="1:11" ht="15.75" customHeight="1">
      <c r="A389" s="2"/>
      <c r="B389" s="1"/>
      <c r="C389" s="1"/>
      <c r="D389" s="1"/>
      <c r="E389" s="1"/>
      <c r="F389" s="1"/>
      <c r="G389" s="1"/>
      <c r="H389" s="1"/>
      <c r="I389" s="61"/>
      <c r="J389" s="1"/>
      <c r="K389" s="1"/>
    </row>
    <row r="390" spans="1:11" ht="15.75" customHeight="1">
      <c r="A390" s="2"/>
      <c r="B390" s="1"/>
      <c r="C390" s="1"/>
      <c r="D390" s="1"/>
      <c r="E390" s="1"/>
      <c r="F390" s="1"/>
      <c r="G390" s="1"/>
      <c r="H390" s="1"/>
      <c r="I390" s="61"/>
      <c r="J390" s="1"/>
      <c r="K390" s="1"/>
    </row>
    <row r="391" spans="1:11" ht="15.75" customHeight="1">
      <c r="A391" s="2"/>
      <c r="B391" s="1"/>
      <c r="C391" s="1"/>
      <c r="D391" s="1"/>
      <c r="E391" s="1"/>
      <c r="F391" s="1"/>
      <c r="G391" s="1"/>
      <c r="H391" s="1"/>
      <c r="I391" s="61"/>
      <c r="J391" s="1"/>
      <c r="K391" s="1"/>
    </row>
    <row r="392" spans="1:11" ht="15.75" customHeight="1">
      <c r="A392" s="2"/>
      <c r="B392" s="1"/>
      <c r="C392" s="1"/>
      <c r="D392" s="1"/>
      <c r="E392" s="1"/>
      <c r="F392" s="1"/>
      <c r="G392" s="1"/>
      <c r="H392" s="1"/>
      <c r="I392" s="61"/>
      <c r="J392" s="1"/>
      <c r="K392" s="1"/>
    </row>
    <row r="393" spans="1:11" ht="15.75" customHeight="1">
      <c r="A393" s="2"/>
      <c r="B393" s="1"/>
      <c r="C393" s="1"/>
      <c r="D393" s="1"/>
      <c r="E393" s="1"/>
      <c r="F393" s="1"/>
      <c r="G393" s="1"/>
      <c r="H393" s="1"/>
      <c r="I393" s="61"/>
      <c r="J393" s="1"/>
      <c r="K393" s="1"/>
    </row>
    <row r="394" spans="1:11" ht="15.75" customHeight="1">
      <c r="A394" s="2"/>
      <c r="B394" s="1"/>
      <c r="C394" s="1"/>
      <c r="D394" s="1"/>
      <c r="E394" s="1"/>
      <c r="F394" s="1"/>
      <c r="G394" s="1"/>
      <c r="H394" s="1"/>
      <c r="I394" s="61"/>
      <c r="J394" s="1"/>
      <c r="K394" s="1"/>
    </row>
    <row r="395" spans="1:11" ht="15.75" customHeight="1">
      <c r="A395" s="2"/>
      <c r="B395" s="1"/>
      <c r="C395" s="1"/>
      <c r="D395" s="1"/>
      <c r="E395" s="1"/>
      <c r="F395" s="1"/>
      <c r="G395" s="1"/>
      <c r="H395" s="1"/>
      <c r="I395" s="61"/>
      <c r="J395" s="1"/>
      <c r="K395" s="1"/>
    </row>
    <row r="396" spans="1:11" ht="15.75" customHeight="1">
      <c r="A396" s="2"/>
      <c r="B396" s="1"/>
      <c r="C396" s="1"/>
      <c r="D396" s="1"/>
      <c r="E396" s="1"/>
      <c r="F396" s="1"/>
      <c r="G396" s="1"/>
      <c r="H396" s="1"/>
      <c r="I396" s="61"/>
      <c r="J396" s="1"/>
      <c r="K396" s="1"/>
    </row>
    <row r="397" spans="1:11" ht="15.75" customHeight="1">
      <c r="A397" s="2"/>
      <c r="B397" s="1"/>
      <c r="C397" s="1"/>
      <c r="D397" s="1"/>
      <c r="E397" s="1"/>
      <c r="F397" s="1"/>
      <c r="G397" s="1"/>
      <c r="H397" s="1"/>
      <c r="I397" s="61"/>
      <c r="J397" s="1"/>
      <c r="K397" s="1"/>
    </row>
    <row r="398" spans="1:11" ht="15.75" customHeight="1">
      <c r="A398" s="2"/>
      <c r="B398" s="1"/>
      <c r="C398" s="1"/>
      <c r="D398" s="1"/>
      <c r="E398" s="1"/>
      <c r="F398" s="1"/>
      <c r="G398" s="1"/>
      <c r="H398" s="1"/>
      <c r="I398" s="61"/>
      <c r="J398" s="1"/>
      <c r="K398" s="1"/>
    </row>
    <row r="399" spans="1:11" ht="15.75" customHeight="1">
      <c r="A399" s="2"/>
      <c r="B399" s="1"/>
      <c r="C399" s="1"/>
      <c r="D399" s="1"/>
      <c r="E399" s="1"/>
      <c r="F399" s="1"/>
      <c r="G399" s="1"/>
      <c r="H399" s="1"/>
      <c r="I399" s="61"/>
      <c r="J399" s="1"/>
      <c r="K399" s="1"/>
    </row>
    <row r="400" spans="1:11" ht="15.75" customHeight="1">
      <c r="A400" s="2"/>
      <c r="B400" s="1"/>
      <c r="C400" s="1"/>
      <c r="D400" s="1"/>
      <c r="E400" s="1"/>
      <c r="F400" s="1"/>
      <c r="G400" s="1"/>
      <c r="H400" s="1"/>
      <c r="I400" s="61"/>
      <c r="J400" s="1"/>
      <c r="K400" s="1"/>
    </row>
    <row r="401" spans="1:11" ht="15.75" customHeight="1">
      <c r="A401" s="2"/>
      <c r="B401" s="1"/>
      <c r="C401" s="1"/>
      <c r="D401" s="1"/>
      <c r="E401" s="1"/>
      <c r="F401" s="1"/>
      <c r="G401" s="1"/>
      <c r="H401" s="1"/>
      <c r="I401" s="61"/>
      <c r="J401" s="1"/>
      <c r="K401" s="1"/>
    </row>
    <row r="402" spans="1:11" ht="15.75" customHeight="1">
      <c r="A402" s="2"/>
      <c r="B402" s="1"/>
      <c r="C402" s="1"/>
      <c r="D402" s="1"/>
      <c r="E402" s="1"/>
      <c r="F402" s="1"/>
      <c r="G402" s="1"/>
      <c r="H402" s="1"/>
      <c r="I402" s="61"/>
      <c r="J402" s="1"/>
      <c r="K402" s="1"/>
    </row>
    <row r="403" spans="1:11" ht="15.75" customHeight="1">
      <c r="A403" s="2"/>
      <c r="B403" s="1"/>
      <c r="C403" s="1"/>
      <c r="D403" s="1"/>
      <c r="E403" s="1"/>
      <c r="F403" s="1"/>
      <c r="G403" s="1"/>
      <c r="H403" s="1"/>
      <c r="I403" s="61"/>
      <c r="J403" s="1"/>
      <c r="K403" s="1"/>
    </row>
    <row r="404" spans="1:11" ht="15.75" customHeight="1">
      <c r="A404" s="2"/>
      <c r="B404" s="1"/>
      <c r="C404" s="1"/>
      <c r="D404" s="1"/>
      <c r="E404" s="1"/>
      <c r="F404" s="1"/>
      <c r="G404" s="1"/>
      <c r="H404" s="1"/>
      <c r="I404" s="61"/>
      <c r="J404" s="1"/>
      <c r="K404" s="1"/>
    </row>
    <row r="405" spans="1:11" ht="15.75" customHeight="1">
      <c r="A405" s="2"/>
      <c r="B405" s="1"/>
      <c r="C405" s="1"/>
      <c r="D405" s="1"/>
      <c r="E405" s="1"/>
      <c r="F405" s="1"/>
      <c r="G405" s="1"/>
      <c r="H405" s="1"/>
      <c r="I405" s="61"/>
      <c r="J405" s="1"/>
      <c r="K405" s="1"/>
    </row>
    <row r="406" spans="1:11" ht="15.75" customHeight="1">
      <c r="A406" s="2"/>
      <c r="B406" s="1"/>
      <c r="C406" s="1"/>
      <c r="D406" s="1"/>
      <c r="E406" s="1"/>
      <c r="F406" s="1"/>
      <c r="G406" s="1"/>
      <c r="H406" s="1"/>
      <c r="I406" s="61"/>
      <c r="J406" s="1"/>
      <c r="K406" s="1"/>
    </row>
    <row r="407" spans="1:11" ht="15.75" customHeight="1">
      <c r="A407" s="2"/>
      <c r="B407" s="1"/>
      <c r="C407" s="1"/>
      <c r="D407" s="1"/>
      <c r="E407" s="1"/>
      <c r="F407" s="1"/>
      <c r="G407" s="1"/>
      <c r="H407" s="1"/>
      <c r="I407" s="61"/>
      <c r="J407" s="1"/>
      <c r="K407" s="1"/>
    </row>
    <row r="408" spans="1:11" ht="15.75" customHeight="1">
      <c r="A408" s="2"/>
      <c r="B408" s="1"/>
      <c r="C408" s="1"/>
      <c r="D408" s="1"/>
      <c r="E408" s="1"/>
      <c r="F408" s="1"/>
      <c r="G408" s="1"/>
      <c r="H408" s="1"/>
      <c r="I408" s="61"/>
      <c r="J408" s="1"/>
      <c r="K408" s="1"/>
    </row>
    <row r="409" spans="1:11" ht="15.75" customHeight="1">
      <c r="A409" s="2"/>
      <c r="B409" s="1"/>
      <c r="C409" s="1"/>
      <c r="D409" s="1"/>
      <c r="E409" s="1"/>
      <c r="F409" s="1"/>
      <c r="G409" s="1"/>
      <c r="H409" s="1"/>
      <c r="I409" s="61"/>
      <c r="J409" s="1"/>
      <c r="K409" s="1"/>
    </row>
    <row r="410" spans="1:11" ht="15.75" customHeight="1">
      <c r="A410" s="2"/>
      <c r="B410" s="1"/>
      <c r="C410" s="1"/>
      <c r="D410" s="1"/>
      <c r="E410" s="1"/>
      <c r="F410" s="1"/>
      <c r="G410" s="1"/>
      <c r="H410" s="1"/>
      <c r="I410" s="61"/>
      <c r="J410" s="1"/>
      <c r="K410" s="1"/>
    </row>
    <row r="411" spans="1:11" ht="15.75" customHeight="1">
      <c r="A411" s="2"/>
      <c r="B411" s="1"/>
      <c r="C411" s="1"/>
      <c r="D411" s="1"/>
      <c r="E411" s="1"/>
      <c r="F411" s="1"/>
      <c r="G411" s="1"/>
      <c r="H411" s="1"/>
      <c r="I411" s="61"/>
      <c r="J411" s="1"/>
      <c r="K411" s="1"/>
    </row>
    <row r="412" spans="1:11" ht="15.75" customHeight="1">
      <c r="A412" s="2"/>
      <c r="B412" s="1"/>
      <c r="C412" s="1"/>
      <c r="D412" s="1"/>
      <c r="E412" s="1"/>
      <c r="F412" s="1"/>
      <c r="G412" s="1"/>
      <c r="H412" s="1"/>
      <c r="I412" s="61"/>
      <c r="J412" s="1"/>
      <c r="K412" s="1"/>
    </row>
    <row r="413" spans="1:11" ht="15.75" customHeight="1">
      <c r="A413" s="2"/>
      <c r="B413" s="1"/>
      <c r="C413" s="1"/>
      <c r="D413" s="1"/>
      <c r="E413" s="1"/>
      <c r="F413" s="1"/>
      <c r="G413" s="1"/>
      <c r="H413" s="1"/>
      <c r="I413" s="61"/>
      <c r="J413" s="1"/>
      <c r="K413" s="1"/>
    </row>
    <row r="414" spans="1:11" ht="15.75" customHeight="1">
      <c r="A414" s="2"/>
      <c r="B414" s="1"/>
      <c r="C414" s="1"/>
      <c r="D414" s="1"/>
      <c r="E414" s="1"/>
      <c r="F414" s="1"/>
      <c r="G414" s="1"/>
      <c r="H414" s="1"/>
      <c r="I414" s="61"/>
      <c r="J414" s="1"/>
      <c r="K414" s="1"/>
    </row>
    <row r="415" spans="1:11" ht="15.75" customHeight="1">
      <c r="A415" s="2"/>
      <c r="B415" s="1"/>
      <c r="C415" s="1"/>
      <c r="D415" s="1"/>
      <c r="E415" s="1"/>
      <c r="F415" s="1"/>
      <c r="G415" s="1"/>
      <c r="H415" s="1"/>
      <c r="I415" s="61"/>
      <c r="J415" s="1"/>
      <c r="K415" s="1"/>
    </row>
    <row r="416" spans="1:11" ht="15.75" customHeight="1">
      <c r="A416" s="2"/>
      <c r="B416" s="1"/>
      <c r="C416" s="1"/>
      <c r="D416" s="1"/>
      <c r="E416" s="1"/>
      <c r="F416" s="1"/>
      <c r="G416" s="1"/>
      <c r="H416" s="1"/>
      <c r="I416" s="61"/>
      <c r="J416" s="1"/>
      <c r="K416" s="1"/>
    </row>
    <row r="417" spans="1:11" ht="15.75" customHeight="1">
      <c r="A417" s="2"/>
      <c r="B417" s="1"/>
      <c r="C417" s="1"/>
      <c r="D417" s="1"/>
      <c r="E417" s="1"/>
      <c r="F417" s="1"/>
      <c r="G417" s="1"/>
      <c r="H417" s="1"/>
      <c r="I417" s="61"/>
      <c r="J417" s="1"/>
      <c r="K417" s="1"/>
    </row>
    <row r="418" spans="1:11" ht="15.75" customHeight="1">
      <c r="A418" s="2"/>
      <c r="B418" s="1"/>
      <c r="C418" s="1"/>
      <c r="D418" s="1"/>
      <c r="E418" s="1"/>
      <c r="F418" s="1"/>
      <c r="G418" s="1"/>
      <c r="H418" s="1"/>
      <c r="I418" s="61"/>
      <c r="J418" s="1"/>
      <c r="K418" s="1"/>
    </row>
    <row r="419" spans="1:11" ht="15.75" customHeight="1">
      <c r="A419" s="2"/>
      <c r="B419" s="1"/>
      <c r="C419" s="1"/>
      <c r="D419" s="1"/>
      <c r="E419" s="1"/>
      <c r="F419" s="1"/>
      <c r="G419" s="1"/>
      <c r="H419" s="1"/>
      <c r="I419" s="61"/>
      <c r="J419" s="1"/>
      <c r="K419" s="1"/>
    </row>
    <row r="420" spans="1:11" ht="15.75" customHeight="1">
      <c r="A420" s="2"/>
      <c r="B420" s="1"/>
      <c r="C420" s="1"/>
      <c r="D420" s="1"/>
      <c r="E420" s="1"/>
      <c r="F420" s="1"/>
      <c r="G420" s="1"/>
      <c r="H420" s="1"/>
      <c r="I420" s="61"/>
      <c r="J420" s="1"/>
      <c r="K420" s="1"/>
    </row>
    <row r="421" spans="1:11" ht="15.75" customHeight="1">
      <c r="A421" s="2"/>
      <c r="B421" s="1"/>
      <c r="C421" s="1"/>
      <c r="D421" s="1"/>
      <c r="E421" s="1"/>
      <c r="F421" s="1"/>
      <c r="G421" s="1"/>
      <c r="H421" s="1"/>
      <c r="I421" s="61"/>
      <c r="J421" s="1"/>
      <c r="K421" s="1"/>
    </row>
    <row r="422" spans="1:11" ht="15.75" customHeight="1">
      <c r="A422" s="2"/>
      <c r="B422" s="1"/>
      <c r="C422" s="1"/>
      <c r="D422" s="1"/>
      <c r="E422" s="1"/>
      <c r="F422" s="1"/>
      <c r="G422" s="1"/>
      <c r="H422" s="1"/>
      <c r="I422" s="61"/>
      <c r="J422" s="1"/>
      <c r="K422" s="1"/>
    </row>
    <row r="423" spans="1:11" ht="15.75" customHeight="1">
      <c r="A423" s="2"/>
      <c r="B423" s="1"/>
      <c r="C423" s="1"/>
      <c r="D423" s="1"/>
      <c r="E423" s="1"/>
      <c r="F423" s="1"/>
      <c r="G423" s="1"/>
      <c r="H423" s="1"/>
      <c r="I423" s="61"/>
      <c r="J423" s="1"/>
      <c r="K423" s="1"/>
    </row>
    <row r="424" spans="1:11" ht="15.75" customHeight="1">
      <c r="A424" s="2"/>
      <c r="B424" s="1"/>
      <c r="C424" s="1"/>
      <c r="D424" s="1"/>
      <c r="E424" s="1"/>
      <c r="F424" s="1"/>
      <c r="G424" s="1"/>
      <c r="H424" s="1"/>
      <c r="I424" s="61"/>
      <c r="J424" s="1"/>
      <c r="K424" s="1"/>
    </row>
    <row r="425" spans="1:11" ht="15.75" customHeight="1">
      <c r="A425" s="2"/>
      <c r="B425" s="1"/>
      <c r="C425" s="1"/>
      <c r="D425" s="1"/>
      <c r="E425" s="1"/>
      <c r="F425" s="1"/>
      <c r="G425" s="1"/>
      <c r="H425" s="1"/>
      <c r="I425" s="61"/>
      <c r="J425" s="1"/>
      <c r="K425" s="1"/>
    </row>
    <row r="426" spans="1:11" ht="15.75" customHeight="1">
      <c r="A426" s="2"/>
      <c r="B426" s="1"/>
      <c r="C426" s="1"/>
      <c r="D426" s="1"/>
      <c r="E426" s="1"/>
      <c r="F426" s="1"/>
      <c r="G426" s="1"/>
      <c r="H426" s="1"/>
      <c r="I426" s="61"/>
      <c r="J426" s="1"/>
      <c r="K426" s="1"/>
    </row>
    <row r="427" spans="1:11" ht="15.75" customHeight="1">
      <c r="A427" s="2"/>
      <c r="B427" s="1"/>
      <c r="C427" s="1"/>
      <c r="D427" s="1"/>
      <c r="E427" s="1"/>
      <c r="F427" s="1"/>
      <c r="G427" s="1"/>
      <c r="H427" s="1"/>
      <c r="I427" s="61"/>
      <c r="J427" s="1"/>
      <c r="K427" s="1"/>
    </row>
    <row r="428" spans="1:11" ht="15.75" customHeight="1">
      <c r="A428" s="2"/>
      <c r="B428" s="1"/>
      <c r="C428" s="1"/>
      <c r="D428" s="1"/>
      <c r="E428" s="1"/>
      <c r="F428" s="1"/>
      <c r="G428" s="1"/>
      <c r="H428" s="1"/>
      <c r="I428" s="61"/>
      <c r="J428" s="1"/>
      <c r="K428" s="1"/>
    </row>
    <row r="429" spans="1:11" ht="15.75" customHeight="1">
      <c r="A429" s="2"/>
      <c r="B429" s="1"/>
      <c r="C429" s="1"/>
      <c r="D429" s="1"/>
      <c r="E429" s="1"/>
      <c r="F429" s="1"/>
      <c r="G429" s="1"/>
      <c r="H429" s="1"/>
      <c r="I429" s="61"/>
      <c r="J429" s="1"/>
      <c r="K429" s="1"/>
    </row>
    <row r="430" spans="1:11" ht="15.75" customHeight="1">
      <c r="A430" s="2"/>
      <c r="B430" s="1"/>
      <c r="C430" s="1"/>
      <c r="D430" s="1"/>
      <c r="E430" s="1"/>
      <c r="F430" s="1"/>
      <c r="G430" s="1"/>
      <c r="H430" s="1"/>
      <c r="I430" s="61"/>
      <c r="J430" s="1"/>
      <c r="K430" s="1"/>
    </row>
    <row r="431" spans="1:11" ht="15.75" customHeight="1">
      <c r="A431" s="2"/>
      <c r="B431" s="1"/>
      <c r="C431" s="1"/>
      <c r="D431" s="1"/>
      <c r="E431" s="1"/>
      <c r="F431" s="1"/>
      <c r="G431" s="1"/>
      <c r="H431" s="1"/>
      <c r="I431" s="61"/>
      <c r="J431" s="1"/>
      <c r="K431" s="1"/>
    </row>
    <row r="432" spans="1:11" ht="15.75" customHeight="1">
      <c r="A432" s="2"/>
      <c r="B432" s="1"/>
      <c r="C432" s="1"/>
      <c r="D432" s="1"/>
      <c r="E432" s="1"/>
      <c r="F432" s="1"/>
      <c r="G432" s="1"/>
      <c r="H432" s="1"/>
      <c r="I432" s="61"/>
      <c r="J432" s="1"/>
      <c r="K432" s="1"/>
    </row>
    <row r="433" spans="1:11" ht="15.75" customHeight="1">
      <c r="A433" s="2"/>
      <c r="B433" s="1"/>
      <c r="C433" s="1"/>
      <c r="D433" s="1"/>
      <c r="E433" s="1"/>
      <c r="F433" s="1"/>
      <c r="G433" s="1"/>
      <c r="H433" s="1"/>
      <c r="I433" s="61"/>
      <c r="J433" s="1"/>
      <c r="K433" s="1"/>
    </row>
    <row r="434" spans="1:11" ht="15.75" customHeight="1">
      <c r="A434" s="2"/>
      <c r="B434" s="1"/>
      <c r="C434" s="1"/>
      <c r="D434" s="1"/>
      <c r="E434" s="1"/>
      <c r="F434" s="1"/>
      <c r="G434" s="1"/>
      <c r="H434" s="1"/>
      <c r="I434" s="61"/>
      <c r="J434" s="1"/>
      <c r="K434" s="1"/>
    </row>
    <row r="435" spans="1:11" ht="15.75" customHeight="1">
      <c r="A435" s="2"/>
      <c r="B435" s="1"/>
      <c r="C435" s="1"/>
      <c r="D435" s="1"/>
      <c r="E435" s="1"/>
      <c r="F435" s="1"/>
      <c r="G435" s="1"/>
      <c r="H435" s="1"/>
      <c r="I435" s="61"/>
      <c r="J435" s="1"/>
      <c r="K435" s="1"/>
    </row>
    <row r="436" spans="1:11" ht="15.75" customHeight="1">
      <c r="A436" s="2"/>
      <c r="B436" s="1"/>
      <c r="C436" s="1"/>
      <c r="D436" s="1"/>
      <c r="E436" s="1"/>
      <c r="F436" s="1"/>
      <c r="G436" s="1"/>
      <c r="H436" s="1"/>
      <c r="I436" s="61"/>
      <c r="J436" s="1"/>
      <c r="K436" s="1"/>
    </row>
    <row r="437" spans="1:11" ht="15.75" customHeight="1">
      <c r="A437" s="2"/>
      <c r="B437" s="1"/>
      <c r="C437" s="1"/>
      <c r="D437" s="1"/>
      <c r="E437" s="1"/>
      <c r="F437" s="1"/>
      <c r="G437" s="1"/>
      <c r="H437" s="1"/>
      <c r="I437" s="61"/>
      <c r="J437" s="1"/>
      <c r="K437" s="1"/>
    </row>
    <row r="438" spans="1:11" ht="15.75" customHeight="1">
      <c r="A438" s="2"/>
      <c r="B438" s="1"/>
      <c r="C438" s="1"/>
      <c r="D438" s="1"/>
      <c r="E438" s="1"/>
      <c r="F438" s="1"/>
      <c r="G438" s="1"/>
      <c r="H438" s="1"/>
      <c r="I438" s="61"/>
      <c r="J438" s="1"/>
      <c r="K438" s="1"/>
    </row>
    <row r="439" spans="1:11" ht="15.75" customHeight="1">
      <c r="A439" s="2"/>
      <c r="B439" s="1"/>
      <c r="C439" s="1"/>
      <c r="D439" s="1"/>
      <c r="E439" s="1"/>
      <c r="F439" s="1"/>
      <c r="G439" s="1"/>
      <c r="H439" s="1"/>
      <c r="I439" s="61"/>
      <c r="J439" s="1"/>
      <c r="K439" s="1"/>
    </row>
    <row r="440" spans="1:11" ht="15.75" customHeight="1">
      <c r="A440" s="2"/>
      <c r="B440" s="1"/>
      <c r="C440" s="1"/>
      <c r="D440" s="1"/>
      <c r="E440" s="1"/>
      <c r="F440" s="1"/>
      <c r="G440" s="1"/>
      <c r="H440" s="1"/>
      <c r="I440" s="61"/>
      <c r="J440" s="1"/>
      <c r="K440" s="1"/>
    </row>
    <row r="441" spans="1:11" ht="15.75" customHeight="1">
      <c r="A441" s="2"/>
      <c r="B441" s="1"/>
      <c r="C441" s="1"/>
      <c r="D441" s="1"/>
      <c r="E441" s="1"/>
      <c r="F441" s="1"/>
      <c r="G441" s="1"/>
      <c r="H441" s="1"/>
      <c r="I441" s="61"/>
      <c r="J441" s="1"/>
      <c r="K441" s="1"/>
    </row>
    <row r="442" spans="1:11" ht="15.75" customHeight="1">
      <c r="A442" s="2"/>
      <c r="B442" s="1"/>
      <c r="C442" s="1"/>
      <c r="D442" s="1"/>
      <c r="E442" s="1"/>
      <c r="F442" s="1"/>
      <c r="G442" s="1"/>
      <c r="H442" s="1"/>
      <c r="I442" s="61"/>
      <c r="J442" s="1"/>
      <c r="K442" s="1"/>
    </row>
    <row r="443" spans="1:11" ht="15.75" customHeight="1">
      <c r="A443" s="2"/>
      <c r="B443" s="1"/>
      <c r="C443" s="1"/>
      <c r="D443" s="1"/>
      <c r="E443" s="1"/>
      <c r="F443" s="1"/>
      <c r="G443" s="1"/>
      <c r="H443" s="1"/>
      <c r="I443" s="61"/>
      <c r="J443" s="1"/>
      <c r="K443" s="1"/>
    </row>
    <row r="444" spans="1:11" ht="15.75" customHeight="1">
      <c r="A444" s="2"/>
      <c r="B444" s="1"/>
      <c r="C444" s="1"/>
      <c r="D444" s="1"/>
      <c r="E444" s="1"/>
      <c r="F444" s="1"/>
      <c r="G444" s="1"/>
      <c r="H444" s="1"/>
      <c r="I444" s="61"/>
      <c r="J444" s="1"/>
      <c r="K444" s="1"/>
    </row>
    <row r="445" spans="1:11" ht="15.75" customHeight="1">
      <c r="A445" s="2"/>
      <c r="B445" s="1"/>
      <c r="C445" s="1"/>
      <c r="D445" s="1"/>
      <c r="E445" s="1"/>
      <c r="F445" s="1"/>
      <c r="G445" s="1"/>
      <c r="H445" s="1"/>
      <c r="I445" s="61"/>
      <c r="J445" s="1"/>
      <c r="K445" s="1"/>
    </row>
    <row r="446" spans="1:11" ht="15.75" customHeight="1">
      <c r="A446" s="2"/>
      <c r="B446" s="1"/>
      <c r="C446" s="1"/>
      <c r="D446" s="1"/>
      <c r="E446" s="1"/>
      <c r="F446" s="1"/>
      <c r="G446" s="1"/>
      <c r="H446" s="1"/>
      <c r="I446" s="61"/>
      <c r="J446" s="1"/>
      <c r="K446" s="1"/>
    </row>
    <row r="447" spans="1:11" ht="15.75" customHeight="1">
      <c r="A447" s="2"/>
      <c r="B447" s="1"/>
      <c r="C447" s="1"/>
      <c r="D447" s="1"/>
      <c r="E447" s="1"/>
      <c r="F447" s="1"/>
      <c r="G447" s="1"/>
      <c r="H447" s="1"/>
      <c r="I447" s="61"/>
      <c r="J447" s="1"/>
      <c r="K447" s="1"/>
    </row>
    <row r="448" spans="1:11" ht="15.75" customHeight="1">
      <c r="A448" s="2"/>
      <c r="B448" s="1"/>
      <c r="C448" s="1"/>
      <c r="D448" s="1"/>
      <c r="E448" s="1"/>
      <c r="F448" s="1"/>
      <c r="G448" s="1"/>
      <c r="H448" s="1"/>
      <c r="I448" s="61"/>
      <c r="J448" s="1"/>
      <c r="K448" s="1"/>
    </row>
    <row r="449" spans="1:11" ht="15.75" customHeight="1">
      <c r="A449" s="2"/>
      <c r="B449" s="1"/>
      <c r="C449" s="1"/>
      <c r="D449" s="1"/>
      <c r="E449" s="1"/>
      <c r="F449" s="1"/>
      <c r="G449" s="1"/>
      <c r="H449" s="1"/>
      <c r="I449" s="61"/>
      <c r="J449" s="1"/>
      <c r="K449" s="1"/>
    </row>
    <row r="450" spans="1:11" ht="15.75" customHeight="1">
      <c r="A450" s="2"/>
      <c r="B450" s="1"/>
      <c r="C450" s="1"/>
      <c r="D450" s="1"/>
      <c r="E450" s="1"/>
      <c r="F450" s="1"/>
      <c r="G450" s="1"/>
      <c r="H450" s="1"/>
      <c r="I450" s="61"/>
      <c r="J450" s="1"/>
      <c r="K450" s="1"/>
    </row>
    <row r="451" spans="1:11" ht="15.75" customHeight="1">
      <c r="A451" s="2"/>
      <c r="B451" s="1"/>
      <c r="C451" s="1"/>
      <c r="D451" s="1"/>
      <c r="E451" s="1"/>
      <c r="F451" s="1"/>
      <c r="G451" s="1"/>
      <c r="H451" s="1"/>
      <c r="I451" s="61"/>
      <c r="J451" s="1"/>
      <c r="K451" s="1"/>
    </row>
    <row r="452" spans="1:11" ht="15.75" customHeight="1">
      <c r="A452" s="2"/>
      <c r="B452" s="1"/>
      <c r="C452" s="1"/>
      <c r="D452" s="1"/>
      <c r="E452" s="1"/>
      <c r="F452" s="1"/>
      <c r="G452" s="1"/>
      <c r="H452" s="1"/>
      <c r="I452" s="61"/>
      <c r="J452" s="1"/>
      <c r="K452" s="1"/>
    </row>
    <row r="453" spans="1:11" ht="15.75" customHeight="1">
      <c r="A453" s="2"/>
      <c r="B453" s="1"/>
      <c r="C453" s="1"/>
      <c r="D453" s="1"/>
      <c r="E453" s="1"/>
      <c r="F453" s="1"/>
      <c r="G453" s="1"/>
      <c r="H453" s="1"/>
      <c r="I453" s="61"/>
      <c r="J453" s="1"/>
      <c r="K453" s="1"/>
    </row>
    <row r="454" spans="1:11" ht="15.75" customHeight="1">
      <c r="A454" s="2"/>
      <c r="B454" s="1"/>
      <c r="C454" s="1"/>
      <c r="D454" s="1"/>
      <c r="E454" s="1"/>
      <c r="F454" s="1"/>
      <c r="G454" s="1"/>
      <c r="H454" s="1"/>
      <c r="I454" s="61"/>
      <c r="J454" s="1"/>
      <c r="K454" s="1"/>
    </row>
    <row r="455" spans="1:11" ht="15.75" customHeight="1">
      <c r="A455" s="2"/>
      <c r="B455" s="1"/>
      <c r="C455" s="1"/>
      <c r="D455" s="1"/>
      <c r="E455" s="1"/>
      <c r="F455" s="1"/>
      <c r="G455" s="1"/>
      <c r="H455" s="1"/>
      <c r="I455" s="61"/>
      <c r="J455" s="1"/>
      <c r="K455" s="1"/>
    </row>
    <row r="456" spans="1:11" ht="15.75" customHeight="1">
      <c r="A456" s="2"/>
      <c r="B456" s="1"/>
      <c r="C456" s="1"/>
      <c r="D456" s="1"/>
      <c r="E456" s="1"/>
      <c r="F456" s="1"/>
      <c r="G456" s="1"/>
      <c r="H456" s="1"/>
      <c r="I456" s="61"/>
      <c r="J456" s="1"/>
      <c r="K456" s="1"/>
    </row>
    <row r="457" spans="1:11" ht="15.75" customHeight="1">
      <c r="A457" s="2"/>
      <c r="B457" s="1"/>
      <c r="C457" s="1"/>
      <c r="D457" s="1"/>
      <c r="E457" s="1"/>
      <c r="F457" s="1"/>
      <c r="G457" s="1"/>
      <c r="H457" s="1"/>
      <c r="I457" s="61"/>
      <c r="J457" s="1"/>
      <c r="K457" s="1"/>
    </row>
    <row r="458" spans="1:11" ht="15.75" customHeight="1">
      <c r="A458" s="2"/>
      <c r="B458" s="1"/>
      <c r="C458" s="1"/>
      <c r="D458" s="1"/>
      <c r="E458" s="1"/>
      <c r="F458" s="1"/>
      <c r="G458" s="1"/>
      <c r="H458" s="1"/>
      <c r="I458" s="61"/>
      <c r="J458" s="1"/>
      <c r="K458" s="1"/>
    </row>
    <row r="459" spans="1:11" ht="15.75" customHeight="1">
      <c r="A459" s="2"/>
      <c r="B459" s="1"/>
      <c r="C459" s="1"/>
      <c r="D459" s="1"/>
      <c r="E459" s="1"/>
      <c r="F459" s="1"/>
      <c r="G459" s="1"/>
      <c r="H459" s="1"/>
      <c r="I459" s="61"/>
      <c r="J459" s="1"/>
      <c r="K459" s="1"/>
    </row>
    <row r="460" spans="1:11" ht="15.75" customHeight="1">
      <c r="A460" s="2"/>
      <c r="B460" s="1"/>
      <c r="C460" s="1"/>
      <c r="D460" s="1"/>
      <c r="E460" s="1"/>
      <c r="F460" s="1"/>
      <c r="G460" s="1"/>
      <c r="H460" s="1"/>
      <c r="I460" s="61"/>
      <c r="J460" s="1"/>
      <c r="K460" s="1"/>
    </row>
    <row r="461" spans="1:11" ht="15.75" customHeight="1">
      <c r="A461" s="2"/>
      <c r="B461" s="1"/>
      <c r="C461" s="1"/>
      <c r="D461" s="1"/>
      <c r="E461" s="1"/>
      <c r="F461" s="1"/>
      <c r="G461" s="1"/>
      <c r="H461" s="1"/>
      <c r="I461" s="61"/>
      <c r="J461" s="1"/>
      <c r="K461" s="1"/>
    </row>
    <row r="462" spans="1:11" ht="15.75" customHeight="1">
      <c r="A462" s="2"/>
      <c r="B462" s="1"/>
      <c r="C462" s="1"/>
      <c r="D462" s="1"/>
      <c r="E462" s="1"/>
      <c r="F462" s="1"/>
      <c r="G462" s="1"/>
      <c r="H462" s="1"/>
      <c r="I462" s="61"/>
      <c r="J462" s="1"/>
      <c r="K462" s="1"/>
    </row>
    <row r="463" spans="1:11" ht="15.75" customHeight="1">
      <c r="A463" s="2"/>
      <c r="B463" s="1"/>
      <c r="C463" s="1"/>
      <c r="D463" s="1"/>
      <c r="E463" s="1"/>
      <c r="F463" s="1"/>
      <c r="G463" s="1"/>
      <c r="H463" s="1"/>
      <c r="I463" s="61"/>
      <c r="J463" s="1"/>
      <c r="K463" s="1"/>
    </row>
    <row r="464" spans="1:11" ht="15.75" customHeight="1">
      <c r="A464" s="2"/>
      <c r="B464" s="1"/>
      <c r="C464" s="1"/>
      <c r="D464" s="1"/>
      <c r="E464" s="1"/>
      <c r="F464" s="1"/>
      <c r="G464" s="1"/>
      <c r="H464" s="1"/>
      <c r="I464" s="61"/>
      <c r="J464" s="1"/>
      <c r="K464" s="1"/>
    </row>
    <row r="465" spans="1:11" ht="15.75" customHeight="1">
      <c r="A465" s="2"/>
      <c r="B465" s="1"/>
      <c r="C465" s="1"/>
      <c r="D465" s="1"/>
      <c r="E465" s="1"/>
      <c r="F465" s="1"/>
      <c r="G465" s="1"/>
      <c r="H465" s="1"/>
      <c r="I465" s="61"/>
      <c r="J465" s="1"/>
      <c r="K465" s="1"/>
    </row>
    <row r="466" spans="1:11" ht="15.75" customHeight="1">
      <c r="A466" s="2"/>
      <c r="B466" s="1"/>
      <c r="C466" s="1"/>
      <c r="D466" s="1"/>
      <c r="E466" s="1"/>
      <c r="F466" s="1"/>
      <c r="G466" s="1"/>
      <c r="H466" s="1"/>
      <c r="I466" s="61"/>
      <c r="J466" s="1"/>
      <c r="K466" s="1"/>
    </row>
    <row r="467" spans="1:11" ht="15.75" customHeight="1">
      <c r="A467" s="2"/>
      <c r="B467" s="1"/>
      <c r="C467" s="1"/>
      <c r="D467" s="1"/>
      <c r="E467" s="1"/>
      <c r="F467" s="1"/>
      <c r="G467" s="1"/>
      <c r="H467" s="1"/>
      <c r="I467" s="61"/>
      <c r="J467" s="1"/>
      <c r="K467" s="1"/>
    </row>
    <row r="468" spans="1:11" ht="15.75" customHeight="1">
      <c r="A468" s="2"/>
      <c r="B468" s="1"/>
      <c r="C468" s="1"/>
      <c r="D468" s="1"/>
      <c r="E468" s="1"/>
      <c r="F468" s="1"/>
      <c r="G468" s="1"/>
      <c r="H468" s="1"/>
      <c r="I468" s="61"/>
      <c r="J468" s="1"/>
      <c r="K468" s="1"/>
    </row>
    <row r="469" spans="1:11" ht="15.75" customHeight="1">
      <c r="A469" s="2"/>
      <c r="B469" s="1"/>
      <c r="C469" s="1"/>
      <c r="D469" s="1"/>
      <c r="E469" s="1"/>
      <c r="F469" s="1"/>
      <c r="G469" s="1"/>
      <c r="H469" s="1"/>
      <c r="I469" s="61"/>
      <c r="J469" s="1"/>
      <c r="K469" s="1"/>
    </row>
    <row r="470" spans="1:11" ht="15.75" customHeight="1">
      <c r="A470" s="2"/>
      <c r="B470" s="1"/>
      <c r="C470" s="1"/>
      <c r="D470" s="1"/>
      <c r="E470" s="1"/>
      <c r="F470" s="1"/>
      <c r="G470" s="1"/>
      <c r="H470" s="1"/>
      <c r="I470" s="61"/>
      <c r="J470" s="1"/>
      <c r="K470" s="1"/>
    </row>
    <row r="471" spans="1:11" ht="15.75" customHeight="1">
      <c r="A471" s="2"/>
      <c r="B471" s="1"/>
      <c r="C471" s="1"/>
      <c r="D471" s="1"/>
      <c r="E471" s="1"/>
      <c r="F471" s="1"/>
      <c r="G471" s="1"/>
      <c r="H471" s="1"/>
      <c r="I471" s="61"/>
      <c r="J471" s="1"/>
      <c r="K471" s="1"/>
    </row>
    <row r="472" spans="1:11" ht="15.75" customHeight="1">
      <c r="A472" s="2"/>
      <c r="B472" s="1"/>
      <c r="C472" s="1"/>
      <c r="D472" s="1"/>
      <c r="E472" s="1"/>
      <c r="F472" s="1"/>
      <c r="G472" s="1"/>
      <c r="H472" s="1"/>
      <c r="I472" s="61"/>
      <c r="J472" s="1"/>
      <c r="K472" s="1"/>
    </row>
    <row r="473" spans="1:11" ht="15.75" customHeight="1">
      <c r="A473" s="2"/>
      <c r="B473" s="1"/>
      <c r="C473" s="1"/>
      <c r="D473" s="1"/>
      <c r="E473" s="1"/>
      <c r="F473" s="1"/>
      <c r="G473" s="1"/>
      <c r="H473" s="1"/>
      <c r="I473" s="61"/>
      <c r="J473" s="1"/>
      <c r="K473" s="1"/>
    </row>
    <row r="474" spans="1:11" ht="15.75" customHeight="1">
      <c r="A474" s="2"/>
      <c r="B474" s="1"/>
      <c r="C474" s="1"/>
      <c r="D474" s="1"/>
      <c r="E474" s="1"/>
      <c r="F474" s="1"/>
      <c r="G474" s="1"/>
      <c r="H474" s="1"/>
      <c r="I474" s="61"/>
      <c r="J474" s="1"/>
      <c r="K474" s="1"/>
    </row>
    <row r="475" spans="1:11" ht="15.75" customHeight="1">
      <c r="A475" s="2"/>
      <c r="B475" s="1"/>
      <c r="C475" s="1"/>
      <c r="D475" s="1"/>
      <c r="E475" s="1"/>
      <c r="F475" s="1"/>
      <c r="G475" s="1"/>
      <c r="H475" s="1"/>
      <c r="I475" s="61"/>
      <c r="J475" s="1"/>
      <c r="K475" s="1"/>
    </row>
    <row r="476" spans="1:11" ht="15.75" customHeight="1">
      <c r="A476" s="2"/>
      <c r="B476" s="1"/>
      <c r="C476" s="1"/>
      <c r="D476" s="1"/>
      <c r="E476" s="1"/>
      <c r="F476" s="1"/>
      <c r="G476" s="1"/>
      <c r="H476" s="1"/>
      <c r="I476" s="61"/>
      <c r="J476" s="1"/>
      <c r="K476" s="1"/>
    </row>
    <row r="477" spans="1:11" ht="15.75" customHeight="1">
      <c r="A477" s="2"/>
      <c r="B477" s="1"/>
      <c r="C477" s="1"/>
      <c r="D477" s="1"/>
      <c r="E477" s="1"/>
      <c r="F477" s="1"/>
      <c r="G477" s="1"/>
      <c r="H477" s="1"/>
      <c r="I477" s="61"/>
      <c r="J477" s="1"/>
      <c r="K477" s="1"/>
    </row>
    <row r="478" spans="1:11" ht="15.75" customHeight="1">
      <c r="A478" s="2"/>
      <c r="B478" s="1"/>
      <c r="C478" s="1"/>
      <c r="D478" s="1"/>
      <c r="E478" s="1"/>
      <c r="F478" s="1"/>
      <c r="G478" s="1"/>
      <c r="H478" s="1"/>
      <c r="I478" s="61"/>
      <c r="J478" s="1"/>
      <c r="K478" s="1"/>
    </row>
    <row r="479" spans="1:11" ht="15.75" customHeight="1">
      <c r="A479" s="2"/>
      <c r="B479" s="1"/>
      <c r="C479" s="1"/>
      <c r="D479" s="1"/>
      <c r="E479" s="1"/>
      <c r="F479" s="1"/>
      <c r="G479" s="1"/>
      <c r="H479" s="1"/>
      <c r="I479" s="61"/>
      <c r="J479" s="1"/>
      <c r="K479" s="1"/>
    </row>
    <row r="480" spans="1:11" ht="15.75" customHeight="1">
      <c r="A480" s="2"/>
      <c r="B480" s="1"/>
      <c r="C480" s="1"/>
      <c r="D480" s="1"/>
      <c r="E480" s="1"/>
      <c r="F480" s="1"/>
      <c r="G480" s="1"/>
      <c r="H480" s="1"/>
      <c r="I480" s="61"/>
      <c r="J480" s="1"/>
      <c r="K480" s="1"/>
    </row>
    <row r="481" spans="1:11" ht="15.75" customHeight="1">
      <c r="A481" s="2"/>
      <c r="B481" s="1"/>
      <c r="C481" s="1"/>
      <c r="D481" s="1"/>
      <c r="E481" s="1"/>
      <c r="F481" s="1"/>
      <c r="G481" s="1"/>
      <c r="H481" s="1"/>
      <c r="I481" s="61"/>
      <c r="J481" s="1"/>
      <c r="K481" s="1"/>
    </row>
    <row r="482" spans="1:11" ht="15.75" customHeight="1">
      <c r="A482" s="2"/>
      <c r="B482" s="1"/>
      <c r="C482" s="1"/>
      <c r="D482" s="1"/>
      <c r="E482" s="1"/>
      <c r="F482" s="1"/>
      <c r="G482" s="1"/>
      <c r="H482" s="1"/>
      <c r="I482" s="61"/>
      <c r="J482" s="1"/>
      <c r="K482" s="1"/>
    </row>
    <row r="483" spans="1:11" ht="15.75" customHeight="1">
      <c r="A483" s="2"/>
      <c r="B483" s="1"/>
      <c r="C483" s="1"/>
      <c r="D483" s="1"/>
      <c r="E483" s="1"/>
      <c r="F483" s="1"/>
      <c r="G483" s="1"/>
      <c r="H483" s="1"/>
      <c r="I483" s="61"/>
      <c r="J483" s="1"/>
      <c r="K483" s="1"/>
    </row>
    <row r="484" spans="1:11" ht="15.75" customHeight="1">
      <c r="A484" s="2"/>
      <c r="B484" s="1"/>
      <c r="C484" s="1"/>
      <c r="D484" s="1"/>
      <c r="E484" s="1"/>
      <c r="F484" s="1"/>
      <c r="G484" s="1"/>
      <c r="H484" s="1"/>
      <c r="I484" s="61"/>
      <c r="J484" s="1"/>
      <c r="K484" s="1"/>
    </row>
    <row r="485" spans="1:11" ht="15.75" customHeight="1">
      <c r="A485" s="2"/>
      <c r="B485" s="1"/>
      <c r="C485" s="1"/>
      <c r="D485" s="1"/>
      <c r="E485" s="1"/>
      <c r="F485" s="1"/>
      <c r="G485" s="1"/>
      <c r="H485" s="1"/>
      <c r="I485" s="61"/>
      <c r="J485" s="1"/>
      <c r="K485" s="1"/>
    </row>
    <row r="486" spans="1:11" ht="15.75" customHeight="1">
      <c r="A486" s="2"/>
      <c r="B486" s="1"/>
      <c r="C486" s="1"/>
      <c r="D486" s="1"/>
      <c r="E486" s="1"/>
      <c r="F486" s="1"/>
      <c r="G486" s="1"/>
      <c r="H486" s="1"/>
      <c r="I486" s="61"/>
      <c r="J486" s="1"/>
      <c r="K486" s="1"/>
    </row>
    <row r="487" spans="1:11" ht="15.75" customHeight="1">
      <c r="A487" s="2"/>
      <c r="B487" s="1"/>
      <c r="C487" s="1"/>
      <c r="D487" s="1"/>
      <c r="E487" s="1"/>
      <c r="F487" s="1"/>
      <c r="G487" s="1"/>
      <c r="H487" s="1"/>
      <c r="I487" s="61"/>
      <c r="J487" s="1"/>
      <c r="K487" s="1"/>
    </row>
    <row r="488" spans="1:11" ht="15.75" customHeight="1">
      <c r="A488" s="2"/>
      <c r="B488" s="1"/>
      <c r="C488" s="1"/>
      <c r="D488" s="1"/>
      <c r="E488" s="1"/>
      <c r="F488" s="1"/>
      <c r="G488" s="1"/>
      <c r="H488" s="1"/>
      <c r="I488" s="61"/>
      <c r="J488" s="1"/>
      <c r="K488" s="1"/>
    </row>
    <row r="489" spans="1:11" ht="15.75" customHeight="1">
      <c r="A489" s="2"/>
      <c r="B489" s="1"/>
      <c r="C489" s="1"/>
      <c r="D489" s="1"/>
      <c r="E489" s="1"/>
      <c r="F489" s="1"/>
      <c r="G489" s="1"/>
      <c r="H489" s="1"/>
      <c r="I489" s="61"/>
      <c r="J489" s="1"/>
      <c r="K489" s="1"/>
    </row>
    <row r="490" spans="1:11" ht="15.75" customHeight="1">
      <c r="A490" s="2"/>
      <c r="B490" s="1"/>
      <c r="C490" s="1"/>
      <c r="D490" s="1"/>
      <c r="E490" s="1"/>
      <c r="F490" s="1"/>
      <c r="G490" s="1"/>
      <c r="H490" s="1"/>
      <c r="I490" s="61"/>
      <c r="J490" s="1"/>
      <c r="K490" s="1"/>
    </row>
    <row r="491" spans="1:11" ht="15.75" customHeight="1">
      <c r="A491" s="2"/>
      <c r="B491" s="1"/>
      <c r="C491" s="1"/>
      <c r="D491" s="1"/>
      <c r="E491" s="1"/>
      <c r="F491" s="1"/>
      <c r="G491" s="1"/>
      <c r="H491" s="1"/>
      <c r="I491" s="61"/>
      <c r="J491" s="1"/>
      <c r="K491" s="1"/>
    </row>
    <row r="492" spans="1:11" ht="15.75" customHeight="1">
      <c r="A492" s="2"/>
      <c r="B492" s="1"/>
      <c r="C492" s="1"/>
      <c r="D492" s="1"/>
      <c r="E492" s="1"/>
      <c r="F492" s="1"/>
      <c r="G492" s="1"/>
      <c r="H492" s="1"/>
      <c r="I492" s="61"/>
      <c r="J492" s="1"/>
      <c r="K492" s="1"/>
    </row>
    <row r="493" spans="1:11" ht="15.75" customHeight="1">
      <c r="A493" s="2"/>
      <c r="B493" s="1"/>
      <c r="C493" s="1"/>
      <c r="D493" s="1"/>
      <c r="E493" s="1"/>
      <c r="F493" s="1"/>
      <c r="G493" s="1"/>
      <c r="H493" s="1"/>
      <c r="I493" s="61"/>
      <c r="J493" s="1"/>
      <c r="K493" s="1"/>
    </row>
    <row r="494" spans="1:11" ht="15.75" customHeight="1">
      <c r="A494" s="2"/>
      <c r="B494" s="1"/>
      <c r="C494" s="1"/>
      <c r="D494" s="1"/>
      <c r="E494" s="1"/>
      <c r="F494" s="1"/>
      <c r="G494" s="1"/>
      <c r="H494" s="1"/>
      <c r="I494" s="61"/>
      <c r="J494" s="1"/>
      <c r="K494" s="1"/>
    </row>
    <row r="495" spans="1:11" ht="15.75" customHeight="1">
      <c r="A495" s="2"/>
      <c r="B495" s="1"/>
      <c r="C495" s="1"/>
      <c r="D495" s="1"/>
      <c r="E495" s="1"/>
      <c r="F495" s="1"/>
      <c r="G495" s="1"/>
      <c r="H495" s="1"/>
      <c r="I495" s="61"/>
      <c r="J495" s="1"/>
      <c r="K495" s="1"/>
    </row>
    <row r="496" spans="1:11" ht="15.75" customHeight="1">
      <c r="A496" s="2"/>
      <c r="B496" s="1"/>
      <c r="C496" s="1"/>
      <c r="D496" s="1"/>
      <c r="E496" s="1"/>
      <c r="F496" s="1"/>
      <c r="G496" s="1"/>
      <c r="H496" s="1"/>
      <c r="I496" s="61"/>
      <c r="J496" s="1"/>
      <c r="K496" s="1"/>
    </row>
    <row r="497" spans="1:11" ht="15.75" customHeight="1">
      <c r="A497" s="2"/>
      <c r="B497" s="1"/>
      <c r="C497" s="1"/>
      <c r="D497" s="1"/>
      <c r="E497" s="1"/>
      <c r="F497" s="1"/>
      <c r="G497" s="1"/>
      <c r="H497" s="1"/>
      <c r="I497" s="61"/>
      <c r="J497" s="1"/>
      <c r="K497" s="1"/>
    </row>
    <row r="498" spans="1:11" ht="15.75" customHeight="1">
      <c r="A498" s="2"/>
      <c r="B498" s="1"/>
      <c r="C498" s="1"/>
      <c r="D498" s="1"/>
      <c r="E498" s="1"/>
      <c r="F498" s="1"/>
      <c r="G498" s="1"/>
      <c r="H498" s="1"/>
      <c r="I498" s="61"/>
      <c r="J498" s="1"/>
      <c r="K498" s="1"/>
    </row>
    <row r="499" spans="1:11" ht="15.75" customHeight="1">
      <c r="A499" s="2"/>
      <c r="B499" s="1"/>
      <c r="C499" s="1"/>
      <c r="D499" s="1"/>
      <c r="E499" s="1"/>
      <c r="F499" s="1"/>
      <c r="G499" s="1"/>
      <c r="H499" s="1"/>
      <c r="I499" s="61"/>
      <c r="J499" s="1"/>
      <c r="K499" s="1"/>
    </row>
    <row r="500" spans="1:11" ht="15.75" customHeight="1">
      <c r="A500" s="2"/>
      <c r="B500" s="1"/>
      <c r="C500" s="1"/>
      <c r="D500" s="1"/>
      <c r="E500" s="1"/>
      <c r="F500" s="1"/>
      <c r="G500" s="1"/>
      <c r="H500" s="1"/>
      <c r="I500" s="61"/>
      <c r="J500" s="1"/>
      <c r="K500" s="1"/>
    </row>
    <row r="501" spans="1:11" ht="15.75" customHeight="1">
      <c r="A501" s="2"/>
      <c r="B501" s="1"/>
      <c r="C501" s="1"/>
      <c r="D501" s="1"/>
      <c r="E501" s="1"/>
      <c r="F501" s="1"/>
      <c r="G501" s="1"/>
      <c r="H501" s="1"/>
      <c r="I501" s="61"/>
      <c r="J501" s="1"/>
      <c r="K501" s="1"/>
    </row>
    <row r="502" spans="1:11" ht="15.75" customHeight="1">
      <c r="A502" s="2"/>
      <c r="B502" s="1"/>
      <c r="C502" s="1"/>
      <c r="D502" s="1"/>
      <c r="E502" s="1"/>
      <c r="F502" s="1"/>
      <c r="G502" s="1"/>
      <c r="H502" s="1"/>
      <c r="I502" s="61"/>
      <c r="J502" s="1"/>
      <c r="K502" s="1"/>
    </row>
    <row r="503" spans="1:11" ht="15.75" customHeight="1">
      <c r="A503" s="2"/>
      <c r="B503" s="1"/>
      <c r="C503" s="1"/>
      <c r="D503" s="1"/>
      <c r="E503" s="1"/>
      <c r="F503" s="1"/>
      <c r="G503" s="1"/>
      <c r="H503" s="1"/>
      <c r="I503" s="61"/>
      <c r="J503" s="1"/>
      <c r="K503" s="1"/>
    </row>
    <row r="504" spans="1:11" ht="15.75" customHeight="1">
      <c r="A504" s="2"/>
      <c r="B504" s="1"/>
      <c r="C504" s="1"/>
      <c r="D504" s="1"/>
      <c r="E504" s="1"/>
      <c r="F504" s="1"/>
      <c r="G504" s="1"/>
      <c r="H504" s="1"/>
      <c r="I504" s="61"/>
      <c r="J504" s="1"/>
      <c r="K504" s="1"/>
    </row>
    <row r="505" spans="1:11" ht="15.75" customHeight="1">
      <c r="A505" s="2"/>
      <c r="B505" s="1"/>
      <c r="C505" s="1"/>
      <c r="D505" s="1"/>
      <c r="E505" s="1"/>
      <c r="F505" s="1"/>
      <c r="G505" s="1"/>
      <c r="H505" s="1"/>
      <c r="I505" s="61"/>
      <c r="J505" s="1"/>
      <c r="K505" s="1"/>
    </row>
    <row r="506" spans="1:11" ht="15.75" customHeight="1">
      <c r="A506" s="2"/>
      <c r="B506" s="1"/>
      <c r="C506" s="1"/>
      <c r="D506" s="1"/>
      <c r="E506" s="1"/>
      <c r="F506" s="1"/>
      <c r="G506" s="1"/>
      <c r="H506" s="1"/>
      <c r="I506" s="61"/>
      <c r="J506" s="1"/>
      <c r="K506" s="1"/>
    </row>
    <row r="507" spans="1:11" ht="15.75" customHeight="1">
      <c r="A507" s="2"/>
      <c r="B507" s="1"/>
      <c r="C507" s="1"/>
      <c r="D507" s="1"/>
      <c r="E507" s="1"/>
      <c r="F507" s="1"/>
      <c r="G507" s="1"/>
      <c r="H507" s="1"/>
      <c r="I507" s="61"/>
      <c r="J507" s="1"/>
      <c r="K507" s="1"/>
    </row>
    <row r="508" spans="1:11" ht="15.75" customHeight="1">
      <c r="A508" s="2"/>
      <c r="B508" s="1"/>
      <c r="C508" s="1"/>
      <c r="D508" s="1"/>
      <c r="E508" s="1"/>
      <c r="F508" s="1"/>
      <c r="G508" s="1"/>
      <c r="H508" s="1"/>
      <c r="I508" s="61"/>
      <c r="J508" s="1"/>
      <c r="K508" s="1"/>
    </row>
    <row r="509" spans="1:11" ht="15.75" customHeight="1">
      <c r="A509" s="2"/>
      <c r="B509" s="1"/>
      <c r="C509" s="1"/>
      <c r="D509" s="1"/>
      <c r="E509" s="1"/>
      <c r="F509" s="1"/>
      <c r="G509" s="1"/>
      <c r="H509" s="1"/>
      <c r="I509" s="61"/>
      <c r="J509" s="1"/>
      <c r="K509" s="1"/>
    </row>
    <row r="510" spans="1:11" ht="15.75" customHeight="1">
      <c r="A510" s="2"/>
      <c r="B510" s="1"/>
      <c r="C510" s="1"/>
      <c r="D510" s="1"/>
      <c r="E510" s="1"/>
      <c r="F510" s="1"/>
      <c r="G510" s="1"/>
      <c r="H510" s="1"/>
      <c r="I510" s="61"/>
      <c r="J510" s="1"/>
      <c r="K510" s="1"/>
    </row>
    <row r="511" spans="1:11" ht="15.75" customHeight="1">
      <c r="A511" s="2"/>
      <c r="B511" s="1"/>
      <c r="C511" s="1"/>
      <c r="D511" s="1"/>
      <c r="E511" s="1"/>
      <c r="F511" s="1"/>
      <c r="G511" s="1"/>
      <c r="H511" s="1"/>
      <c r="I511" s="61"/>
      <c r="J511" s="1"/>
      <c r="K511" s="1"/>
    </row>
    <row r="512" spans="1:11" ht="15.75" customHeight="1">
      <c r="A512" s="2"/>
      <c r="B512" s="1"/>
      <c r="C512" s="1"/>
      <c r="D512" s="1"/>
      <c r="E512" s="1"/>
      <c r="F512" s="1"/>
      <c r="G512" s="1"/>
      <c r="H512" s="1"/>
      <c r="I512" s="61"/>
      <c r="J512" s="1"/>
      <c r="K512" s="1"/>
    </row>
    <row r="513" spans="1:11" ht="15.75" customHeight="1">
      <c r="A513" s="2"/>
      <c r="B513" s="1"/>
      <c r="C513" s="1"/>
      <c r="D513" s="1"/>
      <c r="E513" s="1"/>
      <c r="F513" s="1"/>
      <c r="G513" s="1"/>
      <c r="H513" s="1"/>
      <c r="I513" s="61"/>
      <c r="J513" s="1"/>
      <c r="K513" s="1"/>
    </row>
    <row r="514" spans="1:11" ht="15.75" customHeight="1">
      <c r="A514" s="2"/>
      <c r="B514" s="1"/>
      <c r="C514" s="1"/>
      <c r="D514" s="1"/>
      <c r="E514" s="1"/>
      <c r="F514" s="1"/>
      <c r="G514" s="1"/>
      <c r="H514" s="1"/>
      <c r="I514" s="61"/>
      <c r="J514" s="1"/>
      <c r="K514" s="1"/>
    </row>
    <row r="515" spans="1:11" ht="15.75" customHeight="1">
      <c r="A515" s="2"/>
      <c r="B515" s="1"/>
      <c r="C515" s="1"/>
      <c r="D515" s="1"/>
      <c r="E515" s="1"/>
      <c r="F515" s="1"/>
      <c r="G515" s="1"/>
      <c r="H515" s="1"/>
      <c r="I515" s="61"/>
      <c r="J515" s="1"/>
      <c r="K515" s="1"/>
    </row>
    <row r="516" spans="1:11" ht="15.75" customHeight="1">
      <c r="A516" s="2"/>
      <c r="B516" s="1"/>
      <c r="C516" s="1"/>
      <c r="D516" s="1"/>
      <c r="E516" s="1"/>
      <c r="F516" s="1"/>
      <c r="G516" s="1"/>
      <c r="H516" s="1"/>
      <c r="I516" s="61"/>
      <c r="J516" s="1"/>
      <c r="K516" s="1"/>
    </row>
    <row r="517" spans="1:11" ht="15.75" customHeight="1">
      <c r="A517" s="2"/>
      <c r="B517" s="1"/>
      <c r="C517" s="1"/>
      <c r="D517" s="1"/>
      <c r="E517" s="1"/>
      <c r="F517" s="1"/>
      <c r="G517" s="1"/>
      <c r="H517" s="1"/>
      <c r="I517" s="61"/>
      <c r="J517" s="1"/>
      <c r="K517" s="1"/>
    </row>
    <row r="518" spans="1:11" ht="15.75" customHeight="1">
      <c r="A518" s="2"/>
      <c r="B518" s="1"/>
      <c r="C518" s="1"/>
      <c r="D518" s="1"/>
      <c r="E518" s="1"/>
      <c r="F518" s="1"/>
      <c r="G518" s="1"/>
      <c r="H518" s="1"/>
      <c r="I518" s="61"/>
      <c r="J518" s="1"/>
      <c r="K518" s="1"/>
    </row>
    <row r="519" spans="1:11" ht="15.75" customHeight="1">
      <c r="A519" s="2"/>
      <c r="B519" s="1"/>
      <c r="C519" s="1"/>
      <c r="D519" s="1"/>
      <c r="E519" s="1"/>
      <c r="F519" s="1"/>
      <c r="G519" s="1"/>
      <c r="H519" s="1"/>
      <c r="I519" s="61"/>
      <c r="J519" s="1"/>
      <c r="K519" s="1"/>
    </row>
    <row r="520" spans="1:11" ht="15.75" customHeight="1">
      <c r="A520" s="2"/>
      <c r="B520" s="1"/>
      <c r="C520" s="1"/>
      <c r="D520" s="1"/>
      <c r="E520" s="1"/>
      <c r="F520" s="1"/>
      <c r="G520" s="1"/>
      <c r="H520" s="1"/>
      <c r="I520" s="61"/>
      <c r="J520" s="1"/>
      <c r="K520" s="1"/>
    </row>
    <row r="521" spans="1:11" ht="15.75" customHeight="1">
      <c r="A521" s="2"/>
      <c r="B521" s="1"/>
      <c r="C521" s="1"/>
      <c r="D521" s="1"/>
      <c r="E521" s="1"/>
      <c r="F521" s="1"/>
      <c r="G521" s="1"/>
      <c r="H521" s="1"/>
      <c r="I521" s="61"/>
      <c r="J521" s="1"/>
      <c r="K521" s="1"/>
    </row>
    <row r="522" spans="1:11" ht="15.75" customHeight="1">
      <c r="A522" s="2"/>
      <c r="B522" s="1"/>
      <c r="C522" s="1"/>
      <c r="D522" s="1"/>
      <c r="E522" s="1"/>
      <c r="F522" s="1"/>
      <c r="G522" s="1"/>
      <c r="H522" s="1"/>
      <c r="I522" s="61"/>
      <c r="J522" s="1"/>
      <c r="K522" s="1"/>
    </row>
    <row r="523" spans="1:11" ht="15.75" customHeight="1">
      <c r="A523" s="2"/>
      <c r="B523" s="1"/>
      <c r="C523" s="1"/>
      <c r="D523" s="1"/>
      <c r="E523" s="1"/>
      <c r="F523" s="1"/>
      <c r="G523" s="1"/>
      <c r="H523" s="1"/>
      <c r="I523" s="61"/>
      <c r="J523" s="1"/>
      <c r="K523" s="1"/>
    </row>
    <row r="524" spans="1:11" ht="15.75" customHeight="1">
      <c r="A524" s="2"/>
      <c r="B524" s="1"/>
      <c r="C524" s="1"/>
      <c r="D524" s="1"/>
      <c r="E524" s="1"/>
      <c r="F524" s="1"/>
      <c r="G524" s="1"/>
      <c r="H524" s="1"/>
      <c r="I524" s="61"/>
      <c r="J524" s="1"/>
      <c r="K524" s="1"/>
    </row>
    <row r="525" spans="1:11" ht="15.75" customHeight="1">
      <c r="A525" s="2"/>
      <c r="B525" s="1"/>
      <c r="C525" s="1"/>
      <c r="D525" s="1"/>
      <c r="E525" s="1"/>
      <c r="F525" s="1"/>
      <c r="G525" s="1"/>
      <c r="H525" s="1"/>
      <c r="I525" s="61"/>
      <c r="J525" s="1"/>
      <c r="K525" s="1"/>
    </row>
    <row r="526" spans="1:11" ht="15.75" customHeight="1">
      <c r="A526" s="2"/>
      <c r="B526" s="1"/>
      <c r="C526" s="1"/>
      <c r="D526" s="1"/>
      <c r="E526" s="1"/>
      <c r="F526" s="1"/>
      <c r="G526" s="1"/>
      <c r="H526" s="1"/>
      <c r="I526" s="61"/>
      <c r="J526" s="1"/>
      <c r="K526" s="1"/>
    </row>
    <row r="527" spans="1:11" ht="15.75" customHeight="1">
      <c r="A527" s="2"/>
      <c r="B527" s="1"/>
      <c r="C527" s="1"/>
      <c r="D527" s="1"/>
      <c r="E527" s="1"/>
      <c r="F527" s="1"/>
      <c r="G527" s="1"/>
      <c r="H527" s="1"/>
      <c r="I527" s="61"/>
      <c r="J527" s="1"/>
      <c r="K527" s="1"/>
    </row>
    <row r="528" spans="1:11" ht="15.75" customHeight="1">
      <c r="A528" s="2"/>
      <c r="B528" s="1"/>
      <c r="C528" s="1"/>
      <c r="D528" s="1"/>
      <c r="E528" s="1"/>
      <c r="F528" s="1"/>
      <c r="G528" s="1"/>
      <c r="H528" s="1"/>
      <c r="I528" s="61"/>
      <c r="J528" s="1"/>
      <c r="K528" s="1"/>
    </row>
    <row r="529" spans="1:11" ht="15.75" customHeight="1">
      <c r="A529" s="2"/>
      <c r="B529" s="1"/>
      <c r="C529" s="1"/>
      <c r="D529" s="1"/>
      <c r="E529" s="1"/>
      <c r="F529" s="1"/>
      <c r="G529" s="1"/>
      <c r="H529" s="1"/>
      <c r="I529" s="61"/>
      <c r="J529" s="1"/>
      <c r="K529" s="1"/>
    </row>
    <row r="530" spans="1:11" ht="15.75" customHeight="1">
      <c r="A530" s="2"/>
      <c r="B530" s="1"/>
      <c r="C530" s="1"/>
      <c r="D530" s="1"/>
      <c r="E530" s="1"/>
      <c r="F530" s="1"/>
      <c r="G530" s="1"/>
      <c r="H530" s="1"/>
      <c r="I530" s="61"/>
      <c r="J530" s="1"/>
      <c r="K530" s="1"/>
    </row>
    <row r="531" spans="1:11" ht="15.75" customHeight="1">
      <c r="A531" s="2"/>
      <c r="B531" s="1"/>
      <c r="C531" s="1"/>
      <c r="D531" s="1"/>
      <c r="E531" s="1"/>
      <c r="F531" s="1"/>
      <c r="G531" s="1"/>
      <c r="H531" s="1"/>
      <c r="I531" s="61"/>
      <c r="J531" s="1"/>
      <c r="K531" s="1"/>
    </row>
    <row r="532" spans="1:11" ht="15.75" customHeight="1">
      <c r="A532" s="2"/>
      <c r="B532" s="1"/>
      <c r="C532" s="1"/>
      <c r="D532" s="1"/>
      <c r="E532" s="1"/>
      <c r="F532" s="1"/>
      <c r="G532" s="1"/>
      <c r="H532" s="1"/>
      <c r="I532" s="61"/>
      <c r="J532" s="1"/>
      <c r="K532" s="1"/>
    </row>
    <row r="533" spans="1:11" ht="15.75" customHeight="1">
      <c r="A533" s="2"/>
      <c r="B533" s="1"/>
      <c r="C533" s="1"/>
      <c r="D533" s="1"/>
      <c r="E533" s="1"/>
      <c r="F533" s="1"/>
      <c r="G533" s="1"/>
      <c r="H533" s="1"/>
      <c r="I533" s="61"/>
      <c r="J533" s="1"/>
      <c r="K533" s="1"/>
    </row>
    <row r="534" spans="1:11" ht="15.75" customHeight="1">
      <c r="A534" s="2"/>
      <c r="B534" s="1"/>
      <c r="C534" s="1"/>
      <c r="D534" s="1"/>
      <c r="E534" s="1"/>
      <c r="F534" s="1"/>
      <c r="G534" s="1"/>
      <c r="H534" s="1"/>
      <c r="I534" s="61"/>
      <c r="J534" s="1"/>
      <c r="K534" s="1"/>
    </row>
    <row r="535" spans="1:11" ht="15.75" customHeight="1">
      <c r="A535" s="2"/>
      <c r="B535" s="1"/>
      <c r="C535" s="1"/>
      <c r="D535" s="1"/>
      <c r="E535" s="1"/>
      <c r="F535" s="1"/>
      <c r="G535" s="1"/>
      <c r="H535" s="1"/>
      <c r="I535" s="61"/>
      <c r="J535" s="1"/>
      <c r="K535" s="1"/>
    </row>
    <row r="536" spans="1:11" ht="15.75" customHeight="1">
      <c r="A536" s="2"/>
      <c r="B536" s="1"/>
      <c r="C536" s="1"/>
      <c r="D536" s="1"/>
      <c r="E536" s="1"/>
      <c r="F536" s="1"/>
      <c r="G536" s="1"/>
      <c r="H536" s="1"/>
      <c r="I536" s="61"/>
      <c r="J536" s="1"/>
      <c r="K536" s="1"/>
    </row>
    <row r="537" spans="1:11" ht="15.75" customHeight="1">
      <c r="A537" s="2"/>
      <c r="B537" s="1"/>
      <c r="C537" s="1"/>
      <c r="D537" s="1"/>
      <c r="E537" s="1"/>
      <c r="F537" s="1"/>
      <c r="G537" s="1"/>
      <c r="H537" s="1"/>
      <c r="I537" s="61"/>
      <c r="J537" s="1"/>
      <c r="K537" s="1"/>
    </row>
    <row r="538" spans="1:11" ht="15.75" customHeight="1">
      <c r="A538" s="2"/>
      <c r="B538" s="1"/>
      <c r="C538" s="1"/>
      <c r="D538" s="1"/>
      <c r="E538" s="1"/>
      <c r="F538" s="1"/>
      <c r="G538" s="1"/>
      <c r="H538" s="1"/>
      <c r="I538" s="61"/>
      <c r="J538" s="1"/>
      <c r="K538" s="1"/>
    </row>
    <row r="539" spans="1:11" ht="15.75" customHeight="1">
      <c r="A539" s="2"/>
      <c r="B539" s="1"/>
      <c r="C539" s="1"/>
      <c r="D539" s="1"/>
      <c r="E539" s="1"/>
      <c r="F539" s="1"/>
      <c r="G539" s="1"/>
      <c r="H539" s="1"/>
      <c r="I539" s="61"/>
      <c r="J539" s="1"/>
      <c r="K539" s="1"/>
    </row>
    <row r="540" spans="1:11" ht="15.75" customHeight="1">
      <c r="A540" s="2"/>
      <c r="B540" s="1"/>
      <c r="C540" s="1"/>
      <c r="D540" s="1"/>
      <c r="E540" s="1"/>
      <c r="F540" s="1"/>
      <c r="G540" s="1"/>
      <c r="H540" s="1"/>
      <c r="I540" s="61"/>
      <c r="J540" s="1"/>
      <c r="K540" s="1"/>
    </row>
    <row r="541" spans="1:11" ht="15.75" customHeight="1">
      <c r="A541" s="2"/>
      <c r="B541" s="1"/>
      <c r="C541" s="1"/>
      <c r="D541" s="1"/>
      <c r="E541" s="1"/>
      <c r="F541" s="1"/>
      <c r="G541" s="1"/>
      <c r="H541" s="1"/>
      <c r="I541" s="61"/>
      <c r="J541" s="1"/>
      <c r="K541" s="1"/>
    </row>
    <row r="542" spans="1:11" ht="15.75" customHeight="1">
      <c r="A542" s="2"/>
      <c r="B542" s="1"/>
      <c r="C542" s="1"/>
      <c r="D542" s="1"/>
      <c r="E542" s="1"/>
      <c r="F542" s="1"/>
      <c r="G542" s="1"/>
      <c r="H542" s="1"/>
      <c r="I542" s="61"/>
      <c r="J542" s="1"/>
      <c r="K542" s="1"/>
    </row>
    <row r="543" spans="1:11" ht="15.75" customHeight="1">
      <c r="A543" s="2"/>
      <c r="B543" s="1"/>
      <c r="C543" s="1"/>
      <c r="D543" s="1"/>
      <c r="E543" s="1"/>
      <c r="F543" s="1"/>
      <c r="G543" s="1"/>
      <c r="H543" s="1"/>
      <c r="I543" s="61"/>
      <c r="J543" s="1"/>
      <c r="K543" s="1"/>
    </row>
    <row r="544" spans="1:11" ht="15.75" customHeight="1">
      <c r="A544" s="2"/>
      <c r="B544" s="1"/>
      <c r="C544" s="1"/>
      <c r="D544" s="1"/>
      <c r="E544" s="1"/>
      <c r="F544" s="1"/>
      <c r="G544" s="1"/>
      <c r="H544" s="1"/>
      <c r="I544" s="61"/>
      <c r="J544" s="1"/>
      <c r="K544" s="1"/>
    </row>
    <row r="545" spans="1:11" ht="15.75" customHeight="1">
      <c r="A545" s="2"/>
      <c r="B545" s="1"/>
      <c r="C545" s="1"/>
      <c r="D545" s="1"/>
      <c r="E545" s="1"/>
      <c r="F545" s="1"/>
      <c r="G545" s="1"/>
      <c r="H545" s="1"/>
      <c r="I545" s="61"/>
      <c r="J545" s="1"/>
      <c r="K545" s="1"/>
    </row>
    <row r="546" spans="1:11" ht="15.75" customHeight="1">
      <c r="A546" s="2"/>
      <c r="B546" s="1"/>
      <c r="C546" s="1"/>
      <c r="D546" s="1"/>
      <c r="E546" s="1"/>
      <c r="F546" s="1"/>
      <c r="G546" s="1"/>
      <c r="H546" s="1"/>
      <c r="I546" s="61"/>
      <c r="J546" s="1"/>
      <c r="K546" s="1"/>
    </row>
    <row r="547" spans="1:11" ht="15.75" customHeight="1">
      <c r="A547" s="2"/>
      <c r="B547" s="1"/>
      <c r="C547" s="1"/>
      <c r="D547" s="1"/>
      <c r="E547" s="1"/>
      <c r="F547" s="1"/>
      <c r="G547" s="1"/>
      <c r="H547" s="1"/>
      <c r="I547" s="61"/>
      <c r="J547" s="1"/>
      <c r="K547" s="1"/>
    </row>
    <row r="548" spans="1:11" ht="15.75" customHeight="1">
      <c r="A548" s="2"/>
      <c r="B548" s="1"/>
      <c r="C548" s="1"/>
      <c r="D548" s="1"/>
      <c r="E548" s="1"/>
      <c r="F548" s="1"/>
      <c r="G548" s="1"/>
      <c r="H548" s="1"/>
      <c r="I548" s="61"/>
      <c r="J548" s="1"/>
      <c r="K548" s="1"/>
    </row>
    <row r="549" spans="1:11" ht="15.75" customHeight="1">
      <c r="A549" s="2"/>
      <c r="B549" s="1"/>
      <c r="C549" s="1"/>
      <c r="D549" s="1"/>
      <c r="E549" s="1"/>
      <c r="F549" s="1"/>
      <c r="G549" s="1"/>
      <c r="H549" s="1"/>
      <c r="I549" s="61"/>
      <c r="J549" s="1"/>
      <c r="K549" s="1"/>
    </row>
    <row r="550" spans="1:11" ht="15.75" customHeight="1">
      <c r="A550" s="2"/>
      <c r="B550" s="1"/>
      <c r="C550" s="1"/>
      <c r="D550" s="1"/>
      <c r="E550" s="1"/>
      <c r="F550" s="1"/>
      <c r="G550" s="1"/>
      <c r="H550" s="1"/>
      <c r="I550" s="61"/>
      <c r="J550" s="1"/>
      <c r="K550" s="1"/>
    </row>
    <row r="551" spans="1:11" ht="15.75" customHeight="1">
      <c r="A551" s="2"/>
      <c r="B551" s="1"/>
      <c r="C551" s="1"/>
      <c r="D551" s="1"/>
      <c r="E551" s="1"/>
      <c r="F551" s="1"/>
      <c r="G551" s="1"/>
      <c r="H551" s="1"/>
      <c r="I551" s="61"/>
      <c r="J551" s="1"/>
      <c r="K551" s="1"/>
    </row>
    <row r="552" spans="1:11" ht="15.75" customHeight="1">
      <c r="A552" s="2"/>
      <c r="B552" s="1"/>
      <c r="C552" s="1"/>
      <c r="D552" s="1"/>
      <c r="E552" s="1"/>
      <c r="F552" s="1"/>
      <c r="G552" s="1"/>
      <c r="H552" s="1"/>
      <c r="I552" s="61"/>
      <c r="J552" s="1"/>
      <c r="K552" s="1"/>
    </row>
    <row r="553" spans="1:11" ht="15.75" customHeight="1">
      <c r="A553" s="2"/>
      <c r="B553" s="1"/>
      <c r="C553" s="1"/>
      <c r="D553" s="1"/>
      <c r="E553" s="1"/>
      <c r="F553" s="1"/>
      <c r="G553" s="1"/>
      <c r="H553" s="1"/>
      <c r="I553" s="61"/>
      <c r="J553" s="1"/>
      <c r="K553" s="1"/>
    </row>
    <row r="554" spans="1:11" ht="15.75" customHeight="1">
      <c r="A554" s="2"/>
      <c r="B554" s="1"/>
      <c r="C554" s="1"/>
      <c r="D554" s="1"/>
      <c r="E554" s="1"/>
      <c r="F554" s="1"/>
      <c r="G554" s="1"/>
      <c r="H554" s="1"/>
      <c r="I554" s="61"/>
      <c r="J554" s="1"/>
      <c r="K554" s="1"/>
    </row>
    <row r="555" spans="1:11" ht="15.75" customHeight="1">
      <c r="A555" s="2"/>
      <c r="B555" s="1"/>
      <c r="C555" s="1"/>
      <c r="D555" s="1"/>
      <c r="E555" s="1"/>
      <c r="F555" s="1"/>
      <c r="G555" s="1"/>
      <c r="H555" s="1"/>
      <c r="I555" s="61"/>
      <c r="J555" s="1"/>
      <c r="K555" s="1"/>
    </row>
    <row r="556" spans="1:11" ht="15.75" customHeight="1">
      <c r="A556" s="2"/>
      <c r="B556" s="1"/>
      <c r="C556" s="1"/>
      <c r="D556" s="1"/>
      <c r="E556" s="1"/>
      <c r="F556" s="1"/>
      <c r="G556" s="1"/>
      <c r="H556" s="1"/>
      <c r="I556" s="61"/>
      <c r="J556" s="1"/>
      <c r="K556" s="1"/>
    </row>
    <row r="557" spans="1:11" ht="15.75" customHeight="1">
      <c r="A557" s="2"/>
      <c r="B557" s="1"/>
      <c r="C557" s="1"/>
      <c r="D557" s="1"/>
      <c r="E557" s="1"/>
      <c r="F557" s="1"/>
      <c r="G557" s="1"/>
      <c r="H557" s="1"/>
      <c r="I557" s="61"/>
      <c r="J557" s="1"/>
      <c r="K557" s="1"/>
    </row>
    <row r="558" spans="1:11" ht="15.75" customHeight="1">
      <c r="A558" s="2"/>
      <c r="B558" s="1"/>
      <c r="C558" s="1"/>
      <c r="D558" s="1"/>
      <c r="E558" s="1"/>
      <c r="F558" s="1"/>
      <c r="G558" s="1"/>
      <c r="H558" s="1"/>
      <c r="I558" s="61"/>
      <c r="J558" s="1"/>
      <c r="K558" s="1"/>
    </row>
    <row r="559" spans="1:11" ht="15.75" customHeight="1">
      <c r="A559" s="2"/>
      <c r="B559" s="1"/>
      <c r="C559" s="1"/>
      <c r="D559" s="1"/>
      <c r="E559" s="1"/>
      <c r="F559" s="1"/>
      <c r="G559" s="1"/>
      <c r="H559" s="1"/>
      <c r="I559" s="61"/>
      <c r="J559" s="1"/>
      <c r="K559" s="1"/>
    </row>
    <row r="560" spans="1:11" ht="15.75" customHeight="1">
      <c r="A560" s="2"/>
      <c r="B560" s="1"/>
      <c r="C560" s="1"/>
      <c r="D560" s="1"/>
      <c r="E560" s="1"/>
      <c r="F560" s="1"/>
      <c r="G560" s="1"/>
      <c r="H560" s="1"/>
      <c r="I560" s="61"/>
      <c r="J560" s="1"/>
      <c r="K560" s="1"/>
    </row>
    <row r="561" spans="1:11" ht="15.75" customHeight="1">
      <c r="A561" s="2"/>
      <c r="B561" s="1"/>
      <c r="C561" s="1"/>
      <c r="D561" s="1"/>
      <c r="E561" s="1"/>
      <c r="F561" s="1"/>
      <c r="G561" s="1"/>
      <c r="H561" s="1"/>
      <c r="I561" s="61"/>
      <c r="J561" s="1"/>
      <c r="K561" s="1"/>
    </row>
    <row r="562" spans="1:11" ht="15.75" customHeight="1">
      <c r="A562" s="2"/>
      <c r="B562" s="1"/>
      <c r="C562" s="1"/>
      <c r="D562" s="1"/>
      <c r="E562" s="1"/>
      <c r="F562" s="1"/>
      <c r="G562" s="1"/>
      <c r="H562" s="1"/>
      <c r="I562" s="61"/>
      <c r="J562" s="1"/>
      <c r="K562" s="1"/>
    </row>
    <row r="563" spans="1:11" ht="15.75" customHeight="1">
      <c r="A563" s="2"/>
      <c r="B563" s="1"/>
      <c r="C563" s="1"/>
      <c r="D563" s="1"/>
      <c r="E563" s="1"/>
      <c r="F563" s="1"/>
      <c r="G563" s="1"/>
      <c r="H563" s="1"/>
      <c r="I563" s="61"/>
      <c r="J563" s="1"/>
      <c r="K563" s="1"/>
    </row>
    <row r="564" spans="1:11" ht="15.75" customHeight="1">
      <c r="A564" s="2"/>
      <c r="B564" s="1"/>
      <c r="C564" s="1"/>
      <c r="D564" s="1"/>
      <c r="E564" s="1"/>
      <c r="F564" s="1"/>
      <c r="G564" s="1"/>
      <c r="H564" s="1"/>
      <c r="I564" s="61"/>
      <c r="J564" s="1"/>
      <c r="K564" s="1"/>
    </row>
    <row r="565" spans="1:11" ht="15.75" customHeight="1">
      <c r="A565" s="2"/>
      <c r="B565" s="1"/>
      <c r="C565" s="1"/>
      <c r="D565" s="1"/>
      <c r="E565" s="1"/>
      <c r="F565" s="1"/>
      <c r="G565" s="1"/>
      <c r="H565" s="1"/>
      <c r="I565" s="61"/>
      <c r="J565" s="1"/>
      <c r="K565" s="1"/>
    </row>
    <row r="566" spans="1:11" ht="15.75" customHeight="1">
      <c r="A566" s="2"/>
      <c r="B566" s="1"/>
      <c r="C566" s="1"/>
      <c r="D566" s="1"/>
      <c r="E566" s="1"/>
      <c r="F566" s="1"/>
      <c r="G566" s="1"/>
      <c r="H566" s="1"/>
      <c r="I566" s="61"/>
      <c r="J566" s="1"/>
      <c r="K566" s="1"/>
    </row>
    <row r="567" spans="1:11" ht="15.75" customHeight="1">
      <c r="A567" s="2"/>
      <c r="B567" s="1"/>
      <c r="C567" s="1"/>
      <c r="D567" s="1"/>
      <c r="E567" s="1"/>
      <c r="F567" s="1"/>
      <c r="G567" s="1"/>
      <c r="H567" s="1"/>
      <c r="I567" s="61"/>
      <c r="J567" s="1"/>
      <c r="K567" s="1"/>
    </row>
    <row r="568" spans="1:11" ht="15.75" customHeight="1">
      <c r="A568" s="2"/>
      <c r="B568" s="1"/>
      <c r="C568" s="1"/>
      <c r="D568" s="1"/>
      <c r="E568" s="1"/>
      <c r="F568" s="1"/>
      <c r="G568" s="1"/>
      <c r="H568" s="1"/>
      <c r="I568" s="61"/>
      <c r="J568" s="1"/>
      <c r="K568" s="1"/>
    </row>
    <row r="569" spans="1:11" ht="15.75" customHeight="1">
      <c r="A569" s="2"/>
      <c r="B569" s="1"/>
      <c r="C569" s="1"/>
      <c r="D569" s="1"/>
      <c r="E569" s="1"/>
      <c r="F569" s="1"/>
      <c r="G569" s="1"/>
      <c r="H569" s="1"/>
      <c r="I569" s="61"/>
      <c r="J569" s="1"/>
      <c r="K569" s="1"/>
    </row>
    <row r="570" spans="1:11" ht="15.75" customHeight="1">
      <c r="A570" s="2"/>
      <c r="B570" s="1"/>
      <c r="C570" s="1"/>
      <c r="D570" s="1"/>
      <c r="E570" s="1"/>
      <c r="F570" s="1"/>
      <c r="G570" s="1"/>
      <c r="H570" s="1"/>
      <c r="I570" s="61"/>
      <c r="J570" s="1"/>
      <c r="K570" s="1"/>
    </row>
    <row r="571" spans="1:11" ht="15.75" customHeight="1">
      <c r="A571" s="2"/>
      <c r="B571" s="1"/>
      <c r="C571" s="1"/>
      <c r="D571" s="1"/>
      <c r="E571" s="1"/>
      <c r="F571" s="1"/>
      <c r="G571" s="1"/>
      <c r="H571" s="1"/>
      <c r="I571" s="61"/>
      <c r="J571" s="1"/>
      <c r="K571" s="1"/>
    </row>
    <row r="572" spans="1:11" ht="15.75" customHeight="1">
      <c r="A572" s="2"/>
      <c r="B572" s="1"/>
      <c r="C572" s="1"/>
      <c r="D572" s="1"/>
      <c r="E572" s="1"/>
      <c r="F572" s="1"/>
      <c r="G572" s="1"/>
      <c r="H572" s="1"/>
      <c r="I572" s="61"/>
      <c r="J572" s="1"/>
      <c r="K572" s="1"/>
    </row>
    <row r="573" spans="1:11" ht="15.75" customHeight="1">
      <c r="A573" s="2"/>
      <c r="B573" s="1"/>
      <c r="C573" s="1"/>
      <c r="D573" s="1"/>
      <c r="E573" s="1"/>
      <c r="F573" s="1"/>
      <c r="G573" s="1"/>
      <c r="H573" s="1"/>
      <c r="I573" s="61"/>
      <c r="J573" s="1"/>
      <c r="K573" s="1"/>
    </row>
    <row r="574" spans="1:11" ht="15.75" customHeight="1">
      <c r="A574" s="2"/>
      <c r="B574" s="1"/>
      <c r="C574" s="1"/>
      <c r="D574" s="1"/>
      <c r="E574" s="1"/>
      <c r="F574" s="1"/>
      <c r="G574" s="1"/>
      <c r="H574" s="1"/>
      <c r="I574" s="61"/>
      <c r="J574" s="1"/>
      <c r="K574" s="1"/>
    </row>
    <row r="575" spans="1:11" ht="15.75" customHeight="1">
      <c r="A575" s="2"/>
      <c r="B575" s="1"/>
      <c r="C575" s="1"/>
      <c r="D575" s="1"/>
      <c r="E575" s="1"/>
      <c r="F575" s="1"/>
      <c r="G575" s="1"/>
      <c r="H575" s="1"/>
      <c r="I575" s="61"/>
      <c r="J575" s="1"/>
      <c r="K575" s="1"/>
    </row>
    <row r="576" spans="1:11" ht="15.75" customHeight="1">
      <c r="A576" s="2"/>
      <c r="B576" s="1"/>
      <c r="C576" s="1"/>
      <c r="D576" s="1"/>
      <c r="E576" s="1"/>
      <c r="F576" s="1"/>
      <c r="G576" s="1"/>
      <c r="H576" s="1"/>
      <c r="I576" s="61"/>
      <c r="J576" s="1"/>
      <c r="K576" s="1"/>
    </row>
    <row r="577" spans="1:11" ht="15.75" customHeight="1">
      <c r="A577" s="2"/>
      <c r="B577" s="1"/>
      <c r="C577" s="1"/>
      <c r="D577" s="1"/>
      <c r="E577" s="1"/>
      <c r="F577" s="1"/>
      <c r="G577" s="1"/>
      <c r="H577" s="1"/>
      <c r="I577" s="61"/>
      <c r="J577" s="1"/>
      <c r="K577" s="1"/>
    </row>
    <row r="578" spans="1:11" ht="15.75" customHeight="1">
      <c r="A578" s="2"/>
      <c r="B578" s="1"/>
      <c r="C578" s="1"/>
      <c r="D578" s="1"/>
      <c r="E578" s="1"/>
      <c r="F578" s="1"/>
      <c r="G578" s="1"/>
      <c r="H578" s="1"/>
      <c r="I578" s="61"/>
      <c r="J578" s="1"/>
      <c r="K578" s="1"/>
    </row>
    <row r="579" spans="1:11" ht="15.75" customHeight="1">
      <c r="A579" s="2"/>
      <c r="B579" s="1"/>
      <c r="C579" s="1"/>
      <c r="D579" s="1"/>
      <c r="E579" s="1"/>
      <c r="F579" s="1"/>
      <c r="G579" s="1"/>
      <c r="H579" s="1"/>
      <c r="I579" s="61"/>
      <c r="J579" s="1"/>
      <c r="K579" s="1"/>
    </row>
    <row r="580" spans="1:11" ht="15.75" customHeight="1">
      <c r="A580" s="2"/>
      <c r="B580" s="1"/>
      <c r="C580" s="1"/>
      <c r="D580" s="1"/>
      <c r="E580" s="1"/>
      <c r="F580" s="1"/>
      <c r="G580" s="1"/>
      <c r="H580" s="1"/>
      <c r="I580" s="61"/>
      <c r="J580" s="1"/>
      <c r="K580" s="1"/>
    </row>
    <row r="581" spans="1:11" ht="15.75" customHeight="1">
      <c r="A581" s="2"/>
      <c r="B581" s="1"/>
      <c r="C581" s="1"/>
      <c r="D581" s="1"/>
      <c r="E581" s="1"/>
      <c r="F581" s="1"/>
      <c r="G581" s="1"/>
      <c r="H581" s="1"/>
      <c r="I581" s="61"/>
      <c r="J581" s="1"/>
      <c r="K581" s="1"/>
    </row>
    <row r="582" spans="1:11" ht="15.75" customHeight="1">
      <c r="A582" s="2"/>
      <c r="B582" s="1"/>
      <c r="C582" s="1"/>
      <c r="D582" s="1"/>
      <c r="E582" s="1"/>
      <c r="F582" s="1"/>
      <c r="G582" s="1"/>
      <c r="H582" s="1"/>
      <c r="I582" s="61"/>
      <c r="J582" s="1"/>
      <c r="K582" s="1"/>
    </row>
    <row r="583" spans="1:11" ht="15.75" customHeight="1">
      <c r="A583" s="2"/>
      <c r="B583" s="1"/>
      <c r="C583" s="1"/>
      <c r="D583" s="1"/>
      <c r="E583" s="1"/>
      <c r="F583" s="1"/>
      <c r="G583" s="1"/>
      <c r="H583" s="1"/>
      <c r="I583" s="61"/>
      <c r="J583" s="1"/>
      <c r="K583" s="1"/>
    </row>
    <row r="584" spans="1:11" ht="15.75" customHeight="1">
      <c r="A584" s="2"/>
      <c r="B584" s="1"/>
      <c r="C584" s="1"/>
      <c r="D584" s="1"/>
      <c r="E584" s="1"/>
      <c r="F584" s="1"/>
      <c r="G584" s="1"/>
      <c r="H584" s="1"/>
      <c r="I584" s="61"/>
      <c r="J584" s="1"/>
      <c r="K584" s="1"/>
    </row>
    <row r="585" spans="1:11" ht="15.75" customHeight="1">
      <c r="A585" s="2"/>
      <c r="B585" s="1"/>
      <c r="C585" s="1"/>
      <c r="D585" s="1"/>
      <c r="E585" s="1"/>
      <c r="F585" s="1"/>
      <c r="G585" s="1"/>
      <c r="H585" s="1"/>
      <c r="I585" s="61"/>
      <c r="J585" s="1"/>
      <c r="K585" s="1"/>
    </row>
    <row r="586" spans="1:11" ht="15.75" customHeight="1">
      <c r="A586" s="2"/>
      <c r="B586" s="1"/>
      <c r="C586" s="1"/>
      <c r="D586" s="1"/>
      <c r="E586" s="1"/>
      <c r="F586" s="1"/>
      <c r="G586" s="1"/>
      <c r="H586" s="1"/>
      <c r="I586" s="61"/>
      <c r="J586" s="1"/>
      <c r="K586" s="1"/>
    </row>
    <row r="587" spans="1:11" ht="15.75" customHeight="1">
      <c r="A587" s="2"/>
      <c r="B587" s="1"/>
      <c r="C587" s="1"/>
      <c r="D587" s="1"/>
      <c r="E587" s="1"/>
      <c r="F587" s="1"/>
      <c r="G587" s="1"/>
      <c r="H587" s="1"/>
      <c r="I587" s="61"/>
      <c r="J587" s="1"/>
      <c r="K587" s="1"/>
    </row>
    <row r="588" spans="1:11" ht="15.75" customHeight="1">
      <c r="A588" s="2"/>
      <c r="B588" s="1"/>
      <c r="C588" s="1"/>
      <c r="D588" s="1"/>
      <c r="E588" s="1"/>
      <c r="F588" s="1"/>
      <c r="G588" s="1"/>
      <c r="H588" s="1"/>
      <c r="I588" s="61"/>
      <c r="J588" s="1"/>
      <c r="K588" s="1"/>
    </row>
    <row r="589" spans="1:11" ht="15.75" customHeight="1">
      <c r="A589" s="2"/>
      <c r="B589" s="1"/>
      <c r="C589" s="1"/>
      <c r="D589" s="1"/>
      <c r="E589" s="1"/>
      <c r="F589" s="1"/>
      <c r="G589" s="1"/>
      <c r="H589" s="1"/>
      <c r="I589" s="61"/>
      <c r="J589" s="1"/>
      <c r="K589" s="1"/>
    </row>
    <row r="590" spans="1:11" ht="15.75" customHeight="1">
      <c r="A590" s="2"/>
      <c r="B590" s="1"/>
      <c r="C590" s="1"/>
      <c r="D590" s="1"/>
      <c r="E590" s="1"/>
      <c r="F590" s="1"/>
      <c r="G590" s="1"/>
      <c r="H590" s="1"/>
      <c r="I590" s="61"/>
      <c r="J590" s="1"/>
      <c r="K590" s="1"/>
    </row>
    <row r="591" spans="1:11" ht="15.75" customHeight="1">
      <c r="A591" s="2"/>
      <c r="B591" s="1"/>
      <c r="C591" s="1"/>
      <c r="D591" s="1"/>
      <c r="E591" s="1"/>
      <c r="F591" s="1"/>
      <c r="G591" s="1"/>
      <c r="H591" s="1"/>
      <c r="I591" s="61"/>
      <c r="J591" s="1"/>
      <c r="K591" s="1"/>
    </row>
    <row r="592" spans="1:11" ht="15.75" customHeight="1">
      <c r="A592" s="2"/>
      <c r="B592" s="1"/>
      <c r="C592" s="1"/>
      <c r="D592" s="1"/>
      <c r="E592" s="1"/>
      <c r="F592" s="1"/>
      <c r="G592" s="1"/>
      <c r="H592" s="1"/>
      <c r="I592" s="61"/>
      <c r="J592" s="1"/>
      <c r="K592" s="1"/>
    </row>
    <row r="593" spans="1:11" ht="15.75" customHeight="1">
      <c r="A593" s="2"/>
      <c r="B593" s="1"/>
      <c r="C593" s="1"/>
      <c r="D593" s="1"/>
      <c r="E593" s="1"/>
      <c r="F593" s="1"/>
      <c r="G593" s="1"/>
      <c r="H593" s="1"/>
      <c r="I593" s="61"/>
      <c r="J593" s="1"/>
      <c r="K593" s="1"/>
    </row>
    <row r="594" spans="1:11" ht="15.75" customHeight="1">
      <c r="A594" s="2"/>
      <c r="B594" s="1"/>
      <c r="C594" s="1"/>
      <c r="D594" s="1"/>
      <c r="E594" s="1"/>
      <c r="F594" s="1"/>
      <c r="G594" s="1"/>
      <c r="H594" s="1"/>
      <c r="I594" s="61"/>
      <c r="J594" s="1"/>
      <c r="K594" s="1"/>
    </row>
    <row r="595" spans="1:11" ht="15.75" customHeight="1">
      <c r="A595" s="2"/>
      <c r="B595" s="1"/>
      <c r="C595" s="1"/>
      <c r="D595" s="1"/>
      <c r="E595" s="1"/>
      <c r="F595" s="1"/>
      <c r="G595" s="1"/>
      <c r="H595" s="1"/>
      <c r="I595" s="61"/>
      <c r="J595" s="1"/>
      <c r="K595" s="1"/>
    </row>
    <row r="596" spans="1:11" ht="15.75" customHeight="1">
      <c r="A596" s="2"/>
      <c r="B596" s="1"/>
      <c r="C596" s="1"/>
      <c r="D596" s="1"/>
      <c r="E596" s="1"/>
      <c r="F596" s="1"/>
      <c r="G596" s="1"/>
      <c r="H596" s="1"/>
      <c r="I596" s="61"/>
      <c r="J596" s="1"/>
      <c r="K596" s="1"/>
    </row>
    <row r="597" spans="1:11" ht="15.75" customHeight="1">
      <c r="A597" s="2"/>
      <c r="B597" s="1"/>
      <c r="C597" s="1"/>
      <c r="D597" s="1"/>
      <c r="E597" s="1"/>
      <c r="F597" s="1"/>
      <c r="G597" s="1"/>
      <c r="H597" s="1"/>
      <c r="I597" s="61"/>
      <c r="J597" s="1"/>
      <c r="K597" s="1"/>
    </row>
    <row r="598" spans="1:11" ht="15.75" customHeight="1">
      <c r="A598" s="2"/>
      <c r="B598" s="1"/>
      <c r="C598" s="1"/>
      <c r="D598" s="1"/>
      <c r="E598" s="1"/>
      <c r="F598" s="1"/>
      <c r="G598" s="1"/>
      <c r="H598" s="1"/>
      <c r="I598" s="61"/>
      <c r="J598" s="1"/>
      <c r="K598" s="1"/>
    </row>
    <row r="599" spans="1:11" ht="15.75" customHeight="1">
      <c r="A599" s="2"/>
      <c r="B599" s="1"/>
      <c r="C599" s="1"/>
      <c r="D599" s="1"/>
      <c r="E599" s="1"/>
      <c r="F599" s="1"/>
      <c r="G599" s="1"/>
      <c r="H599" s="1"/>
      <c r="I599" s="61"/>
      <c r="J599" s="1"/>
      <c r="K599" s="1"/>
    </row>
    <row r="600" spans="1:11" ht="15.75" customHeight="1">
      <c r="A600" s="2"/>
      <c r="B600" s="1"/>
      <c r="C600" s="1"/>
      <c r="D600" s="1"/>
      <c r="E600" s="1"/>
      <c r="F600" s="1"/>
      <c r="G600" s="1"/>
      <c r="H600" s="1"/>
      <c r="I600" s="61"/>
      <c r="J600" s="1"/>
      <c r="K600" s="1"/>
    </row>
    <row r="601" spans="1:11" ht="15.75" customHeight="1">
      <c r="A601" s="2"/>
      <c r="B601" s="1"/>
      <c r="C601" s="1"/>
      <c r="D601" s="1"/>
      <c r="E601" s="1"/>
      <c r="F601" s="1"/>
      <c r="G601" s="1"/>
      <c r="H601" s="1"/>
      <c r="I601" s="61"/>
      <c r="J601" s="1"/>
      <c r="K601" s="1"/>
    </row>
    <row r="602" spans="1:11" ht="15.75" customHeight="1">
      <c r="A602" s="2"/>
      <c r="B602" s="1"/>
      <c r="C602" s="1"/>
      <c r="D602" s="1"/>
      <c r="E602" s="1"/>
      <c r="F602" s="1"/>
      <c r="G602" s="1"/>
      <c r="H602" s="1"/>
      <c r="I602" s="61"/>
      <c r="J602" s="1"/>
      <c r="K602" s="1"/>
    </row>
    <row r="603" spans="1:11" ht="15.75" customHeight="1">
      <c r="A603" s="2"/>
      <c r="B603" s="1"/>
      <c r="C603" s="1"/>
      <c r="D603" s="1"/>
      <c r="E603" s="1"/>
      <c r="F603" s="1"/>
      <c r="G603" s="1"/>
      <c r="H603" s="1"/>
      <c r="I603" s="61"/>
      <c r="J603" s="1"/>
      <c r="K603" s="1"/>
    </row>
    <row r="604" spans="1:11" ht="15.75" customHeight="1">
      <c r="A604" s="2"/>
      <c r="B604" s="1"/>
      <c r="C604" s="1"/>
      <c r="D604" s="1"/>
      <c r="E604" s="1"/>
      <c r="F604" s="1"/>
      <c r="G604" s="1"/>
      <c r="H604" s="1"/>
      <c r="I604" s="61"/>
      <c r="J604" s="1"/>
      <c r="K604" s="1"/>
    </row>
    <row r="605" spans="1:11" ht="15.75" customHeight="1">
      <c r="A605" s="2"/>
      <c r="B605" s="1"/>
      <c r="C605" s="1"/>
      <c r="D605" s="1"/>
      <c r="E605" s="1"/>
      <c r="F605" s="1"/>
      <c r="G605" s="1"/>
      <c r="H605" s="1"/>
      <c r="I605" s="61"/>
      <c r="J605" s="1"/>
      <c r="K605" s="1"/>
    </row>
    <row r="606" spans="1:11" ht="15.75" customHeight="1">
      <c r="A606" s="2"/>
      <c r="B606" s="1"/>
      <c r="C606" s="1"/>
      <c r="D606" s="1"/>
      <c r="E606" s="1"/>
      <c r="F606" s="1"/>
      <c r="G606" s="1"/>
      <c r="H606" s="1"/>
      <c r="I606" s="61"/>
      <c r="J606" s="1"/>
      <c r="K606" s="1"/>
    </row>
    <row r="607" spans="1:11" ht="15.75" customHeight="1">
      <c r="A607" s="2"/>
      <c r="B607" s="1"/>
      <c r="C607" s="1"/>
      <c r="D607" s="1"/>
      <c r="E607" s="1"/>
      <c r="F607" s="1"/>
      <c r="G607" s="1"/>
      <c r="H607" s="1"/>
      <c r="I607" s="61"/>
      <c r="J607" s="1"/>
      <c r="K607" s="1"/>
    </row>
    <row r="608" spans="1:11" ht="15.75" customHeight="1">
      <c r="A608" s="2"/>
      <c r="B608" s="1"/>
      <c r="C608" s="1"/>
      <c r="D608" s="1"/>
      <c r="E608" s="1"/>
      <c r="F608" s="1"/>
      <c r="G608" s="1"/>
      <c r="H608" s="1"/>
      <c r="I608" s="61"/>
      <c r="J608" s="1"/>
      <c r="K608" s="1"/>
    </row>
    <row r="609" spans="1:11" ht="15.75" customHeight="1">
      <c r="A609" s="2"/>
      <c r="B609" s="1"/>
      <c r="C609" s="1"/>
      <c r="D609" s="1"/>
      <c r="E609" s="1"/>
      <c r="F609" s="1"/>
      <c r="G609" s="1"/>
      <c r="H609" s="1"/>
      <c r="I609" s="61"/>
      <c r="J609" s="1"/>
      <c r="K609" s="1"/>
    </row>
    <row r="610" spans="1:11" ht="15.75" customHeight="1">
      <c r="A610" s="2"/>
      <c r="B610" s="1"/>
      <c r="C610" s="1"/>
      <c r="D610" s="1"/>
      <c r="E610" s="1"/>
      <c r="F610" s="1"/>
      <c r="G610" s="1"/>
      <c r="H610" s="1"/>
      <c r="I610" s="61"/>
      <c r="J610" s="1"/>
      <c r="K610" s="1"/>
    </row>
    <row r="611" spans="1:11" ht="15.75" customHeight="1">
      <c r="A611" s="2"/>
      <c r="B611" s="1"/>
      <c r="C611" s="1"/>
      <c r="D611" s="1"/>
      <c r="E611" s="1"/>
      <c r="F611" s="1"/>
      <c r="G611" s="1"/>
      <c r="H611" s="1"/>
      <c r="I611" s="61"/>
      <c r="J611" s="1"/>
      <c r="K611" s="1"/>
    </row>
    <row r="612" spans="1:11" ht="15.75" customHeight="1">
      <c r="A612" s="2"/>
      <c r="B612" s="1"/>
      <c r="C612" s="1"/>
      <c r="D612" s="1"/>
      <c r="E612" s="1"/>
      <c r="F612" s="1"/>
      <c r="G612" s="1"/>
      <c r="H612" s="1"/>
      <c r="I612" s="61"/>
      <c r="J612" s="1"/>
      <c r="K612" s="1"/>
    </row>
    <row r="613" spans="1:11" ht="15.75" customHeight="1">
      <c r="A613" s="2"/>
      <c r="B613" s="1"/>
      <c r="C613" s="1"/>
      <c r="D613" s="1"/>
      <c r="E613" s="1"/>
      <c r="F613" s="1"/>
      <c r="G613" s="1"/>
      <c r="H613" s="1"/>
      <c r="I613" s="61"/>
      <c r="J613" s="1"/>
      <c r="K613" s="1"/>
    </row>
    <row r="614" spans="1:11" ht="15.75" customHeight="1">
      <c r="A614" s="2"/>
      <c r="B614" s="1"/>
      <c r="C614" s="1"/>
      <c r="D614" s="1"/>
      <c r="E614" s="1"/>
      <c r="F614" s="1"/>
      <c r="G614" s="1"/>
      <c r="H614" s="1"/>
      <c r="I614" s="61"/>
      <c r="J614" s="1"/>
      <c r="K614" s="1"/>
    </row>
    <row r="615" spans="1:11" ht="15.75" customHeight="1">
      <c r="A615" s="2"/>
      <c r="B615" s="1"/>
      <c r="C615" s="1"/>
      <c r="D615" s="1"/>
      <c r="E615" s="1"/>
      <c r="F615" s="1"/>
      <c r="G615" s="1"/>
      <c r="H615" s="1"/>
      <c r="I615" s="61"/>
      <c r="J615" s="1"/>
      <c r="K615" s="1"/>
    </row>
    <row r="616" spans="1:11" ht="15.75" customHeight="1">
      <c r="A616" s="2"/>
      <c r="B616" s="1"/>
      <c r="C616" s="1"/>
      <c r="D616" s="1"/>
      <c r="E616" s="1"/>
      <c r="F616" s="1"/>
      <c r="G616" s="1"/>
      <c r="H616" s="1"/>
      <c r="I616" s="61"/>
      <c r="J616" s="1"/>
      <c r="K616" s="1"/>
    </row>
    <row r="617" spans="1:11" ht="15.75" customHeight="1">
      <c r="A617" s="2"/>
      <c r="B617" s="1"/>
      <c r="C617" s="1"/>
      <c r="D617" s="1"/>
      <c r="E617" s="1"/>
      <c r="F617" s="1"/>
      <c r="G617" s="1"/>
      <c r="H617" s="1"/>
      <c r="I617" s="61"/>
      <c r="J617" s="1"/>
      <c r="K617" s="1"/>
    </row>
    <row r="618" spans="1:11" ht="15.75" customHeight="1">
      <c r="A618" s="2"/>
      <c r="B618" s="1"/>
      <c r="C618" s="1"/>
      <c r="D618" s="1"/>
      <c r="E618" s="1"/>
      <c r="F618" s="1"/>
      <c r="G618" s="1"/>
      <c r="H618" s="1"/>
      <c r="I618" s="61"/>
      <c r="J618" s="1"/>
      <c r="K618" s="1"/>
    </row>
    <row r="619" spans="1:11" ht="15.75" customHeight="1">
      <c r="A619" s="2"/>
      <c r="B619" s="1"/>
      <c r="C619" s="1"/>
      <c r="D619" s="1"/>
      <c r="E619" s="1"/>
      <c r="F619" s="1"/>
      <c r="G619" s="1"/>
      <c r="H619" s="1"/>
      <c r="I619" s="61"/>
      <c r="J619" s="1"/>
      <c r="K619" s="1"/>
    </row>
    <row r="620" spans="1:11" ht="15.75" customHeight="1">
      <c r="A620" s="2"/>
      <c r="B620" s="1"/>
      <c r="C620" s="1"/>
      <c r="D620" s="1"/>
      <c r="E620" s="1"/>
      <c r="F620" s="1"/>
      <c r="G620" s="1"/>
      <c r="H620" s="1"/>
      <c r="I620" s="61"/>
      <c r="J620" s="1"/>
      <c r="K620" s="1"/>
    </row>
    <row r="621" spans="1:11" ht="15.75" customHeight="1">
      <c r="A621" s="2"/>
      <c r="B621" s="1"/>
      <c r="C621" s="1"/>
      <c r="D621" s="1"/>
      <c r="E621" s="1"/>
      <c r="F621" s="1"/>
      <c r="G621" s="1"/>
      <c r="H621" s="1"/>
      <c r="I621" s="61"/>
      <c r="J621" s="1"/>
      <c r="K621" s="1"/>
    </row>
    <row r="622" spans="1:11" ht="15.75" customHeight="1">
      <c r="A622" s="2"/>
      <c r="B622" s="1"/>
      <c r="C622" s="1"/>
      <c r="D622" s="1"/>
      <c r="E622" s="1"/>
      <c r="F622" s="1"/>
      <c r="G622" s="1"/>
      <c r="H622" s="1"/>
      <c r="I622" s="61"/>
      <c r="J622" s="1"/>
      <c r="K622" s="1"/>
    </row>
    <row r="623" spans="1:11" ht="15.75" customHeight="1">
      <c r="A623" s="2"/>
      <c r="B623" s="1"/>
      <c r="C623" s="1"/>
      <c r="D623" s="1"/>
      <c r="E623" s="1"/>
      <c r="F623" s="1"/>
      <c r="G623" s="1"/>
      <c r="H623" s="1"/>
      <c r="I623" s="61"/>
      <c r="J623" s="1"/>
      <c r="K623" s="1"/>
    </row>
    <row r="624" spans="1:11" ht="15.75" customHeight="1">
      <c r="A624" s="2"/>
      <c r="B624" s="1"/>
      <c r="C624" s="1"/>
      <c r="D624" s="1"/>
      <c r="E624" s="1"/>
      <c r="F624" s="1"/>
      <c r="G624" s="1"/>
      <c r="H624" s="1"/>
      <c r="I624" s="61"/>
      <c r="J624" s="1"/>
      <c r="K624" s="1"/>
    </row>
    <row r="625" spans="1:11" ht="15.75" customHeight="1">
      <c r="A625" s="2"/>
      <c r="B625" s="1"/>
      <c r="C625" s="1"/>
      <c r="D625" s="1"/>
      <c r="E625" s="1"/>
      <c r="F625" s="1"/>
      <c r="G625" s="1"/>
      <c r="H625" s="1"/>
      <c r="I625" s="61"/>
      <c r="J625" s="1"/>
      <c r="K625" s="1"/>
    </row>
    <row r="626" spans="1:11" ht="15.75" customHeight="1">
      <c r="A626" s="2"/>
      <c r="B626" s="1"/>
      <c r="C626" s="1"/>
      <c r="D626" s="1"/>
      <c r="E626" s="1"/>
      <c r="F626" s="1"/>
      <c r="G626" s="1"/>
      <c r="H626" s="1"/>
      <c r="I626" s="61"/>
      <c r="J626" s="1"/>
      <c r="K626" s="1"/>
    </row>
    <row r="627" spans="1:11" ht="15.75" customHeight="1">
      <c r="A627" s="2"/>
      <c r="B627" s="1"/>
      <c r="C627" s="1"/>
      <c r="D627" s="1"/>
      <c r="E627" s="1"/>
      <c r="F627" s="1"/>
      <c r="G627" s="1"/>
      <c r="H627" s="1"/>
      <c r="I627" s="61"/>
      <c r="J627" s="1"/>
      <c r="K627" s="1"/>
    </row>
    <row r="628" spans="1:11" ht="15.75" customHeight="1">
      <c r="A628" s="2"/>
      <c r="B628" s="1"/>
      <c r="C628" s="1"/>
      <c r="D628" s="1"/>
      <c r="E628" s="1"/>
      <c r="F628" s="1"/>
      <c r="G628" s="1"/>
      <c r="H628" s="1"/>
      <c r="I628" s="61"/>
      <c r="J628" s="1"/>
      <c r="K628" s="1"/>
    </row>
    <row r="629" spans="1:11" ht="15.75" customHeight="1">
      <c r="A629" s="2"/>
      <c r="B629" s="1"/>
      <c r="C629" s="1"/>
      <c r="D629" s="1"/>
      <c r="E629" s="1"/>
      <c r="F629" s="1"/>
      <c r="G629" s="1"/>
      <c r="H629" s="1"/>
      <c r="I629" s="61"/>
      <c r="J629" s="1"/>
      <c r="K629" s="1"/>
    </row>
    <row r="630" spans="1:11" ht="15.75" customHeight="1">
      <c r="A630" s="2"/>
      <c r="B630" s="1"/>
      <c r="C630" s="1"/>
      <c r="D630" s="1"/>
      <c r="E630" s="1"/>
      <c r="F630" s="1"/>
      <c r="G630" s="1"/>
      <c r="H630" s="1"/>
      <c r="I630" s="61"/>
      <c r="J630" s="1"/>
      <c r="K630" s="1"/>
    </row>
    <row r="631" spans="1:11" ht="15.75" customHeight="1">
      <c r="A631" s="2"/>
      <c r="B631" s="1"/>
      <c r="C631" s="1"/>
      <c r="D631" s="1"/>
      <c r="E631" s="1"/>
      <c r="F631" s="1"/>
      <c r="G631" s="1"/>
      <c r="H631" s="1"/>
      <c r="I631" s="61"/>
      <c r="J631" s="1"/>
      <c r="K631" s="1"/>
    </row>
    <row r="632" spans="1:11" ht="15.75" customHeight="1">
      <c r="A632" s="2"/>
      <c r="B632" s="1"/>
      <c r="C632" s="1"/>
      <c r="D632" s="1"/>
      <c r="E632" s="1"/>
      <c r="F632" s="1"/>
      <c r="G632" s="1"/>
      <c r="H632" s="1"/>
      <c r="I632" s="61"/>
      <c r="J632" s="1"/>
      <c r="K632" s="1"/>
    </row>
    <row r="633" spans="1:11" ht="15.75" customHeight="1">
      <c r="A633" s="2"/>
      <c r="B633" s="1"/>
      <c r="C633" s="1"/>
      <c r="D633" s="1"/>
      <c r="E633" s="1"/>
      <c r="F633" s="1"/>
      <c r="G633" s="1"/>
      <c r="H633" s="1"/>
      <c r="I633" s="61"/>
      <c r="J633" s="1"/>
      <c r="K633" s="1"/>
    </row>
    <row r="634" spans="1:11" ht="15.75" customHeight="1">
      <c r="A634" s="2"/>
      <c r="B634" s="1"/>
      <c r="C634" s="1"/>
      <c r="D634" s="1"/>
      <c r="E634" s="1"/>
      <c r="F634" s="1"/>
      <c r="G634" s="1"/>
      <c r="H634" s="1"/>
      <c r="I634" s="61"/>
      <c r="J634" s="1"/>
      <c r="K634" s="1"/>
    </row>
    <row r="635" spans="1:11" ht="15.75" customHeight="1">
      <c r="A635" s="2"/>
      <c r="B635" s="1"/>
      <c r="C635" s="1"/>
      <c r="D635" s="1"/>
      <c r="E635" s="1"/>
      <c r="F635" s="1"/>
      <c r="G635" s="1"/>
      <c r="H635" s="1"/>
      <c r="I635" s="61"/>
      <c r="J635" s="1"/>
      <c r="K635" s="1"/>
    </row>
    <row r="636" spans="1:11" ht="15.75" customHeight="1">
      <c r="A636" s="2"/>
      <c r="B636" s="1"/>
      <c r="C636" s="1"/>
      <c r="D636" s="1"/>
      <c r="E636" s="1"/>
      <c r="F636" s="1"/>
      <c r="G636" s="1"/>
      <c r="H636" s="1"/>
      <c r="I636" s="61"/>
      <c r="J636" s="1"/>
      <c r="K636" s="1"/>
    </row>
    <row r="637" spans="1:11" ht="15.75" customHeight="1">
      <c r="A637" s="2"/>
      <c r="B637" s="1"/>
      <c r="C637" s="1"/>
      <c r="D637" s="1"/>
      <c r="E637" s="1"/>
      <c r="F637" s="1"/>
      <c r="G637" s="1"/>
      <c r="H637" s="1"/>
      <c r="I637" s="61"/>
      <c r="J637" s="1"/>
      <c r="K637" s="1"/>
    </row>
    <row r="638" spans="1:11" ht="15.75" customHeight="1">
      <c r="A638" s="2"/>
      <c r="B638" s="1"/>
      <c r="C638" s="1"/>
      <c r="D638" s="1"/>
      <c r="E638" s="1"/>
      <c r="F638" s="1"/>
      <c r="G638" s="1"/>
      <c r="H638" s="1"/>
      <c r="I638" s="61"/>
      <c r="J638" s="1"/>
      <c r="K638" s="1"/>
    </row>
    <row r="639" spans="1:11" ht="15.75" customHeight="1">
      <c r="A639" s="2"/>
      <c r="B639" s="1"/>
      <c r="C639" s="1"/>
      <c r="D639" s="1"/>
      <c r="E639" s="1"/>
      <c r="F639" s="1"/>
      <c r="G639" s="1"/>
      <c r="H639" s="1"/>
      <c r="I639" s="61"/>
      <c r="J639" s="1"/>
      <c r="K639" s="1"/>
    </row>
    <row r="640" spans="1:11" ht="15.75" customHeight="1">
      <c r="A640" s="2"/>
      <c r="B640" s="1"/>
      <c r="C640" s="1"/>
      <c r="D640" s="1"/>
      <c r="E640" s="1"/>
      <c r="F640" s="1"/>
      <c r="G640" s="1"/>
      <c r="H640" s="1"/>
      <c r="I640" s="61"/>
      <c r="J640" s="1"/>
      <c r="K640" s="1"/>
    </row>
    <row r="641" spans="1:11" ht="15.75" customHeight="1">
      <c r="A641" s="2"/>
      <c r="B641" s="1"/>
      <c r="C641" s="1"/>
      <c r="D641" s="1"/>
      <c r="E641" s="1"/>
      <c r="F641" s="1"/>
      <c r="G641" s="1"/>
      <c r="H641" s="1"/>
      <c r="I641" s="61"/>
      <c r="J641" s="1"/>
      <c r="K641" s="1"/>
    </row>
    <row r="642" spans="1:11" ht="15.75" customHeight="1">
      <c r="A642" s="2"/>
      <c r="B642" s="1"/>
      <c r="C642" s="1"/>
      <c r="D642" s="1"/>
      <c r="E642" s="1"/>
      <c r="F642" s="1"/>
      <c r="G642" s="1"/>
      <c r="H642" s="1"/>
      <c r="I642" s="61"/>
      <c r="J642" s="1"/>
      <c r="K642" s="1"/>
    </row>
    <row r="643" spans="1:11" ht="15.75" customHeight="1">
      <c r="A643" s="2"/>
      <c r="B643" s="1"/>
      <c r="C643" s="1"/>
      <c r="D643" s="1"/>
      <c r="E643" s="1"/>
      <c r="F643" s="1"/>
      <c r="G643" s="1"/>
      <c r="H643" s="1"/>
      <c r="I643" s="61"/>
      <c r="J643" s="1"/>
      <c r="K643" s="1"/>
    </row>
    <row r="644" spans="1:11" ht="15.75" customHeight="1">
      <c r="A644" s="2"/>
      <c r="B644" s="1"/>
      <c r="C644" s="1"/>
      <c r="D644" s="1"/>
      <c r="E644" s="1"/>
      <c r="F644" s="1"/>
      <c r="G644" s="1"/>
      <c r="H644" s="1"/>
      <c r="I644" s="61"/>
      <c r="J644" s="1"/>
      <c r="K644" s="1"/>
    </row>
    <row r="645" spans="1:11" ht="15.75" customHeight="1">
      <c r="A645" s="2"/>
      <c r="B645" s="1"/>
      <c r="C645" s="1"/>
      <c r="D645" s="1"/>
      <c r="E645" s="1"/>
      <c r="F645" s="1"/>
      <c r="G645" s="1"/>
      <c r="H645" s="1"/>
      <c r="I645" s="61"/>
      <c r="J645" s="1"/>
      <c r="K645" s="1"/>
    </row>
    <row r="646" spans="1:11" ht="15.75" customHeight="1">
      <c r="A646" s="2"/>
      <c r="B646" s="1"/>
      <c r="C646" s="1"/>
      <c r="D646" s="1"/>
      <c r="E646" s="1"/>
      <c r="F646" s="1"/>
      <c r="G646" s="1"/>
      <c r="H646" s="1"/>
      <c r="I646" s="61"/>
      <c r="J646" s="1"/>
      <c r="K646" s="1"/>
    </row>
    <row r="647" spans="1:11" ht="15.75" customHeight="1">
      <c r="A647" s="2"/>
      <c r="B647" s="1"/>
      <c r="C647" s="1"/>
      <c r="D647" s="1"/>
      <c r="E647" s="1"/>
      <c r="F647" s="1"/>
      <c r="G647" s="1"/>
      <c r="H647" s="1"/>
      <c r="I647" s="61"/>
      <c r="J647" s="1"/>
      <c r="K647" s="1"/>
    </row>
    <row r="648" spans="1:11" ht="15.75" customHeight="1">
      <c r="A648" s="2"/>
      <c r="B648" s="1"/>
      <c r="C648" s="1"/>
      <c r="D648" s="1"/>
      <c r="E648" s="1"/>
      <c r="F648" s="1"/>
      <c r="G648" s="1"/>
      <c r="H648" s="1"/>
      <c r="I648" s="61"/>
      <c r="J648" s="1"/>
      <c r="K648" s="1"/>
    </row>
    <row r="649" spans="1:11" ht="15.75" customHeight="1">
      <c r="A649" s="2"/>
      <c r="B649" s="1"/>
      <c r="C649" s="1"/>
      <c r="D649" s="1"/>
      <c r="E649" s="1"/>
      <c r="F649" s="1"/>
      <c r="G649" s="1"/>
      <c r="H649" s="1"/>
      <c r="I649" s="61"/>
      <c r="J649" s="1"/>
      <c r="K649" s="1"/>
    </row>
    <row r="650" spans="1:11" ht="15.75" customHeight="1">
      <c r="A650" s="2"/>
      <c r="B650" s="1"/>
      <c r="C650" s="1"/>
      <c r="D650" s="1"/>
      <c r="E650" s="1"/>
      <c r="F650" s="1"/>
      <c r="G650" s="1"/>
      <c r="H650" s="1"/>
      <c r="I650" s="61"/>
      <c r="J650" s="1"/>
      <c r="K650" s="1"/>
    </row>
    <row r="651" spans="1:11" ht="15.75" customHeight="1">
      <c r="A651" s="2"/>
      <c r="B651" s="1"/>
      <c r="C651" s="1"/>
      <c r="D651" s="1"/>
      <c r="E651" s="1"/>
      <c r="F651" s="1"/>
      <c r="G651" s="1"/>
      <c r="H651" s="1"/>
      <c r="I651" s="61"/>
      <c r="J651" s="1"/>
      <c r="K651" s="1"/>
    </row>
    <row r="652" spans="1:11" ht="15.75" customHeight="1">
      <c r="A652" s="2"/>
      <c r="B652" s="1"/>
      <c r="C652" s="1"/>
      <c r="D652" s="1"/>
      <c r="E652" s="1"/>
      <c r="F652" s="1"/>
      <c r="G652" s="1"/>
      <c r="H652" s="1"/>
      <c r="I652" s="61"/>
      <c r="J652" s="1"/>
      <c r="K652" s="1"/>
    </row>
    <row r="653" spans="1:11" ht="15.75" customHeight="1">
      <c r="A653" s="2"/>
      <c r="B653" s="1"/>
      <c r="C653" s="1"/>
      <c r="D653" s="1"/>
      <c r="E653" s="1"/>
      <c r="F653" s="1"/>
      <c r="G653" s="1"/>
      <c r="H653" s="1"/>
      <c r="I653" s="61"/>
      <c r="J653" s="1"/>
      <c r="K653" s="1"/>
    </row>
    <row r="654" spans="1:11" ht="15.75" customHeight="1">
      <c r="A654" s="2"/>
      <c r="B654" s="1"/>
      <c r="C654" s="1"/>
      <c r="D654" s="1"/>
      <c r="E654" s="1"/>
      <c r="F654" s="1"/>
      <c r="G654" s="1"/>
      <c r="H654" s="1"/>
      <c r="I654" s="61"/>
      <c r="J654" s="1"/>
      <c r="K654" s="1"/>
    </row>
    <row r="655" spans="1:11" ht="15.75" customHeight="1">
      <c r="A655" s="2"/>
      <c r="B655" s="1"/>
      <c r="C655" s="1"/>
      <c r="D655" s="1"/>
      <c r="E655" s="1"/>
      <c r="F655" s="1"/>
      <c r="G655" s="1"/>
      <c r="H655" s="1"/>
      <c r="I655" s="61"/>
      <c r="J655" s="1"/>
      <c r="K655" s="1"/>
    </row>
    <row r="656" spans="1:11" ht="15.75" customHeight="1">
      <c r="A656" s="2"/>
      <c r="B656" s="1"/>
      <c r="C656" s="1"/>
      <c r="D656" s="1"/>
      <c r="E656" s="1"/>
      <c r="F656" s="1"/>
      <c r="G656" s="1"/>
      <c r="H656" s="1"/>
      <c r="I656" s="61"/>
      <c r="J656" s="1"/>
      <c r="K656" s="1"/>
    </row>
    <row r="657" spans="1:11" ht="15.75" customHeight="1">
      <c r="A657" s="2"/>
      <c r="B657" s="1"/>
      <c r="C657" s="1"/>
      <c r="D657" s="1"/>
      <c r="E657" s="1"/>
      <c r="F657" s="1"/>
      <c r="G657" s="1"/>
      <c r="H657" s="1"/>
      <c r="I657" s="61"/>
      <c r="J657" s="1"/>
      <c r="K657" s="1"/>
    </row>
    <row r="658" spans="1:11" ht="15.75" customHeight="1">
      <c r="A658" s="2"/>
      <c r="B658" s="1"/>
      <c r="C658" s="1"/>
      <c r="D658" s="1"/>
      <c r="E658" s="1"/>
      <c r="F658" s="1"/>
      <c r="G658" s="1"/>
      <c r="H658" s="1"/>
      <c r="I658" s="61"/>
      <c r="J658" s="1"/>
      <c r="K658" s="1"/>
    </row>
    <row r="659" spans="1:11" ht="15.75" customHeight="1">
      <c r="A659" s="2"/>
      <c r="B659" s="1"/>
      <c r="C659" s="1"/>
      <c r="D659" s="1"/>
      <c r="E659" s="1"/>
      <c r="F659" s="1"/>
      <c r="G659" s="1"/>
      <c r="H659" s="1"/>
      <c r="I659" s="61"/>
      <c r="J659" s="1"/>
      <c r="K659" s="1"/>
    </row>
    <row r="660" spans="1:11" ht="15.75" customHeight="1">
      <c r="A660" s="2"/>
      <c r="B660" s="1"/>
      <c r="C660" s="1"/>
      <c r="D660" s="1"/>
      <c r="E660" s="1"/>
      <c r="F660" s="1"/>
      <c r="G660" s="1"/>
      <c r="H660" s="1"/>
      <c r="I660" s="61"/>
      <c r="J660" s="1"/>
      <c r="K660" s="1"/>
    </row>
    <row r="661" spans="1:11" ht="15.75" customHeight="1">
      <c r="A661" s="2"/>
      <c r="B661" s="1"/>
      <c r="C661" s="1"/>
      <c r="D661" s="1"/>
      <c r="E661" s="1"/>
      <c r="F661" s="1"/>
      <c r="G661" s="1"/>
      <c r="H661" s="1"/>
      <c r="I661" s="61"/>
      <c r="J661" s="1"/>
      <c r="K661" s="1"/>
    </row>
    <row r="662" spans="1:11" ht="15.75" customHeight="1">
      <c r="A662" s="2"/>
      <c r="B662" s="1"/>
      <c r="C662" s="1"/>
      <c r="D662" s="1"/>
      <c r="E662" s="1"/>
      <c r="F662" s="1"/>
      <c r="G662" s="1"/>
      <c r="H662" s="1"/>
      <c r="I662" s="61"/>
      <c r="J662" s="1"/>
      <c r="K662" s="1"/>
    </row>
    <row r="663" spans="1:11" ht="15.75" customHeight="1">
      <c r="A663" s="2"/>
      <c r="B663" s="1"/>
      <c r="C663" s="1"/>
      <c r="D663" s="1"/>
      <c r="E663" s="1"/>
      <c r="F663" s="1"/>
      <c r="G663" s="1"/>
      <c r="H663" s="1"/>
      <c r="I663" s="61"/>
      <c r="J663" s="1"/>
      <c r="K663" s="1"/>
    </row>
    <row r="664" spans="1:11" ht="15.75" customHeight="1">
      <c r="A664" s="2"/>
      <c r="B664" s="1"/>
      <c r="C664" s="1"/>
      <c r="D664" s="1"/>
      <c r="E664" s="1"/>
      <c r="F664" s="1"/>
      <c r="G664" s="1"/>
      <c r="H664" s="1"/>
      <c r="I664" s="61"/>
      <c r="J664" s="1"/>
      <c r="K664" s="1"/>
    </row>
    <row r="665" spans="1:11" ht="15.75" customHeight="1">
      <c r="A665" s="2"/>
      <c r="B665" s="1"/>
      <c r="C665" s="1"/>
      <c r="D665" s="1"/>
      <c r="E665" s="1"/>
      <c r="F665" s="1"/>
      <c r="G665" s="1"/>
      <c r="H665" s="1"/>
      <c r="I665" s="61"/>
      <c r="J665" s="1"/>
      <c r="K665" s="1"/>
    </row>
    <row r="666" spans="1:11" ht="15.75" customHeight="1">
      <c r="A666" s="2"/>
      <c r="B666" s="1"/>
      <c r="C666" s="1"/>
      <c r="D666" s="1"/>
      <c r="E666" s="1"/>
      <c r="F666" s="1"/>
      <c r="G666" s="1"/>
      <c r="H666" s="1"/>
      <c r="I666" s="61"/>
      <c r="J666" s="1"/>
      <c r="K666" s="1"/>
    </row>
    <row r="667" spans="1:11" ht="15.75" customHeight="1">
      <c r="A667" s="2"/>
      <c r="B667" s="1"/>
      <c r="C667" s="1"/>
      <c r="D667" s="1"/>
      <c r="E667" s="1"/>
      <c r="F667" s="1"/>
      <c r="G667" s="1"/>
      <c r="H667" s="1"/>
      <c r="I667" s="61"/>
      <c r="J667" s="1"/>
      <c r="K667" s="1"/>
    </row>
    <row r="668" spans="1:11" ht="15.75" customHeight="1">
      <c r="A668" s="2"/>
      <c r="B668" s="1"/>
      <c r="C668" s="1"/>
      <c r="D668" s="1"/>
      <c r="E668" s="1"/>
      <c r="F668" s="1"/>
      <c r="G668" s="1"/>
      <c r="H668" s="1"/>
      <c r="I668" s="61"/>
      <c r="J668" s="1"/>
      <c r="K668" s="1"/>
    </row>
    <row r="669" spans="1:11" ht="15.75" customHeight="1">
      <c r="A669" s="2"/>
      <c r="B669" s="1"/>
      <c r="C669" s="1"/>
      <c r="D669" s="1"/>
      <c r="E669" s="1"/>
      <c r="F669" s="1"/>
      <c r="G669" s="1"/>
      <c r="H669" s="1"/>
      <c r="I669" s="61"/>
      <c r="J669" s="1"/>
      <c r="K669" s="1"/>
    </row>
    <row r="670" spans="1:11" ht="15.75" customHeight="1">
      <c r="A670" s="2"/>
      <c r="B670" s="1"/>
      <c r="C670" s="1"/>
      <c r="D670" s="1"/>
      <c r="E670" s="1"/>
      <c r="F670" s="1"/>
      <c r="G670" s="1"/>
      <c r="H670" s="1"/>
      <c r="I670" s="61"/>
      <c r="J670" s="1"/>
      <c r="K670" s="1"/>
    </row>
    <row r="671" spans="1:11" ht="15.75" customHeight="1">
      <c r="A671" s="2"/>
      <c r="B671" s="1"/>
      <c r="C671" s="1"/>
      <c r="D671" s="1"/>
      <c r="E671" s="1"/>
      <c r="F671" s="1"/>
      <c r="G671" s="1"/>
      <c r="H671" s="1"/>
      <c r="I671" s="61"/>
      <c r="J671" s="1"/>
      <c r="K671" s="1"/>
    </row>
    <row r="672" spans="1:11" ht="15.75" customHeight="1">
      <c r="A672" s="2"/>
      <c r="B672" s="1"/>
      <c r="C672" s="1"/>
      <c r="D672" s="1"/>
      <c r="E672" s="1"/>
      <c r="F672" s="1"/>
      <c r="G672" s="1"/>
      <c r="H672" s="1"/>
      <c r="I672" s="61"/>
      <c r="J672" s="1"/>
      <c r="K672" s="1"/>
    </row>
    <row r="673" spans="1:11" ht="15.75" customHeight="1">
      <c r="A673" s="2"/>
      <c r="B673" s="1"/>
      <c r="C673" s="1"/>
      <c r="D673" s="1"/>
      <c r="E673" s="1"/>
      <c r="F673" s="1"/>
      <c r="G673" s="1"/>
      <c r="H673" s="1"/>
      <c r="I673" s="61"/>
      <c r="J673" s="1"/>
      <c r="K673" s="1"/>
    </row>
    <row r="674" spans="1:11" ht="15.75" customHeight="1">
      <c r="A674" s="2"/>
      <c r="B674" s="1"/>
      <c r="C674" s="1"/>
      <c r="D674" s="1"/>
      <c r="E674" s="1"/>
      <c r="F674" s="1"/>
      <c r="G674" s="1"/>
      <c r="H674" s="1"/>
      <c r="I674" s="61"/>
      <c r="J674" s="1"/>
      <c r="K674" s="1"/>
    </row>
    <row r="675" spans="1:11" ht="15.75" customHeight="1">
      <c r="A675" s="2"/>
      <c r="B675" s="1"/>
      <c r="C675" s="1"/>
      <c r="D675" s="1"/>
      <c r="E675" s="1"/>
      <c r="F675" s="1"/>
      <c r="G675" s="1"/>
      <c r="H675" s="1"/>
      <c r="I675" s="61"/>
      <c r="J675" s="1"/>
      <c r="K675" s="1"/>
    </row>
    <row r="676" spans="1:11" ht="15.75" customHeight="1">
      <c r="A676" s="2"/>
      <c r="B676" s="1"/>
      <c r="C676" s="1"/>
      <c r="D676" s="1"/>
      <c r="E676" s="1"/>
      <c r="F676" s="1"/>
      <c r="G676" s="1"/>
      <c r="H676" s="1"/>
      <c r="I676" s="61"/>
      <c r="J676" s="1"/>
      <c r="K676" s="1"/>
    </row>
    <row r="677" spans="1:11" ht="15.75" customHeight="1">
      <c r="A677" s="2"/>
      <c r="B677" s="1"/>
      <c r="C677" s="1"/>
      <c r="D677" s="1"/>
      <c r="E677" s="1"/>
      <c r="F677" s="1"/>
      <c r="G677" s="1"/>
      <c r="H677" s="1"/>
      <c r="I677" s="61"/>
      <c r="J677" s="1"/>
      <c r="K677" s="1"/>
    </row>
    <row r="678" spans="1:11" ht="15.75" customHeight="1">
      <c r="A678" s="2"/>
      <c r="B678" s="1"/>
      <c r="C678" s="1"/>
      <c r="D678" s="1"/>
      <c r="E678" s="1"/>
      <c r="F678" s="1"/>
      <c r="G678" s="1"/>
      <c r="H678" s="1"/>
      <c r="I678" s="61"/>
      <c r="J678" s="1"/>
      <c r="K678" s="1"/>
    </row>
    <row r="679" spans="1:11" ht="15.75" customHeight="1">
      <c r="A679" s="2"/>
      <c r="B679" s="1"/>
      <c r="C679" s="1"/>
      <c r="D679" s="1"/>
      <c r="E679" s="1"/>
      <c r="F679" s="1"/>
      <c r="G679" s="1"/>
      <c r="H679" s="1"/>
      <c r="I679" s="61"/>
      <c r="J679" s="1"/>
      <c r="K679" s="1"/>
    </row>
    <row r="680" spans="1:11" ht="15.75" customHeight="1">
      <c r="A680" s="2"/>
      <c r="B680" s="1"/>
      <c r="C680" s="1"/>
      <c r="D680" s="1"/>
      <c r="E680" s="1"/>
      <c r="F680" s="1"/>
      <c r="G680" s="1"/>
      <c r="H680" s="1"/>
      <c r="I680" s="61"/>
      <c r="J680" s="1"/>
      <c r="K680" s="1"/>
    </row>
    <row r="681" spans="1:11" ht="15.75" customHeight="1">
      <c r="A681" s="2"/>
      <c r="B681" s="1"/>
      <c r="C681" s="1"/>
      <c r="D681" s="1"/>
      <c r="E681" s="1"/>
      <c r="F681" s="1"/>
      <c r="G681" s="1"/>
      <c r="H681" s="1"/>
      <c r="I681" s="61"/>
      <c r="J681" s="1"/>
      <c r="K681" s="1"/>
    </row>
    <row r="682" spans="1:11" ht="15.75" customHeight="1">
      <c r="A682" s="2"/>
      <c r="B682" s="1"/>
      <c r="C682" s="1"/>
      <c r="D682" s="1"/>
      <c r="E682" s="1"/>
      <c r="F682" s="1"/>
      <c r="G682" s="1"/>
      <c r="H682" s="1"/>
      <c r="I682" s="61"/>
      <c r="J682" s="1"/>
      <c r="K682" s="1"/>
    </row>
    <row r="683" spans="1:11" ht="15.75" customHeight="1">
      <c r="A683" s="2"/>
      <c r="B683" s="1"/>
      <c r="C683" s="1"/>
      <c r="D683" s="1"/>
      <c r="E683" s="1"/>
      <c r="F683" s="1"/>
      <c r="G683" s="1"/>
      <c r="H683" s="1"/>
      <c r="I683" s="61"/>
      <c r="J683" s="1"/>
      <c r="K683" s="1"/>
    </row>
    <row r="684" spans="1:11" ht="15.75" customHeight="1">
      <c r="A684" s="2"/>
      <c r="B684" s="1"/>
      <c r="C684" s="1"/>
      <c r="D684" s="1"/>
      <c r="E684" s="1"/>
      <c r="F684" s="1"/>
      <c r="G684" s="1"/>
      <c r="H684" s="1"/>
      <c r="I684" s="61"/>
      <c r="J684" s="1"/>
      <c r="K684" s="1"/>
    </row>
    <row r="685" spans="1:11" ht="15.75" customHeight="1">
      <c r="A685" s="2"/>
      <c r="B685" s="1"/>
      <c r="C685" s="1"/>
      <c r="D685" s="1"/>
      <c r="E685" s="1"/>
      <c r="F685" s="1"/>
      <c r="G685" s="1"/>
      <c r="H685" s="1"/>
      <c r="I685" s="61"/>
      <c r="J685" s="1"/>
      <c r="K685" s="1"/>
    </row>
    <row r="686" spans="1:11" ht="15.75" customHeight="1">
      <c r="A686" s="2"/>
      <c r="B686" s="1"/>
      <c r="C686" s="1"/>
      <c r="D686" s="1"/>
      <c r="E686" s="1"/>
      <c r="F686" s="1"/>
      <c r="G686" s="1"/>
      <c r="H686" s="1"/>
      <c r="I686" s="61"/>
      <c r="J686" s="1"/>
      <c r="K686" s="1"/>
    </row>
    <row r="687" spans="1:11" ht="15.75" customHeight="1">
      <c r="A687" s="2"/>
      <c r="B687" s="1"/>
      <c r="C687" s="1"/>
      <c r="D687" s="1"/>
      <c r="E687" s="1"/>
      <c r="F687" s="1"/>
      <c r="G687" s="1"/>
      <c r="H687" s="1"/>
      <c r="I687" s="61"/>
      <c r="J687" s="1"/>
      <c r="K687" s="1"/>
    </row>
    <row r="688" spans="1:11" ht="15.75" customHeight="1">
      <c r="A688" s="2"/>
      <c r="B688" s="1"/>
      <c r="C688" s="1"/>
      <c r="D688" s="1"/>
      <c r="E688" s="1"/>
      <c r="F688" s="1"/>
      <c r="G688" s="1"/>
      <c r="H688" s="1"/>
      <c r="I688" s="61"/>
      <c r="J688" s="1"/>
      <c r="K688" s="1"/>
    </row>
    <row r="689" spans="1:11" ht="15.75" customHeight="1">
      <c r="A689" s="2"/>
      <c r="B689" s="1"/>
      <c r="C689" s="1"/>
      <c r="D689" s="1"/>
      <c r="E689" s="1"/>
      <c r="F689" s="1"/>
      <c r="G689" s="1"/>
      <c r="H689" s="1"/>
      <c r="I689" s="61"/>
      <c r="J689" s="1"/>
      <c r="K689" s="1"/>
    </row>
    <row r="690" spans="1:11" ht="15.75" customHeight="1">
      <c r="A690" s="2"/>
      <c r="B690" s="1"/>
      <c r="C690" s="1"/>
      <c r="D690" s="1"/>
      <c r="E690" s="1"/>
      <c r="F690" s="1"/>
      <c r="G690" s="1"/>
      <c r="H690" s="1"/>
      <c r="I690" s="61"/>
      <c r="J690" s="1"/>
      <c r="K690" s="1"/>
    </row>
    <row r="691" spans="1:11" ht="15.75" customHeight="1">
      <c r="A691" s="2"/>
      <c r="B691" s="1"/>
      <c r="C691" s="1"/>
      <c r="D691" s="1"/>
      <c r="E691" s="1"/>
      <c r="F691" s="1"/>
      <c r="G691" s="1"/>
      <c r="H691" s="1"/>
      <c r="I691" s="61"/>
      <c r="J691" s="1"/>
      <c r="K691" s="1"/>
    </row>
    <row r="692" spans="1:11" ht="15.75" customHeight="1">
      <c r="A692" s="2"/>
      <c r="B692" s="1"/>
      <c r="C692" s="1"/>
      <c r="D692" s="1"/>
      <c r="E692" s="1"/>
      <c r="F692" s="1"/>
      <c r="G692" s="1"/>
      <c r="H692" s="1"/>
      <c r="I692" s="61"/>
      <c r="J692" s="1"/>
      <c r="K692" s="1"/>
    </row>
    <row r="693" spans="1:11" ht="15.75" customHeight="1">
      <c r="A693" s="2"/>
      <c r="B693" s="1"/>
      <c r="C693" s="1"/>
      <c r="D693" s="1"/>
      <c r="E693" s="1"/>
      <c r="F693" s="1"/>
      <c r="G693" s="1"/>
      <c r="H693" s="1"/>
      <c r="I693" s="61"/>
      <c r="J693" s="1"/>
      <c r="K693" s="1"/>
    </row>
    <row r="694" spans="1:11" ht="15.75" customHeight="1">
      <c r="A694" s="2"/>
      <c r="B694" s="1"/>
      <c r="C694" s="1"/>
      <c r="D694" s="1"/>
      <c r="E694" s="1"/>
      <c r="F694" s="1"/>
      <c r="G694" s="1"/>
      <c r="H694" s="1"/>
      <c r="I694" s="61"/>
      <c r="J694" s="1"/>
      <c r="K694" s="1"/>
    </row>
    <row r="695" spans="1:11" ht="15.75" customHeight="1">
      <c r="A695" s="2"/>
      <c r="B695" s="1"/>
      <c r="C695" s="1"/>
      <c r="D695" s="1"/>
      <c r="E695" s="1"/>
      <c r="F695" s="1"/>
      <c r="G695" s="1"/>
      <c r="H695" s="1"/>
      <c r="I695" s="61"/>
      <c r="J695" s="1"/>
      <c r="K695" s="1"/>
    </row>
    <row r="696" spans="1:11" ht="15.75" customHeight="1">
      <c r="A696" s="2"/>
      <c r="B696" s="1"/>
      <c r="C696" s="1"/>
      <c r="D696" s="1"/>
      <c r="E696" s="1"/>
      <c r="F696" s="1"/>
      <c r="G696" s="1"/>
      <c r="H696" s="1"/>
      <c r="I696" s="61"/>
      <c r="J696" s="1"/>
      <c r="K696" s="1"/>
    </row>
    <row r="697" spans="1:11" ht="15.75" customHeight="1">
      <c r="A697" s="2"/>
      <c r="B697" s="1"/>
      <c r="C697" s="1"/>
      <c r="D697" s="1"/>
      <c r="E697" s="1"/>
      <c r="F697" s="1"/>
      <c r="G697" s="1"/>
      <c r="H697" s="1"/>
      <c r="I697" s="61"/>
      <c r="J697" s="1"/>
      <c r="K697" s="1"/>
    </row>
    <row r="698" spans="1:11" ht="15.75" customHeight="1">
      <c r="A698" s="2"/>
      <c r="B698" s="1"/>
      <c r="C698" s="1"/>
      <c r="D698" s="1"/>
      <c r="E698" s="1"/>
      <c r="F698" s="1"/>
      <c r="G698" s="1"/>
      <c r="H698" s="1"/>
      <c r="I698" s="61"/>
      <c r="J698" s="1"/>
      <c r="K698" s="1"/>
    </row>
    <row r="699" spans="1:11" ht="15.75" customHeight="1">
      <c r="A699" s="2"/>
      <c r="B699" s="1"/>
      <c r="C699" s="1"/>
      <c r="D699" s="1"/>
      <c r="E699" s="1"/>
      <c r="F699" s="1"/>
      <c r="G699" s="1"/>
      <c r="H699" s="1"/>
      <c r="I699" s="61"/>
      <c r="J699" s="1"/>
      <c r="K699" s="1"/>
    </row>
    <row r="700" spans="1:11" ht="15.75" customHeight="1">
      <c r="A700" s="2"/>
      <c r="B700" s="1"/>
      <c r="C700" s="1"/>
      <c r="D700" s="1"/>
      <c r="E700" s="1"/>
      <c r="F700" s="1"/>
      <c r="G700" s="1"/>
      <c r="H700" s="1"/>
      <c r="I700" s="61"/>
      <c r="J700" s="1"/>
      <c r="K700" s="1"/>
    </row>
    <row r="701" spans="1:11" ht="15.75" customHeight="1">
      <c r="A701" s="2"/>
      <c r="B701" s="1"/>
      <c r="C701" s="1"/>
      <c r="D701" s="1"/>
      <c r="E701" s="1"/>
      <c r="F701" s="1"/>
      <c r="G701" s="1"/>
      <c r="H701" s="1"/>
      <c r="I701" s="61"/>
      <c r="J701" s="1"/>
      <c r="K701" s="1"/>
    </row>
    <row r="702" spans="1:11" ht="15.75" customHeight="1">
      <c r="A702" s="2"/>
      <c r="B702" s="1"/>
      <c r="C702" s="1"/>
      <c r="D702" s="1"/>
      <c r="E702" s="1"/>
      <c r="F702" s="1"/>
      <c r="G702" s="1"/>
      <c r="H702" s="1"/>
      <c r="I702" s="61"/>
      <c r="J702" s="1"/>
      <c r="K702" s="1"/>
    </row>
    <row r="703" spans="1:11" ht="15.75" customHeight="1">
      <c r="A703" s="2"/>
      <c r="B703" s="1"/>
      <c r="C703" s="1"/>
      <c r="D703" s="1"/>
      <c r="E703" s="1"/>
      <c r="F703" s="1"/>
      <c r="G703" s="1"/>
      <c r="H703" s="1"/>
      <c r="I703" s="61"/>
      <c r="J703" s="1"/>
      <c r="K703" s="1"/>
    </row>
    <row r="704" spans="1:11" ht="15.75" customHeight="1">
      <c r="A704" s="2"/>
      <c r="B704" s="1"/>
      <c r="C704" s="1"/>
      <c r="D704" s="1"/>
      <c r="E704" s="1"/>
      <c r="F704" s="1"/>
      <c r="G704" s="1"/>
      <c r="H704" s="1"/>
      <c r="I704" s="61"/>
      <c r="J704" s="1"/>
      <c r="K704" s="1"/>
    </row>
    <row r="705" spans="1:11" ht="15.75" customHeight="1">
      <c r="A705" s="2"/>
      <c r="B705" s="1"/>
      <c r="C705" s="1"/>
      <c r="D705" s="1"/>
      <c r="E705" s="1"/>
      <c r="F705" s="1"/>
      <c r="G705" s="1"/>
      <c r="H705" s="1"/>
      <c r="I705" s="61"/>
      <c r="J705" s="1"/>
      <c r="K705" s="1"/>
    </row>
    <row r="706" spans="1:11" ht="15.75" customHeight="1">
      <c r="A706" s="2"/>
      <c r="B706" s="1"/>
      <c r="C706" s="1"/>
      <c r="D706" s="1"/>
      <c r="E706" s="1"/>
      <c r="F706" s="1"/>
      <c r="G706" s="1"/>
      <c r="H706" s="1"/>
      <c r="I706" s="61"/>
      <c r="J706" s="1"/>
      <c r="K706" s="1"/>
    </row>
    <row r="707" spans="1:11" ht="15.75" customHeight="1">
      <c r="A707" s="2"/>
      <c r="B707" s="1"/>
      <c r="C707" s="1"/>
      <c r="D707" s="1"/>
      <c r="E707" s="1"/>
      <c r="F707" s="1"/>
      <c r="G707" s="1"/>
      <c r="H707" s="1"/>
      <c r="I707" s="61"/>
      <c r="J707" s="1"/>
      <c r="K707" s="1"/>
    </row>
    <row r="708" spans="1:11" ht="15.75" customHeight="1">
      <c r="A708" s="2"/>
      <c r="B708" s="1"/>
      <c r="C708" s="1"/>
      <c r="D708" s="1"/>
      <c r="E708" s="1"/>
      <c r="F708" s="1"/>
      <c r="G708" s="1"/>
      <c r="H708" s="1"/>
      <c r="I708" s="61"/>
      <c r="J708" s="1"/>
      <c r="K708" s="1"/>
    </row>
    <row r="709" spans="1:11" ht="15.75" customHeight="1">
      <c r="A709" s="2"/>
      <c r="B709" s="1"/>
      <c r="C709" s="1"/>
      <c r="D709" s="1"/>
      <c r="E709" s="1"/>
      <c r="F709" s="1"/>
      <c r="G709" s="1"/>
      <c r="H709" s="1"/>
      <c r="I709" s="61"/>
      <c r="J709" s="1"/>
      <c r="K709" s="1"/>
    </row>
    <row r="710" spans="1:11" ht="15.75" customHeight="1">
      <c r="A710" s="2"/>
      <c r="B710" s="1"/>
      <c r="C710" s="1"/>
      <c r="D710" s="1"/>
      <c r="E710" s="1"/>
      <c r="F710" s="1"/>
      <c r="G710" s="1"/>
      <c r="H710" s="1"/>
      <c r="I710" s="61"/>
      <c r="J710" s="1"/>
      <c r="K710" s="1"/>
    </row>
    <row r="711" spans="1:11" ht="15.75" customHeight="1">
      <c r="A711" s="2"/>
      <c r="B711" s="1"/>
      <c r="C711" s="1"/>
      <c r="D711" s="1"/>
      <c r="E711" s="1"/>
      <c r="F711" s="1"/>
      <c r="G711" s="1"/>
      <c r="H711" s="1"/>
      <c r="I711" s="61"/>
      <c r="J711" s="1"/>
      <c r="K711" s="1"/>
    </row>
    <row r="712" spans="1:11" ht="15.75" customHeight="1">
      <c r="A712" s="2"/>
      <c r="B712" s="1"/>
      <c r="C712" s="1"/>
      <c r="D712" s="1"/>
      <c r="E712" s="1"/>
      <c r="F712" s="1"/>
      <c r="G712" s="1"/>
      <c r="H712" s="1"/>
      <c r="I712" s="61"/>
      <c r="J712" s="1"/>
      <c r="K712" s="1"/>
    </row>
    <row r="713" spans="1:11" ht="15.75" customHeight="1">
      <c r="A713" s="2"/>
      <c r="B713" s="1"/>
      <c r="C713" s="1"/>
      <c r="D713" s="1"/>
      <c r="E713" s="1"/>
      <c r="F713" s="1"/>
      <c r="G713" s="1"/>
      <c r="H713" s="1"/>
      <c r="I713" s="61"/>
      <c r="J713" s="1"/>
      <c r="K713" s="1"/>
    </row>
    <row r="714" spans="1:11" ht="15.75" customHeight="1">
      <c r="A714" s="2"/>
      <c r="B714" s="1"/>
      <c r="C714" s="1"/>
      <c r="D714" s="1"/>
      <c r="E714" s="1"/>
      <c r="F714" s="1"/>
      <c r="G714" s="1"/>
      <c r="H714" s="1"/>
      <c r="I714" s="61"/>
      <c r="J714" s="1"/>
      <c r="K714" s="1"/>
    </row>
    <row r="715" spans="1:11" ht="15.75" customHeight="1">
      <c r="A715" s="2"/>
      <c r="B715" s="1"/>
      <c r="C715" s="1"/>
      <c r="D715" s="1"/>
      <c r="E715" s="1"/>
      <c r="F715" s="1"/>
      <c r="G715" s="1"/>
      <c r="H715" s="1"/>
      <c r="I715" s="61"/>
      <c r="J715" s="1"/>
      <c r="K715" s="1"/>
    </row>
    <row r="716" spans="1:11" ht="15.75" customHeight="1">
      <c r="A716" s="2"/>
      <c r="B716" s="1"/>
      <c r="C716" s="1"/>
      <c r="D716" s="1"/>
      <c r="E716" s="1"/>
      <c r="F716" s="1"/>
      <c r="G716" s="1"/>
      <c r="H716" s="1"/>
      <c r="I716" s="61"/>
      <c r="J716" s="1"/>
      <c r="K716" s="1"/>
    </row>
    <row r="717" spans="1:11" ht="15.75" customHeight="1">
      <c r="A717" s="2"/>
      <c r="B717" s="1"/>
      <c r="C717" s="1"/>
      <c r="D717" s="1"/>
      <c r="E717" s="1"/>
      <c r="F717" s="1"/>
      <c r="G717" s="1"/>
      <c r="H717" s="1"/>
      <c r="I717" s="61"/>
      <c r="J717" s="1"/>
      <c r="K717" s="1"/>
    </row>
    <row r="718" spans="1:11" ht="15.75" customHeight="1">
      <c r="A718" s="2"/>
      <c r="B718" s="1"/>
      <c r="C718" s="1"/>
      <c r="D718" s="1"/>
      <c r="E718" s="1"/>
      <c r="F718" s="1"/>
      <c r="G718" s="1"/>
      <c r="H718" s="1"/>
      <c r="I718" s="61"/>
      <c r="J718" s="1"/>
      <c r="K718" s="1"/>
    </row>
    <row r="719" spans="1:11" ht="15.75" customHeight="1">
      <c r="A719" s="2"/>
      <c r="B719" s="1"/>
      <c r="C719" s="1"/>
      <c r="D719" s="1"/>
      <c r="E719" s="1"/>
      <c r="F719" s="1"/>
      <c r="G719" s="1"/>
      <c r="H719" s="1"/>
      <c r="I719" s="61"/>
      <c r="J719" s="1"/>
      <c r="K719" s="1"/>
    </row>
    <row r="720" spans="1:11" ht="15.75" customHeight="1">
      <c r="A720" s="2"/>
      <c r="B720" s="1"/>
      <c r="C720" s="1"/>
      <c r="D720" s="1"/>
      <c r="E720" s="1"/>
      <c r="F720" s="1"/>
      <c r="G720" s="1"/>
      <c r="H720" s="1"/>
      <c r="I720" s="61"/>
      <c r="J720" s="1"/>
      <c r="K720" s="1"/>
    </row>
    <row r="721" spans="1:11" ht="15.75" customHeight="1">
      <c r="A721" s="2"/>
      <c r="B721" s="1"/>
      <c r="C721" s="1"/>
      <c r="D721" s="1"/>
      <c r="E721" s="1"/>
      <c r="F721" s="1"/>
      <c r="G721" s="1"/>
      <c r="H721" s="1"/>
      <c r="I721" s="61"/>
      <c r="J721" s="1"/>
      <c r="K721" s="1"/>
    </row>
    <row r="722" spans="1:11" ht="15.75" customHeight="1">
      <c r="A722" s="2"/>
      <c r="B722" s="1"/>
      <c r="C722" s="1"/>
      <c r="D722" s="1"/>
      <c r="E722" s="1"/>
      <c r="F722" s="1"/>
      <c r="G722" s="1"/>
      <c r="H722" s="1"/>
      <c r="I722" s="61"/>
      <c r="J722" s="1"/>
      <c r="K722" s="1"/>
    </row>
    <row r="723" spans="1:11" ht="15.75" customHeight="1">
      <c r="A723" s="2"/>
      <c r="B723" s="1"/>
      <c r="C723" s="1"/>
      <c r="D723" s="1"/>
      <c r="E723" s="1"/>
      <c r="F723" s="1"/>
      <c r="G723" s="1"/>
      <c r="H723" s="1"/>
      <c r="I723" s="61"/>
      <c r="J723" s="1"/>
      <c r="K723" s="1"/>
    </row>
    <row r="724" spans="1:11" ht="15.75" customHeight="1">
      <c r="A724" s="2"/>
      <c r="B724" s="1"/>
      <c r="C724" s="1"/>
      <c r="D724" s="1"/>
      <c r="E724" s="1"/>
      <c r="F724" s="1"/>
      <c r="G724" s="1"/>
      <c r="H724" s="1"/>
      <c r="I724" s="61"/>
      <c r="J724" s="1"/>
      <c r="K724" s="1"/>
    </row>
    <row r="725" spans="1:11" ht="15.75" customHeight="1">
      <c r="A725" s="2"/>
      <c r="B725" s="1"/>
      <c r="C725" s="1"/>
      <c r="D725" s="1"/>
      <c r="E725" s="1"/>
      <c r="F725" s="1"/>
      <c r="G725" s="1"/>
      <c r="H725" s="1"/>
      <c r="I725" s="61"/>
      <c r="J725" s="1"/>
      <c r="K725" s="1"/>
    </row>
    <row r="726" spans="1:11" ht="15.75" customHeight="1">
      <c r="A726" s="2"/>
      <c r="B726" s="1"/>
      <c r="C726" s="1"/>
      <c r="D726" s="1"/>
      <c r="E726" s="1"/>
      <c r="F726" s="1"/>
      <c r="G726" s="1"/>
      <c r="H726" s="1"/>
      <c r="I726" s="61"/>
      <c r="J726" s="1"/>
      <c r="K726" s="1"/>
    </row>
    <row r="727" spans="1:11" ht="15.75" customHeight="1">
      <c r="A727" s="2"/>
      <c r="B727" s="1"/>
      <c r="C727" s="1"/>
      <c r="D727" s="1"/>
      <c r="E727" s="1"/>
      <c r="F727" s="1"/>
      <c r="G727" s="1"/>
      <c r="H727" s="1"/>
      <c r="I727" s="61"/>
      <c r="J727" s="1"/>
      <c r="K727" s="1"/>
    </row>
    <row r="728" spans="1:11" ht="15.75" customHeight="1">
      <c r="A728" s="2"/>
      <c r="B728" s="1"/>
      <c r="C728" s="1"/>
      <c r="D728" s="1"/>
      <c r="E728" s="1"/>
      <c r="F728" s="1"/>
      <c r="G728" s="1"/>
      <c r="H728" s="1"/>
      <c r="I728" s="61"/>
      <c r="J728" s="1"/>
      <c r="K728" s="1"/>
    </row>
    <row r="729" spans="1:11" ht="15.75" customHeight="1">
      <c r="A729" s="2"/>
      <c r="B729" s="1"/>
      <c r="C729" s="1"/>
      <c r="D729" s="1"/>
      <c r="E729" s="1"/>
      <c r="F729" s="1"/>
      <c r="G729" s="1"/>
      <c r="H729" s="1"/>
      <c r="I729" s="61"/>
      <c r="J729" s="1"/>
      <c r="K729" s="1"/>
    </row>
    <row r="730" spans="1:11" ht="15.75" customHeight="1">
      <c r="A730" s="2"/>
      <c r="B730" s="1"/>
      <c r="C730" s="1"/>
      <c r="D730" s="1"/>
      <c r="E730" s="1"/>
      <c r="F730" s="1"/>
      <c r="G730" s="1"/>
      <c r="H730" s="1"/>
      <c r="I730" s="61"/>
      <c r="J730" s="1"/>
      <c r="K730" s="1"/>
    </row>
    <row r="731" spans="1:11" ht="15.75" customHeight="1">
      <c r="A731" s="2"/>
      <c r="B731" s="1"/>
      <c r="C731" s="1"/>
      <c r="D731" s="1"/>
      <c r="E731" s="1"/>
      <c r="F731" s="1"/>
      <c r="G731" s="1"/>
      <c r="H731" s="1"/>
      <c r="I731" s="61"/>
      <c r="J731" s="1"/>
      <c r="K731" s="1"/>
    </row>
    <row r="732" spans="1:11" ht="15.75" customHeight="1">
      <c r="A732" s="2"/>
      <c r="B732" s="1"/>
      <c r="C732" s="1"/>
      <c r="D732" s="1"/>
      <c r="E732" s="1"/>
      <c r="F732" s="1"/>
      <c r="G732" s="1"/>
      <c r="H732" s="1"/>
      <c r="I732" s="61"/>
      <c r="J732" s="1"/>
      <c r="K732" s="1"/>
    </row>
    <row r="733" spans="1:11" ht="15.75" customHeight="1">
      <c r="A733" s="2"/>
      <c r="B733" s="1"/>
      <c r="C733" s="1"/>
      <c r="D733" s="1"/>
      <c r="E733" s="1"/>
      <c r="F733" s="1"/>
      <c r="G733" s="1"/>
      <c r="H733" s="1"/>
      <c r="I733" s="61"/>
      <c r="J733" s="1"/>
      <c r="K733" s="1"/>
    </row>
    <row r="734" spans="1:11" ht="15.75" customHeight="1">
      <c r="A734" s="2"/>
      <c r="B734" s="1"/>
      <c r="C734" s="1"/>
      <c r="D734" s="1"/>
      <c r="E734" s="1"/>
      <c r="F734" s="1"/>
      <c r="G734" s="1"/>
      <c r="H734" s="1"/>
      <c r="I734" s="61"/>
      <c r="J734" s="1"/>
      <c r="K734" s="1"/>
    </row>
    <row r="735" spans="1:11" ht="15.75" customHeight="1">
      <c r="A735" s="2"/>
      <c r="B735" s="1"/>
      <c r="C735" s="1"/>
      <c r="D735" s="1"/>
      <c r="E735" s="1"/>
      <c r="F735" s="1"/>
      <c r="G735" s="1"/>
      <c r="H735" s="1"/>
      <c r="I735" s="61"/>
      <c r="J735" s="1"/>
      <c r="K735" s="1"/>
    </row>
    <row r="736" spans="1:11" ht="15.75" customHeight="1">
      <c r="A736" s="2"/>
      <c r="B736" s="1"/>
      <c r="C736" s="1"/>
      <c r="D736" s="1"/>
      <c r="E736" s="1"/>
      <c r="F736" s="1"/>
      <c r="G736" s="1"/>
      <c r="H736" s="1"/>
      <c r="I736" s="61"/>
      <c r="J736" s="1"/>
      <c r="K736" s="1"/>
    </row>
    <row r="737" spans="1:11" ht="15.75" customHeight="1">
      <c r="A737" s="2"/>
      <c r="B737" s="1"/>
      <c r="C737" s="1"/>
      <c r="D737" s="1"/>
      <c r="E737" s="1"/>
      <c r="F737" s="1"/>
      <c r="G737" s="1"/>
      <c r="H737" s="1"/>
      <c r="I737" s="61"/>
      <c r="J737" s="1"/>
      <c r="K737" s="1"/>
    </row>
    <row r="738" spans="1:11" ht="15.75" customHeight="1">
      <c r="A738" s="2"/>
      <c r="B738" s="1"/>
      <c r="C738" s="1"/>
      <c r="D738" s="1"/>
      <c r="E738" s="1"/>
      <c r="F738" s="1"/>
      <c r="G738" s="1"/>
      <c r="H738" s="1"/>
      <c r="I738" s="61"/>
      <c r="J738" s="1"/>
      <c r="K738" s="1"/>
    </row>
    <row r="739" spans="1:11" ht="15.75" customHeight="1">
      <c r="A739" s="2"/>
      <c r="B739" s="1"/>
      <c r="C739" s="1"/>
      <c r="D739" s="1"/>
      <c r="E739" s="1"/>
      <c r="F739" s="1"/>
      <c r="G739" s="1"/>
      <c r="H739" s="1"/>
      <c r="I739" s="61"/>
      <c r="J739" s="1"/>
      <c r="K739" s="1"/>
    </row>
    <row r="740" spans="1:11" ht="15.75" customHeight="1">
      <c r="A740" s="2"/>
      <c r="B740" s="1"/>
      <c r="C740" s="1"/>
      <c r="D740" s="1"/>
      <c r="E740" s="1"/>
      <c r="F740" s="1"/>
      <c r="G740" s="1"/>
      <c r="H740" s="1"/>
      <c r="I740" s="61"/>
      <c r="J740" s="1"/>
      <c r="K740" s="1"/>
    </row>
    <row r="741" spans="1:11" ht="15.75" customHeight="1">
      <c r="A741" s="2"/>
      <c r="B741" s="1"/>
      <c r="C741" s="1"/>
      <c r="D741" s="1"/>
      <c r="E741" s="1"/>
      <c r="F741" s="1"/>
      <c r="G741" s="1"/>
      <c r="H741" s="1"/>
      <c r="I741" s="61"/>
      <c r="J741" s="1"/>
      <c r="K741" s="1"/>
    </row>
    <row r="742" spans="1:11" ht="15.75" customHeight="1">
      <c r="A742" s="2"/>
      <c r="B742" s="1"/>
      <c r="C742" s="1"/>
      <c r="D742" s="1"/>
      <c r="E742" s="1"/>
      <c r="F742" s="1"/>
      <c r="G742" s="1"/>
      <c r="H742" s="1"/>
      <c r="I742" s="61"/>
      <c r="J742" s="1"/>
      <c r="K742" s="1"/>
    </row>
    <row r="743" spans="1:11" ht="15.75" customHeight="1">
      <c r="A743" s="2"/>
      <c r="B743" s="1"/>
      <c r="C743" s="1"/>
      <c r="D743" s="1"/>
      <c r="E743" s="1"/>
      <c r="F743" s="1"/>
      <c r="G743" s="1"/>
      <c r="H743" s="1"/>
      <c r="I743" s="61"/>
      <c r="J743" s="1"/>
      <c r="K743" s="1"/>
    </row>
    <row r="744" spans="1:11" ht="15.75" customHeight="1">
      <c r="A744" s="2"/>
      <c r="B744" s="1"/>
      <c r="C744" s="1"/>
      <c r="D744" s="1"/>
      <c r="E744" s="1"/>
      <c r="F744" s="1"/>
      <c r="G744" s="1"/>
      <c r="H744" s="1"/>
      <c r="I744" s="61"/>
      <c r="J744" s="1"/>
      <c r="K744" s="1"/>
    </row>
    <row r="745" spans="1:11" ht="15.75" customHeight="1">
      <c r="A745" s="2"/>
      <c r="B745" s="1"/>
      <c r="C745" s="1"/>
      <c r="D745" s="1"/>
      <c r="E745" s="1"/>
      <c r="F745" s="1"/>
      <c r="G745" s="1"/>
      <c r="H745" s="1"/>
      <c r="I745" s="61"/>
      <c r="J745" s="1"/>
      <c r="K745" s="1"/>
    </row>
    <row r="746" spans="1:11" ht="15.75" customHeight="1">
      <c r="A746" s="2"/>
      <c r="B746" s="1"/>
      <c r="C746" s="1"/>
      <c r="D746" s="1"/>
      <c r="E746" s="1"/>
      <c r="F746" s="1"/>
      <c r="G746" s="1"/>
      <c r="H746" s="1"/>
      <c r="I746" s="61"/>
      <c r="J746" s="1"/>
      <c r="K746" s="1"/>
    </row>
    <row r="747" spans="1:11" ht="15.75" customHeight="1">
      <c r="A747" s="2"/>
      <c r="B747" s="1"/>
      <c r="C747" s="1"/>
      <c r="D747" s="1"/>
      <c r="E747" s="1"/>
      <c r="F747" s="1"/>
      <c r="G747" s="1"/>
      <c r="H747" s="1"/>
      <c r="I747" s="61"/>
      <c r="J747" s="1"/>
      <c r="K747" s="1"/>
    </row>
    <row r="748" spans="1:11" ht="15.75" customHeight="1">
      <c r="A748" s="2"/>
      <c r="B748" s="1"/>
      <c r="C748" s="1"/>
      <c r="D748" s="1"/>
      <c r="E748" s="1"/>
      <c r="F748" s="1"/>
      <c r="G748" s="1"/>
      <c r="H748" s="1"/>
      <c r="I748" s="61"/>
      <c r="J748" s="1"/>
      <c r="K748" s="1"/>
    </row>
    <row r="749" spans="1:11" ht="15.75" customHeight="1">
      <c r="A749" s="2"/>
      <c r="B749" s="1"/>
      <c r="C749" s="1"/>
      <c r="D749" s="1"/>
      <c r="E749" s="1"/>
      <c r="F749" s="1"/>
      <c r="G749" s="1"/>
      <c r="H749" s="1"/>
      <c r="I749" s="61"/>
      <c r="J749" s="1"/>
      <c r="K749" s="1"/>
    </row>
    <row r="750" spans="1:11" ht="15.75" customHeight="1">
      <c r="A750" s="2"/>
      <c r="B750" s="1"/>
      <c r="C750" s="1"/>
      <c r="D750" s="1"/>
      <c r="E750" s="1"/>
      <c r="F750" s="1"/>
      <c r="G750" s="1"/>
      <c r="H750" s="1"/>
      <c r="I750" s="61"/>
      <c r="J750" s="1"/>
      <c r="K750" s="1"/>
    </row>
    <row r="751" spans="1:11" ht="15.75" customHeight="1">
      <c r="A751" s="2"/>
      <c r="B751" s="1"/>
      <c r="C751" s="1"/>
      <c r="D751" s="1"/>
      <c r="E751" s="1"/>
      <c r="F751" s="1"/>
      <c r="G751" s="1"/>
      <c r="H751" s="1"/>
      <c r="I751" s="61"/>
      <c r="J751" s="1"/>
      <c r="K751" s="1"/>
    </row>
    <row r="752" spans="1:11" ht="15.75" customHeight="1">
      <c r="A752" s="2"/>
      <c r="B752" s="1"/>
      <c r="C752" s="1"/>
      <c r="D752" s="1"/>
      <c r="E752" s="1"/>
      <c r="F752" s="1"/>
      <c r="G752" s="1"/>
      <c r="H752" s="1"/>
      <c r="I752" s="61"/>
      <c r="J752" s="1"/>
      <c r="K752" s="1"/>
    </row>
    <row r="753" spans="1:11" ht="15.75" customHeight="1">
      <c r="A753" s="2"/>
      <c r="B753" s="1"/>
      <c r="C753" s="1"/>
      <c r="D753" s="1"/>
      <c r="E753" s="1"/>
      <c r="F753" s="1"/>
      <c r="G753" s="1"/>
      <c r="H753" s="1"/>
      <c r="I753" s="61"/>
      <c r="J753" s="1"/>
      <c r="K753" s="1"/>
    </row>
    <row r="754" spans="1:11" ht="15.75" customHeight="1">
      <c r="A754" s="2"/>
      <c r="B754" s="1"/>
      <c r="C754" s="1"/>
      <c r="D754" s="1"/>
      <c r="E754" s="1"/>
      <c r="F754" s="1"/>
      <c r="G754" s="1"/>
      <c r="H754" s="1"/>
      <c r="I754" s="61"/>
      <c r="J754" s="1"/>
      <c r="K754" s="1"/>
    </row>
    <row r="755" spans="1:11" ht="15.75" customHeight="1">
      <c r="A755" s="2"/>
      <c r="B755" s="1"/>
      <c r="C755" s="1"/>
      <c r="D755" s="1"/>
      <c r="E755" s="1"/>
      <c r="F755" s="1"/>
      <c r="G755" s="1"/>
      <c r="H755" s="1"/>
      <c r="I755" s="61"/>
      <c r="J755" s="1"/>
      <c r="K755" s="1"/>
    </row>
    <row r="756" spans="1:11" ht="15.75" customHeight="1">
      <c r="A756" s="2"/>
      <c r="B756" s="1"/>
      <c r="C756" s="1"/>
      <c r="D756" s="1"/>
      <c r="E756" s="1"/>
      <c r="F756" s="1"/>
      <c r="G756" s="1"/>
      <c r="H756" s="1"/>
      <c r="I756" s="61"/>
      <c r="J756" s="1"/>
      <c r="K756" s="1"/>
    </row>
    <row r="757" spans="1:11" ht="15.75" customHeight="1">
      <c r="A757" s="2"/>
      <c r="B757" s="1"/>
      <c r="C757" s="1"/>
      <c r="D757" s="1"/>
      <c r="E757" s="1"/>
      <c r="F757" s="1"/>
      <c r="G757" s="1"/>
      <c r="H757" s="1"/>
      <c r="I757" s="61"/>
      <c r="J757" s="1"/>
      <c r="K757" s="1"/>
    </row>
    <row r="758" spans="1:11" ht="15.75" customHeight="1">
      <c r="A758" s="2"/>
      <c r="B758" s="1"/>
      <c r="C758" s="1"/>
      <c r="D758" s="1"/>
      <c r="E758" s="1"/>
      <c r="F758" s="1"/>
      <c r="G758" s="1"/>
      <c r="H758" s="1"/>
      <c r="I758" s="61"/>
      <c r="J758" s="1"/>
      <c r="K758" s="1"/>
    </row>
    <row r="759" spans="1:11" ht="15.75" customHeight="1">
      <c r="A759" s="2"/>
      <c r="B759" s="1"/>
      <c r="C759" s="1"/>
      <c r="D759" s="1"/>
      <c r="E759" s="1"/>
      <c r="F759" s="1"/>
      <c r="G759" s="1"/>
      <c r="H759" s="1"/>
      <c r="I759" s="61"/>
      <c r="J759" s="1"/>
      <c r="K759" s="1"/>
    </row>
    <row r="760" spans="1:11" ht="15.75" customHeight="1">
      <c r="A760" s="2"/>
      <c r="B760" s="1"/>
      <c r="C760" s="1"/>
      <c r="D760" s="1"/>
      <c r="E760" s="1"/>
      <c r="F760" s="1"/>
      <c r="G760" s="1"/>
      <c r="H760" s="1"/>
      <c r="I760" s="61"/>
      <c r="J760" s="1"/>
      <c r="K760" s="1"/>
    </row>
    <row r="761" spans="1:11" ht="15.75" customHeight="1">
      <c r="A761" s="2"/>
      <c r="B761" s="1"/>
      <c r="C761" s="1"/>
      <c r="D761" s="1"/>
      <c r="E761" s="1"/>
      <c r="F761" s="1"/>
      <c r="G761" s="1"/>
      <c r="H761" s="1"/>
      <c r="I761" s="61"/>
      <c r="J761" s="1"/>
      <c r="K761" s="1"/>
    </row>
    <row r="762" spans="1:11" ht="15.75" customHeight="1">
      <c r="A762" s="2"/>
      <c r="B762" s="1"/>
      <c r="C762" s="1"/>
      <c r="D762" s="1"/>
      <c r="E762" s="1"/>
      <c r="F762" s="1"/>
      <c r="G762" s="1"/>
      <c r="H762" s="1"/>
      <c r="I762" s="61"/>
      <c r="J762" s="1"/>
      <c r="K762" s="1"/>
    </row>
    <row r="763" spans="1:11" ht="15.75" customHeight="1">
      <c r="A763" s="2"/>
      <c r="B763" s="1"/>
      <c r="C763" s="1"/>
      <c r="D763" s="1"/>
      <c r="E763" s="1"/>
      <c r="F763" s="1"/>
      <c r="G763" s="1"/>
      <c r="H763" s="1"/>
      <c r="I763" s="61"/>
      <c r="J763" s="1"/>
      <c r="K763" s="1"/>
    </row>
    <row r="764" spans="1:11" ht="15.75" customHeight="1">
      <c r="A764" s="2"/>
      <c r="B764" s="1"/>
      <c r="C764" s="1"/>
      <c r="D764" s="1"/>
      <c r="E764" s="1"/>
      <c r="F764" s="1"/>
      <c r="G764" s="1"/>
      <c r="H764" s="1"/>
      <c r="I764" s="61"/>
      <c r="J764" s="1"/>
      <c r="K764" s="1"/>
    </row>
    <row r="765" spans="1:11" ht="15.75" customHeight="1">
      <c r="A765" s="2"/>
      <c r="B765" s="1"/>
      <c r="C765" s="1"/>
      <c r="D765" s="1"/>
      <c r="E765" s="1"/>
      <c r="F765" s="1"/>
      <c r="G765" s="1"/>
      <c r="H765" s="1"/>
      <c r="I765" s="61"/>
      <c r="J765" s="1"/>
      <c r="K765" s="1"/>
    </row>
    <row r="766" spans="1:11" ht="15.75" customHeight="1">
      <c r="A766" s="2"/>
      <c r="B766" s="1"/>
      <c r="C766" s="1"/>
      <c r="D766" s="1"/>
      <c r="E766" s="1"/>
      <c r="F766" s="1"/>
      <c r="G766" s="1"/>
      <c r="H766" s="1"/>
      <c r="I766" s="61"/>
      <c r="J766" s="1"/>
      <c r="K766" s="1"/>
    </row>
    <row r="767" spans="1:11" ht="15.75" customHeight="1">
      <c r="A767" s="2"/>
      <c r="B767" s="1"/>
      <c r="C767" s="1"/>
      <c r="D767" s="1"/>
      <c r="E767" s="1"/>
      <c r="F767" s="1"/>
      <c r="G767" s="1"/>
      <c r="H767" s="1"/>
      <c r="I767" s="61"/>
      <c r="J767" s="1"/>
      <c r="K767" s="1"/>
    </row>
    <row r="768" spans="1:11" ht="15.75" customHeight="1">
      <c r="A768" s="2"/>
      <c r="B768" s="1"/>
      <c r="C768" s="1"/>
      <c r="D768" s="1"/>
      <c r="E768" s="1"/>
      <c r="F768" s="1"/>
      <c r="G768" s="1"/>
      <c r="H768" s="1"/>
      <c r="I768" s="61"/>
      <c r="J768" s="1"/>
      <c r="K768" s="1"/>
    </row>
    <row r="769" spans="1:11" ht="15.75" customHeight="1">
      <c r="A769" s="2"/>
      <c r="B769" s="1"/>
      <c r="C769" s="1"/>
      <c r="D769" s="1"/>
      <c r="E769" s="1"/>
      <c r="F769" s="1"/>
      <c r="G769" s="1"/>
      <c r="H769" s="1"/>
      <c r="I769" s="61"/>
      <c r="J769" s="1"/>
      <c r="K769" s="1"/>
    </row>
    <row r="770" spans="1:11" ht="15.75" customHeight="1">
      <c r="A770" s="2"/>
      <c r="B770" s="1"/>
      <c r="C770" s="1"/>
      <c r="D770" s="1"/>
      <c r="E770" s="1"/>
      <c r="F770" s="1"/>
      <c r="G770" s="1"/>
      <c r="H770" s="1"/>
      <c r="I770" s="61"/>
      <c r="J770" s="1"/>
      <c r="K770" s="1"/>
    </row>
    <row r="771" spans="1:11" ht="15.75" customHeight="1">
      <c r="A771" s="2"/>
      <c r="B771" s="1"/>
      <c r="C771" s="1"/>
      <c r="D771" s="1"/>
      <c r="E771" s="1"/>
      <c r="F771" s="1"/>
      <c r="G771" s="1"/>
      <c r="H771" s="1"/>
      <c r="I771" s="61"/>
      <c r="J771" s="1"/>
      <c r="K771" s="1"/>
    </row>
    <row r="772" spans="1:11" ht="15.75" customHeight="1">
      <c r="A772" s="2"/>
      <c r="B772" s="1"/>
      <c r="C772" s="1"/>
      <c r="D772" s="1"/>
      <c r="E772" s="1"/>
      <c r="F772" s="1"/>
      <c r="G772" s="1"/>
      <c r="H772" s="1"/>
      <c r="I772" s="61"/>
      <c r="J772" s="1"/>
      <c r="K772" s="1"/>
    </row>
    <row r="773" spans="1:11" ht="15.75" customHeight="1">
      <c r="A773" s="2"/>
      <c r="B773" s="1"/>
      <c r="C773" s="1"/>
      <c r="D773" s="1"/>
      <c r="E773" s="1"/>
      <c r="F773" s="1"/>
      <c r="G773" s="1"/>
      <c r="H773" s="1"/>
      <c r="I773" s="61"/>
      <c r="J773" s="1"/>
      <c r="K773" s="1"/>
    </row>
    <row r="774" spans="1:11" ht="15.75" customHeight="1">
      <c r="A774" s="2"/>
      <c r="B774" s="1"/>
      <c r="C774" s="1"/>
      <c r="D774" s="1"/>
      <c r="E774" s="1"/>
      <c r="F774" s="1"/>
      <c r="G774" s="1"/>
      <c r="H774" s="1"/>
      <c r="I774" s="61"/>
      <c r="J774" s="1"/>
      <c r="K774" s="1"/>
    </row>
    <row r="775" spans="1:11" ht="15.75" customHeight="1">
      <c r="A775" s="2"/>
      <c r="B775" s="1"/>
      <c r="C775" s="1"/>
      <c r="D775" s="1"/>
      <c r="E775" s="1"/>
      <c r="F775" s="1"/>
      <c r="G775" s="1"/>
      <c r="H775" s="1"/>
      <c r="I775" s="61"/>
      <c r="J775" s="1"/>
      <c r="K775" s="1"/>
    </row>
    <row r="776" spans="1:11" ht="15.75" customHeight="1">
      <c r="A776" s="2"/>
      <c r="B776" s="1"/>
      <c r="C776" s="1"/>
      <c r="D776" s="1"/>
      <c r="E776" s="1"/>
      <c r="F776" s="1"/>
      <c r="G776" s="1"/>
      <c r="H776" s="1"/>
      <c r="I776" s="61"/>
      <c r="J776" s="1"/>
      <c r="K776" s="1"/>
    </row>
    <row r="777" spans="1:11" ht="15.75" customHeight="1">
      <c r="A777" s="2"/>
      <c r="B777" s="1"/>
      <c r="C777" s="1"/>
      <c r="D777" s="1"/>
      <c r="E777" s="1"/>
      <c r="F777" s="1"/>
      <c r="G777" s="1"/>
      <c r="H777" s="1"/>
      <c r="I777" s="61"/>
      <c r="J777" s="1"/>
      <c r="K777" s="1"/>
    </row>
    <row r="778" spans="1:11" ht="15.75" customHeight="1">
      <c r="A778" s="2"/>
      <c r="B778" s="1"/>
      <c r="C778" s="1"/>
      <c r="D778" s="1"/>
      <c r="E778" s="1"/>
      <c r="F778" s="1"/>
      <c r="G778" s="1"/>
      <c r="H778" s="1"/>
      <c r="I778" s="61"/>
      <c r="J778" s="1"/>
      <c r="K778" s="1"/>
    </row>
    <row r="779" spans="1:11" ht="15.75" customHeight="1">
      <c r="A779" s="2"/>
      <c r="B779" s="1"/>
      <c r="C779" s="1"/>
      <c r="D779" s="1"/>
      <c r="E779" s="1"/>
      <c r="F779" s="1"/>
      <c r="G779" s="1"/>
      <c r="H779" s="1"/>
      <c r="I779" s="61"/>
      <c r="J779" s="1"/>
      <c r="K779" s="1"/>
    </row>
    <row r="780" spans="1:11" ht="15.75" customHeight="1">
      <c r="A780" s="2"/>
      <c r="B780" s="1"/>
      <c r="C780" s="1"/>
      <c r="D780" s="1"/>
      <c r="E780" s="1"/>
      <c r="F780" s="1"/>
      <c r="G780" s="1"/>
      <c r="H780" s="1"/>
      <c r="I780" s="61"/>
      <c r="J780" s="1"/>
      <c r="K780" s="1"/>
    </row>
    <row r="781" spans="1:11" ht="15.75" customHeight="1">
      <c r="A781" s="2"/>
      <c r="B781" s="1"/>
      <c r="C781" s="1"/>
      <c r="D781" s="1"/>
      <c r="E781" s="1"/>
      <c r="F781" s="1"/>
      <c r="G781" s="1"/>
      <c r="H781" s="1"/>
      <c r="I781" s="61"/>
      <c r="J781" s="1"/>
      <c r="K781" s="1"/>
    </row>
    <row r="782" spans="1:11" ht="15.75" customHeight="1">
      <c r="A782" s="2"/>
      <c r="B782" s="1"/>
      <c r="C782" s="1"/>
      <c r="D782" s="1"/>
      <c r="E782" s="1"/>
      <c r="F782" s="1"/>
      <c r="G782" s="1"/>
      <c r="H782" s="1"/>
      <c r="I782" s="61"/>
      <c r="J782" s="1"/>
      <c r="K782" s="1"/>
    </row>
    <row r="783" spans="1:11" ht="15.75" customHeight="1">
      <c r="A783" s="2"/>
      <c r="B783" s="1"/>
      <c r="C783" s="1"/>
      <c r="D783" s="1"/>
      <c r="E783" s="1"/>
      <c r="F783" s="1"/>
      <c r="G783" s="1"/>
      <c r="H783" s="1"/>
      <c r="I783" s="61"/>
      <c r="J783" s="1"/>
      <c r="K783" s="1"/>
    </row>
    <row r="784" spans="1:11" ht="15.75" customHeight="1">
      <c r="A784" s="2"/>
      <c r="B784" s="1"/>
      <c r="C784" s="1"/>
      <c r="D784" s="1"/>
      <c r="E784" s="1"/>
      <c r="F784" s="1"/>
      <c r="G784" s="1"/>
      <c r="H784" s="1"/>
      <c r="I784" s="61"/>
      <c r="J784" s="1"/>
      <c r="K784" s="1"/>
    </row>
    <row r="785" spans="1:11" ht="15.75" customHeight="1">
      <c r="A785" s="2"/>
      <c r="B785" s="1"/>
      <c r="C785" s="1"/>
      <c r="D785" s="1"/>
      <c r="E785" s="1"/>
      <c r="F785" s="1"/>
      <c r="G785" s="1"/>
      <c r="H785" s="1"/>
      <c r="I785" s="61"/>
      <c r="J785" s="1"/>
      <c r="K785" s="1"/>
    </row>
    <row r="786" spans="1:11" ht="15.75" customHeight="1">
      <c r="A786" s="2"/>
      <c r="B786" s="1"/>
      <c r="C786" s="1"/>
      <c r="D786" s="1"/>
      <c r="E786" s="1"/>
      <c r="F786" s="1"/>
      <c r="G786" s="1"/>
      <c r="H786" s="1"/>
      <c r="I786" s="61"/>
      <c r="J786" s="1"/>
      <c r="K786" s="1"/>
    </row>
    <row r="787" spans="1:11" ht="15.75" customHeight="1">
      <c r="A787" s="2"/>
      <c r="B787" s="1"/>
      <c r="C787" s="1"/>
      <c r="D787" s="1"/>
      <c r="E787" s="1"/>
      <c r="F787" s="1"/>
      <c r="G787" s="1"/>
      <c r="H787" s="1"/>
      <c r="I787" s="61"/>
      <c r="J787" s="1"/>
      <c r="K787" s="1"/>
    </row>
    <row r="788" spans="1:11" ht="15.75" customHeight="1">
      <c r="A788" s="2"/>
      <c r="B788" s="1"/>
      <c r="C788" s="1"/>
      <c r="D788" s="1"/>
      <c r="E788" s="1"/>
      <c r="F788" s="1"/>
      <c r="G788" s="1"/>
      <c r="H788" s="1"/>
      <c r="I788" s="61"/>
      <c r="J788" s="1"/>
      <c r="K788" s="1"/>
    </row>
    <row r="789" spans="1:11" ht="15.75" customHeight="1">
      <c r="A789" s="2"/>
      <c r="B789" s="1"/>
      <c r="C789" s="1"/>
      <c r="D789" s="1"/>
      <c r="E789" s="1"/>
      <c r="F789" s="1"/>
      <c r="G789" s="1"/>
      <c r="H789" s="1"/>
      <c r="I789" s="61"/>
      <c r="J789" s="1"/>
      <c r="K789" s="1"/>
    </row>
    <row r="790" spans="1:11" ht="15.75" customHeight="1">
      <c r="A790" s="2"/>
      <c r="B790" s="1"/>
      <c r="C790" s="1"/>
      <c r="D790" s="1"/>
      <c r="E790" s="1"/>
      <c r="F790" s="1"/>
      <c r="G790" s="1"/>
      <c r="H790" s="1"/>
      <c r="I790" s="61"/>
      <c r="J790" s="1"/>
      <c r="K790" s="1"/>
    </row>
    <row r="791" spans="1:11" ht="15.75" customHeight="1">
      <c r="A791" s="2"/>
      <c r="B791" s="1"/>
      <c r="C791" s="1"/>
      <c r="D791" s="1"/>
      <c r="E791" s="1"/>
      <c r="F791" s="1"/>
      <c r="G791" s="1"/>
      <c r="H791" s="1"/>
      <c r="I791" s="61"/>
      <c r="J791" s="1"/>
      <c r="K791" s="1"/>
    </row>
    <row r="792" spans="1:11" ht="15.75" customHeight="1">
      <c r="A792" s="2"/>
      <c r="B792" s="1"/>
      <c r="C792" s="1"/>
      <c r="D792" s="1"/>
      <c r="E792" s="1"/>
      <c r="F792" s="1"/>
      <c r="G792" s="1"/>
      <c r="H792" s="1"/>
      <c r="I792" s="61"/>
      <c r="J792" s="1"/>
      <c r="K792" s="1"/>
    </row>
    <row r="793" spans="1:11" ht="15.75" customHeight="1">
      <c r="A793" s="2"/>
      <c r="B793" s="1"/>
      <c r="C793" s="1"/>
      <c r="D793" s="1"/>
      <c r="E793" s="1"/>
      <c r="F793" s="1"/>
      <c r="G793" s="1"/>
      <c r="H793" s="1"/>
      <c r="I793" s="61"/>
      <c r="J793" s="1"/>
      <c r="K793" s="1"/>
    </row>
    <row r="794" spans="1:11" ht="15.75" customHeight="1">
      <c r="A794" s="2"/>
      <c r="B794" s="1"/>
      <c r="C794" s="1"/>
      <c r="D794" s="1"/>
      <c r="E794" s="1"/>
      <c r="F794" s="1"/>
      <c r="G794" s="1"/>
      <c r="H794" s="1"/>
      <c r="I794" s="61"/>
      <c r="J794" s="1"/>
      <c r="K794" s="1"/>
    </row>
    <row r="795" spans="1:11" ht="15.75" customHeight="1">
      <c r="A795" s="2"/>
      <c r="B795" s="1"/>
      <c r="C795" s="1"/>
      <c r="D795" s="1"/>
      <c r="E795" s="1"/>
      <c r="F795" s="1"/>
      <c r="G795" s="1"/>
      <c r="H795" s="1"/>
      <c r="I795" s="61"/>
      <c r="J795" s="1"/>
      <c r="K795" s="1"/>
    </row>
    <row r="796" spans="1:11" ht="15.75" customHeight="1">
      <c r="A796" s="2"/>
      <c r="B796" s="1"/>
      <c r="C796" s="1"/>
      <c r="D796" s="1"/>
      <c r="E796" s="1"/>
      <c r="F796" s="1"/>
      <c r="G796" s="1"/>
      <c r="H796" s="1"/>
      <c r="I796" s="61"/>
      <c r="J796" s="1"/>
      <c r="K796" s="1"/>
    </row>
    <row r="797" spans="1:11" ht="15.75" customHeight="1">
      <c r="A797" s="2"/>
      <c r="B797" s="1"/>
      <c r="C797" s="1"/>
      <c r="D797" s="1"/>
      <c r="E797" s="1"/>
      <c r="F797" s="1"/>
      <c r="G797" s="1"/>
      <c r="H797" s="1"/>
      <c r="I797" s="61"/>
      <c r="J797" s="1"/>
      <c r="K797" s="1"/>
    </row>
    <row r="798" spans="1:11" ht="15.75" customHeight="1">
      <c r="A798" s="2"/>
      <c r="B798" s="1"/>
      <c r="C798" s="1"/>
      <c r="D798" s="1"/>
      <c r="E798" s="1"/>
      <c r="F798" s="1"/>
      <c r="G798" s="1"/>
      <c r="H798" s="1"/>
      <c r="I798" s="61"/>
      <c r="J798" s="1"/>
      <c r="K798" s="1"/>
    </row>
    <row r="799" spans="1:11" ht="15.75" customHeight="1">
      <c r="A799" s="2"/>
      <c r="B799" s="1"/>
      <c r="C799" s="1"/>
      <c r="D799" s="1"/>
      <c r="E799" s="1"/>
      <c r="F799" s="1"/>
      <c r="G799" s="1"/>
      <c r="H799" s="1"/>
      <c r="I799" s="61"/>
      <c r="J799" s="1"/>
      <c r="K799" s="1"/>
    </row>
    <row r="800" spans="1:11" ht="15.75" customHeight="1">
      <c r="A800" s="2"/>
      <c r="B800" s="1"/>
      <c r="C800" s="1"/>
      <c r="D800" s="1"/>
      <c r="E800" s="1"/>
      <c r="F800" s="1"/>
      <c r="G800" s="1"/>
      <c r="H800" s="1"/>
      <c r="I800" s="61"/>
      <c r="J800" s="1"/>
      <c r="K800" s="1"/>
    </row>
    <row r="801" spans="1:11" ht="15.75" customHeight="1">
      <c r="A801" s="2"/>
      <c r="B801" s="1"/>
      <c r="C801" s="1"/>
      <c r="D801" s="1"/>
      <c r="E801" s="1"/>
      <c r="F801" s="1"/>
      <c r="G801" s="1"/>
      <c r="H801" s="1"/>
      <c r="I801" s="61"/>
      <c r="J801" s="1"/>
      <c r="K801" s="1"/>
    </row>
    <row r="802" spans="1:11" ht="15.75" customHeight="1">
      <c r="A802" s="2"/>
      <c r="B802" s="1"/>
      <c r="C802" s="1"/>
      <c r="D802" s="1"/>
      <c r="E802" s="1"/>
      <c r="F802" s="1"/>
      <c r="G802" s="1"/>
      <c r="H802" s="1"/>
      <c r="I802" s="61"/>
      <c r="J802" s="1"/>
      <c r="K802" s="1"/>
    </row>
    <row r="803" spans="1:11" ht="15.75" customHeight="1">
      <c r="A803" s="2"/>
      <c r="B803" s="1"/>
      <c r="C803" s="1"/>
      <c r="D803" s="1"/>
      <c r="E803" s="1"/>
      <c r="F803" s="1"/>
      <c r="G803" s="1"/>
      <c r="H803" s="1"/>
      <c r="I803" s="61"/>
      <c r="J803" s="1"/>
      <c r="K803" s="1"/>
    </row>
    <row r="804" spans="1:11" ht="15.75" customHeight="1">
      <c r="A804" s="2"/>
      <c r="B804" s="1"/>
      <c r="C804" s="1"/>
      <c r="D804" s="1"/>
      <c r="E804" s="1"/>
      <c r="F804" s="1"/>
      <c r="G804" s="1"/>
      <c r="H804" s="1"/>
      <c r="I804" s="61"/>
      <c r="J804" s="1"/>
      <c r="K804" s="1"/>
    </row>
    <row r="805" spans="1:11" ht="15.75" customHeight="1">
      <c r="A805" s="2"/>
      <c r="B805" s="1"/>
      <c r="C805" s="1"/>
      <c r="D805" s="1"/>
      <c r="E805" s="1"/>
      <c r="F805" s="1"/>
      <c r="G805" s="1"/>
      <c r="H805" s="1"/>
      <c r="I805" s="61"/>
      <c r="J805" s="1"/>
      <c r="K805" s="1"/>
    </row>
    <row r="806" spans="1:11" ht="15.75" customHeight="1">
      <c r="A806" s="2"/>
      <c r="B806" s="1"/>
      <c r="C806" s="1"/>
      <c r="D806" s="1"/>
      <c r="E806" s="1"/>
      <c r="F806" s="1"/>
      <c r="G806" s="1"/>
      <c r="H806" s="1"/>
      <c r="I806" s="61"/>
      <c r="J806" s="1"/>
      <c r="K806" s="1"/>
    </row>
    <row r="807" spans="1:11" ht="15.75" customHeight="1">
      <c r="A807" s="2"/>
      <c r="B807" s="1"/>
      <c r="C807" s="1"/>
      <c r="D807" s="1"/>
      <c r="E807" s="1"/>
      <c r="F807" s="1"/>
      <c r="G807" s="1"/>
      <c r="H807" s="1"/>
      <c r="I807" s="61"/>
      <c r="J807" s="1"/>
      <c r="K807" s="1"/>
    </row>
    <row r="808" spans="1:11" ht="15.75" customHeight="1">
      <c r="A808" s="2"/>
      <c r="B808" s="1"/>
      <c r="C808" s="1"/>
      <c r="D808" s="1"/>
      <c r="E808" s="1"/>
      <c r="F808" s="1"/>
      <c r="G808" s="1"/>
      <c r="H808" s="1"/>
      <c r="I808" s="61"/>
      <c r="J808" s="1"/>
      <c r="K808" s="1"/>
    </row>
    <row r="809" spans="1:11" ht="15.75" customHeight="1">
      <c r="A809" s="2"/>
      <c r="B809" s="1"/>
      <c r="C809" s="1"/>
      <c r="D809" s="1"/>
      <c r="E809" s="1"/>
      <c r="F809" s="1"/>
      <c r="G809" s="1"/>
      <c r="H809" s="1"/>
      <c r="I809" s="61"/>
      <c r="J809" s="1"/>
      <c r="K809" s="1"/>
    </row>
    <row r="810" spans="1:11" ht="15.75" customHeight="1">
      <c r="A810" s="2"/>
      <c r="B810" s="1"/>
      <c r="C810" s="1"/>
      <c r="D810" s="1"/>
      <c r="E810" s="1"/>
      <c r="F810" s="1"/>
      <c r="G810" s="1"/>
      <c r="H810" s="1"/>
      <c r="I810" s="61"/>
      <c r="J810" s="1"/>
      <c r="K810" s="1"/>
    </row>
    <row r="811" spans="1:11" ht="15.75" customHeight="1">
      <c r="A811" s="2"/>
      <c r="B811" s="1"/>
      <c r="C811" s="1"/>
      <c r="D811" s="1"/>
      <c r="E811" s="1"/>
      <c r="F811" s="1"/>
      <c r="G811" s="1"/>
      <c r="H811" s="1"/>
      <c r="I811" s="61"/>
      <c r="J811" s="1"/>
      <c r="K811" s="1"/>
    </row>
    <row r="812" spans="1:11" ht="15.75" customHeight="1">
      <c r="A812" s="2"/>
      <c r="B812" s="1"/>
      <c r="C812" s="1"/>
      <c r="D812" s="1"/>
      <c r="E812" s="1"/>
      <c r="F812" s="1"/>
      <c r="G812" s="1"/>
      <c r="H812" s="1"/>
      <c r="I812" s="61"/>
      <c r="J812" s="1"/>
      <c r="K812" s="1"/>
    </row>
    <row r="813" spans="1:11" ht="15.75" customHeight="1">
      <c r="A813" s="2"/>
      <c r="B813" s="1"/>
      <c r="C813" s="1"/>
      <c r="D813" s="1"/>
      <c r="E813" s="1"/>
      <c r="F813" s="1"/>
      <c r="G813" s="1"/>
      <c r="H813" s="1"/>
      <c r="I813" s="61"/>
      <c r="J813" s="1"/>
      <c r="K813" s="1"/>
    </row>
    <row r="814" spans="1:11" ht="15.75" customHeight="1">
      <c r="A814" s="2"/>
      <c r="B814" s="1"/>
      <c r="C814" s="1"/>
      <c r="D814" s="1"/>
      <c r="E814" s="1"/>
      <c r="F814" s="1"/>
      <c r="G814" s="1"/>
      <c r="H814" s="1"/>
      <c r="I814" s="61"/>
      <c r="J814" s="1"/>
      <c r="K814" s="1"/>
    </row>
    <row r="815" spans="1:11" ht="15.75" customHeight="1">
      <c r="A815" s="2"/>
      <c r="B815" s="1"/>
      <c r="C815" s="1"/>
      <c r="D815" s="1"/>
      <c r="E815" s="1"/>
      <c r="F815" s="1"/>
      <c r="G815" s="1"/>
      <c r="H815" s="1"/>
      <c r="I815" s="61"/>
      <c r="J815" s="1"/>
      <c r="K815" s="1"/>
    </row>
    <row r="816" spans="1:11" ht="15.75" customHeight="1">
      <c r="A816" s="2"/>
      <c r="B816" s="1"/>
      <c r="C816" s="1"/>
      <c r="D816" s="1"/>
      <c r="E816" s="1"/>
      <c r="F816" s="1"/>
      <c r="G816" s="1"/>
      <c r="H816" s="1"/>
      <c r="I816" s="61"/>
      <c r="J816" s="1"/>
      <c r="K816" s="1"/>
    </row>
    <row r="817" spans="1:11" ht="15.75" customHeight="1">
      <c r="A817" s="2"/>
      <c r="B817" s="1"/>
      <c r="C817" s="1"/>
      <c r="D817" s="1"/>
      <c r="E817" s="1"/>
      <c r="F817" s="1"/>
      <c r="G817" s="1"/>
      <c r="H817" s="1"/>
      <c r="I817" s="61"/>
      <c r="J817" s="1"/>
      <c r="K817" s="1"/>
    </row>
    <row r="818" spans="1:11" ht="15.75" customHeight="1">
      <c r="A818" s="2"/>
      <c r="B818" s="1"/>
      <c r="C818" s="1"/>
      <c r="D818" s="1"/>
      <c r="E818" s="1"/>
      <c r="F818" s="1"/>
      <c r="G818" s="1"/>
      <c r="H818" s="1"/>
      <c r="I818" s="61"/>
      <c r="J818" s="1"/>
      <c r="K818" s="1"/>
    </row>
    <row r="819" spans="1:11" ht="15.75" customHeight="1">
      <c r="A819" s="2"/>
      <c r="B819" s="1"/>
      <c r="C819" s="1"/>
      <c r="D819" s="1"/>
      <c r="E819" s="1"/>
      <c r="F819" s="1"/>
      <c r="G819" s="1"/>
      <c r="H819" s="1"/>
      <c r="I819" s="61"/>
      <c r="J819" s="1"/>
      <c r="K819" s="1"/>
    </row>
    <row r="820" spans="1:11" ht="15.75" customHeight="1">
      <c r="A820" s="2"/>
      <c r="B820" s="1"/>
      <c r="C820" s="1"/>
      <c r="D820" s="1"/>
      <c r="E820" s="1"/>
      <c r="F820" s="1"/>
      <c r="G820" s="1"/>
      <c r="H820" s="1"/>
      <c r="I820" s="61"/>
      <c r="J820" s="1"/>
      <c r="K820" s="1"/>
    </row>
    <row r="821" spans="1:11" ht="15.75" customHeight="1">
      <c r="A821" s="2"/>
      <c r="B821" s="1"/>
      <c r="C821" s="1"/>
      <c r="D821" s="1"/>
      <c r="E821" s="1"/>
      <c r="F821" s="1"/>
      <c r="G821" s="1"/>
      <c r="H821" s="1"/>
      <c r="I821" s="61"/>
      <c r="J821" s="1"/>
      <c r="K821" s="1"/>
    </row>
    <row r="822" spans="1:11" ht="15.75" customHeight="1">
      <c r="A822" s="2"/>
      <c r="B822" s="1"/>
      <c r="C822" s="1"/>
      <c r="D822" s="1"/>
      <c r="E822" s="1"/>
      <c r="F822" s="1"/>
      <c r="G822" s="1"/>
      <c r="H822" s="1"/>
      <c r="I822" s="61"/>
      <c r="J822" s="1"/>
      <c r="K822" s="1"/>
    </row>
    <row r="823" spans="1:11" ht="15.75" customHeight="1">
      <c r="A823" s="2"/>
      <c r="B823" s="1"/>
      <c r="C823" s="1"/>
      <c r="D823" s="1"/>
      <c r="E823" s="1"/>
      <c r="F823" s="1"/>
      <c r="G823" s="1"/>
      <c r="H823" s="1"/>
      <c r="I823" s="61"/>
      <c r="J823" s="1"/>
      <c r="K823" s="1"/>
    </row>
    <row r="824" spans="1:11" ht="15.75" customHeight="1">
      <c r="A824" s="2"/>
      <c r="B824" s="1"/>
      <c r="C824" s="1"/>
      <c r="D824" s="1"/>
      <c r="E824" s="1"/>
      <c r="F824" s="1"/>
      <c r="G824" s="1"/>
      <c r="H824" s="1"/>
      <c r="I824" s="61"/>
      <c r="J824" s="1"/>
      <c r="K824" s="1"/>
    </row>
    <row r="825" spans="1:11" ht="15.75" customHeight="1">
      <c r="A825" s="2"/>
      <c r="B825" s="1"/>
      <c r="C825" s="1"/>
      <c r="D825" s="1"/>
      <c r="E825" s="1"/>
      <c r="F825" s="1"/>
      <c r="G825" s="1"/>
      <c r="H825" s="1"/>
      <c r="I825" s="61"/>
      <c r="J825" s="1"/>
      <c r="K825" s="1"/>
    </row>
    <row r="826" spans="1:11" ht="15.75" customHeight="1">
      <c r="A826" s="2"/>
      <c r="B826" s="1"/>
      <c r="C826" s="1"/>
      <c r="D826" s="1"/>
      <c r="E826" s="1"/>
      <c r="F826" s="1"/>
      <c r="G826" s="1"/>
      <c r="H826" s="1"/>
      <c r="I826" s="61"/>
      <c r="J826" s="1"/>
      <c r="K826" s="1"/>
    </row>
    <row r="827" spans="1:11" ht="15.75" customHeight="1">
      <c r="A827" s="2"/>
      <c r="B827" s="1"/>
      <c r="C827" s="1"/>
      <c r="D827" s="1"/>
      <c r="E827" s="1"/>
      <c r="F827" s="1"/>
      <c r="G827" s="1"/>
      <c r="H827" s="1"/>
      <c r="I827" s="61"/>
      <c r="J827" s="1"/>
      <c r="K827" s="1"/>
    </row>
    <row r="828" spans="1:11" ht="15.75" customHeight="1">
      <c r="A828" s="2"/>
      <c r="B828" s="1"/>
      <c r="C828" s="1"/>
      <c r="D828" s="1"/>
      <c r="E828" s="1"/>
      <c r="F828" s="1"/>
      <c r="G828" s="1"/>
      <c r="H828" s="1"/>
      <c r="I828" s="61"/>
      <c r="J828" s="1"/>
      <c r="K828" s="1"/>
    </row>
    <row r="829" spans="1:11" ht="15.75" customHeight="1">
      <c r="A829" s="2"/>
      <c r="B829" s="1"/>
      <c r="C829" s="1"/>
      <c r="D829" s="1"/>
      <c r="E829" s="1"/>
      <c r="F829" s="1"/>
      <c r="G829" s="1"/>
      <c r="H829" s="1"/>
      <c r="I829" s="61"/>
      <c r="J829" s="1"/>
      <c r="K829" s="1"/>
    </row>
    <row r="830" spans="1:11" ht="15.75" customHeight="1">
      <c r="A830" s="2"/>
      <c r="B830" s="1"/>
      <c r="C830" s="1"/>
      <c r="D830" s="1"/>
      <c r="E830" s="1"/>
      <c r="F830" s="1"/>
      <c r="G830" s="1"/>
      <c r="H830" s="1"/>
      <c r="I830" s="61"/>
      <c r="J830" s="1"/>
      <c r="K830" s="1"/>
    </row>
    <row r="831" spans="1:11" ht="15.75" customHeight="1">
      <c r="A831" s="2"/>
      <c r="B831" s="1"/>
      <c r="C831" s="1"/>
      <c r="D831" s="1"/>
      <c r="E831" s="1"/>
      <c r="F831" s="1"/>
      <c r="G831" s="1"/>
      <c r="H831" s="1"/>
      <c r="I831" s="61"/>
      <c r="J831" s="1"/>
      <c r="K831" s="1"/>
    </row>
    <row r="832" spans="1:11" ht="15.75" customHeight="1">
      <c r="A832" s="2"/>
      <c r="B832" s="1"/>
      <c r="C832" s="1"/>
      <c r="D832" s="1"/>
      <c r="E832" s="1"/>
      <c r="F832" s="1"/>
      <c r="G832" s="1"/>
      <c r="H832" s="1"/>
      <c r="I832" s="61"/>
      <c r="J832" s="1"/>
      <c r="K832" s="1"/>
    </row>
    <row r="833" spans="1:11" ht="15.75" customHeight="1">
      <c r="A833" s="2"/>
      <c r="B833" s="1"/>
      <c r="C833" s="1"/>
      <c r="D833" s="1"/>
      <c r="E833" s="1"/>
      <c r="F833" s="1"/>
      <c r="G833" s="1"/>
      <c r="H833" s="1"/>
      <c r="I833" s="61"/>
      <c r="J833" s="1"/>
      <c r="K833" s="1"/>
    </row>
    <row r="834" spans="1:11" ht="15.75" customHeight="1">
      <c r="A834" s="2"/>
      <c r="B834" s="1"/>
      <c r="C834" s="1"/>
      <c r="D834" s="1"/>
      <c r="E834" s="1"/>
      <c r="F834" s="1"/>
      <c r="G834" s="1"/>
      <c r="H834" s="1"/>
      <c r="I834" s="61"/>
      <c r="J834" s="1"/>
      <c r="K834" s="1"/>
    </row>
    <row r="835" spans="1:11" ht="15.75" customHeight="1">
      <c r="A835" s="2"/>
      <c r="B835" s="1"/>
      <c r="C835" s="1"/>
      <c r="D835" s="1"/>
      <c r="E835" s="1"/>
      <c r="F835" s="1"/>
      <c r="G835" s="1"/>
      <c r="H835" s="1"/>
      <c r="I835" s="61"/>
      <c r="J835" s="1"/>
      <c r="K835" s="1"/>
    </row>
    <row r="836" spans="1:11" ht="15.75" customHeight="1">
      <c r="A836" s="2"/>
      <c r="B836" s="1"/>
      <c r="C836" s="1"/>
      <c r="D836" s="1"/>
      <c r="E836" s="1"/>
      <c r="F836" s="1"/>
      <c r="G836" s="1"/>
      <c r="H836" s="1"/>
      <c r="I836" s="61"/>
      <c r="J836" s="1"/>
      <c r="K836" s="1"/>
    </row>
    <row r="837" spans="1:11" ht="15.75" customHeight="1">
      <c r="A837" s="2"/>
      <c r="B837" s="1"/>
      <c r="C837" s="1"/>
      <c r="D837" s="1"/>
      <c r="E837" s="1"/>
      <c r="F837" s="1"/>
      <c r="G837" s="1"/>
      <c r="H837" s="1"/>
      <c r="I837" s="61"/>
      <c r="J837" s="1"/>
      <c r="K837" s="1"/>
    </row>
    <row r="838" spans="1:11" ht="15.75" customHeight="1">
      <c r="A838" s="2"/>
      <c r="B838" s="1"/>
      <c r="C838" s="1"/>
      <c r="D838" s="1"/>
      <c r="E838" s="1"/>
      <c r="F838" s="1"/>
      <c r="G838" s="1"/>
      <c r="H838" s="1"/>
      <c r="I838" s="61"/>
      <c r="J838" s="1"/>
      <c r="K838" s="1"/>
    </row>
    <row r="839" spans="1:11" ht="15.75" customHeight="1">
      <c r="A839" s="2"/>
      <c r="B839" s="1"/>
      <c r="C839" s="1"/>
      <c r="D839" s="1"/>
      <c r="E839" s="1"/>
      <c r="F839" s="1"/>
      <c r="G839" s="1"/>
      <c r="H839" s="1"/>
      <c r="I839" s="61"/>
      <c r="J839" s="1"/>
      <c r="K839" s="1"/>
    </row>
    <row r="840" spans="1:11" ht="15.75" customHeight="1">
      <c r="A840" s="2"/>
      <c r="B840" s="1"/>
      <c r="C840" s="1"/>
      <c r="D840" s="1"/>
      <c r="E840" s="1"/>
      <c r="F840" s="1"/>
      <c r="G840" s="1"/>
      <c r="H840" s="1"/>
      <c r="I840" s="61"/>
      <c r="J840" s="1"/>
      <c r="K840" s="1"/>
    </row>
    <row r="841" spans="1:11" ht="15.75" customHeight="1">
      <c r="A841" s="2"/>
      <c r="B841" s="1"/>
      <c r="C841" s="1"/>
      <c r="D841" s="1"/>
      <c r="E841" s="1"/>
      <c r="F841" s="1"/>
      <c r="G841" s="1"/>
      <c r="H841" s="1"/>
      <c r="I841" s="61"/>
      <c r="J841" s="1"/>
      <c r="K841" s="1"/>
    </row>
    <row r="842" spans="1:11" ht="15.75" customHeight="1">
      <c r="A842" s="2"/>
      <c r="B842" s="1"/>
      <c r="C842" s="1"/>
      <c r="D842" s="1"/>
      <c r="E842" s="1"/>
      <c r="F842" s="1"/>
      <c r="G842" s="1"/>
      <c r="H842" s="1"/>
      <c r="I842" s="61"/>
      <c r="J842" s="1"/>
      <c r="K842" s="1"/>
    </row>
    <row r="843" spans="1:11" ht="15.75" customHeight="1">
      <c r="A843" s="2"/>
      <c r="B843" s="1"/>
      <c r="C843" s="1"/>
      <c r="D843" s="1"/>
      <c r="E843" s="1"/>
      <c r="F843" s="1"/>
      <c r="G843" s="1"/>
      <c r="H843" s="1"/>
      <c r="I843" s="61"/>
      <c r="J843" s="1"/>
      <c r="K843" s="1"/>
    </row>
    <row r="844" spans="1:11" ht="15.75" customHeight="1">
      <c r="A844" s="2"/>
      <c r="B844" s="1"/>
      <c r="C844" s="1"/>
      <c r="D844" s="1"/>
      <c r="E844" s="1"/>
      <c r="F844" s="1"/>
      <c r="G844" s="1"/>
      <c r="H844" s="1"/>
      <c r="I844" s="61"/>
      <c r="J844" s="1"/>
      <c r="K844" s="1"/>
    </row>
    <row r="845" spans="1:11" ht="15.75" customHeight="1">
      <c r="A845" s="2"/>
      <c r="B845" s="1"/>
      <c r="C845" s="1"/>
      <c r="D845" s="1"/>
      <c r="E845" s="1"/>
      <c r="F845" s="1"/>
      <c r="G845" s="1"/>
      <c r="H845" s="1"/>
      <c r="I845" s="61"/>
      <c r="J845" s="1"/>
      <c r="K845" s="1"/>
    </row>
    <row r="846" spans="1:11" ht="15.75" customHeight="1">
      <c r="A846" s="2"/>
      <c r="B846" s="1"/>
      <c r="C846" s="1"/>
      <c r="D846" s="1"/>
      <c r="E846" s="1"/>
      <c r="F846" s="1"/>
      <c r="G846" s="1"/>
      <c r="H846" s="1"/>
      <c r="I846" s="61"/>
      <c r="J846" s="1"/>
      <c r="K846" s="1"/>
    </row>
    <row r="847" spans="1:11" ht="15.75" customHeight="1">
      <c r="A847" s="2"/>
      <c r="B847" s="1"/>
      <c r="C847" s="1"/>
      <c r="D847" s="1"/>
      <c r="E847" s="1"/>
      <c r="F847" s="1"/>
      <c r="G847" s="1"/>
      <c r="H847" s="1"/>
      <c r="I847" s="61"/>
      <c r="J847" s="1"/>
      <c r="K847" s="1"/>
    </row>
    <row r="848" spans="1:11" ht="15.75" customHeight="1">
      <c r="A848" s="2"/>
      <c r="B848" s="1"/>
      <c r="C848" s="1"/>
      <c r="D848" s="1"/>
      <c r="E848" s="1"/>
      <c r="F848" s="1"/>
      <c r="G848" s="1"/>
      <c r="H848" s="1"/>
      <c r="I848" s="61"/>
      <c r="J848" s="1"/>
      <c r="K848" s="1"/>
    </row>
    <row r="849" spans="1:11" ht="15.75" customHeight="1">
      <c r="A849" s="2"/>
      <c r="B849" s="1"/>
      <c r="C849" s="1"/>
      <c r="D849" s="1"/>
      <c r="E849" s="1"/>
      <c r="F849" s="1"/>
      <c r="G849" s="1"/>
      <c r="H849" s="1"/>
      <c r="I849" s="61"/>
      <c r="J849" s="1"/>
      <c r="K849" s="1"/>
    </row>
    <row r="850" spans="1:11" ht="15.75" customHeight="1">
      <c r="A850" s="2"/>
      <c r="B850" s="1"/>
      <c r="C850" s="1"/>
      <c r="D850" s="1"/>
      <c r="E850" s="1"/>
      <c r="F850" s="1"/>
      <c r="G850" s="1"/>
      <c r="H850" s="1"/>
      <c r="I850" s="61"/>
      <c r="J850" s="1"/>
      <c r="K850" s="1"/>
    </row>
    <row r="851" spans="1:11" ht="15.75" customHeight="1">
      <c r="A851" s="2"/>
      <c r="B851" s="1"/>
      <c r="C851" s="1"/>
      <c r="D851" s="1"/>
      <c r="E851" s="1"/>
      <c r="F851" s="1"/>
      <c r="G851" s="1"/>
      <c r="H851" s="1"/>
      <c r="I851" s="61"/>
      <c r="J851" s="1"/>
      <c r="K851" s="1"/>
    </row>
    <row r="852" spans="1:11" ht="15.75" customHeight="1">
      <c r="A852" s="2"/>
      <c r="B852" s="1"/>
      <c r="C852" s="1"/>
      <c r="D852" s="1"/>
      <c r="E852" s="1"/>
      <c r="F852" s="1"/>
      <c r="G852" s="1"/>
      <c r="H852" s="1"/>
      <c r="I852" s="61"/>
      <c r="J852" s="1"/>
      <c r="K852" s="1"/>
    </row>
    <row r="853" spans="1:11" ht="15.75" customHeight="1">
      <c r="A853" s="2"/>
      <c r="B853" s="1"/>
      <c r="C853" s="1"/>
      <c r="D853" s="1"/>
      <c r="E853" s="1"/>
      <c r="F853" s="1"/>
      <c r="G853" s="1"/>
      <c r="H853" s="1"/>
      <c r="I853" s="61"/>
      <c r="J853" s="1"/>
      <c r="K853" s="1"/>
    </row>
    <row r="854" spans="1:11" ht="15.75" customHeight="1">
      <c r="A854" s="2"/>
      <c r="B854" s="1"/>
      <c r="C854" s="1"/>
      <c r="D854" s="1"/>
      <c r="E854" s="1"/>
      <c r="F854" s="1"/>
      <c r="G854" s="1"/>
      <c r="H854" s="1"/>
      <c r="I854" s="61"/>
      <c r="J854" s="1"/>
      <c r="K854" s="1"/>
    </row>
    <row r="855" spans="1:11" ht="15.75" customHeight="1">
      <c r="A855" s="2"/>
      <c r="B855" s="1"/>
      <c r="C855" s="1"/>
      <c r="D855" s="1"/>
      <c r="E855" s="1"/>
      <c r="F855" s="1"/>
      <c r="G855" s="1"/>
      <c r="H855" s="1"/>
      <c r="I855" s="61"/>
      <c r="J855" s="1"/>
      <c r="K855" s="1"/>
    </row>
    <row r="856" spans="1:11" ht="15.75" customHeight="1">
      <c r="A856" s="2"/>
      <c r="B856" s="1"/>
      <c r="C856" s="1"/>
      <c r="D856" s="1"/>
      <c r="E856" s="1"/>
      <c r="F856" s="1"/>
      <c r="G856" s="1"/>
      <c r="H856" s="1"/>
      <c r="I856" s="61"/>
      <c r="J856" s="1"/>
      <c r="K856" s="1"/>
    </row>
    <row r="857" spans="1:11" ht="15.75" customHeight="1">
      <c r="A857" s="2"/>
      <c r="B857" s="1"/>
      <c r="C857" s="1"/>
      <c r="D857" s="1"/>
      <c r="E857" s="1"/>
      <c r="F857" s="1"/>
      <c r="G857" s="1"/>
      <c r="H857" s="1"/>
      <c r="I857" s="61"/>
      <c r="J857" s="1"/>
      <c r="K857" s="1"/>
    </row>
    <row r="858" spans="1:11" ht="15.75" customHeight="1">
      <c r="A858" s="2"/>
      <c r="B858" s="1"/>
      <c r="C858" s="1"/>
      <c r="D858" s="1"/>
      <c r="E858" s="1"/>
      <c r="F858" s="1"/>
      <c r="G858" s="1"/>
      <c r="H858" s="1"/>
      <c r="I858" s="61"/>
      <c r="J858" s="1"/>
      <c r="K858" s="1"/>
    </row>
    <row r="859" spans="1:11" ht="15.75" customHeight="1">
      <c r="A859" s="2"/>
      <c r="B859" s="1"/>
      <c r="C859" s="1"/>
      <c r="D859" s="1"/>
      <c r="E859" s="1"/>
      <c r="F859" s="1"/>
      <c r="G859" s="1"/>
      <c r="H859" s="1"/>
      <c r="I859" s="61"/>
      <c r="J859" s="1"/>
      <c r="K859" s="1"/>
    </row>
    <row r="860" spans="1:11" ht="15.75" customHeight="1">
      <c r="A860" s="2"/>
      <c r="B860" s="1"/>
      <c r="C860" s="1"/>
      <c r="D860" s="1"/>
      <c r="E860" s="1"/>
      <c r="F860" s="1"/>
      <c r="G860" s="1"/>
      <c r="H860" s="1"/>
      <c r="I860" s="61"/>
      <c r="J860" s="1"/>
      <c r="K860" s="1"/>
    </row>
    <row r="861" spans="1:11" ht="15.75" customHeight="1">
      <c r="A861" s="2"/>
      <c r="B861" s="1"/>
      <c r="C861" s="1"/>
      <c r="D861" s="1"/>
      <c r="E861" s="1"/>
      <c r="F861" s="1"/>
      <c r="G861" s="1"/>
      <c r="H861" s="1"/>
      <c r="I861" s="61"/>
      <c r="J861" s="1"/>
      <c r="K861" s="1"/>
    </row>
    <row r="862" spans="1:11" ht="15.75" customHeight="1">
      <c r="A862" s="2"/>
      <c r="B862" s="1"/>
      <c r="C862" s="1"/>
      <c r="D862" s="1"/>
      <c r="E862" s="1"/>
      <c r="F862" s="1"/>
      <c r="G862" s="1"/>
      <c r="H862" s="1"/>
      <c r="I862" s="61"/>
      <c r="J862" s="1"/>
      <c r="K862" s="1"/>
    </row>
    <row r="863" spans="1:11" ht="15.75" customHeight="1">
      <c r="A863" s="2"/>
      <c r="B863" s="1"/>
      <c r="C863" s="1"/>
      <c r="D863" s="1"/>
      <c r="E863" s="1"/>
      <c r="F863" s="1"/>
      <c r="G863" s="1"/>
      <c r="H863" s="1"/>
      <c r="I863" s="61"/>
      <c r="J863" s="1"/>
      <c r="K863" s="1"/>
    </row>
    <row r="864" spans="1:11" ht="15.75" customHeight="1">
      <c r="A864" s="2"/>
      <c r="B864" s="1"/>
      <c r="C864" s="1"/>
      <c r="D864" s="1"/>
      <c r="E864" s="1"/>
      <c r="F864" s="1"/>
      <c r="G864" s="1"/>
      <c r="H864" s="1"/>
      <c r="I864" s="61"/>
      <c r="J864" s="1"/>
      <c r="K864" s="1"/>
    </row>
    <row r="865" spans="1:11" ht="15.75" customHeight="1">
      <c r="A865" s="2"/>
      <c r="B865" s="1"/>
      <c r="C865" s="1"/>
      <c r="D865" s="1"/>
      <c r="E865" s="1"/>
      <c r="F865" s="1"/>
      <c r="G865" s="1"/>
      <c r="H865" s="1"/>
      <c r="I865" s="61"/>
      <c r="J865" s="1"/>
      <c r="K865" s="1"/>
    </row>
    <row r="866" spans="1:11" ht="15.75" customHeight="1">
      <c r="A866" s="2"/>
      <c r="B866" s="1"/>
      <c r="C866" s="1"/>
      <c r="D866" s="1"/>
      <c r="E866" s="1"/>
      <c r="F866" s="1"/>
      <c r="G866" s="1"/>
      <c r="H866" s="1"/>
      <c r="I866" s="61"/>
      <c r="J866" s="1"/>
      <c r="K866" s="1"/>
    </row>
    <row r="867" spans="1:11" ht="15.75" customHeight="1">
      <c r="A867" s="2"/>
      <c r="B867" s="1"/>
      <c r="C867" s="1"/>
      <c r="D867" s="1"/>
      <c r="E867" s="1"/>
      <c r="F867" s="1"/>
      <c r="G867" s="1"/>
      <c r="H867" s="1"/>
      <c r="I867" s="61"/>
      <c r="J867" s="1"/>
      <c r="K867" s="1"/>
    </row>
    <row r="868" spans="1:11" ht="15.75" customHeight="1">
      <c r="A868" s="2"/>
      <c r="B868" s="1"/>
      <c r="C868" s="1"/>
      <c r="D868" s="1"/>
      <c r="E868" s="1"/>
      <c r="F868" s="1"/>
      <c r="G868" s="1"/>
      <c r="H868" s="1"/>
      <c r="I868" s="61"/>
      <c r="J868" s="1"/>
      <c r="K868" s="1"/>
    </row>
    <row r="869" spans="1:11" ht="15.75" customHeight="1">
      <c r="A869" s="2"/>
      <c r="B869" s="1"/>
      <c r="C869" s="1"/>
      <c r="D869" s="1"/>
      <c r="E869" s="1"/>
      <c r="F869" s="1"/>
      <c r="G869" s="1"/>
      <c r="H869" s="1"/>
      <c r="I869" s="61"/>
      <c r="J869" s="1"/>
      <c r="K869" s="1"/>
    </row>
    <row r="870" spans="1:11" ht="15.75" customHeight="1">
      <c r="A870" s="2"/>
      <c r="B870" s="1"/>
      <c r="C870" s="1"/>
      <c r="D870" s="1"/>
      <c r="E870" s="1"/>
      <c r="F870" s="1"/>
      <c r="G870" s="1"/>
      <c r="H870" s="1"/>
      <c r="I870" s="61"/>
      <c r="J870" s="1"/>
      <c r="K870" s="1"/>
    </row>
    <row r="871" spans="1:11" ht="15.75" customHeight="1">
      <c r="A871" s="2"/>
      <c r="B871" s="1"/>
      <c r="C871" s="1"/>
      <c r="D871" s="1"/>
      <c r="E871" s="1"/>
      <c r="F871" s="1"/>
      <c r="G871" s="1"/>
      <c r="H871" s="1"/>
      <c r="I871" s="61"/>
      <c r="J871" s="1"/>
      <c r="K871" s="1"/>
    </row>
    <row r="872" spans="1:11" ht="15.75" customHeight="1">
      <c r="A872" s="2"/>
      <c r="B872" s="1"/>
      <c r="C872" s="1"/>
      <c r="D872" s="1"/>
      <c r="E872" s="1"/>
      <c r="F872" s="1"/>
      <c r="G872" s="1"/>
      <c r="H872" s="1"/>
      <c r="I872" s="61"/>
      <c r="J872" s="1"/>
      <c r="K872" s="1"/>
    </row>
    <row r="873" spans="1:11" ht="15.75" customHeight="1">
      <c r="A873" s="2"/>
      <c r="B873" s="1"/>
      <c r="C873" s="1"/>
      <c r="D873" s="1"/>
      <c r="E873" s="1"/>
      <c r="F873" s="1"/>
      <c r="G873" s="1"/>
      <c r="H873" s="1"/>
      <c r="I873" s="61"/>
      <c r="J873" s="1"/>
      <c r="K873" s="1"/>
    </row>
    <row r="874" spans="1:11" ht="15.75" customHeight="1">
      <c r="A874" s="2"/>
      <c r="B874" s="1"/>
      <c r="C874" s="1"/>
      <c r="D874" s="1"/>
      <c r="E874" s="1"/>
      <c r="F874" s="1"/>
      <c r="G874" s="1"/>
      <c r="H874" s="1"/>
      <c r="I874" s="61"/>
      <c r="J874" s="1"/>
      <c r="K874" s="1"/>
    </row>
    <row r="875" spans="1:11" ht="15.75" customHeight="1">
      <c r="A875" s="2"/>
      <c r="B875" s="1"/>
      <c r="C875" s="1"/>
      <c r="D875" s="1"/>
      <c r="E875" s="1"/>
      <c r="F875" s="1"/>
      <c r="G875" s="1"/>
      <c r="H875" s="1"/>
      <c r="I875" s="61"/>
      <c r="J875" s="1"/>
      <c r="K875" s="1"/>
    </row>
    <row r="876" spans="1:11" ht="15.75" customHeight="1">
      <c r="A876" s="2"/>
      <c r="B876" s="1"/>
      <c r="C876" s="1"/>
      <c r="D876" s="1"/>
      <c r="E876" s="1"/>
      <c r="F876" s="1"/>
      <c r="G876" s="1"/>
      <c r="H876" s="1"/>
      <c r="I876" s="61"/>
      <c r="J876" s="1"/>
      <c r="K876" s="1"/>
    </row>
    <row r="877" spans="1:11" ht="15.75" customHeight="1">
      <c r="A877" s="2"/>
      <c r="B877" s="1"/>
      <c r="C877" s="1"/>
      <c r="D877" s="1"/>
      <c r="E877" s="1"/>
      <c r="F877" s="1"/>
      <c r="G877" s="1"/>
      <c r="H877" s="1"/>
      <c r="I877" s="61"/>
      <c r="J877" s="1"/>
      <c r="K877" s="1"/>
    </row>
    <row r="878" spans="1:11" ht="15.75" customHeight="1">
      <c r="A878" s="2"/>
      <c r="B878" s="1"/>
      <c r="C878" s="1"/>
      <c r="D878" s="1"/>
      <c r="E878" s="1"/>
      <c r="F878" s="1"/>
      <c r="G878" s="1"/>
      <c r="H878" s="1"/>
      <c r="I878" s="61"/>
      <c r="J878" s="1"/>
      <c r="K878" s="1"/>
    </row>
    <row r="879" spans="1:11" ht="15.75" customHeight="1">
      <c r="A879" s="2"/>
      <c r="B879" s="1"/>
      <c r="C879" s="1"/>
      <c r="D879" s="1"/>
      <c r="E879" s="1"/>
      <c r="F879" s="1"/>
      <c r="G879" s="1"/>
      <c r="H879" s="1"/>
      <c r="I879" s="61"/>
      <c r="J879" s="1"/>
      <c r="K879" s="1"/>
    </row>
    <row r="880" spans="1:11" ht="15.75" customHeight="1">
      <c r="A880" s="2"/>
      <c r="B880" s="1"/>
      <c r="C880" s="1"/>
      <c r="D880" s="1"/>
      <c r="E880" s="1"/>
      <c r="F880" s="1"/>
      <c r="G880" s="1"/>
      <c r="H880" s="1"/>
      <c r="I880" s="61"/>
      <c r="J880" s="1"/>
      <c r="K880" s="1"/>
    </row>
    <row r="881" spans="1:11" ht="15.75" customHeight="1">
      <c r="A881" s="2"/>
      <c r="B881" s="1"/>
      <c r="C881" s="1"/>
      <c r="D881" s="1"/>
      <c r="E881" s="1"/>
      <c r="F881" s="1"/>
      <c r="G881" s="1"/>
      <c r="H881" s="1"/>
      <c r="I881" s="61"/>
      <c r="J881" s="1"/>
      <c r="K881" s="1"/>
    </row>
    <row r="882" spans="1:11" ht="15.75" customHeight="1">
      <c r="A882" s="2"/>
      <c r="B882" s="1"/>
      <c r="C882" s="1"/>
      <c r="D882" s="1"/>
      <c r="E882" s="1"/>
      <c r="F882" s="1"/>
      <c r="G882" s="1"/>
      <c r="H882" s="1"/>
      <c r="I882" s="61"/>
      <c r="J882" s="1"/>
      <c r="K882" s="1"/>
    </row>
    <row r="883" spans="1:11" ht="15.75" customHeight="1">
      <c r="A883" s="2"/>
      <c r="B883" s="1"/>
      <c r="C883" s="1"/>
      <c r="D883" s="1"/>
      <c r="E883" s="1"/>
      <c r="F883" s="1"/>
      <c r="G883" s="1"/>
      <c r="H883" s="1"/>
      <c r="I883" s="61"/>
      <c r="J883" s="1"/>
      <c r="K883" s="1"/>
    </row>
    <row r="884" spans="1:11" ht="15.75" customHeight="1">
      <c r="A884" s="2"/>
      <c r="B884" s="1"/>
      <c r="C884" s="1"/>
      <c r="D884" s="1"/>
      <c r="E884" s="1"/>
      <c r="F884" s="1"/>
      <c r="G884" s="1"/>
      <c r="H884" s="1"/>
      <c r="I884" s="61"/>
      <c r="J884" s="1"/>
      <c r="K884" s="1"/>
    </row>
    <row r="885" spans="1:11" ht="15.75" customHeight="1">
      <c r="A885" s="2"/>
      <c r="B885" s="1"/>
      <c r="C885" s="1"/>
      <c r="D885" s="1"/>
      <c r="E885" s="1"/>
      <c r="F885" s="1"/>
      <c r="G885" s="1"/>
      <c r="H885" s="1"/>
      <c r="I885" s="61"/>
      <c r="J885" s="1"/>
      <c r="K885" s="1"/>
    </row>
    <row r="886" spans="1:11" ht="15.75" customHeight="1">
      <c r="A886" s="2"/>
      <c r="B886" s="1"/>
      <c r="C886" s="1"/>
      <c r="D886" s="1"/>
      <c r="E886" s="1"/>
      <c r="F886" s="1"/>
      <c r="G886" s="1"/>
      <c r="H886" s="1"/>
      <c r="I886" s="61"/>
      <c r="J886" s="1"/>
      <c r="K886" s="1"/>
    </row>
    <row r="887" spans="1:11" ht="15.75" customHeight="1">
      <c r="A887" s="2"/>
      <c r="B887" s="1"/>
      <c r="C887" s="1"/>
      <c r="D887" s="1"/>
      <c r="E887" s="1"/>
      <c r="F887" s="1"/>
      <c r="G887" s="1"/>
      <c r="H887" s="1"/>
      <c r="I887" s="61"/>
      <c r="J887" s="1"/>
      <c r="K887" s="1"/>
    </row>
    <row r="888" spans="1:11" ht="15.75" customHeight="1">
      <c r="A888" s="2"/>
      <c r="B888" s="1"/>
      <c r="C888" s="1"/>
      <c r="D888" s="1"/>
      <c r="E888" s="1"/>
      <c r="F888" s="1"/>
      <c r="G888" s="1"/>
      <c r="H888" s="1"/>
      <c r="I888" s="61"/>
      <c r="J888" s="1"/>
      <c r="K888" s="1"/>
    </row>
    <row r="889" spans="1:11" ht="15.75" customHeight="1">
      <c r="A889" s="2"/>
      <c r="B889" s="1"/>
      <c r="C889" s="1"/>
      <c r="D889" s="1"/>
      <c r="E889" s="1"/>
      <c r="F889" s="1"/>
      <c r="G889" s="1"/>
      <c r="H889" s="1"/>
      <c r="I889" s="61"/>
      <c r="J889" s="1"/>
      <c r="K889" s="1"/>
    </row>
    <row r="890" spans="1:11" ht="15.75" customHeight="1">
      <c r="A890" s="2"/>
      <c r="B890" s="1"/>
      <c r="C890" s="1"/>
      <c r="D890" s="1"/>
      <c r="E890" s="1"/>
      <c r="F890" s="1"/>
      <c r="G890" s="1"/>
      <c r="H890" s="1"/>
      <c r="I890" s="61"/>
      <c r="J890" s="1"/>
      <c r="K890" s="1"/>
    </row>
    <row r="891" spans="1:11" ht="15.75" customHeight="1">
      <c r="A891" s="2"/>
      <c r="B891" s="1"/>
      <c r="C891" s="1"/>
      <c r="D891" s="1"/>
      <c r="E891" s="1"/>
      <c r="F891" s="1"/>
      <c r="G891" s="1"/>
      <c r="H891" s="1"/>
      <c r="I891" s="61"/>
      <c r="J891" s="1"/>
      <c r="K891" s="1"/>
    </row>
    <row r="892" spans="1:11" ht="15.75" customHeight="1">
      <c r="A892" s="2"/>
      <c r="B892" s="1"/>
      <c r="C892" s="1"/>
      <c r="D892" s="1"/>
      <c r="E892" s="1"/>
      <c r="F892" s="1"/>
      <c r="G892" s="1"/>
      <c r="H892" s="1"/>
      <c r="I892" s="61"/>
      <c r="J892" s="1"/>
      <c r="K892" s="1"/>
    </row>
    <row r="893" spans="1:11" ht="15.75" customHeight="1">
      <c r="A893" s="2"/>
      <c r="B893" s="1"/>
      <c r="C893" s="1"/>
      <c r="D893" s="1"/>
      <c r="E893" s="1"/>
      <c r="F893" s="1"/>
      <c r="G893" s="1"/>
      <c r="H893" s="1"/>
      <c r="I893" s="61"/>
      <c r="J893" s="1"/>
      <c r="K893" s="1"/>
    </row>
    <row r="894" spans="1:11" ht="15.75" customHeight="1">
      <c r="A894" s="2"/>
      <c r="B894" s="1"/>
      <c r="C894" s="1"/>
      <c r="D894" s="1"/>
      <c r="E894" s="1"/>
      <c r="F894" s="1"/>
      <c r="G894" s="1"/>
      <c r="H894" s="1"/>
      <c r="I894" s="61"/>
      <c r="J894" s="1"/>
      <c r="K894" s="1"/>
    </row>
    <row r="895" spans="1:11" ht="15.75" customHeight="1">
      <c r="A895" s="2"/>
      <c r="B895" s="1"/>
      <c r="C895" s="1"/>
      <c r="D895" s="1"/>
      <c r="E895" s="1"/>
      <c r="F895" s="1"/>
      <c r="G895" s="1"/>
      <c r="H895" s="1"/>
      <c r="I895" s="61"/>
      <c r="J895" s="1"/>
      <c r="K895" s="1"/>
    </row>
    <row r="896" spans="1:11" ht="15.75" customHeight="1">
      <c r="A896" s="2"/>
      <c r="B896" s="1"/>
      <c r="C896" s="1"/>
      <c r="D896" s="1"/>
      <c r="E896" s="1"/>
      <c r="F896" s="1"/>
      <c r="G896" s="1"/>
      <c r="H896" s="1"/>
      <c r="I896" s="61"/>
      <c r="J896" s="1"/>
      <c r="K896" s="1"/>
    </row>
    <row r="897" spans="1:11" ht="15.75" customHeight="1">
      <c r="A897" s="2"/>
      <c r="B897" s="1"/>
      <c r="C897" s="1"/>
      <c r="D897" s="1"/>
      <c r="E897" s="1"/>
      <c r="F897" s="1"/>
      <c r="G897" s="1"/>
      <c r="H897" s="1"/>
      <c r="I897" s="61"/>
      <c r="J897" s="1"/>
      <c r="K897" s="1"/>
    </row>
    <row r="898" spans="1:11" ht="15.75" customHeight="1">
      <c r="A898" s="2"/>
      <c r="B898" s="1"/>
      <c r="C898" s="1"/>
      <c r="D898" s="1"/>
      <c r="E898" s="1"/>
      <c r="F898" s="1"/>
      <c r="G898" s="1"/>
      <c r="H898" s="1"/>
      <c r="I898" s="61"/>
      <c r="J898" s="1"/>
      <c r="K898" s="1"/>
    </row>
    <row r="899" spans="1:11" ht="15.75" customHeight="1">
      <c r="A899" s="2"/>
      <c r="B899" s="1"/>
      <c r="C899" s="1"/>
      <c r="D899" s="1"/>
      <c r="E899" s="1"/>
      <c r="F899" s="1"/>
      <c r="G899" s="1"/>
      <c r="H899" s="1"/>
      <c r="I899" s="61"/>
      <c r="J899" s="1"/>
      <c r="K899" s="1"/>
    </row>
    <row r="900" spans="1:11" ht="15.75" customHeight="1">
      <c r="A900" s="2"/>
      <c r="B900" s="1"/>
      <c r="C900" s="1"/>
      <c r="D900" s="1"/>
      <c r="E900" s="1"/>
      <c r="F900" s="1"/>
      <c r="G900" s="1"/>
      <c r="H900" s="1"/>
      <c r="I900" s="61"/>
      <c r="J900" s="1"/>
      <c r="K900" s="1"/>
    </row>
    <row r="901" spans="1:11" ht="15.75" customHeight="1">
      <c r="A901" s="2"/>
      <c r="B901" s="1"/>
      <c r="C901" s="1"/>
      <c r="D901" s="1"/>
      <c r="E901" s="1"/>
      <c r="F901" s="1"/>
      <c r="G901" s="1"/>
      <c r="H901" s="1"/>
      <c r="I901" s="61"/>
      <c r="J901" s="1"/>
      <c r="K901" s="1"/>
    </row>
    <row r="902" spans="1:11" ht="15.75" customHeight="1">
      <c r="A902" s="2"/>
      <c r="B902" s="1"/>
      <c r="C902" s="1"/>
      <c r="D902" s="1"/>
      <c r="E902" s="1"/>
      <c r="F902" s="1"/>
      <c r="G902" s="1"/>
      <c r="H902" s="1"/>
      <c r="I902" s="61"/>
      <c r="J902" s="1"/>
      <c r="K902" s="1"/>
    </row>
    <row r="903" spans="1:11" ht="15.75" customHeight="1">
      <c r="A903" s="2"/>
      <c r="B903" s="1"/>
      <c r="C903" s="1"/>
      <c r="D903" s="1"/>
      <c r="E903" s="1"/>
      <c r="F903" s="1"/>
      <c r="G903" s="1"/>
      <c r="H903" s="1"/>
      <c r="I903" s="61"/>
      <c r="J903" s="1"/>
      <c r="K903" s="1"/>
    </row>
    <row r="904" spans="1:11" ht="15.75" customHeight="1">
      <c r="A904" s="2"/>
      <c r="B904" s="1"/>
      <c r="C904" s="1"/>
      <c r="D904" s="1"/>
      <c r="E904" s="1"/>
      <c r="F904" s="1"/>
      <c r="G904" s="1"/>
      <c r="H904" s="1"/>
      <c r="I904" s="61"/>
      <c r="J904" s="1"/>
      <c r="K904" s="1"/>
    </row>
    <row r="905" spans="1:11" ht="15.75" customHeight="1">
      <c r="A905" s="2"/>
      <c r="B905" s="1"/>
      <c r="C905" s="1"/>
      <c r="D905" s="1"/>
      <c r="E905" s="1"/>
      <c r="F905" s="1"/>
      <c r="G905" s="1"/>
      <c r="H905" s="1"/>
      <c r="I905" s="61"/>
      <c r="J905" s="1"/>
      <c r="K905" s="1"/>
    </row>
    <row r="906" spans="1:11" ht="15.75" customHeight="1">
      <c r="A906" s="2"/>
      <c r="B906" s="1"/>
      <c r="C906" s="1"/>
      <c r="D906" s="1"/>
      <c r="E906" s="1"/>
      <c r="F906" s="1"/>
      <c r="G906" s="1"/>
      <c r="H906" s="1"/>
      <c r="I906" s="61"/>
      <c r="J906" s="1"/>
      <c r="K906" s="1"/>
    </row>
    <row r="907" spans="1:11" ht="15.75" customHeight="1">
      <c r="A907" s="2"/>
      <c r="B907" s="1"/>
      <c r="C907" s="1"/>
      <c r="D907" s="1"/>
      <c r="E907" s="1"/>
      <c r="F907" s="1"/>
      <c r="G907" s="1"/>
      <c r="H907" s="1"/>
      <c r="I907" s="61"/>
      <c r="J907" s="1"/>
      <c r="K907" s="1"/>
    </row>
    <row r="908" spans="1:11" ht="15.75" customHeight="1">
      <c r="A908" s="2"/>
      <c r="B908" s="1"/>
      <c r="C908" s="1"/>
      <c r="D908" s="1"/>
      <c r="E908" s="1"/>
      <c r="F908" s="1"/>
      <c r="G908" s="1"/>
      <c r="H908" s="1"/>
      <c r="I908" s="61"/>
      <c r="J908" s="1"/>
      <c r="K908" s="1"/>
    </row>
    <row r="909" spans="1:11" ht="15.75" customHeight="1">
      <c r="A909" s="2"/>
      <c r="B909" s="1"/>
      <c r="C909" s="1"/>
      <c r="D909" s="1"/>
      <c r="E909" s="1"/>
      <c r="F909" s="1"/>
      <c r="G909" s="1"/>
      <c r="H909" s="1"/>
      <c r="I909" s="61"/>
      <c r="J909" s="1"/>
      <c r="K909" s="1"/>
    </row>
    <row r="910" spans="1:11" ht="15.75" customHeight="1">
      <c r="A910" s="2"/>
      <c r="B910" s="1"/>
      <c r="C910" s="1"/>
      <c r="D910" s="1"/>
      <c r="E910" s="1"/>
      <c r="F910" s="1"/>
      <c r="G910" s="1"/>
      <c r="H910" s="1"/>
      <c r="I910" s="61"/>
      <c r="J910" s="1"/>
      <c r="K910" s="1"/>
    </row>
    <row r="911" spans="1:11" ht="15.75" customHeight="1">
      <c r="A911" s="2"/>
      <c r="B911" s="1"/>
      <c r="C911" s="1"/>
      <c r="D911" s="1"/>
      <c r="E911" s="1"/>
      <c r="F911" s="1"/>
      <c r="G911" s="1"/>
      <c r="H911" s="1"/>
      <c r="I911" s="61"/>
      <c r="J911" s="1"/>
      <c r="K911" s="1"/>
    </row>
    <row r="912" spans="1:11" ht="15.75" customHeight="1">
      <c r="A912" s="2"/>
      <c r="B912" s="1"/>
      <c r="C912" s="1"/>
      <c r="D912" s="1"/>
      <c r="E912" s="1"/>
      <c r="F912" s="1"/>
      <c r="G912" s="1"/>
      <c r="H912" s="1"/>
      <c r="I912" s="61"/>
      <c r="J912" s="1"/>
      <c r="K912" s="1"/>
    </row>
    <row r="913" spans="1:11" ht="15.75" customHeight="1">
      <c r="A913" s="2"/>
      <c r="B913" s="1"/>
      <c r="C913" s="1"/>
      <c r="D913" s="1"/>
      <c r="E913" s="1"/>
      <c r="F913" s="1"/>
      <c r="G913" s="1"/>
      <c r="H913" s="1"/>
      <c r="I913" s="61"/>
      <c r="J913" s="1"/>
      <c r="K913" s="1"/>
    </row>
    <row r="914" spans="1:11" ht="15.75" customHeight="1">
      <c r="A914" s="2"/>
      <c r="B914" s="1"/>
      <c r="C914" s="1"/>
      <c r="D914" s="1"/>
      <c r="E914" s="1"/>
      <c r="F914" s="1"/>
      <c r="G914" s="1"/>
      <c r="H914" s="1"/>
      <c r="I914" s="61"/>
      <c r="J914" s="1"/>
      <c r="K914" s="1"/>
    </row>
    <row r="915" spans="1:11" ht="15.75" customHeight="1">
      <c r="A915" s="2"/>
      <c r="B915" s="1"/>
      <c r="C915" s="1"/>
      <c r="D915" s="1"/>
      <c r="E915" s="1"/>
      <c r="F915" s="1"/>
      <c r="G915" s="1"/>
      <c r="H915" s="1"/>
      <c r="I915" s="61"/>
      <c r="J915" s="1"/>
      <c r="K915" s="1"/>
    </row>
    <row r="916" spans="1:11" ht="15.75" customHeight="1">
      <c r="A916" s="2"/>
      <c r="B916" s="1"/>
      <c r="C916" s="1"/>
      <c r="D916" s="1"/>
      <c r="E916" s="1"/>
      <c r="F916" s="1"/>
      <c r="G916" s="1"/>
      <c r="H916" s="1"/>
      <c r="I916" s="61"/>
      <c r="J916" s="1"/>
      <c r="K916" s="1"/>
    </row>
    <row r="917" spans="1:11" ht="15.75" customHeight="1">
      <c r="A917" s="2"/>
      <c r="B917" s="1"/>
      <c r="C917" s="1"/>
      <c r="D917" s="1"/>
      <c r="E917" s="1"/>
      <c r="F917" s="1"/>
      <c r="G917" s="1"/>
      <c r="H917" s="1"/>
      <c r="I917" s="61"/>
      <c r="J917" s="1"/>
      <c r="K917" s="1"/>
    </row>
    <row r="918" spans="1:11" ht="15.75" customHeight="1">
      <c r="A918" s="2"/>
      <c r="B918" s="1"/>
      <c r="C918" s="1"/>
      <c r="D918" s="1"/>
      <c r="E918" s="1"/>
      <c r="F918" s="1"/>
      <c r="G918" s="1"/>
      <c r="H918" s="1"/>
      <c r="I918" s="61"/>
      <c r="J918" s="1"/>
      <c r="K918" s="1"/>
    </row>
    <row r="919" spans="1:11" ht="15.75" customHeight="1">
      <c r="A919" s="2"/>
      <c r="B919" s="1"/>
      <c r="C919" s="1"/>
      <c r="D919" s="1"/>
      <c r="E919" s="1"/>
      <c r="F919" s="1"/>
      <c r="G919" s="1"/>
      <c r="H919" s="1"/>
      <c r="I919" s="61"/>
      <c r="J919" s="1"/>
      <c r="K919" s="1"/>
    </row>
    <row r="920" spans="1:11" ht="15.75" customHeight="1">
      <c r="A920" s="2"/>
      <c r="B920" s="1"/>
      <c r="C920" s="1"/>
      <c r="D920" s="1"/>
      <c r="E920" s="1"/>
      <c r="F920" s="1"/>
      <c r="G920" s="1"/>
      <c r="H920" s="1"/>
      <c r="I920" s="61"/>
      <c r="J920" s="1"/>
      <c r="K920" s="1"/>
    </row>
    <row r="921" spans="1:11" ht="15.75" customHeight="1">
      <c r="A921" s="2"/>
      <c r="B921" s="1"/>
      <c r="C921" s="1"/>
      <c r="D921" s="1"/>
      <c r="E921" s="1"/>
      <c r="F921" s="1"/>
      <c r="G921" s="1"/>
      <c r="H921" s="1"/>
      <c r="I921" s="61"/>
      <c r="J921" s="1"/>
      <c r="K921" s="1"/>
    </row>
    <row r="922" spans="1:11" ht="15.75" customHeight="1">
      <c r="A922" s="2"/>
      <c r="B922" s="1"/>
      <c r="C922" s="1"/>
      <c r="D922" s="1"/>
      <c r="E922" s="1"/>
      <c r="F922" s="1"/>
      <c r="G922" s="1"/>
      <c r="H922" s="1"/>
      <c r="I922" s="61"/>
      <c r="J922" s="1"/>
      <c r="K922" s="1"/>
    </row>
    <row r="923" spans="1:11" ht="15.75" customHeight="1">
      <c r="A923" s="2"/>
      <c r="B923" s="1"/>
      <c r="C923" s="1"/>
      <c r="D923" s="1"/>
      <c r="E923" s="1"/>
      <c r="F923" s="1"/>
      <c r="G923" s="1"/>
      <c r="H923" s="1"/>
      <c r="I923" s="61"/>
      <c r="J923" s="1"/>
      <c r="K923" s="1"/>
    </row>
    <row r="924" spans="1:11" ht="15.75" customHeight="1">
      <c r="A924" s="2"/>
      <c r="B924" s="1"/>
      <c r="C924" s="1"/>
      <c r="D924" s="1"/>
      <c r="E924" s="1"/>
      <c r="F924" s="1"/>
      <c r="G924" s="1"/>
      <c r="H924" s="1"/>
      <c r="I924" s="61"/>
      <c r="J924" s="1"/>
      <c r="K924" s="1"/>
    </row>
    <row r="925" spans="1:11" ht="15.75" customHeight="1">
      <c r="A925" s="2"/>
      <c r="B925" s="1"/>
      <c r="C925" s="1"/>
      <c r="D925" s="1"/>
      <c r="E925" s="1"/>
      <c r="F925" s="1"/>
      <c r="G925" s="1"/>
      <c r="H925" s="1"/>
      <c r="I925" s="61"/>
      <c r="J925" s="1"/>
      <c r="K925" s="1"/>
    </row>
    <row r="926" spans="1:11" ht="15.75" customHeight="1">
      <c r="A926" s="2"/>
      <c r="B926" s="1"/>
      <c r="C926" s="1"/>
      <c r="D926" s="1"/>
      <c r="E926" s="1"/>
      <c r="F926" s="1"/>
      <c r="G926" s="1"/>
      <c r="H926" s="1"/>
      <c r="I926" s="61"/>
      <c r="J926" s="1"/>
      <c r="K926" s="1"/>
    </row>
    <row r="927" spans="1:11" ht="15.75" customHeight="1">
      <c r="A927" s="2"/>
      <c r="B927" s="1"/>
      <c r="C927" s="1"/>
      <c r="D927" s="1"/>
      <c r="E927" s="1"/>
      <c r="F927" s="1"/>
      <c r="G927" s="1"/>
      <c r="H927" s="1"/>
      <c r="I927" s="61"/>
      <c r="J927" s="1"/>
      <c r="K927" s="1"/>
    </row>
    <row r="928" spans="1:11" ht="15.75" customHeight="1">
      <c r="A928" s="2"/>
      <c r="B928" s="1"/>
      <c r="C928" s="1"/>
      <c r="D928" s="1"/>
      <c r="E928" s="1"/>
      <c r="F928" s="1"/>
      <c r="G928" s="1"/>
      <c r="H928" s="1"/>
      <c r="I928" s="61"/>
      <c r="J928" s="1"/>
      <c r="K928" s="1"/>
    </row>
    <row r="929" spans="1:11" ht="15.75" customHeight="1">
      <c r="A929" s="2"/>
      <c r="B929" s="1"/>
      <c r="C929" s="1"/>
      <c r="D929" s="1"/>
      <c r="E929" s="1"/>
      <c r="F929" s="1"/>
      <c r="G929" s="1"/>
      <c r="H929" s="1"/>
      <c r="I929" s="61"/>
      <c r="J929" s="1"/>
      <c r="K929" s="1"/>
    </row>
    <row r="930" spans="1:11" ht="15.75" customHeight="1">
      <c r="A930" s="2"/>
      <c r="B930" s="1"/>
      <c r="C930" s="1"/>
      <c r="D930" s="1"/>
      <c r="E930" s="1"/>
      <c r="F930" s="1"/>
      <c r="G930" s="1"/>
      <c r="H930" s="1"/>
      <c r="I930" s="61"/>
      <c r="J930" s="1"/>
      <c r="K930" s="1"/>
    </row>
    <row r="931" spans="1:11" ht="15.75" customHeight="1">
      <c r="A931" s="2"/>
      <c r="B931" s="1"/>
      <c r="C931" s="1"/>
      <c r="D931" s="1"/>
      <c r="E931" s="1"/>
      <c r="F931" s="1"/>
      <c r="G931" s="1"/>
      <c r="H931" s="1"/>
      <c r="I931" s="61"/>
      <c r="J931" s="1"/>
      <c r="K931" s="1"/>
    </row>
    <row r="932" spans="1:11" ht="15.75" customHeight="1">
      <c r="A932" s="2"/>
      <c r="B932" s="1"/>
      <c r="C932" s="1"/>
      <c r="D932" s="1"/>
      <c r="E932" s="1"/>
      <c r="F932" s="1"/>
      <c r="G932" s="1"/>
      <c r="H932" s="1"/>
      <c r="I932" s="61"/>
      <c r="J932" s="1"/>
      <c r="K932" s="1"/>
    </row>
    <row r="933" spans="1:11" ht="15.75" customHeight="1">
      <c r="A933" s="2"/>
      <c r="B933" s="1"/>
      <c r="C933" s="1"/>
      <c r="D933" s="1"/>
      <c r="E933" s="1"/>
      <c r="F933" s="1"/>
      <c r="G933" s="1"/>
      <c r="H933" s="1"/>
      <c r="I933" s="61"/>
      <c r="J933" s="1"/>
      <c r="K933" s="1"/>
    </row>
    <row r="934" spans="1:11" ht="15.75" customHeight="1">
      <c r="A934" s="2"/>
      <c r="B934" s="1"/>
      <c r="C934" s="1"/>
      <c r="D934" s="1"/>
      <c r="E934" s="1"/>
      <c r="F934" s="1"/>
      <c r="G934" s="1"/>
      <c r="H934" s="1"/>
      <c r="I934" s="61"/>
      <c r="J934" s="1"/>
      <c r="K934" s="1"/>
    </row>
    <row r="935" spans="1:11" ht="15.75" customHeight="1">
      <c r="A935" s="2"/>
      <c r="B935" s="1"/>
      <c r="C935" s="1"/>
      <c r="D935" s="1"/>
      <c r="E935" s="1"/>
      <c r="F935" s="1"/>
      <c r="G935" s="1"/>
      <c r="H935" s="1"/>
      <c r="I935" s="61"/>
      <c r="J935" s="1"/>
      <c r="K935" s="1"/>
    </row>
    <row r="936" spans="1:11" ht="15.75" customHeight="1">
      <c r="A936" s="2"/>
      <c r="B936" s="1"/>
      <c r="C936" s="1"/>
      <c r="D936" s="1"/>
      <c r="E936" s="1"/>
      <c r="F936" s="1"/>
      <c r="G936" s="1"/>
      <c r="H936" s="1"/>
      <c r="I936" s="61"/>
      <c r="J936" s="1"/>
      <c r="K936" s="1"/>
    </row>
    <row r="937" spans="1:11" ht="15.75" customHeight="1">
      <c r="A937" s="2"/>
      <c r="B937" s="1"/>
      <c r="C937" s="1"/>
      <c r="D937" s="1"/>
      <c r="E937" s="1"/>
      <c r="F937" s="1"/>
      <c r="G937" s="1"/>
      <c r="H937" s="1"/>
      <c r="I937" s="61"/>
      <c r="J937" s="1"/>
      <c r="K937" s="1"/>
    </row>
    <row r="938" spans="1:11" ht="15.75" customHeight="1">
      <c r="A938" s="2"/>
      <c r="B938" s="1"/>
      <c r="C938" s="1"/>
      <c r="D938" s="1"/>
      <c r="E938" s="1"/>
      <c r="F938" s="1"/>
      <c r="G938" s="1"/>
      <c r="H938" s="1"/>
      <c r="I938" s="61"/>
      <c r="J938" s="1"/>
      <c r="K938" s="1"/>
    </row>
    <row r="939" spans="1:11" ht="15.75" customHeight="1">
      <c r="A939" s="2"/>
      <c r="B939" s="1"/>
      <c r="C939" s="1"/>
      <c r="D939" s="1"/>
      <c r="E939" s="1"/>
      <c r="F939" s="1"/>
      <c r="G939" s="1"/>
      <c r="H939" s="1"/>
      <c r="I939" s="61"/>
      <c r="J939" s="1"/>
      <c r="K939" s="1"/>
    </row>
    <row r="940" spans="1:11" ht="15.75" customHeight="1">
      <c r="A940" s="2"/>
      <c r="B940" s="1"/>
      <c r="C940" s="1"/>
      <c r="D940" s="1"/>
      <c r="E940" s="1"/>
      <c r="F940" s="1"/>
      <c r="G940" s="1"/>
      <c r="H940" s="1"/>
      <c r="I940" s="61"/>
      <c r="J940" s="1"/>
      <c r="K940" s="1"/>
    </row>
    <row r="941" spans="1:11" ht="15.75" customHeight="1">
      <c r="A941" s="2"/>
      <c r="B941" s="1"/>
      <c r="C941" s="1"/>
      <c r="D941" s="1"/>
      <c r="E941" s="1"/>
      <c r="F941" s="1"/>
      <c r="G941" s="1"/>
      <c r="H941" s="1"/>
      <c r="I941" s="61"/>
      <c r="J941" s="1"/>
      <c r="K941" s="1"/>
    </row>
    <row r="942" spans="1:11" ht="15.75" customHeight="1">
      <c r="A942" s="2"/>
      <c r="B942" s="1"/>
      <c r="C942" s="1"/>
      <c r="D942" s="1"/>
      <c r="E942" s="1"/>
      <c r="F942" s="1"/>
      <c r="G942" s="1"/>
      <c r="H942" s="1"/>
      <c r="I942" s="61"/>
      <c r="J942" s="1"/>
      <c r="K942" s="1"/>
    </row>
    <row r="943" spans="1:11" ht="15.75" customHeight="1">
      <c r="A943" s="2"/>
      <c r="B943" s="1"/>
      <c r="C943" s="1"/>
      <c r="D943" s="1"/>
      <c r="E943" s="1"/>
      <c r="F943" s="1"/>
      <c r="G943" s="1"/>
      <c r="H943" s="1"/>
      <c r="I943" s="61"/>
      <c r="J943" s="1"/>
      <c r="K943" s="1"/>
    </row>
    <row r="944" spans="1:11" ht="15.75" customHeight="1">
      <c r="A944" s="2"/>
      <c r="B944" s="1"/>
      <c r="C944" s="1"/>
      <c r="D944" s="1"/>
      <c r="E944" s="1"/>
      <c r="F944" s="1"/>
      <c r="G944" s="1"/>
      <c r="H944" s="1"/>
      <c r="I944" s="61"/>
      <c r="J944" s="1"/>
      <c r="K944" s="1"/>
    </row>
    <row r="945" spans="1:11" ht="15.75" customHeight="1">
      <c r="A945" s="2"/>
      <c r="B945" s="1"/>
      <c r="C945" s="1"/>
      <c r="D945" s="1"/>
      <c r="E945" s="1"/>
      <c r="F945" s="1"/>
      <c r="G945" s="1"/>
      <c r="H945" s="1"/>
      <c r="I945" s="61"/>
      <c r="J945" s="1"/>
      <c r="K945" s="1"/>
    </row>
    <row r="946" spans="1:11" ht="15.75" customHeight="1">
      <c r="A946" s="2"/>
      <c r="B946" s="1"/>
      <c r="C946" s="1"/>
      <c r="D946" s="1"/>
      <c r="E946" s="1"/>
      <c r="F946" s="1"/>
      <c r="G946" s="1"/>
      <c r="H946" s="1"/>
      <c r="I946" s="61"/>
      <c r="J946" s="1"/>
      <c r="K946" s="1"/>
    </row>
    <row r="947" spans="1:11" ht="15.75" customHeight="1">
      <c r="A947" s="2"/>
      <c r="B947" s="1"/>
      <c r="C947" s="1"/>
      <c r="D947" s="1"/>
      <c r="E947" s="1"/>
      <c r="F947" s="1"/>
      <c r="G947" s="1"/>
      <c r="H947" s="1"/>
      <c r="I947" s="61"/>
      <c r="J947" s="1"/>
      <c r="K947" s="1"/>
    </row>
    <row r="948" spans="1:11" ht="15.75" customHeight="1">
      <c r="A948" s="2"/>
      <c r="B948" s="1"/>
      <c r="C948" s="1"/>
      <c r="D948" s="1"/>
      <c r="E948" s="1"/>
      <c r="F948" s="1"/>
      <c r="G948" s="1"/>
      <c r="H948" s="1"/>
      <c r="I948" s="61"/>
      <c r="J948" s="1"/>
      <c r="K948" s="1"/>
    </row>
    <row r="949" spans="1:11" ht="15.75" customHeight="1">
      <c r="A949" s="2"/>
      <c r="B949" s="1"/>
      <c r="C949" s="1"/>
      <c r="D949" s="1"/>
      <c r="E949" s="1"/>
      <c r="F949" s="1"/>
      <c r="G949" s="1"/>
      <c r="H949" s="1"/>
      <c r="I949" s="61"/>
      <c r="J949" s="1"/>
      <c r="K949" s="1"/>
    </row>
    <row r="950" spans="1:11" ht="15.75" customHeight="1">
      <c r="A950" s="2"/>
      <c r="B950" s="1"/>
      <c r="C950" s="1"/>
      <c r="D950" s="1"/>
      <c r="E950" s="1"/>
      <c r="F950" s="1"/>
      <c r="G950" s="1"/>
      <c r="H950" s="1"/>
      <c r="I950" s="61"/>
      <c r="J950" s="1"/>
      <c r="K950" s="1"/>
    </row>
    <row r="951" spans="1:11" ht="15.75" customHeight="1">
      <c r="A951" s="2"/>
      <c r="B951" s="1"/>
      <c r="C951" s="1"/>
      <c r="D951" s="1"/>
      <c r="E951" s="1"/>
      <c r="F951" s="1"/>
      <c r="G951" s="1"/>
      <c r="H951" s="1"/>
      <c r="I951" s="61"/>
      <c r="J951" s="1"/>
      <c r="K951" s="1"/>
    </row>
    <row r="952" spans="1:11" ht="15.75" customHeight="1">
      <c r="A952" s="2"/>
      <c r="B952" s="1"/>
      <c r="C952" s="1"/>
      <c r="D952" s="1"/>
      <c r="E952" s="1"/>
      <c r="F952" s="1"/>
      <c r="G952" s="1"/>
      <c r="H952" s="1"/>
      <c r="I952" s="61"/>
      <c r="J952" s="1"/>
      <c r="K952" s="1"/>
    </row>
    <row r="953" spans="1:11" ht="15.75" customHeight="1">
      <c r="A953" s="2"/>
      <c r="B953" s="1"/>
      <c r="C953" s="1"/>
      <c r="D953" s="1"/>
      <c r="E953" s="1"/>
      <c r="F953" s="1"/>
      <c r="G953" s="1"/>
      <c r="H953" s="1"/>
      <c r="I953" s="61"/>
      <c r="J953" s="1"/>
      <c r="K953" s="1"/>
    </row>
    <row r="954" spans="1:11" ht="15.75" customHeight="1">
      <c r="A954" s="2"/>
      <c r="B954" s="1"/>
      <c r="C954" s="1"/>
      <c r="D954" s="1"/>
      <c r="E954" s="1"/>
      <c r="F954" s="1"/>
      <c r="G954" s="1"/>
      <c r="H954" s="1"/>
      <c r="I954" s="61"/>
      <c r="J954" s="1"/>
      <c r="K954" s="1"/>
    </row>
    <row r="955" spans="1:11" ht="15.75" customHeight="1">
      <c r="A955" s="2"/>
      <c r="B955" s="1"/>
      <c r="C955" s="1"/>
      <c r="D955" s="1"/>
      <c r="E955" s="1"/>
      <c r="F955" s="1"/>
      <c r="G955" s="1"/>
      <c r="H955" s="1"/>
      <c r="I955" s="61"/>
      <c r="J955" s="1"/>
      <c r="K955" s="1"/>
    </row>
    <row r="956" spans="1:11" ht="15.75" customHeight="1">
      <c r="A956" s="2"/>
      <c r="B956" s="1"/>
      <c r="C956" s="1"/>
      <c r="D956" s="1"/>
      <c r="E956" s="1"/>
      <c r="F956" s="1"/>
      <c r="G956" s="1"/>
      <c r="H956" s="1"/>
      <c r="I956" s="61"/>
      <c r="J956" s="1"/>
      <c r="K956" s="1"/>
    </row>
    <row r="957" spans="1:11" ht="15.75" customHeight="1">
      <c r="A957" s="2"/>
      <c r="B957" s="1"/>
      <c r="C957" s="1"/>
      <c r="D957" s="1"/>
      <c r="E957" s="1"/>
      <c r="F957" s="1"/>
      <c r="G957" s="1"/>
      <c r="H957" s="1"/>
      <c r="I957" s="61"/>
      <c r="J957" s="1"/>
      <c r="K957" s="1"/>
    </row>
    <row r="958" spans="1:11" ht="15.75" customHeight="1">
      <c r="A958" s="2"/>
      <c r="B958" s="1"/>
      <c r="C958" s="1"/>
      <c r="D958" s="1"/>
      <c r="E958" s="1"/>
      <c r="F958" s="1"/>
      <c r="G958" s="1"/>
      <c r="H958" s="1"/>
      <c r="I958" s="61"/>
      <c r="J958" s="1"/>
      <c r="K958" s="1"/>
    </row>
    <row r="959" spans="1:11" ht="15.75" customHeight="1">
      <c r="A959" s="2"/>
      <c r="B959" s="1"/>
      <c r="C959" s="1"/>
      <c r="D959" s="1"/>
      <c r="E959" s="1"/>
      <c r="F959" s="1"/>
      <c r="G959" s="1"/>
      <c r="H959" s="1"/>
      <c r="I959" s="61"/>
      <c r="J959" s="1"/>
      <c r="K959" s="1"/>
    </row>
    <row r="960" spans="1:11" ht="15.75" customHeight="1">
      <c r="A960" s="2"/>
      <c r="B960" s="1"/>
      <c r="C960" s="1"/>
      <c r="D960" s="1"/>
      <c r="E960" s="1"/>
      <c r="F960" s="1"/>
      <c r="G960" s="1"/>
      <c r="H960" s="1"/>
      <c r="I960" s="61"/>
      <c r="J960" s="1"/>
      <c r="K960" s="1"/>
    </row>
    <row r="961" spans="1:11" ht="15.75" customHeight="1">
      <c r="A961" s="2"/>
      <c r="B961" s="1"/>
      <c r="C961" s="1"/>
      <c r="D961" s="1"/>
      <c r="E961" s="1"/>
      <c r="F961" s="1"/>
      <c r="G961" s="1"/>
      <c r="H961" s="1"/>
      <c r="I961" s="61"/>
      <c r="J961" s="1"/>
      <c r="K961" s="1"/>
    </row>
    <row r="962" spans="1:11" ht="15.75" customHeight="1">
      <c r="A962" s="2"/>
      <c r="B962" s="1"/>
      <c r="C962" s="1"/>
      <c r="D962" s="1"/>
      <c r="E962" s="1"/>
      <c r="F962" s="1"/>
      <c r="G962" s="1"/>
      <c r="H962" s="1"/>
      <c r="I962" s="61"/>
      <c r="J962" s="1"/>
      <c r="K962" s="1"/>
    </row>
    <row r="963" spans="1:11" ht="15.75" customHeight="1">
      <c r="A963" s="2"/>
      <c r="B963" s="1"/>
      <c r="C963" s="1"/>
      <c r="D963" s="1"/>
      <c r="E963" s="1"/>
      <c r="F963" s="1"/>
      <c r="G963" s="1"/>
      <c r="H963" s="1"/>
      <c r="I963" s="61"/>
      <c r="J963" s="1"/>
      <c r="K963" s="1"/>
    </row>
    <row r="964" spans="1:11" ht="15.75" customHeight="1">
      <c r="A964" s="2"/>
      <c r="B964" s="1"/>
      <c r="C964" s="1"/>
      <c r="D964" s="1"/>
      <c r="E964" s="1"/>
      <c r="F964" s="1"/>
      <c r="G964" s="1"/>
      <c r="H964" s="1"/>
      <c r="I964" s="61"/>
      <c r="J964" s="1"/>
      <c r="K964" s="1"/>
    </row>
    <row r="965" spans="1:11" ht="15.75" customHeight="1">
      <c r="A965" s="2"/>
      <c r="B965" s="1"/>
      <c r="C965" s="1"/>
      <c r="D965" s="1"/>
      <c r="E965" s="1"/>
      <c r="F965" s="1"/>
      <c r="G965" s="1"/>
      <c r="H965" s="1"/>
      <c r="I965" s="61"/>
      <c r="J965" s="1"/>
      <c r="K965" s="1"/>
    </row>
    <row r="966" spans="1:11" ht="15.75" customHeight="1">
      <c r="A966" s="2"/>
      <c r="B966" s="1"/>
      <c r="C966" s="1"/>
      <c r="D966" s="1"/>
      <c r="E966" s="1"/>
      <c r="F966" s="1"/>
      <c r="G966" s="1"/>
      <c r="H966" s="1"/>
      <c r="I966" s="61"/>
      <c r="J966" s="1"/>
      <c r="K966" s="1"/>
    </row>
    <row r="967" spans="1:11" ht="15.75" customHeight="1">
      <c r="A967" s="2"/>
      <c r="B967" s="1"/>
      <c r="C967" s="1"/>
      <c r="D967" s="1"/>
      <c r="E967" s="1"/>
      <c r="F967" s="1"/>
      <c r="G967" s="1"/>
      <c r="H967" s="1"/>
      <c r="I967" s="61"/>
      <c r="J967" s="1"/>
      <c r="K967" s="1"/>
    </row>
    <row r="968" spans="1:11" ht="15.75" customHeight="1">
      <c r="A968" s="2"/>
      <c r="B968" s="1"/>
      <c r="C968" s="1"/>
      <c r="D968" s="1"/>
      <c r="E968" s="1"/>
      <c r="F968" s="1"/>
      <c r="G968" s="1"/>
      <c r="H968" s="1"/>
      <c r="I968" s="61"/>
      <c r="J968" s="1"/>
      <c r="K968" s="1"/>
    </row>
    <row r="969" spans="1:11" ht="15.75" customHeight="1">
      <c r="A969" s="2"/>
      <c r="B969" s="1"/>
      <c r="C969" s="1"/>
      <c r="D969" s="1"/>
      <c r="E969" s="1"/>
      <c r="F969" s="1"/>
      <c r="G969" s="1"/>
      <c r="H969" s="1"/>
      <c r="I969" s="61"/>
      <c r="J969" s="1"/>
      <c r="K969" s="1"/>
    </row>
    <row r="970" spans="1:11" ht="15.75" customHeight="1">
      <c r="A970" s="2"/>
      <c r="B970" s="1"/>
      <c r="C970" s="1"/>
      <c r="D970" s="1"/>
      <c r="E970" s="1"/>
      <c r="F970" s="1"/>
      <c r="G970" s="1"/>
      <c r="H970" s="1"/>
      <c r="I970" s="61"/>
      <c r="J970" s="1"/>
      <c r="K970" s="1"/>
    </row>
    <row r="971" spans="1:11" ht="15.75" customHeight="1">
      <c r="A971" s="2"/>
      <c r="B971" s="1"/>
      <c r="C971" s="1"/>
      <c r="D971" s="1"/>
      <c r="E971" s="1"/>
      <c r="F971" s="1"/>
      <c r="G971" s="1"/>
      <c r="H971" s="1"/>
      <c r="I971" s="61"/>
      <c r="J971" s="1"/>
      <c r="K971" s="1"/>
    </row>
    <row r="972" spans="1:11" ht="15.75" customHeight="1">
      <c r="A972" s="2"/>
      <c r="B972" s="1"/>
      <c r="C972" s="1"/>
      <c r="D972" s="1"/>
      <c r="E972" s="1"/>
      <c r="F972" s="1"/>
      <c r="G972" s="1"/>
      <c r="H972" s="1"/>
      <c r="I972" s="61"/>
      <c r="J972" s="1"/>
      <c r="K972" s="1"/>
    </row>
    <row r="973" spans="1:11" ht="15.75" customHeight="1">
      <c r="A973" s="2"/>
      <c r="B973" s="1"/>
      <c r="C973" s="1"/>
      <c r="D973" s="1"/>
      <c r="E973" s="1"/>
      <c r="F973" s="1"/>
      <c r="G973" s="1"/>
      <c r="H973" s="1"/>
      <c r="I973" s="61"/>
      <c r="J973" s="1"/>
      <c r="K973" s="1"/>
    </row>
    <row r="974" spans="1:11" ht="15.75" customHeight="1">
      <c r="A974" s="2"/>
      <c r="B974" s="1"/>
      <c r="C974" s="1"/>
      <c r="D974" s="1"/>
      <c r="E974" s="1"/>
      <c r="F974" s="1"/>
      <c r="G974" s="1"/>
      <c r="H974" s="1"/>
      <c r="I974" s="61"/>
      <c r="J974" s="1"/>
      <c r="K974" s="1"/>
    </row>
    <row r="975" spans="1:11" ht="15.75" customHeight="1">
      <c r="A975" s="2"/>
      <c r="B975" s="1"/>
      <c r="C975" s="1"/>
      <c r="D975" s="1"/>
      <c r="E975" s="1"/>
      <c r="F975" s="1"/>
      <c r="G975" s="1"/>
      <c r="H975" s="1"/>
      <c r="I975" s="61"/>
      <c r="J975" s="1"/>
      <c r="K975" s="1"/>
    </row>
    <row r="976" spans="1:11" ht="15.75" customHeight="1">
      <c r="A976" s="2"/>
      <c r="B976" s="1"/>
      <c r="C976" s="1"/>
      <c r="D976" s="1"/>
      <c r="E976" s="1"/>
      <c r="F976" s="1"/>
      <c r="G976" s="1"/>
      <c r="H976" s="1"/>
      <c r="I976" s="61"/>
      <c r="J976" s="1"/>
      <c r="K976" s="1"/>
    </row>
    <row r="977" spans="1:11" ht="15.75" customHeight="1">
      <c r="A977" s="2"/>
      <c r="B977" s="1"/>
      <c r="C977" s="1"/>
      <c r="D977" s="1"/>
      <c r="E977" s="1"/>
      <c r="F977" s="1"/>
      <c r="G977" s="1"/>
      <c r="H977" s="1"/>
      <c r="I977" s="61"/>
      <c r="J977" s="1"/>
      <c r="K977" s="1"/>
    </row>
    <row r="978" spans="1:11" ht="15.75" customHeight="1">
      <c r="A978" s="2"/>
      <c r="B978" s="1"/>
      <c r="C978" s="1"/>
      <c r="D978" s="1"/>
      <c r="E978" s="1"/>
      <c r="F978" s="1"/>
      <c r="G978" s="1"/>
      <c r="H978" s="1"/>
      <c r="I978" s="61"/>
      <c r="J978" s="1"/>
      <c r="K978" s="1"/>
    </row>
    <row r="979" spans="1:11" ht="15.75" customHeight="1">
      <c r="A979" s="2"/>
      <c r="B979" s="1"/>
      <c r="C979" s="1"/>
      <c r="D979" s="1"/>
      <c r="E979" s="1"/>
      <c r="F979" s="1"/>
      <c r="G979" s="1"/>
      <c r="H979" s="1"/>
      <c r="I979" s="61"/>
      <c r="J979" s="1"/>
      <c r="K979" s="1"/>
    </row>
    <row r="980" spans="1:11" ht="15.75" customHeight="1">
      <c r="A980" s="2"/>
      <c r="B980" s="1"/>
      <c r="C980" s="1"/>
      <c r="D980" s="1"/>
      <c r="E980" s="1"/>
      <c r="F980" s="1"/>
      <c r="G980" s="1"/>
      <c r="H980" s="1"/>
      <c r="I980" s="61"/>
      <c r="J980" s="1"/>
      <c r="K980" s="1"/>
    </row>
    <row r="981" spans="1:11" ht="15.75" customHeight="1">
      <c r="A981" s="2"/>
      <c r="B981" s="1"/>
      <c r="C981" s="1"/>
      <c r="D981" s="1"/>
      <c r="E981" s="1"/>
      <c r="F981" s="1"/>
      <c r="G981" s="1"/>
      <c r="H981" s="1"/>
      <c r="I981" s="61"/>
      <c r="J981" s="1"/>
      <c r="K981" s="1"/>
    </row>
    <row r="982" spans="1:11" ht="15.75" customHeight="1">
      <c r="A982" s="2"/>
      <c r="B982" s="1"/>
      <c r="C982" s="1"/>
      <c r="D982" s="1"/>
      <c r="E982" s="1"/>
      <c r="F982" s="1"/>
      <c r="G982" s="1"/>
      <c r="H982" s="1"/>
      <c r="I982" s="61"/>
      <c r="J982" s="1"/>
      <c r="K982" s="1"/>
    </row>
    <row r="983" spans="1:11" ht="15.75" customHeight="1">
      <c r="A983" s="2"/>
      <c r="B983" s="1"/>
      <c r="C983" s="1"/>
      <c r="D983" s="1"/>
      <c r="E983" s="1"/>
      <c r="F983" s="1"/>
      <c r="G983" s="1"/>
      <c r="H983" s="1"/>
      <c r="I983" s="61"/>
      <c r="J983" s="1"/>
      <c r="K983" s="1"/>
    </row>
    <row r="984" spans="1:11" ht="15.75" customHeight="1">
      <c r="A984" s="2"/>
      <c r="B984" s="1"/>
      <c r="C984" s="1"/>
      <c r="D984" s="1"/>
      <c r="E984" s="1"/>
      <c r="F984" s="1"/>
      <c r="G984" s="1"/>
      <c r="H984" s="1"/>
      <c r="I984" s="61"/>
      <c r="J984" s="1"/>
      <c r="K984" s="1"/>
    </row>
    <row r="985" spans="1:11" ht="15.75" customHeight="1">
      <c r="A985" s="2"/>
      <c r="B985" s="1"/>
      <c r="C985" s="1"/>
      <c r="D985" s="1"/>
      <c r="E985" s="1"/>
      <c r="F985" s="1"/>
      <c r="G985" s="1"/>
      <c r="H985" s="1"/>
      <c r="I985" s="61"/>
      <c r="J985" s="1"/>
      <c r="K985" s="1"/>
    </row>
    <row r="986" spans="1:11" ht="15.75" customHeight="1">
      <c r="A986" s="2"/>
      <c r="B986" s="1"/>
      <c r="C986" s="1"/>
      <c r="D986" s="1"/>
      <c r="E986" s="1"/>
      <c r="F986" s="1"/>
      <c r="G986" s="1"/>
      <c r="H986" s="1"/>
      <c r="I986" s="61"/>
      <c r="J986" s="1"/>
      <c r="K986" s="1"/>
    </row>
    <row r="987" spans="1:11" ht="15.75" customHeight="1">
      <c r="A987" s="2"/>
      <c r="B987" s="1"/>
      <c r="C987" s="1"/>
      <c r="D987" s="1"/>
      <c r="E987" s="1"/>
      <c r="F987" s="1"/>
      <c r="G987" s="1"/>
      <c r="H987" s="1"/>
      <c r="I987" s="61"/>
      <c r="J987" s="1"/>
      <c r="K987" s="1"/>
    </row>
    <row r="988" spans="1:11" ht="15.75" customHeight="1">
      <c r="A988" s="2"/>
      <c r="B988" s="1"/>
      <c r="C988" s="1"/>
      <c r="D988" s="1"/>
      <c r="E988" s="1"/>
      <c r="F988" s="1"/>
      <c r="G988" s="1"/>
      <c r="H988" s="1"/>
      <c r="I988" s="61"/>
      <c r="J988" s="1"/>
      <c r="K988" s="1"/>
    </row>
    <row r="989" spans="1:11" ht="15.75" customHeight="1">
      <c r="A989" s="2"/>
      <c r="B989" s="1"/>
      <c r="C989" s="1"/>
      <c r="D989" s="1"/>
      <c r="E989" s="1"/>
      <c r="F989" s="1"/>
      <c r="G989" s="1"/>
      <c r="H989" s="1"/>
      <c r="I989" s="61"/>
      <c r="J989" s="1"/>
      <c r="K989" s="1"/>
    </row>
    <row r="990" spans="1:11" ht="15.75" customHeight="1">
      <c r="A990" s="2"/>
      <c r="B990" s="1"/>
      <c r="C990" s="1"/>
      <c r="D990" s="1"/>
      <c r="E990" s="1"/>
      <c r="F990" s="1"/>
      <c r="G990" s="1"/>
      <c r="H990" s="1"/>
      <c r="I990" s="61"/>
      <c r="J990" s="1"/>
      <c r="K990" s="1"/>
    </row>
    <row r="991" spans="1:11" ht="15.75" customHeight="1">
      <c r="A991" s="2"/>
      <c r="B991" s="1"/>
      <c r="C991" s="1"/>
      <c r="D991" s="1"/>
      <c r="E991" s="1"/>
      <c r="F991" s="1"/>
      <c r="G991" s="1"/>
      <c r="H991" s="1"/>
      <c r="I991" s="61"/>
      <c r="J991" s="1"/>
      <c r="K991" s="1"/>
    </row>
    <row r="992" spans="1:11" ht="15.75" customHeight="1">
      <c r="A992" s="2"/>
      <c r="B992" s="1"/>
      <c r="C992" s="1"/>
      <c r="D992" s="1"/>
      <c r="E992" s="1"/>
      <c r="F992" s="1"/>
      <c r="G992" s="1"/>
      <c r="H992" s="1"/>
      <c r="I992" s="61"/>
      <c r="J992" s="1"/>
      <c r="K992" s="1"/>
    </row>
    <row r="993" spans="1:11" ht="15.75" customHeight="1">
      <c r="A993" s="2"/>
      <c r="B993" s="1"/>
      <c r="C993" s="1"/>
      <c r="D993" s="1"/>
      <c r="E993" s="1"/>
      <c r="F993" s="1"/>
      <c r="G993" s="1"/>
      <c r="H993" s="1"/>
      <c r="I993" s="61"/>
      <c r="J993" s="1"/>
      <c r="K993" s="1"/>
    </row>
    <row r="994" spans="1:11" ht="15.75" customHeight="1">
      <c r="A994" s="2"/>
      <c r="B994" s="1"/>
      <c r="C994" s="1"/>
      <c r="D994" s="1"/>
      <c r="E994" s="1"/>
      <c r="F994" s="1"/>
      <c r="G994" s="1"/>
      <c r="H994" s="1"/>
      <c r="I994" s="61"/>
      <c r="J994" s="1"/>
      <c r="K994" s="1"/>
    </row>
    <row r="995" spans="1:11" ht="15.75" customHeight="1">
      <c r="A995" s="2"/>
      <c r="B995" s="1"/>
      <c r="C995" s="1"/>
      <c r="D995" s="1"/>
      <c r="E995" s="1"/>
      <c r="F995" s="1"/>
      <c r="G995" s="1"/>
      <c r="H995" s="1"/>
      <c r="I995" s="61"/>
      <c r="J995" s="1"/>
      <c r="K995" s="1"/>
    </row>
    <row r="996" spans="1:11" ht="15.75" customHeight="1">
      <c r="A996" s="2"/>
      <c r="B996" s="1"/>
      <c r="C996" s="1"/>
      <c r="D996" s="1"/>
      <c r="E996" s="1"/>
      <c r="F996" s="1"/>
      <c r="G996" s="1"/>
      <c r="H996" s="1"/>
      <c r="I996" s="61"/>
      <c r="J996" s="1"/>
      <c r="K996" s="1"/>
    </row>
    <row r="997" spans="1:11" ht="15.75" customHeight="1">
      <c r="A997" s="2"/>
      <c r="B997" s="1"/>
      <c r="C997" s="1"/>
      <c r="D997" s="1"/>
      <c r="E997" s="1"/>
      <c r="F997" s="1"/>
      <c r="G997" s="1"/>
      <c r="H997" s="1"/>
      <c r="I997" s="61"/>
      <c r="J997" s="1"/>
      <c r="K997" s="1"/>
    </row>
    <row r="998" spans="1:11" ht="15.75" customHeight="1">
      <c r="A998" s="2"/>
      <c r="B998" s="1"/>
      <c r="C998" s="1"/>
      <c r="D998" s="1"/>
      <c r="E998" s="1"/>
      <c r="F998" s="1"/>
      <c r="G998" s="1"/>
      <c r="H998" s="1"/>
      <c r="I998" s="61"/>
      <c r="J998" s="1"/>
      <c r="K998" s="1"/>
    </row>
    <row r="999" spans="1:11" ht="15.75" customHeight="1">
      <c r="A999" s="2"/>
      <c r="B999" s="1"/>
      <c r="C999" s="1"/>
      <c r="D999" s="1"/>
      <c r="E999" s="1"/>
      <c r="F999" s="1"/>
      <c r="G999" s="1"/>
      <c r="H999" s="1"/>
      <c r="I999" s="61"/>
      <c r="J999" s="1"/>
      <c r="K999" s="1"/>
    </row>
    <row r="1000" spans="1:11" ht="15.75" customHeight="1">
      <c r="A1000" s="2"/>
      <c r="B1000" s="1"/>
      <c r="C1000" s="1"/>
      <c r="D1000" s="1"/>
      <c r="E1000" s="1"/>
      <c r="F1000" s="1"/>
      <c r="G1000" s="1"/>
      <c r="H1000" s="1"/>
      <c r="I1000" s="61"/>
      <c r="J1000" s="1"/>
      <c r="K1000" s="1"/>
    </row>
  </sheetData>
  <mergeCells count="8">
    <mergeCell ref="A8:B8"/>
    <mergeCell ref="E263:H263"/>
    <mergeCell ref="E264:H264"/>
    <mergeCell ref="A1:K1"/>
    <mergeCell ref="A2:K2"/>
    <mergeCell ref="A6:B6"/>
    <mergeCell ref="F7:H7"/>
    <mergeCell ref="J7:K7"/>
  </mergeCells>
  <printOptions horizontalCentered="1"/>
  <pageMargins left="0.5" right="0.5" top="0.75" bottom="0.75" header="0" footer="0"/>
  <pageSetup paperSize="5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70C0"/>
  </sheetPr>
  <dimension ref="A1:O1000"/>
  <sheetViews>
    <sheetView topLeftCell="A3" workbookViewId="0">
      <selection sqref="A1:L1"/>
    </sheetView>
  </sheetViews>
  <sheetFormatPr defaultColWidth="14.42578125" defaultRowHeight="15" customHeight="1"/>
  <cols>
    <col min="1" max="1" width="4.7109375" customWidth="1"/>
    <col min="2" max="2" width="23.42578125" customWidth="1"/>
    <col min="3" max="3" width="8.140625" customWidth="1"/>
    <col min="4" max="4" width="14" customWidth="1"/>
    <col min="5" max="5" width="15.7109375" customWidth="1"/>
    <col min="6" max="6" width="9.7109375" customWidth="1"/>
    <col min="7" max="7" width="19.42578125" customWidth="1"/>
    <col min="8" max="8" width="14.42578125" customWidth="1"/>
    <col min="9" max="9" width="15.5703125" customWidth="1"/>
    <col min="10" max="10" width="13.7109375" customWidth="1"/>
    <col min="11" max="11" width="8.28515625" customWidth="1"/>
    <col min="12" max="12" width="18.140625" customWidth="1"/>
    <col min="13" max="26" width="8.7109375" customWidth="1"/>
  </cols>
  <sheetData>
    <row r="1" spans="1:15" ht="23.25">
      <c r="A1" s="555" t="s">
        <v>0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</row>
    <row r="2" spans="1:15" ht="18">
      <c r="A2" s="604" t="s">
        <v>3776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</row>
    <row r="3" spans="1:15">
      <c r="A3" s="2"/>
      <c r="B3" s="3"/>
      <c r="C3" s="71"/>
      <c r="D3" s="3"/>
      <c r="E3" s="3"/>
      <c r="G3" s="3"/>
      <c r="H3" s="71"/>
      <c r="I3" s="45"/>
      <c r="J3" s="72"/>
      <c r="K3" s="557" t="s">
        <v>3777</v>
      </c>
      <c r="L3" s="558"/>
    </row>
    <row r="4" spans="1:15">
      <c r="A4" s="2"/>
      <c r="B4" s="3"/>
      <c r="C4" s="71"/>
      <c r="D4" s="3"/>
      <c r="E4" s="3"/>
      <c r="G4" s="3"/>
      <c r="H4" s="71"/>
      <c r="I4" s="45"/>
      <c r="J4" s="72"/>
      <c r="K4" s="73" t="s">
        <v>3778</v>
      </c>
      <c r="L4" s="294">
        <v>2</v>
      </c>
    </row>
    <row r="5" spans="1:15">
      <c r="A5" s="2"/>
      <c r="B5" s="3"/>
      <c r="C5" s="71"/>
      <c r="D5" s="3"/>
      <c r="E5" s="3"/>
      <c r="G5" s="3"/>
      <c r="H5" s="71"/>
      <c r="I5" s="45"/>
      <c r="J5" s="72"/>
      <c r="K5" s="73" t="s">
        <v>3779</v>
      </c>
      <c r="L5" s="294">
        <v>1</v>
      </c>
    </row>
    <row r="6" spans="1:15" ht="18">
      <c r="A6" s="567" t="s">
        <v>360</v>
      </c>
      <c r="B6" s="560"/>
      <c r="C6" s="75"/>
      <c r="D6" s="3"/>
      <c r="E6" s="10"/>
      <c r="F6" s="76"/>
      <c r="G6" s="3"/>
      <c r="H6" s="71"/>
      <c r="I6" s="45"/>
      <c r="J6" s="72"/>
      <c r="K6" s="77" t="s">
        <v>3780</v>
      </c>
      <c r="L6" s="53"/>
    </row>
    <row r="7" spans="1:15">
      <c r="A7" s="11"/>
      <c r="B7" s="12"/>
      <c r="C7" s="78" t="s">
        <v>362</v>
      </c>
      <c r="D7" s="14"/>
      <c r="E7" s="14"/>
      <c r="F7" s="79" t="s">
        <v>363</v>
      </c>
      <c r="G7" s="78" t="s">
        <v>364</v>
      </c>
      <c r="H7" s="563" t="s">
        <v>365</v>
      </c>
      <c r="I7" s="558"/>
      <c r="J7" s="80"/>
      <c r="K7" s="550" t="s">
        <v>8</v>
      </c>
      <c r="L7" s="551"/>
    </row>
    <row r="8" spans="1:15">
      <c r="A8" s="565" t="s">
        <v>366</v>
      </c>
      <c r="B8" s="566"/>
      <c r="C8" s="79" t="s">
        <v>367</v>
      </c>
      <c r="D8" s="17" t="s">
        <v>11</v>
      </c>
      <c r="E8" s="18" t="s">
        <v>12</v>
      </c>
      <c r="F8" s="79" t="s">
        <v>368</v>
      </c>
      <c r="G8" s="81" t="s">
        <v>369</v>
      </c>
      <c r="H8" s="82"/>
      <c r="I8" s="83" t="s">
        <v>14</v>
      </c>
      <c r="J8" s="84" t="s">
        <v>15</v>
      </c>
      <c r="K8" s="24"/>
      <c r="L8" s="85"/>
    </row>
    <row r="9" spans="1:15">
      <c r="A9" s="25"/>
      <c r="B9" s="26"/>
      <c r="C9" s="79" t="s">
        <v>370</v>
      </c>
      <c r="D9" s="27"/>
      <c r="E9" s="26"/>
      <c r="F9" s="79" t="s">
        <v>371</v>
      </c>
      <c r="G9" s="81" t="s">
        <v>372</v>
      </c>
      <c r="H9" s="86" t="s">
        <v>17</v>
      </c>
      <c r="I9" s="83" t="s">
        <v>18</v>
      </c>
      <c r="J9" s="87"/>
      <c r="K9" s="17" t="s">
        <v>19</v>
      </c>
      <c r="L9" s="17" t="s">
        <v>20</v>
      </c>
    </row>
    <row r="10" spans="1:15">
      <c r="A10" s="30"/>
      <c r="B10" s="31"/>
      <c r="C10" s="88"/>
      <c r="D10" s="33"/>
      <c r="E10" s="33"/>
      <c r="F10" s="89" t="s">
        <v>373</v>
      </c>
      <c r="G10" s="38"/>
      <c r="H10" s="90"/>
      <c r="I10" s="91" t="s">
        <v>374</v>
      </c>
      <c r="J10" s="92"/>
      <c r="K10" s="34"/>
      <c r="L10" s="38" t="s">
        <v>22</v>
      </c>
    </row>
    <row r="11" spans="1:15">
      <c r="A11" s="39" t="s">
        <v>23</v>
      </c>
      <c r="B11" s="57"/>
      <c r="C11" s="93"/>
      <c r="D11" s="57"/>
      <c r="E11" s="57"/>
      <c r="F11" s="40"/>
      <c r="G11" s="57"/>
      <c r="H11" s="93"/>
      <c r="I11" s="44"/>
      <c r="J11" s="94"/>
      <c r="K11" s="40"/>
      <c r="L11" s="40"/>
    </row>
    <row r="12" spans="1:15">
      <c r="A12" s="95"/>
      <c r="B12" s="97"/>
      <c r="C12" s="97"/>
      <c r="D12" s="97"/>
      <c r="E12" s="97"/>
      <c r="F12" s="97"/>
      <c r="G12" s="97"/>
      <c r="H12" s="469"/>
      <c r="I12" s="101"/>
      <c r="J12" s="470"/>
      <c r="K12" s="97"/>
      <c r="L12" s="97"/>
    </row>
    <row r="13" spans="1:15">
      <c r="A13" s="95"/>
      <c r="B13" s="97"/>
      <c r="C13" s="97"/>
      <c r="D13" s="97"/>
      <c r="E13" s="97"/>
      <c r="F13" s="97"/>
      <c r="G13" s="97"/>
      <c r="H13" s="469"/>
      <c r="I13" s="101"/>
      <c r="J13" s="97"/>
      <c r="K13" s="97"/>
      <c r="L13" s="97"/>
      <c r="O13" s="65"/>
    </row>
    <row r="14" spans="1:15">
      <c r="A14" s="95"/>
      <c r="B14" s="97"/>
      <c r="C14" s="97"/>
      <c r="D14" s="97"/>
      <c r="E14" s="97"/>
      <c r="F14" s="97"/>
      <c r="G14" s="97"/>
      <c r="H14" s="469"/>
      <c r="I14" s="101"/>
      <c r="J14" s="471"/>
      <c r="K14" s="97"/>
      <c r="L14" s="97"/>
      <c r="O14" s="65"/>
    </row>
    <row r="15" spans="1:15">
      <c r="I15" s="111" t="s">
        <v>335</v>
      </c>
      <c r="J15" s="63"/>
    </row>
    <row r="16" spans="1:15">
      <c r="I16" s="63" t="s">
        <v>338</v>
      </c>
      <c r="J16" s="63"/>
    </row>
    <row r="17" spans="2:10">
      <c r="I17" s="63" t="s">
        <v>340</v>
      </c>
      <c r="J17" s="291" t="s">
        <v>3781</v>
      </c>
    </row>
    <row r="18" spans="2:10">
      <c r="B18" s="157" t="s">
        <v>336</v>
      </c>
      <c r="E18" s="157" t="s">
        <v>337</v>
      </c>
      <c r="I18" s="63"/>
      <c r="J18" s="291" t="s">
        <v>3782</v>
      </c>
    </row>
    <row r="19" spans="2:10">
      <c r="I19" s="63" t="s">
        <v>342</v>
      </c>
      <c r="J19" s="292">
        <v>0</v>
      </c>
    </row>
    <row r="20" spans="2:10">
      <c r="I20" s="63" t="s">
        <v>3783</v>
      </c>
      <c r="J20" s="292" t="s">
        <v>3784</v>
      </c>
    </row>
    <row r="21" spans="2:10" ht="15.75" customHeight="1">
      <c r="B21" s="70" t="s">
        <v>343</v>
      </c>
      <c r="E21" s="568" t="s">
        <v>344</v>
      </c>
      <c r="F21" s="553"/>
      <c r="G21" s="553"/>
      <c r="H21" s="553"/>
      <c r="I21" s="63" t="s">
        <v>349</v>
      </c>
      <c r="J21" s="292">
        <v>0</v>
      </c>
    </row>
    <row r="22" spans="2:10" ht="15.75" customHeight="1">
      <c r="B22" s="157" t="s">
        <v>347</v>
      </c>
      <c r="E22" s="552" t="s">
        <v>348</v>
      </c>
      <c r="F22" s="553"/>
      <c r="G22" s="553"/>
      <c r="H22" s="553"/>
      <c r="I22" s="63" t="s">
        <v>406</v>
      </c>
      <c r="J22" s="292">
        <v>0</v>
      </c>
    </row>
    <row r="23" spans="2:10" ht="15.75" customHeight="1">
      <c r="I23" s="63" t="s">
        <v>353</v>
      </c>
      <c r="J23" s="293"/>
    </row>
    <row r="24" spans="2:10" ht="15.75" customHeight="1">
      <c r="I24" s="4" t="s">
        <v>407</v>
      </c>
      <c r="J24" s="291"/>
    </row>
    <row r="25" spans="2:10" ht="15.75" customHeight="1">
      <c r="I25" s="4" t="s">
        <v>3785</v>
      </c>
      <c r="J25" s="291"/>
    </row>
    <row r="26" spans="2:10" ht="15.75" customHeight="1"/>
    <row r="27" spans="2:10" ht="15.75" customHeight="1"/>
    <row r="28" spans="2:10" ht="15.75" customHeight="1"/>
    <row r="29" spans="2:10" ht="15.75" customHeight="1"/>
    <row r="30" spans="2:10" ht="15.75" customHeight="1"/>
    <row r="31" spans="2:10" ht="15.75" customHeight="1"/>
    <row r="32" spans="2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E21:H21"/>
    <mergeCell ref="E22:H22"/>
    <mergeCell ref="A1:L1"/>
    <mergeCell ref="A2:L2"/>
    <mergeCell ref="K3:L3"/>
    <mergeCell ref="A6:B6"/>
    <mergeCell ref="H7:I7"/>
    <mergeCell ref="K7:L7"/>
    <mergeCell ref="A8:B8"/>
  </mergeCells>
  <pageMargins left="1" right="1" top="0.75" bottom="0.75" header="0" footer="0"/>
  <pageSetup paperSize="5" scale="9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70C0"/>
  </sheetPr>
  <dimension ref="A1:Z1000"/>
  <sheetViews>
    <sheetView workbookViewId="0">
      <selection sqref="A1:K1"/>
    </sheetView>
  </sheetViews>
  <sheetFormatPr defaultColWidth="14.42578125" defaultRowHeight="15" customHeight="1"/>
  <cols>
    <col min="1" max="1" width="4.7109375" customWidth="1"/>
    <col min="2" max="2" width="26.5703125" customWidth="1"/>
    <col min="3" max="3" width="7.28515625" customWidth="1"/>
    <col min="4" max="4" width="16.140625" customWidth="1"/>
    <col min="5" max="5" width="14.5703125" customWidth="1"/>
    <col min="6" max="6" width="14.28515625" customWidth="1"/>
    <col min="7" max="7" width="14" customWidth="1"/>
    <col min="8" max="8" width="16.42578125" customWidth="1"/>
    <col min="9" max="9" width="16.85546875" customWidth="1"/>
    <col min="10" max="10" width="9.5703125" customWidth="1"/>
    <col min="11" max="11" width="17.85546875" customWidth="1"/>
    <col min="12" max="26" width="8.7109375" customWidth="1"/>
  </cols>
  <sheetData>
    <row r="1" spans="1:11" ht="23.25">
      <c r="A1" s="555" t="s">
        <v>0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</row>
    <row r="2" spans="1:11" ht="18">
      <c r="A2" s="604" t="s">
        <v>3786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</row>
    <row r="3" spans="1:11">
      <c r="A3" s="2"/>
      <c r="B3" s="3"/>
      <c r="C3" s="4"/>
      <c r="D3" s="3"/>
      <c r="E3" s="3"/>
      <c r="F3" s="1"/>
      <c r="G3" s="4"/>
      <c r="H3" s="5"/>
      <c r="I3" s="6"/>
      <c r="J3" s="442" t="s">
        <v>3787</v>
      </c>
      <c r="K3" s="472"/>
    </row>
    <row r="4" spans="1:11">
      <c r="A4" s="2"/>
      <c r="B4" s="3"/>
      <c r="C4" s="4"/>
      <c r="D4" s="3"/>
      <c r="E4" s="3"/>
      <c r="F4" s="1"/>
      <c r="G4" s="4"/>
      <c r="H4" s="5"/>
      <c r="I4" s="7"/>
      <c r="J4" s="8" t="s">
        <v>3</v>
      </c>
      <c r="K4" s="248">
        <v>255</v>
      </c>
    </row>
    <row r="5" spans="1:11">
      <c r="A5" s="2"/>
      <c r="B5" s="3"/>
      <c r="C5" s="4"/>
      <c r="D5" s="3"/>
      <c r="E5" s="3"/>
      <c r="F5" s="1"/>
      <c r="G5" s="4"/>
      <c r="H5" s="5"/>
      <c r="I5" s="7"/>
      <c r="J5" s="8" t="s">
        <v>4</v>
      </c>
      <c r="K5" s="248">
        <v>32</v>
      </c>
    </row>
    <row r="6" spans="1:11">
      <c r="A6" s="559" t="s">
        <v>5</v>
      </c>
      <c r="B6" s="560"/>
      <c r="C6" s="4"/>
      <c r="D6" s="3"/>
      <c r="E6" s="10"/>
      <c r="F6" s="1"/>
      <c r="G6" s="4"/>
      <c r="H6" s="5"/>
      <c r="I6" s="6"/>
      <c r="J6" s="77" t="s">
        <v>3788</v>
      </c>
      <c r="K6" s="473"/>
    </row>
    <row r="7" spans="1:11">
      <c r="A7" s="11"/>
      <c r="B7" s="12"/>
      <c r="C7" s="13"/>
      <c r="D7" s="14"/>
      <c r="E7" s="14"/>
      <c r="F7" s="563" t="s">
        <v>7</v>
      </c>
      <c r="G7" s="564"/>
      <c r="H7" s="558"/>
      <c r="I7" s="15"/>
      <c r="J7" s="550" t="s">
        <v>8</v>
      </c>
      <c r="K7" s="551"/>
    </row>
    <row r="8" spans="1:11">
      <c r="A8" s="565" t="s">
        <v>9</v>
      </c>
      <c r="B8" s="566"/>
      <c r="C8" s="16" t="s">
        <v>10</v>
      </c>
      <c r="D8" s="17" t="s">
        <v>11</v>
      </c>
      <c r="E8" s="18" t="s">
        <v>12</v>
      </c>
      <c r="F8" s="19" t="s">
        <v>13</v>
      </c>
      <c r="G8" s="20"/>
      <c r="H8" s="21" t="s">
        <v>14</v>
      </c>
      <c r="I8" s="22" t="s">
        <v>15</v>
      </c>
      <c r="J8" s="23"/>
      <c r="K8" s="24"/>
    </row>
    <row r="9" spans="1:11">
      <c r="A9" s="25"/>
      <c r="B9" s="26"/>
      <c r="C9" s="20"/>
      <c r="D9" s="27"/>
      <c r="E9" s="26"/>
      <c r="F9" s="28" t="s">
        <v>16</v>
      </c>
      <c r="G9" s="16" t="s">
        <v>17</v>
      </c>
      <c r="H9" s="21" t="s">
        <v>18</v>
      </c>
      <c r="I9" s="29"/>
      <c r="J9" s="17" t="s">
        <v>19</v>
      </c>
      <c r="K9" s="17" t="s">
        <v>20</v>
      </c>
    </row>
    <row r="10" spans="1:11">
      <c r="A10" s="30"/>
      <c r="B10" s="31"/>
      <c r="C10" s="32"/>
      <c r="D10" s="33"/>
      <c r="E10" s="33"/>
      <c r="F10" s="34"/>
      <c r="G10" s="35"/>
      <c r="H10" s="36" t="s">
        <v>21</v>
      </c>
      <c r="I10" s="37"/>
      <c r="J10" s="34"/>
      <c r="K10" s="38" t="s">
        <v>22</v>
      </c>
    </row>
    <row r="11" spans="1:11">
      <c r="A11" s="39" t="s">
        <v>23</v>
      </c>
      <c r="B11" s="40"/>
      <c r="C11" s="40"/>
      <c r="D11" s="40"/>
      <c r="E11" s="40"/>
      <c r="F11" s="40"/>
      <c r="G11" s="40"/>
      <c r="H11" s="40"/>
      <c r="I11" s="41"/>
      <c r="J11" s="40"/>
      <c r="K11" s="40"/>
    </row>
    <row r="12" spans="1:11">
      <c r="A12" s="42">
        <v>1</v>
      </c>
      <c r="B12" s="40" t="s">
        <v>65</v>
      </c>
      <c r="C12" s="40" t="s">
        <v>25</v>
      </c>
      <c r="D12" s="40" t="s">
        <v>2451</v>
      </c>
      <c r="E12" s="40" t="s">
        <v>42</v>
      </c>
      <c r="F12" s="40"/>
      <c r="G12" s="40" t="s">
        <v>29</v>
      </c>
      <c r="H12" s="44">
        <v>500</v>
      </c>
      <c r="I12" s="41">
        <v>100</v>
      </c>
      <c r="J12" s="40" t="s">
        <v>30</v>
      </c>
      <c r="K12" s="40" t="s">
        <v>31</v>
      </c>
    </row>
    <row r="13" spans="1:11">
      <c r="A13" s="42">
        <v>1</v>
      </c>
      <c r="B13" s="40" t="s">
        <v>3789</v>
      </c>
      <c r="C13" s="40" t="s">
        <v>25</v>
      </c>
      <c r="D13" s="40" t="s">
        <v>1069</v>
      </c>
      <c r="E13" s="40" t="s">
        <v>96</v>
      </c>
      <c r="F13" s="40"/>
      <c r="G13" s="40" t="s">
        <v>29</v>
      </c>
      <c r="H13" s="44">
        <v>500</v>
      </c>
      <c r="I13" s="41" t="s">
        <v>101</v>
      </c>
      <c r="J13" s="40" t="s">
        <v>30</v>
      </c>
      <c r="K13" s="40" t="s">
        <v>31</v>
      </c>
    </row>
    <row r="14" spans="1:11">
      <c r="A14" s="42">
        <v>1</v>
      </c>
      <c r="B14" s="40" t="s">
        <v>3789</v>
      </c>
      <c r="C14" s="40" t="s">
        <v>25</v>
      </c>
      <c r="D14" s="40" t="s">
        <v>1069</v>
      </c>
      <c r="E14" s="40" t="s">
        <v>96</v>
      </c>
      <c r="F14" s="40"/>
      <c r="G14" s="40" t="s">
        <v>29</v>
      </c>
      <c r="H14" s="44">
        <v>500</v>
      </c>
      <c r="I14" s="41">
        <v>100</v>
      </c>
      <c r="J14" s="40" t="s">
        <v>30</v>
      </c>
      <c r="K14" s="40" t="s">
        <v>31</v>
      </c>
    </row>
    <row r="15" spans="1:11">
      <c r="A15" s="42">
        <v>1</v>
      </c>
      <c r="B15" s="40" t="s">
        <v>3790</v>
      </c>
      <c r="C15" s="40" t="s">
        <v>25</v>
      </c>
      <c r="D15" s="40" t="s">
        <v>1704</v>
      </c>
      <c r="E15" s="40" t="s">
        <v>38</v>
      </c>
      <c r="F15" s="40"/>
      <c r="G15" s="40" t="s">
        <v>29</v>
      </c>
      <c r="H15" s="44">
        <v>500</v>
      </c>
      <c r="I15" s="41">
        <v>100</v>
      </c>
      <c r="J15" s="40" t="s">
        <v>30</v>
      </c>
      <c r="K15" s="40" t="s">
        <v>31</v>
      </c>
    </row>
    <row r="16" spans="1:11">
      <c r="A16" s="42">
        <v>1</v>
      </c>
      <c r="B16" s="40" t="s">
        <v>3791</v>
      </c>
      <c r="C16" s="40" t="s">
        <v>25</v>
      </c>
      <c r="D16" s="40" t="s">
        <v>74</v>
      </c>
      <c r="E16" s="40" t="s">
        <v>38</v>
      </c>
      <c r="F16" s="40"/>
      <c r="G16" s="40" t="s">
        <v>29</v>
      </c>
      <c r="H16" s="44">
        <v>500</v>
      </c>
      <c r="I16" s="41">
        <v>100</v>
      </c>
      <c r="J16" s="40" t="s">
        <v>30</v>
      </c>
      <c r="K16" s="40" t="s">
        <v>31</v>
      </c>
    </row>
    <row r="17" spans="1:11">
      <c r="A17" s="42">
        <v>1</v>
      </c>
      <c r="B17" s="40" t="s">
        <v>2290</v>
      </c>
      <c r="C17" s="40" t="s">
        <v>25</v>
      </c>
      <c r="D17" s="40" t="s">
        <v>655</v>
      </c>
      <c r="E17" s="40" t="s">
        <v>42</v>
      </c>
      <c r="F17" s="40"/>
      <c r="G17" s="40" t="s">
        <v>29</v>
      </c>
      <c r="H17" s="44">
        <v>500</v>
      </c>
      <c r="I17" s="41">
        <v>100</v>
      </c>
      <c r="J17" s="40" t="s">
        <v>30</v>
      </c>
      <c r="K17" s="40" t="s">
        <v>31</v>
      </c>
    </row>
    <row r="18" spans="1:11">
      <c r="A18" s="42">
        <v>1</v>
      </c>
      <c r="B18" s="40" t="s">
        <v>3792</v>
      </c>
      <c r="C18" s="40" t="s">
        <v>25</v>
      </c>
      <c r="D18" s="40" t="s">
        <v>27</v>
      </c>
      <c r="E18" s="40" t="s">
        <v>46</v>
      </c>
      <c r="F18" s="40"/>
      <c r="G18" s="40" t="s">
        <v>29</v>
      </c>
      <c r="H18" s="44">
        <v>500</v>
      </c>
      <c r="I18" s="41">
        <v>100</v>
      </c>
      <c r="J18" s="40" t="s">
        <v>30</v>
      </c>
      <c r="K18" s="40" t="s">
        <v>31</v>
      </c>
    </row>
    <row r="19" spans="1:11">
      <c r="A19" s="42">
        <v>1</v>
      </c>
      <c r="B19" s="40" t="s">
        <v>734</v>
      </c>
      <c r="C19" s="40" t="s">
        <v>25</v>
      </c>
      <c r="D19" s="40" t="s">
        <v>2248</v>
      </c>
      <c r="E19" s="40" t="s">
        <v>318</v>
      </c>
      <c r="F19" s="40"/>
      <c r="G19" s="40" t="s">
        <v>29</v>
      </c>
      <c r="H19" s="44">
        <v>30000</v>
      </c>
      <c r="I19" s="41">
        <v>6000</v>
      </c>
      <c r="J19" s="40" t="s">
        <v>30</v>
      </c>
      <c r="K19" s="40" t="s">
        <v>31</v>
      </c>
    </row>
    <row r="20" spans="1:11">
      <c r="A20" s="42">
        <v>1</v>
      </c>
      <c r="B20" s="40" t="s">
        <v>3793</v>
      </c>
      <c r="C20" s="40" t="s">
        <v>25</v>
      </c>
      <c r="D20" s="40" t="s">
        <v>3794</v>
      </c>
      <c r="E20" s="40" t="s">
        <v>42</v>
      </c>
      <c r="F20" s="40"/>
      <c r="G20" s="40" t="s">
        <v>29</v>
      </c>
      <c r="H20" s="44">
        <v>650</v>
      </c>
      <c r="I20" s="41">
        <v>130</v>
      </c>
      <c r="J20" s="40" t="s">
        <v>30</v>
      </c>
      <c r="K20" s="40" t="s">
        <v>31</v>
      </c>
    </row>
    <row r="21" spans="1:11" ht="15.75" customHeight="1">
      <c r="A21" s="42">
        <v>1</v>
      </c>
      <c r="B21" s="40" t="s">
        <v>3795</v>
      </c>
      <c r="C21" s="40" t="s">
        <v>25</v>
      </c>
      <c r="D21" s="40" t="s">
        <v>3796</v>
      </c>
      <c r="E21" s="40" t="s">
        <v>78</v>
      </c>
      <c r="F21" s="40"/>
      <c r="G21" s="40" t="s">
        <v>29</v>
      </c>
      <c r="H21" s="44">
        <v>200</v>
      </c>
      <c r="I21" s="41">
        <v>40</v>
      </c>
      <c r="J21" s="40" t="s">
        <v>30</v>
      </c>
      <c r="K21" s="40" t="s">
        <v>31</v>
      </c>
    </row>
    <row r="22" spans="1:11" ht="15.75" customHeight="1">
      <c r="A22" s="42">
        <v>1</v>
      </c>
      <c r="B22" s="40" t="s">
        <v>3797</v>
      </c>
      <c r="C22" s="40" t="s">
        <v>25</v>
      </c>
      <c r="D22" s="40" t="s">
        <v>2767</v>
      </c>
      <c r="E22" s="40" t="s">
        <v>50</v>
      </c>
      <c r="F22" s="40"/>
      <c r="G22" s="40" t="s">
        <v>29</v>
      </c>
      <c r="H22" s="44">
        <v>1000</v>
      </c>
      <c r="I22" s="41">
        <v>200</v>
      </c>
      <c r="J22" s="40" t="s">
        <v>30</v>
      </c>
      <c r="K22" s="40" t="s">
        <v>31</v>
      </c>
    </row>
    <row r="23" spans="1:11" ht="15.75" customHeight="1">
      <c r="A23" s="42">
        <v>1</v>
      </c>
      <c r="B23" s="40" t="s">
        <v>3798</v>
      </c>
      <c r="C23" s="40" t="s">
        <v>25</v>
      </c>
      <c r="D23" s="40" t="s">
        <v>141</v>
      </c>
      <c r="E23" s="40" t="s">
        <v>27</v>
      </c>
      <c r="F23" s="40"/>
      <c r="G23" s="40" t="s">
        <v>29</v>
      </c>
      <c r="H23" s="44">
        <v>1000</v>
      </c>
      <c r="I23" s="41">
        <v>200</v>
      </c>
      <c r="J23" s="40" t="s">
        <v>30</v>
      </c>
      <c r="K23" s="40" t="s">
        <v>31</v>
      </c>
    </row>
    <row r="24" spans="1:11" ht="15.75" customHeight="1">
      <c r="A24" s="42">
        <v>1</v>
      </c>
      <c r="B24" s="40" t="s">
        <v>3657</v>
      </c>
      <c r="C24" s="40" t="s">
        <v>25</v>
      </c>
      <c r="D24" s="40" t="s">
        <v>1102</v>
      </c>
      <c r="E24" s="40" t="s">
        <v>1049</v>
      </c>
      <c r="F24" s="40"/>
      <c r="G24" s="40" t="s">
        <v>29</v>
      </c>
      <c r="H24" s="44">
        <v>500</v>
      </c>
      <c r="I24" s="41">
        <v>100</v>
      </c>
      <c r="J24" s="40" t="s">
        <v>30</v>
      </c>
      <c r="K24" s="40" t="s">
        <v>31</v>
      </c>
    </row>
    <row r="25" spans="1:11" ht="15.75" customHeight="1">
      <c r="A25" s="42">
        <v>1</v>
      </c>
      <c r="B25" s="40" t="s">
        <v>3799</v>
      </c>
      <c r="C25" s="40" t="s">
        <v>25</v>
      </c>
      <c r="D25" s="40" t="s">
        <v>1390</v>
      </c>
      <c r="E25" s="40" t="s">
        <v>50</v>
      </c>
      <c r="F25" s="40"/>
      <c r="G25" s="40" t="s">
        <v>29</v>
      </c>
      <c r="H25" s="44">
        <v>1000</v>
      </c>
      <c r="I25" s="41">
        <v>200</v>
      </c>
      <c r="J25" s="40" t="s">
        <v>30</v>
      </c>
      <c r="K25" s="40" t="s">
        <v>31</v>
      </c>
    </row>
    <row r="26" spans="1:11" ht="15.75" customHeight="1">
      <c r="A26" s="42">
        <v>1</v>
      </c>
      <c r="B26" s="40" t="s">
        <v>3800</v>
      </c>
      <c r="C26" s="40" t="s">
        <v>25</v>
      </c>
      <c r="D26" s="40" t="s">
        <v>263</v>
      </c>
      <c r="E26" s="40" t="s">
        <v>42</v>
      </c>
      <c r="F26" s="40"/>
      <c r="G26" s="40" t="s">
        <v>29</v>
      </c>
      <c r="H26" s="44">
        <v>3000</v>
      </c>
      <c r="I26" s="41">
        <v>600</v>
      </c>
      <c r="J26" s="40" t="s">
        <v>30</v>
      </c>
      <c r="K26" s="40" t="s">
        <v>31</v>
      </c>
    </row>
    <row r="27" spans="1:11" ht="15.75" customHeight="1">
      <c r="A27" s="42">
        <v>1</v>
      </c>
      <c r="B27" s="40" t="s">
        <v>3801</v>
      </c>
      <c r="C27" s="40" t="s">
        <v>59</v>
      </c>
      <c r="D27" s="40" t="s">
        <v>3802</v>
      </c>
      <c r="E27" s="40" t="s">
        <v>96</v>
      </c>
      <c r="F27" s="40"/>
      <c r="G27" s="40" t="s">
        <v>29</v>
      </c>
      <c r="H27" s="44">
        <v>7000</v>
      </c>
      <c r="I27" s="41">
        <v>1400</v>
      </c>
      <c r="J27" s="40" t="s">
        <v>30</v>
      </c>
      <c r="K27" s="40" t="s">
        <v>31</v>
      </c>
    </row>
    <row r="28" spans="1:11" ht="15.75" customHeight="1">
      <c r="A28" s="42">
        <v>1</v>
      </c>
      <c r="B28" s="40" t="s">
        <v>3803</v>
      </c>
      <c r="C28" s="40" t="s">
        <v>25</v>
      </c>
      <c r="D28" s="40" t="s">
        <v>3804</v>
      </c>
      <c r="E28" s="40" t="s">
        <v>50</v>
      </c>
      <c r="F28" s="40"/>
      <c r="G28" s="40" t="s">
        <v>29</v>
      </c>
      <c r="H28" s="44">
        <v>700</v>
      </c>
      <c r="I28" s="41">
        <v>140</v>
      </c>
      <c r="J28" s="40" t="s">
        <v>30</v>
      </c>
      <c r="K28" s="40" t="s">
        <v>31</v>
      </c>
    </row>
    <row r="29" spans="1:11" ht="15.75" customHeight="1">
      <c r="A29" s="42">
        <v>1</v>
      </c>
      <c r="B29" s="40" t="s">
        <v>2446</v>
      </c>
      <c r="C29" s="40" t="s">
        <v>59</v>
      </c>
      <c r="D29" s="40" t="s">
        <v>2380</v>
      </c>
      <c r="E29" s="40" t="s">
        <v>318</v>
      </c>
      <c r="F29" s="40"/>
      <c r="G29" s="40" t="s">
        <v>29</v>
      </c>
      <c r="H29" s="44">
        <v>10000</v>
      </c>
      <c r="I29" s="41">
        <v>2000</v>
      </c>
      <c r="J29" s="40" t="s">
        <v>30</v>
      </c>
      <c r="K29" s="40" t="s">
        <v>31</v>
      </c>
    </row>
    <row r="30" spans="1:11" ht="15.75" customHeight="1">
      <c r="A30" s="42">
        <v>1</v>
      </c>
      <c r="B30" s="40" t="s">
        <v>3332</v>
      </c>
      <c r="C30" s="40" t="s">
        <v>59</v>
      </c>
      <c r="D30" s="40" t="s">
        <v>274</v>
      </c>
      <c r="E30" s="40" t="s">
        <v>130</v>
      </c>
      <c r="F30" s="40"/>
      <c r="G30" s="40" t="s">
        <v>29</v>
      </c>
      <c r="H30" s="44">
        <v>12000</v>
      </c>
      <c r="I30" s="41">
        <v>2400</v>
      </c>
      <c r="J30" s="40" t="s">
        <v>30</v>
      </c>
      <c r="K30" s="40" t="s">
        <v>31</v>
      </c>
    </row>
    <row r="31" spans="1:11" ht="15.75" customHeight="1">
      <c r="A31" s="42">
        <v>1</v>
      </c>
      <c r="B31" s="40" t="s">
        <v>3805</v>
      </c>
      <c r="C31" s="40" t="s">
        <v>59</v>
      </c>
      <c r="D31" s="40" t="s">
        <v>86</v>
      </c>
      <c r="E31" s="40" t="s">
        <v>42</v>
      </c>
      <c r="F31" s="40"/>
      <c r="G31" s="40" t="s">
        <v>29</v>
      </c>
      <c r="H31" s="44">
        <v>1500</v>
      </c>
      <c r="I31" s="41">
        <v>300</v>
      </c>
      <c r="J31" s="40" t="s">
        <v>30</v>
      </c>
      <c r="K31" s="40" t="s">
        <v>31</v>
      </c>
    </row>
    <row r="32" spans="1:11" ht="15.75" customHeight="1">
      <c r="A32" s="42">
        <v>1</v>
      </c>
      <c r="B32" s="40" t="s">
        <v>3806</v>
      </c>
      <c r="C32" s="40" t="s">
        <v>25</v>
      </c>
      <c r="D32" s="40" t="s">
        <v>103</v>
      </c>
      <c r="E32" s="40" t="s">
        <v>38</v>
      </c>
      <c r="F32" s="40"/>
      <c r="G32" s="40" t="s">
        <v>29</v>
      </c>
      <c r="H32" s="44">
        <v>1000</v>
      </c>
      <c r="I32" s="41">
        <v>200</v>
      </c>
      <c r="J32" s="40" t="s">
        <v>30</v>
      </c>
      <c r="K32" s="40" t="s">
        <v>31</v>
      </c>
    </row>
    <row r="33" spans="1:26" ht="15.75" customHeight="1">
      <c r="A33" s="42">
        <v>1</v>
      </c>
      <c r="B33" s="40" t="s">
        <v>3807</v>
      </c>
      <c r="C33" s="40" t="s">
        <v>25</v>
      </c>
      <c r="D33" s="40" t="s">
        <v>103</v>
      </c>
      <c r="E33" s="40" t="s">
        <v>38</v>
      </c>
      <c r="F33" s="40"/>
      <c r="G33" s="40" t="s">
        <v>29</v>
      </c>
      <c r="H33" s="44">
        <v>500</v>
      </c>
      <c r="I33" s="41" t="s">
        <v>101</v>
      </c>
      <c r="J33" s="40" t="s">
        <v>30</v>
      </c>
      <c r="K33" s="40" t="s">
        <v>31</v>
      </c>
    </row>
    <row r="34" spans="1:26" ht="15.75" customHeight="1">
      <c r="A34" s="42">
        <v>1</v>
      </c>
      <c r="B34" s="40" t="s">
        <v>3807</v>
      </c>
      <c r="C34" s="40" t="s">
        <v>25</v>
      </c>
      <c r="D34" s="40" t="s">
        <v>103</v>
      </c>
      <c r="E34" s="40" t="s">
        <v>38</v>
      </c>
      <c r="F34" s="40"/>
      <c r="G34" s="40" t="s">
        <v>29</v>
      </c>
      <c r="H34" s="44">
        <v>500</v>
      </c>
      <c r="I34" s="41">
        <v>100</v>
      </c>
      <c r="J34" s="40" t="s">
        <v>30</v>
      </c>
      <c r="K34" s="40" t="s">
        <v>31</v>
      </c>
    </row>
    <row r="35" spans="1:26" ht="15.75" customHeight="1">
      <c r="A35" s="42">
        <v>1</v>
      </c>
      <c r="B35" s="40" t="s">
        <v>3808</v>
      </c>
      <c r="C35" s="40" t="s">
        <v>25</v>
      </c>
      <c r="D35" s="40" t="s">
        <v>103</v>
      </c>
      <c r="E35" s="40" t="s">
        <v>38</v>
      </c>
      <c r="F35" s="40"/>
      <c r="G35" s="40" t="s">
        <v>29</v>
      </c>
      <c r="H35" s="44">
        <v>2000</v>
      </c>
      <c r="I35" s="41">
        <v>400</v>
      </c>
      <c r="J35" s="40" t="s">
        <v>30</v>
      </c>
      <c r="K35" s="40" t="s">
        <v>31</v>
      </c>
    </row>
    <row r="36" spans="1:26" ht="15.75" customHeight="1">
      <c r="A36" s="42">
        <v>1</v>
      </c>
      <c r="B36" s="40" t="s">
        <v>3809</v>
      </c>
      <c r="C36" s="40" t="s">
        <v>25</v>
      </c>
      <c r="D36" s="40" t="s">
        <v>1704</v>
      </c>
      <c r="E36" s="40" t="s">
        <v>38</v>
      </c>
      <c r="F36" s="40"/>
      <c r="G36" s="40" t="s">
        <v>29</v>
      </c>
      <c r="H36" s="44">
        <v>3000</v>
      </c>
      <c r="I36" s="41">
        <v>600</v>
      </c>
      <c r="J36" s="40" t="s">
        <v>30</v>
      </c>
      <c r="K36" s="40" t="s">
        <v>31</v>
      </c>
    </row>
    <row r="37" spans="1:26" ht="15.75" customHeight="1">
      <c r="A37" s="42">
        <v>1</v>
      </c>
      <c r="B37" s="40" t="s">
        <v>3810</v>
      </c>
      <c r="C37" s="40" t="s">
        <v>59</v>
      </c>
      <c r="D37" s="40" t="s">
        <v>27</v>
      </c>
      <c r="E37" s="40" t="s">
        <v>60</v>
      </c>
      <c r="F37" s="40"/>
      <c r="G37" s="40" t="s">
        <v>29</v>
      </c>
      <c r="H37" s="44">
        <v>7000</v>
      </c>
      <c r="I37" s="41">
        <v>1400</v>
      </c>
      <c r="J37" s="40" t="s">
        <v>30</v>
      </c>
      <c r="K37" s="40" t="s">
        <v>31</v>
      </c>
    </row>
    <row r="38" spans="1:26" ht="15.75" customHeight="1">
      <c r="A38" s="42">
        <v>1</v>
      </c>
      <c r="B38" s="40" t="s">
        <v>3811</v>
      </c>
      <c r="C38" s="40" t="s">
        <v>25</v>
      </c>
      <c r="D38" s="40" t="s">
        <v>724</v>
      </c>
      <c r="E38" s="40" t="s">
        <v>540</v>
      </c>
      <c r="F38" s="40"/>
      <c r="G38" s="40" t="s">
        <v>29</v>
      </c>
      <c r="H38" s="44">
        <v>1000</v>
      </c>
      <c r="I38" s="41" t="s">
        <v>101</v>
      </c>
      <c r="J38" s="40" t="s">
        <v>30</v>
      </c>
      <c r="K38" s="40" t="s">
        <v>31</v>
      </c>
    </row>
    <row r="39" spans="1:26" ht="15.75" customHeight="1">
      <c r="A39" s="42">
        <v>2</v>
      </c>
      <c r="B39" s="40" t="s">
        <v>3812</v>
      </c>
      <c r="C39" s="40" t="s">
        <v>59</v>
      </c>
      <c r="D39" s="40" t="s">
        <v>1007</v>
      </c>
      <c r="E39" s="40" t="s">
        <v>258</v>
      </c>
      <c r="F39" s="40"/>
      <c r="G39" s="40" t="s">
        <v>29</v>
      </c>
      <c r="H39" s="44">
        <v>2000</v>
      </c>
      <c r="I39" s="41">
        <v>400</v>
      </c>
      <c r="J39" s="40" t="s">
        <v>30</v>
      </c>
      <c r="K39" s="40" t="s">
        <v>31</v>
      </c>
    </row>
    <row r="40" spans="1:26" ht="15.75" customHeight="1">
      <c r="A40" s="42">
        <v>2</v>
      </c>
      <c r="B40" s="40" t="s">
        <v>3812</v>
      </c>
      <c r="C40" s="40" t="s">
        <v>59</v>
      </c>
      <c r="D40" s="40" t="s">
        <v>1007</v>
      </c>
      <c r="E40" s="40" t="s">
        <v>258</v>
      </c>
      <c r="F40" s="40"/>
      <c r="G40" s="40" t="s">
        <v>116</v>
      </c>
      <c r="H40" s="44">
        <v>2000</v>
      </c>
      <c r="I40" s="41">
        <v>2000</v>
      </c>
      <c r="J40" s="40" t="s">
        <v>30</v>
      </c>
      <c r="K40" s="40" t="s">
        <v>31</v>
      </c>
    </row>
    <row r="41" spans="1:26" ht="15.75" customHeight="1">
      <c r="A41" s="42">
        <v>2</v>
      </c>
      <c r="B41" s="40" t="s">
        <v>3813</v>
      </c>
      <c r="C41" s="40" t="s">
        <v>25</v>
      </c>
      <c r="D41" s="40" t="s">
        <v>3576</v>
      </c>
      <c r="E41" s="40" t="s">
        <v>78</v>
      </c>
      <c r="F41" s="40"/>
      <c r="G41" s="40" t="s">
        <v>29</v>
      </c>
      <c r="H41" s="44">
        <v>500</v>
      </c>
      <c r="I41" s="41">
        <v>100</v>
      </c>
      <c r="J41" s="40" t="s">
        <v>30</v>
      </c>
      <c r="K41" s="40" t="s">
        <v>31</v>
      </c>
    </row>
    <row r="42" spans="1:26" ht="15.75" customHeight="1">
      <c r="A42" s="42">
        <v>2</v>
      </c>
      <c r="B42" s="40" t="s">
        <v>3814</v>
      </c>
      <c r="C42" s="40" t="s">
        <v>25</v>
      </c>
      <c r="D42" s="40" t="s">
        <v>1196</v>
      </c>
      <c r="E42" s="40" t="s">
        <v>1197</v>
      </c>
      <c r="F42" s="40"/>
      <c r="G42" s="40" t="s">
        <v>29</v>
      </c>
      <c r="H42" s="44">
        <v>7000</v>
      </c>
      <c r="I42" s="41">
        <v>1400</v>
      </c>
      <c r="J42" s="40" t="s">
        <v>30</v>
      </c>
      <c r="K42" s="40" t="s">
        <v>31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42">
        <v>2</v>
      </c>
      <c r="B43" s="40" t="s">
        <v>3815</v>
      </c>
      <c r="C43" s="40" t="s">
        <v>25</v>
      </c>
      <c r="D43" s="40" t="s">
        <v>3576</v>
      </c>
      <c r="E43" s="40" t="s">
        <v>78</v>
      </c>
      <c r="F43" s="40"/>
      <c r="G43" s="40" t="s">
        <v>29</v>
      </c>
      <c r="H43" s="44">
        <v>1000</v>
      </c>
      <c r="I43" s="41">
        <v>200</v>
      </c>
      <c r="J43" s="40" t="s">
        <v>30</v>
      </c>
      <c r="K43" s="40" t="s">
        <v>31</v>
      </c>
    </row>
    <row r="44" spans="1:26" ht="15.75" customHeight="1">
      <c r="A44" s="42">
        <v>2</v>
      </c>
      <c r="B44" s="40" t="s">
        <v>3816</v>
      </c>
      <c r="C44" s="40" t="s">
        <v>59</v>
      </c>
      <c r="D44" s="40" t="s">
        <v>63</v>
      </c>
      <c r="E44" s="40" t="s">
        <v>38</v>
      </c>
      <c r="F44" s="40"/>
      <c r="G44" s="40" t="s">
        <v>29</v>
      </c>
      <c r="H44" s="44">
        <v>200</v>
      </c>
      <c r="I44" s="41">
        <v>40</v>
      </c>
      <c r="J44" s="40" t="s">
        <v>30</v>
      </c>
      <c r="K44" s="40" t="s">
        <v>31</v>
      </c>
    </row>
    <row r="45" spans="1:26" ht="15.75" customHeight="1">
      <c r="A45" s="42">
        <v>2</v>
      </c>
      <c r="B45" s="40" t="s">
        <v>3817</v>
      </c>
      <c r="C45" s="40" t="s">
        <v>25</v>
      </c>
      <c r="D45" s="40" t="s">
        <v>657</v>
      </c>
      <c r="E45" s="40" t="s">
        <v>38</v>
      </c>
      <c r="F45" s="40"/>
      <c r="G45" s="40" t="s">
        <v>29</v>
      </c>
      <c r="H45" s="44">
        <v>400</v>
      </c>
      <c r="I45" s="41">
        <v>80</v>
      </c>
      <c r="J45" s="40" t="s">
        <v>30</v>
      </c>
      <c r="K45" s="40" t="s">
        <v>31</v>
      </c>
    </row>
    <row r="46" spans="1:26" ht="15.75" customHeight="1">
      <c r="A46" s="42">
        <v>2</v>
      </c>
      <c r="B46" s="40" t="s">
        <v>3818</v>
      </c>
      <c r="C46" s="40" t="s">
        <v>25</v>
      </c>
      <c r="D46" s="40" t="s">
        <v>33</v>
      </c>
      <c r="E46" s="40" t="s">
        <v>38</v>
      </c>
      <c r="F46" s="40"/>
      <c r="G46" s="40" t="s">
        <v>29</v>
      </c>
      <c r="H46" s="44">
        <v>500</v>
      </c>
      <c r="I46" s="41" t="s">
        <v>101</v>
      </c>
      <c r="J46" s="40" t="s">
        <v>30</v>
      </c>
      <c r="K46" s="40" t="s">
        <v>31</v>
      </c>
    </row>
    <row r="47" spans="1:26" ht="15.75" customHeight="1">
      <c r="A47" s="42">
        <v>2</v>
      </c>
      <c r="B47" s="40" t="s">
        <v>3818</v>
      </c>
      <c r="C47" s="40" t="s">
        <v>25</v>
      </c>
      <c r="D47" s="40" t="s">
        <v>33</v>
      </c>
      <c r="E47" s="40" t="s">
        <v>38</v>
      </c>
      <c r="F47" s="40"/>
      <c r="G47" s="40" t="s">
        <v>29</v>
      </c>
      <c r="H47" s="44">
        <v>3000</v>
      </c>
      <c r="I47" s="41">
        <v>600</v>
      </c>
      <c r="J47" s="40" t="s">
        <v>30</v>
      </c>
      <c r="K47" s="40" t="s">
        <v>31</v>
      </c>
    </row>
    <row r="48" spans="1:26" ht="15.75" customHeight="1">
      <c r="A48" s="42">
        <v>2</v>
      </c>
      <c r="B48" s="40" t="s">
        <v>3819</v>
      </c>
      <c r="C48" s="40" t="s">
        <v>25</v>
      </c>
      <c r="D48" s="40" t="s">
        <v>688</v>
      </c>
      <c r="E48" s="40" t="s">
        <v>46</v>
      </c>
      <c r="F48" s="40"/>
      <c r="G48" s="40" t="s">
        <v>29</v>
      </c>
      <c r="H48" s="44">
        <v>150</v>
      </c>
      <c r="I48" s="41">
        <v>30</v>
      </c>
      <c r="J48" s="40" t="s">
        <v>30</v>
      </c>
      <c r="K48" s="40" t="s">
        <v>31</v>
      </c>
    </row>
    <row r="49" spans="1:12" ht="15.75" customHeight="1">
      <c r="A49" s="42">
        <v>2</v>
      </c>
      <c r="B49" s="40" t="s">
        <v>1940</v>
      </c>
      <c r="C49" s="40" t="s">
        <v>25</v>
      </c>
      <c r="D49" s="40" t="s">
        <v>843</v>
      </c>
      <c r="E49" s="40" t="s">
        <v>50</v>
      </c>
      <c r="F49" s="40"/>
      <c r="G49" s="40" t="s">
        <v>29</v>
      </c>
      <c r="H49" s="44">
        <v>1000</v>
      </c>
      <c r="I49" s="41">
        <v>200</v>
      </c>
      <c r="J49" s="40" t="s">
        <v>30</v>
      </c>
      <c r="K49" s="40" t="s">
        <v>31</v>
      </c>
    </row>
    <row r="50" spans="1:12" ht="15.75" customHeight="1">
      <c r="A50" s="431">
        <v>2</v>
      </c>
      <c r="B50" s="432" t="s">
        <v>1576</v>
      </c>
      <c r="C50" s="432" t="s">
        <v>25</v>
      </c>
      <c r="D50" s="432" t="s">
        <v>63</v>
      </c>
      <c r="E50" s="432" t="s">
        <v>60</v>
      </c>
      <c r="F50" s="40"/>
      <c r="G50" s="40" t="s">
        <v>29</v>
      </c>
      <c r="H50" s="44">
        <v>1000</v>
      </c>
      <c r="I50" s="41">
        <v>200</v>
      </c>
      <c r="J50" s="432" t="s">
        <v>30</v>
      </c>
      <c r="K50" s="432" t="s">
        <v>31</v>
      </c>
    </row>
    <row r="51" spans="1:12" ht="15.75" customHeight="1">
      <c r="A51" s="431">
        <v>2</v>
      </c>
      <c r="B51" s="432" t="s">
        <v>3820</v>
      </c>
      <c r="C51" s="432" t="s">
        <v>59</v>
      </c>
      <c r="D51" s="432" t="s">
        <v>55</v>
      </c>
      <c r="E51" s="432" t="s">
        <v>56</v>
      </c>
      <c r="F51" s="40"/>
      <c r="G51" s="40" t="s">
        <v>29</v>
      </c>
      <c r="H51" s="44">
        <v>2500</v>
      </c>
      <c r="I51" s="41">
        <v>500</v>
      </c>
      <c r="J51" s="432" t="s">
        <v>30</v>
      </c>
      <c r="K51" s="432" t="s">
        <v>31</v>
      </c>
    </row>
    <row r="52" spans="1:12" ht="15.75" customHeight="1">
      <c r="A52" s="42">
        <v>2</v>
      </c>
      <c r="B52" s="40" t="s">
        <v>3821</v>
      </c>
      <c r="C52" s="40" t="s">
        <v>25</v>
      </c>
      <c r="D52" s="40" t="s">
        <v>287</v>
      </c>
      <c r="E52" s="40" t="s">
        <v>78</v>
      </c>
      <c r="F52" s="40"/>
      <c r="G52" s="40" t="s">
        <v>29</v>
      </c>
      <c r="H52" s="44">
        <v>50</v>
      </c>
      <c r="I52" s="41">
        <v>10</v>
      </c>
      <c r="J52" s="40" t="s">
        <v>30</v>
      </c>
      <c r="K52" s="40" t="s">
        <v>31</v>
      </c>
    </row>
    <row r="53" spans="1:12" ht="15.75" customHeight="1">
      <c r="A53" s="474">
        <v>2</v>
      </c>
      <c r="B53" s="274" t="s">
        <v>3800</v>
      </c>
      <c r="C53" s="274" t="s">
        <v>25</v>
      </c>
      <c r="D53" s="274" t="s">
        <v>263</v>
      </c>
      <c r="E53" s="274" t="s">
        <v>42</v>
      </c>
      <c r="F53" s="274"/>
      <c r="G53" s="274" t="s">
        <v>29</v>
      </c>
      <c r="H53" s="275">
        <v>1500</v>
      </c>
      <c r="I53" s="276" t="s">
        <v>101</v>
      </c>
      <c r="J53" s="274" t="s">
        <v>30</v>
      </c>
      <c r="K53" s="274" t="s">
        <v>31</v>
      </c>
      <c r="L53" s="282" t="s">
        <v>161</v>
      </c>
    </row>
    <row r="54" spans="1:12" ht="15.75" customHeight="1">
      <c r="A54" s="42">
        <v>3</v>
      </c>
      <c r="B54" s="40" t="s">
        <v>3822</v>
      </c>
      <c r="C54" s="40" t="s">
        <v>25</v>
      </c>
      <c r="D54" s="40" t="s">
        <v>63</v>
      </c>
      <c r="E54" s="40" t="s">
        <v>27</v>
      </c>
      <c r="F54" s="40"/>
      <c r="G54" s="40" t="s">
        <v>29</v>
      </c>
      <c r="H54" s="44">
        <v>100</v>
      </c>
      <c r="I54" s="41">
        <v>20</v>
      </c>
      <c r="J54" s="40" t="s">
        <v>30</v>
      </c>
      <c r="K54" s="40" t="s">
        <v>31</v>
      </c>
    </row>
    <row r="55" spans="1:12" ht="15.75" customHeight="1">
      <c r="A55" s="42">
        <v>3</v>
      </c>
      <c r="B55" s="40" t="s">
        <v>3726</v>
      </c>
      <c r="C55" s="40" t="s">
        <v>25</v>
      </c>
      <c r="D55" s="40" t="s">
        <v>683</v>
      </c>
      <c r="E55" s="40" t="s">
        <v>96</v>
      </c>
      <c r="F55" s="40"/>
      <c r="G55" s="40" t="s">
        <v>29</v>
      </c>
      <c r="H55" s="44">
        <v>1500</v>
      </c>
      <c r="I55" s="41">
        <v>300</v>
      </c>
      <c r="J55" s="40" t="s">
        <v>30</v>
      </c>
      <c r="K55" s="40" t="s">
        <v>31</v>
      </c>
    </row>
    <row r="56" spans="1:12" ht="15.75" customHeight="1">
      <c r="A56" s="42">
        <v>3</v>
      </c>
      <c r="B56" s="40" t="s">
        <v>3823</v>
      </c>
      <c r="C56" s="40" t="s">
        <v>25</v>
      </c>
      <c r="D56" s="40" t="s">
        <v>158</v>
      </c>
      <c r="E56" s="40" t="s">
        <v>141</v>
      </c>
      <c r="F56" s="40"/>
      <c r="G56" s="40" t="s">
        <v>29</v>
      </c>
      <c r="H56" s="44">
        <v>3500</v>
      </c>
      <c r="I56" s="41">
        <v>700</v>
      </c>
      <c r="J56" s="40" t="s">
        <v>30</v>
      </c>
      <c r="K56" s="40" t="s">
        <v>31</v>
      </c>
    </row>
    <row r="57" spans="1:12" ht="15.75" customHeight="1">
      <c r="A57" s="42">
        <v>3</v>
      </c>
      <c r="B57" s="40" t="s">
        <v>3824</v>
      </c>
      <c r="C57" s="40" t="s">
        <v>25</v>
      </c>
      <c r="D57" s="40" t="s">
        <v>103</v>
      </c>
      <c r="E57" s="40" t="s">
        <v>38</v>
      </c>
      <c r="F57" s="40"/>
      <c r="G57" s="40" t="s">
        <v>29</v>
      </c>
      <c r="H57" s="44">
        <v>1000</v>
      </c>
      <c r="I57" s="41">
        <v>200</v>
      </c>
      <c r="J57" s="40" t="s">
        <v>30</v>
      </c>
      <c r="K57" s="40" t="s">
        <v>31</v>
      </c>
    </row>
    <row r="58" spans="1:12" ht="15.75" customHeight="1">
      <c r="A58" s="42">
        <v>3</v>
      </c>
      <c r="B58" s="40" t="s">
        <v>3825</v>
      </c>
      <c r="C58" s="40" t="s">
        <v>25</v>
      </c>
      <c r="D58" s="40" t="s">
        <v>2767</v>
      </c>
      <c r="E58" s="40" t="s">
        <v>50</v>
      </c>
      <c r="F58" s="40"/>
      <c r="G58" s="40" t="s">
        <v>29</v>
      </c>
      <c r="H58" s="44">
        <v>500</v>
      </c>
      <c r="I58" s="41">
        <v>100</v>
      </c>
      <c r="J58" s="40" t="s">
        <v>30</v>
      </c>
      <c r="K58" s="40" t="s">
        <v>31</v>
      </c>
    </row>
    <row r="59" spans="1:12" ht="15.75" customHeight="1">
      <c r="A59" s="42">
        <v>3</v>
      </c>
      <c r="B59" s="40" t="s">
        <v>3826</v>
      </c>
      <c r="C59" s="40" t="s">
        <v>25</v>
      </c>
      <c r="D59" s="40" t="s">
        <v>1961</v>
      </c>
      <c r="E59" s="40" t="s">
        <v>311</v>
      </c>
      <c r="F59" s="40"/>
      <c r="G59" s="40" t="s">
        <v>29</v>
      </c>
      <c r="H59" s="44">
        <v>8000</v>
      </c>
      <c r="I59" s="41">
        <v>1600</v>
      </c>
      <c r="J59" s="40" t="s">
        <v>30</v>
      </c>
      <c r="K59" s="40" t="s">
        <v>31</v>
      </c>
    </row>
    <row r="60" spans="1:12" ht="15.75" customHeight="1">
      <c r="A60" s="42">
        <v>3</v>
      </c>
      <c r="B60" s="40" t="s">
        <v>3827</v>
      </c>
      <c r="C60" s="40" t="s">
        <v>25</v>
      </c>
      <c r="D60" s="40" t="s">
        <v>2767</v>
      </c>
      <c r="E60" s="40" t="s">
        <v>50</v>
      </c>
      <c r="F60" s="40"/>
      <c r="G60" s="40" t="s">
        <v>29</v>
      </c>
      <c r="H60" s="44">
        <v>1000</v>
      </c>
      <c r="I60" s="41">
        <v>200</v>
      </c>
      <c r="J60" s="40" t="s">
        <v>30</v>
      </c>
      <c r="K60" s="40" t="s">
        <v>31</v>
      </c>
    </row>
    <row r="61" spans="1:12" ht="15.75" customHeight="1">
      <c r="A61" s="42">
        <v>3</v>
      </c>
      <c r="B61" s="40" t="s">
        <v>3828</v>
      </c>
      <c r="C61" s="40" t="s">
        <v>25</v>
      </c>
      <c r="D61" s="40" t="s">
        <v>1839</v>
      </c>
      <c r="E61" s="40" t="s">
        <v>38</v>
      </c>
      <c r="F61" s="40"/>
      <c r="G61" s="40" t="s">
        <v>29</v>
      </c>
      <c r="H61" s="44">
        <v>1000</v>
      </c>
      <c r="I61" s="41">
        <v>200</v>
      </c>
      <c r="J61" s="40" t="s">
        <v>30</v>
      </c>
      <c r="K61" s="40" t="s">
        <v>31</v>
      </c>
    </row>
    <row r="62" spans="1:12" ht="15.75" customHeight="1">
      <c r="A62" s="42">
        <v>3</v>
      </c>
      <c r="B62" s="40" t="s">
        <v>3829</v>
      </c>
      <c r="C62" s="40" t="s">
        <v>25</v>
      </c>
      <c r="D62" s="40" t="s">
        <v>1733</v>
      </c>
      <c r="E62" s="40" t="s">
        <v>46</v>
      </c>
      <c r="F62" s="40"/>
      <c r="G62" s="40" t="s">
        <v>29</v>
      </c>
      <c r="H62" s="44">
        <v>600</v>
      </c>
      <c r="I62" s="41">
        <v>120</v>
      </c>
      <c r="J62" s="40" t="s">
        <v>30</v>
      </c>
      <c r="K62" s="40" t="s">
        <v>31</v>
      </c>
    </row>
    <row r="63" spans="1:12" ht="15.75" customHeight="1">
      <c r="A63" s="42">
        <v>3</v>
      </c>
      <c r="B63" s="40" t="s">
        <v>3830</v>
      </c>
      <c r="C63" s="40" t="s">
        <v>25</v>
      </c>
      <c r="D63" s="40" t="s">
        <v>144</v>
      </c>
      <c r="E63" s="40" t="s">
        <v>50</v>
      </c>
      <c r="F63" s="40"/>
      <c r="G63" s="40" t="s">
        <v>29</v>
      </c>
      <c r="H63" s="44">
        <v>500</v>
      </c>
      <c r="I63" s="41">
        <v>100</v>
      </c>
      <c r="J63" s="40" t="s">
        <v>30</v>
      </c>
      <c r="K63" s="40" t="s">
        <v>31</v>
      </c>
    </row>
    <row r="64" spans="1:12" ht="15.75" customHeight="1">
      <c r="A64" s="42">
        <v>3</v>
      </c>
      <c r="B64" s="40" t="s">
        <v>3831</v>
      </c>
      <c r="C64" s="40" t="s">
        <v>25</v>
      </c>
      <c r="D64" s="40" t="s">
        <v>89</v>
      </c>
      <c r="E64" s="40" t="s">
        <v>38</v>
      </c>
      <c r="F64" s="40"/>
      <c r="G64" s="40" t="s">
        <v>29</v>
      </c>
      <c r="H64" s="44">
        <v>500</v>
      </c>
      <c r="I64" s="41">
        <v>100</v>
      </c>
      <c r="J64" s="40" t="s">
        <v>30</v>
      </c>
      <c r="K64" s="40" t="s">
        <v>31</v>
      </c>
    </row>
    <row r="65" spans="1:11" ht="15.75" customHeight="1">
      <c r="A65" s="42">
        <v>3</v>
      </c>
      <c r="B65" s="40" t="s">
        <v>3832</v>
      </c>
      <c r="C65" s="40" t="s">
        <v>25</v>
      </c>
      <c r="D65" s="40" t="s">
        <v>149</v>
      </c>
      <c r="E65" s="40" t="s">
        <v>150</v>
      </c>
      <c r="F65" s="40"/>
      <c r="G65" s="40" t="s">
        <v>29</v>
      </c>
      <c r="H65" s="44">
        <v>100</v>
      </c>
      <c r="I65" s="41">
        <v>20</v>
      </c>
      <c r="J65" s="40" t="s">
        <v>30</v>
      </c>
      <c r="K65" s="40" t="s">
        <v>31</v>
      </c>
    </row>
    <row r="66" spans="1:11" ht="15.75" customHeight="1">
      <c r="A66" s="42">
        <v>4</v>
      </c>
      <c r="B66" s="40" t="s">
        <v>3833</v>
      </c>
      <c r="C66" s="40" t="s">
        <v>25</v>
      </c>
      <c r="D66" s="40" t="s">
        <v>2978</v>
      </c>
      <c r="E66" s="40" t="s">
        <v>50</v>
      </c>
      <c r="F66" s="40"/>
      <c r="G66" s="40" t="s">
        <v>29</v>
      </c>
      <c r="H66" s="44">
        <v>5000</v>
      </c>
      <c r="I66" s="41">
        <v>1000</v>
      </c>
      <c r="J66" s="40" t="s">
        <v>30</v>
      </c>
      <c r="K66" s="40" t="s">
        <v>31</v>
      </c>
    </row>
    <row r="67" spans="1:11" ht="15.75" customHeight="1">
      <c r="A67" s="42">
        <v>4</v>
      </c>
      <c r="B67" s="40" t="s">
        <v>3834</v>
      </c>
      <c r="C67" s="40" t="s">
        <v>25</v>
      </c>
      <c r="D67" s="40" t="s">
        <v>92</v>
      </c>
      <c r="E67" s="40" t="s">
        <v>540</v>
      </c>
      <c r="F67" s="40"/>
      <c r="G67" s="40" t="s">
        <v>29</v>
      </c>
      <c r="H67" s="44">
        <v>6000</v>
      </c>
      <c r="I67" s="41">
        <v>1200</v>
      </c>
      <c r="J67" s="40" t="s">
        <v>30</v>
      </c>
      <c r="K67" s="40" t="s">
        <v>31</v>
      </c>
    </row>
    <row r="68" spans="1:11" ht="15.75" customHeight="1">
      <c r="A68" s="42">
        <v>4</v>
      </c>
      <c r="B68" s="40" t="s">
        <v>3835</v>
      </c>
      <c r="C68" s="40" t="s">
        <v>25</v>
      </c>
      <c r="D68" s="40" t="s">
        <v>2451</v>
      </c>
      <c r="E68" s="40" t="s">
        <v>96</v>
      </c>
      <c r="F68" s="40"/>
      <c r="G68" s="40" t="s">
        <v>29</v>
      </c>
      <c r="H68" s="44">
        <v>6000</v>
      </c>
      <c r="I68" s="41">
        <v>1200</v>
      </c>
      <c r="J68" s="40" t="s">
        <v>30</v>
      </c>
      <c r="K68" s="40" t="s">
        <v>31</v>
      </c>
    </row>
    <row r="69" spans="1:11" ht="15.75" customHeight="1">
      <c r="A69" s="42">
        <v>4</v>
      </c>
      <c r="B69" s="40" t="s">
        <v>3836</v>
      </c>
      <c r="C69" s="40" t="s">
        <v>25</v>
      </c>
      <c r="D69" s="40" t="s">
        <v>33</v>
      </c>
      <c r="E69" s="40" t="s">
        <v>38</v>
      </c>
      <c r="F69" s="40"/>
      <c r="G69" s="40" t="s">
        <v>29</v>
      </c>
      <c r="H69" s="44">
        <v>6000</v>
      </c>
      <c r="I69" s="41">
        <v>1200</v>
      </c>
      <c r="J69" s="40" t="s">
        <v>30</v>
      </c>
      <c r="K69" s="40" t="s">
        <v>31</v>
      </c>
    </row>
    <row r="70" spans="1:11" ht="15.75" customHeight="1">
      <c r="A70" s="42">
        <v>4</v>
      </c>
      <c r="B70" s="40" t="s">
        <v>3837</v>
      </c>
      <c r="C70" s="40" t="s">
        <v>25</v>
      </c>
      <c r="D70" s="40" t="s">
        <v>724</v>
      </c>
      <c r="E70" s="40" t="s">
        <v>540</v>
      </c>
      <c r="F70" s="40"/>
      <c r="G70" s="40" t="s">
        <v>29</v>
      </c>
      <c r="H70" s="44">
        <v>6000</v>
      </c>
      <c r="I70" s="41">
        <v>1200</v>
      </c>
      <c r="J70" s="40" t="s">
        <v>30</v>
      </c>
      <c r="K70" s="40" t="s">
        <v>31</v>
      </c>
    </row>
    <row r="71" spans="1:11" ht="15.75" customHeight="1">
      <c r="A71" s="42">
        <v>4</v>
      </c>
      <c r="B71" s="40" t="s">
        <v>3264</v>
      </c>
      <c r="C71" s="40" t="s">
        <v>25</v>
      </c>
      <c r="D71" s="40" t="s">
        <v>3265</v>
      </c>
      <c r="E71" s="40" t="s">
        <v>130</v>
      </c>
      <c r="F71" s="40"/>
      <c r="G71" s="40" t="s">
        <v>29</v>
      </c>
      <c r="H71" s="44">
        <v>8000</v>
      </c>
      <c r="I71" s="41">
        <v>1600</v>
      </c>
      <c r="J71" s="40" t="s">
        <v>30</v>
      </c>
      <c r="K71" s="40" t="s">
        <v>31</v>
      </c>
    </row>
    <row r="72" spans="1:11" ht="15.75" customHeight="1">
      <c r="A72" s="42">
        <v>4</v>
      </c>
      <c r="B72" s="40" t="s">
        <v>3838</v>
      </c>
      <c r="C72" s="40" t="s">
        <v>59</v>
      </c>
      <c r="D72" s="40" t="s">
        <v>685</v>
      </c>
      <c r="E72" s="40" t="s">
        <v>60</v>
      </c>
      <c r="F72" s="40"/>
      <c r="G72" s="40" t="s">
        <v>29</v>
      </c>
      <c r="H72" s="44">
        <v>3500</v>
      </c>
      <c r="I72" s="41">
        <v>700</v>
      </c>
      <c r="J72" s="40" t="s">
        <v>30</v>
      </c>
      <c r="K72" s="40" t="s">
        <v>31</v>
      </c>
    </row>
    <row r="73" spans="1:11" ht="15.75" customHeight="1">
      <c r="A73" s="42">
        <v>4</v>
      </c>
      <c r="B73" s="40" t="s">
        <v>3839</v>
      </c>
      <c r="C73" s="40" t="s">
        <v>25</v>
      </c>
      <c r="D73" s="40" t="s">
        <v>2646</v>
      </c>
      <c r="E73" s="40" t="s">
        <v>561</v>
      </c>
      <c r="F73" s="40"/>
      <c r="G73" s="40" t="s">
        <v>29</v>
      </c>
      <c r="H73" s="200">
        <v>26000</v>
      </c>
      <c r="I73" s="41">
        <v>7800</v>
      </c>
      <c r="J73" s="40" t="s">
        <v>30</v>
      </c>
      <c r="K73" s="40" t="s">
        <v>31</v>
      </c>
    </row>
    <row r="74" spans="1:11" ht="15.75" customHeight="1">
      <c r="A74" s="42">
        <v>4</v>
      </c>
      <c r="B74" s="40" t="s">
        <v>3840</v>
      </c>
      <c r="C74" s="40" t="s">
        <v>59</v>
      </c>
      <c r="D74" s="40" t="s">
        <v>585</v>
      </c>
      <c r="E74" s="40" t="s">
        <v>249</v>
      </c>
      <c r="F74" s="40"/>
      <c r="G74" s="40" t="s">
        <v>29</v>
      </c>
      <c r="H74" s="200">
        <v>1000</v>
      </c>
      <c r="I74" s="41">
        <v>200</v>
      </c>
      <c r="J74" s="40" t="s">
        <v>30</v>
      </c>
      <c r="K74" s="40" t="s">
        <v>31</v>
      </c>
    </row>
    <row r="75" spans="1:11" ht="15.75" customHeight="1">
      <c r="A75" s="42">
        <v>4</v>
      </c>
      <c r="B75" s="40" t="s">
        <v>3841</v>
      </c>
      <c r="C75" s="40" t="s">
        <v>25</v>
      </c>
      <c r="D75" s="40" t="s">
        <v>852</v>
      </c>
      <c r="E75" s="40" t="s">
        <v>540</v>
      </c>
      <c r="F75" s="40"/>
      <c r="G75" s="40" t="s">
        <v>29</v>
      </c>
      <c r="H75" s="200">
        <v>1000</v>
      </c>
      <c r="I75" s="41">
        <v>200</v>
      </c>
      <c r="J75" s="40" t="s">
        <v>30</v>
      </c>
      <c r="K75" s="40" t="s">
        <v>31</v>
      </c>
    </row>
    <row r="76" spans="1:11" ht="15.75" customHeight="1">
      <c r="A76" s="42">
        <v>4</v>
      </c>
      <c r="B76" s="40" t="s">
        <v>1557</v>
      </c>
      <c r="C76" s="40" t="s">
        <v>25</v>
      </c>
      <c r="D76" s="40" t="s">
        <v>192</v>
      </c>
      <c r="E76" s="40" t="s">
        <v>150</v>
      </c>
      <c r="F76" s="40"/>
      <c r="G76" s="40" t="s">
        <v>29</v>
      </c>
      <c r="H76" s="200">
        <v>50</v>
      </c>
      <c r="I76" s="41">
        <v>15</v>
      </c>
      <c r="J76" s="40" t="s">
        <v>30</v>
      </c>
      <c r="K76" s="40" t="s">
        <v>31</v>
      </c>
    </row>
    <row r="77" spans="1:11" ht="15.75" customHeight="1">
      <c r="A77" s="42">
        <v>4</v>
      </c>
      <c r="B77" s="40" t="s">
        <v>3842</v>
      </c>
      <c r="C77" s="40" t="s">
        <v>25</v>
      </c>
      <c r="D77" s="40" t="s">
        <v>548</v>
      </c>
      <c r="E77" s="40" t="s">
        <v>42</v>
      </c>
      <c r="F77" s="40"/>
      <c r="G77" s="40" t="s">
        <v>29</v>
      </c>
      <c r="H77" s="200">
        <v>300</v>
      </c>
      <c r="I77" s="41" t="s">
        <v>101</v>
      </c>
      <c r="J77" s="40" t="s">
        <v>30</v>
      </c>
      <c r="K77" s="40" t="s">
        <v>31</v>
      </c>
    </row>
    <row r="78" spans="1:11" ht="15.75" customHeight="1">
      <c r="A78" s="47">
        <v>4</v>
      </c>
      <c r="B78" s="48" t="s">
        <v>3843</v>
      </c>
      <c r="C78" s="48" t="s">
        <v>59</v>
      </c>
      <c r="D78" s="48" t="s">
        <v>258</v>
      </c>
      <c r="E78" s="48" t="s">
        <v>96</v>
      </c>
      <c r="F78" s="48"/>
      <c r="G78" s="48" t="s">
        <v>29</v>
      </c>
      <c r="H78" s="430">
        <v>500</v>
      </c>
      <c r="I78" s="51" t="s">
        <v>101</v>
      </c>
      <c r="J78" s="48" t="s">
        <v>30</v>
      </c>
      <c r="K78" s="48" t="s">
        <v>31</v>
      </c>
    </row>
    <row r="79" spans="1:11" ht="15.75" customHeight="1">
      <c r="A79" s="52">
        <v>5</v>
      </c>
      <c r="B79" s="53" t="s">
        <v>1515</v>
      </c>
      <c r="C79" s="53" t="s">
        <v>25</v>
      </c>
      <c r="D79" s="53" t="s">
        <v>826</v>
      </c>
      <c r="E79" s="53" t="s">
        <v>96</v>
      </c>
      <c r="F79" s="53"/>
      <c r="G79" s="53" t="s">
        <v>29</v>
      </c>
      <c r="H79" s="437">
        <v>2000</v>
      </c>
      <c r="I79" s="55">
        <v>400</v>
      </c>
      <c r="J79" s="53" t="s">
        <v>30</v>
      </c>
      <c r="K79" s="53" t="s">
        <v>31</v>
      </c>
    </row>
    <row r="80" spans="1:11" ht="15.75" customHeight="1">
      <c r="A80" s="42">
        <v>5</v>
      </c>
      <c r="B80" s="40" t="s">
        <v>1515</v>
      </c>
      <c r="C80" s="40" t="s">
        <v>25</v>
      </c>
      <c r="D80" s="40" t="s">
        <v>826</v>
      </c>
      <c r="E80" s="40" t="s">
        <v>96</v>
      </c>
      <c r="F80" s="40"/>
      <c r="G80" s="40" t="s">
        <v>116</v>
      </c>
      <c r="H80" s="200">
        <v>300</v>
      </c>
      <c r="I80" s="41">
        <v>300</v>
      </c>
      <c r="J80" s="40" t="s">
        <v>30</v>
      </c>
      <c r="K80" s="40" t="s">
        <v>31</v>
      </c>
    </row>
    <row r="81" spans="1:11" ht="15.75" customHeight="1">
      <c r="A81" s="42">
        <v>5</v>
      </c>
      <c r="B81" s="40" t="s">
        <v>3844</v>
      </c>
      <c r="C81" s="40" t="s">
        <v>59</v>
      </c>
      <c r="D81" s="40" t="s">
        <v>2454</v>
      </c>
      <c r="E81" s="40" t="s">
        <v>96</v>
      </c>
      <c r="F81" s="40"/>
      <c r="G81" s="40" t="s">
        <v>29</v>
      </c>
      <c r="H81" s="200">
        <v>2000</v>
      </c>
      <c r="I81" s="41">
        <v>400</v>
      </c>
      <c r="J81" s="40" t="s">
        <v>30</v>
      </c>
      <c r="K81" s="40" t="s">
        <v>31</v>
      </c>
    </row>
    <row r="82" spans="1:11" ht="15.75" customHeight="1">
      <c r="A82" s="42">
        <v>5</v>
      </c>
      <c r="B82" s="40" t="s">
        <v>3845</v>
      </c>
      <c r="C82" s="40" t="s">
        <v>25</v>
      </c>
      <c r="D82" s="40" t="s">
        <v>724</v>
      </c>
      <c r="E82" s="40" t="s">
        <v>540</v>
      </c>
      <c r="F82" s="40"/>
      <c r="G82" s="40" t="s">
        <v>29</v>
      </c>
      <c r="H82" s="200">
        <v>5000</v>
      </c>
      <c r="I82" s="41">
        <v>1000</v>
      </c>
      <c r="J82" s="40" t="s">
        <v>30</v>
      </c>
      <c r="K82" s="40" t="s">
        <v>31</v>
      </c>
    </row>
    <row r="83" spans="1:11" ht="15.75" customHeight="1">
      <c r="A83" s="42">
        <v>5</v>
      </c>
      <c r="B83" s="40" t="s">
        <v>1438</v>
      </c>
      <c r="C83" s="40" t="s">
        <v>25</v>
      </c>
      <c r="D83" s="40" t="s">
        <v>3846</v>
      </c>
      <c r="E83" s="40" t="s">
        <v>38</v>
      </c>
      <c r="F83" s="40"/>
      <c r="G83" s="40" t="s">
        <v>29</v>
      </c>
      <c r="H83" s="200">
        <v>500</v>
      </c>
      <c r="I83" s="41" t="s">
        <v>101</v>
      </c>
      <c r="J83" s="40" t="s">
        <v>30</v>
      </c>
      <c r="K83" s="40" t="s">
        <v>31</v>
      </c>
    </row>
    <row r="84" spans="1:11" ht="15.75" customHeight="1">
      <c r="A84" s="42">
        <v>5</v>
      </c>
      <c r="B84" s="40" t="s">
        <v>1438</v>
      </c>
      <c r="C84" s="40" t="s">
        <v>25</v>
      </c>
      <c r="D84" s="40" t="s">
        <v>3846</v>
      </c>
      <c r="E84" s="40" t="s">
        <v>38</v>
      </c>
      <c r="F84" s="40"/>
      <c r="G84" s="40" t="s">
        <v>29</v>
      </c>
      <c r="H84" s="200">
        <v>500</v>
      </c>
      <c r="I84" s="41">
        <v>100</v>
      </c>
      <c r="J84" s="40" t="s">
        <v>30</v>
      </c>
      <c r="K84" s="40" t="s">
        <v>31</v>
      </c>
    </row>
    <row r="85" spans="1:11" ht="15.75" customHeight="1">
      <c r="A85" s="42">
        <v>5</v>
      </c>
      <c r="B85" s="40" t="s">
        <v>1732</v>
      </c>
      <c r="C85" s="40" t="s">
        <v>25</v>
      </c>
      <c r="D85" s="40" t="s">
        <v>1733</v>
      </c>
      <c r="E85" s="40" t="s">
        <v>46</v>
      </c>
      <c r="F85" s="40"/>
      <c r="G85" s="40" t="s">
        <v>29</v>
      </c>
      <c r="H85" s="200">
        <v>1000</v>
      </c>
      <c r="I85" s="41">
        <v>200</v>
      </c>
      <c r="J85" s="40" t="s">
        <v>30</v>
      </c>
      <c r="K85" s="40" t="s">
        <v>31</v>
      </c>
    </row>
    <row r="86" spans="1:11" ht="15.75" customHeight="1">
      <c r="A86" s="42">
        <v>5</v>
      </c>
      <c r="B86" s="40" t="s">
        <v>3847</v>
      </c>
      <c r="C86" s="40" t="s">
        <v>25</v>
      </c>
      <c r="D86" s="40" t="s">
        <v>3848</v>
      </c>
      <c r="E86" s="40" t="s">
        <v>561</v>
      </c>
      <c r="F86" s="40"/>
      <c r="G86" s="40" t="s">
        <v>29</v>
      </c>
      <c r="H86" s="200">
        <v>1500</v>
      </c>
      <c r="I86" s="41">
        <v>300</v>
      </c>
      <c r="J86" s="40" t="s">
        <v>30</v>
      </c>
      <c r="K86" s="40" t="s">
        <v>31</v>
      </c>
    </row>
    <row r="87" spans="1:11" ht="15.75" customHeight="1">
      <c r="A87" s="42">
        <v>5</v>
      </c>
      <c r="B87" s="40" t="s">
        <v>3849</v>
      </c>
      <c r="C87" s="40" t="s">
        <v>25</v>
      </c>
      <c r="D87" s="40" t="s">
        <v>63</v>
      </c>
      <c r="E87" s="40" t="s">
        <v>333</v>
      </c>
      <c r="F87" s="40"/>
      <c r="G87" s="40" t="s">
        <v>29</v>
      </c>
      <c r="H87" s="200">
        <v>200</v>
      </c>
      <c r="I87" s="41">
        <v>40</v>
      </c>
      <c r="J87" s="40" t="s">
        <v>30</v>
      </c>
      <c r="K87" s="40" t="s">
        <v>31</v>
      </c>
    </row>
    <row r="88" spans="1:11" ht="15.75" customHeight="1">
      <c r="A88" s="42">
        <v>5</v>
      </c>
      <c r="B88" s="40" t="s">
        <v>3850</v>
      </c>
      <c r="C88" s="40" t="s">
        <v>25</v>
      </c>
      <c r="D88" s="40" t="s">
        <v>3216</v>
      </c>
      <c r="E88" s="40" t="s">
        <v>870</v>
      </c>
      <c r="F88" s="40"/>
      <c r="G88" s="40" t="s">
        <v>29</v>
      </c>
      <c r="H88" s="200">
        <v>500</v>
      </c>
      <c r="I88" s="41">
        <v>100</v>
      </c>
      <c r="J88" s="40" t="s">
        <v>30</v>
      </c>
      <c r="K88" s="40" t="s">
        <v>31</v>
      </c>
    </row>
    <row r="89" spans="1:11" ht="15.75" customHeight="1">
      <c r="A89" s="42">
        <v>5</v>
      </c>
      <c r="B89" s="40" t="s">
        <v>3851</v>
      </c>
      <c r="C89" s="40" t="s">
        <v>25</v>
      </c>
      <c r="D89" s="40" t="s">
        <v>1374</v>
      </c>
      <c r="E89" s="40" t="s">
        <v>166</v>
      </c>
      <c r="F89" s="40"/>
      <c r="G89" s="40" t="s">
        <v>29</v>
      </c>
      <c r="H89" s="200">
        <v>3000</v>
      </c>
      <c r="I89" s="41" t="s">
        <v>101</v>
      </c>
      <c r="J89" s="40" t="s">
        <v>30</v>
      </c>
      <c r="K89" s="40" t="s">
        <v>31</v>
      </c>
    </row>
    <row r="90" spans="1:11" ht="15.75" customHeight="1">
      <c r="A90" s="42">
        <v>5</v>
      </c>
      <c r="B90" s="40" t="s">
        <v>3852</v>
      </c>
      <c r="C90" s="40" t="s">
        <v>25</v>
      </c>
      <c r="D90" s="40" t="s">
        <v>1374</v>
      </c>
      <c r="E90" s="40" t="s">
        <v>166</v>
      </c>
      <c r="F90" s="40"/>
      <c r="G90" s="40" t="s">
        <v>29</v>
      </c>
      <c r="H90" s="200">
        <v>3000</v>
      </c>
      <c r="I90" s="41" t="s">
        <v>101</v>
      </c>
      <c r="J90" s="40" t="s">
        <v>30</v>
      </c>
      <c r="K90" s="40" t="s">
        <v>31</v>
      </c>
    </row>
    <row r="91" spans="1:11" ht="15.75" customHeight="1">
      <c r="A91" s="42">
        <v>9</v>
      </c>
      <c r="B91" s="40" t="s">
        <v>944</v>
      </c>
      <c r="C91" s="40" t="s">
        <v>25</v>
      </c>
      <c r="D91" s="40" t="s">
        <v>74</v>
      </c>
      <c r="E91" s="40" t="s">
        <v>38</v>
      </c>
      <c r="F91" s="40"/>
      <c r="G91" s="40" t="s">
        <v>29</v>
      </c>
      <c r="H91" s="200">
        <v>5000</v>
      </c>
      <c r="I91" s="41">
        <v>1000</v>
      </c>
      <c r="J91" s="40" t="s">
        <v>30</v>
      </c>
      <c r="K91" s="40" t="s">
        <v>31</v>
      </c>
    </row>
    <row r="92" spans="1:11" ht="15.75" customHeight="1">
      <c r="A92" s="42">
        <v>9</v>
      </c>
      <c r="B92" s="40" t="s">
        <v>3853</v>
      </c>
      <c r="C92" s="40" t="s">
        <v>25</v>
      </c>
      <c r="D92" s="40" t="s">
        <v>1675</v>
      </c>
      <c r="E92" s="40" t="s">
        <v>42</v>
      </c>
      <c r="F92" s="40"/>
      <c r="G92" s="40" t="s">
        <v>29</v>
      </c>
      <c r="H92" s="200">
        <v>900</v>
      </c>
      <c r="I92" s="41">
        <v>180</v>
      </c>
      <c r="J92" s="40" t="s">
        <v>30</v>
      </c>
      <c r="K92" s="40" t="s">
        <v>31</v>
      </c>
    </row>
    <row r="93" spans="1:11" ht="15.75" customHeight="1">
      <c r="A93" s="42">
        <v>9</v>
      </c>
      <c r="B93" s="40" t="s">
        <v>3854</v>
      </c>
      <c r="C93" s="40" t="s">
        <v>25</v>
      </c>
      <c r="D93" s="40" t="s">
        <v>779</v>
      </c>
      <c r="E93" s="40" t="s">
        <v>42</v>
      </c>
      <c r="F93" s="40"/>
      <c r="G93" s="40" t="s">
        <v>29</v>
      </c>
      <c r="H93" s="200">
        <v>900</v>
      </c>
      <c r="I93" s="41">
        <v>180</v>
      </c>
      <c r="J93" s="40" t="s">
        <v>30</v>
      </c>
      <c r="K93" s="40" t="s">
        <v>31</v>
      </c>
    </row>
    <row r="94" spans="1:11" ht="15.75" customHeight="1">
      <c r="A94" s="42">
        <v>9</v>
      </c>
      <c r="B94" s="40" t="s">
        <v>3855</v>
      </c>
      <c r="C94" s="40" t="s">
        <v>25</v>
      </c>
      <c r="D94" s="40" t="s">
        <v>782</v>
      </c>
      <c r="E94" s="40" t="s">
        <v>150</v>
      </c>
      <c r="F94" s="40"/>
      <c r="G94" s="40" t="s">
        <v>29</v>
      </c>
      <c r="H94" s="200">
        <v>1000</v>
      </c>
      <c r="I94" s="41">
        <v>200</v>
      </c>
      <c r="J94" s="40" t="s">
        <v>30</v>
      </c>
      <c r="K94" s="40" t="s">
        <v>31</v>
      </c>
    </row>
    <row r="95" spans="1:11" ht="15.75" customHeight="1">
      <c r="A95" s="42">
        <v>9</v>
      </c>
      <c r="B95" s="40" t="s">
        <v>3856</v>
      </c>
      <c r="C95" s="40" t="s">
        <v>25</v>
      </c>
      <c r="D95" s="40" t="s">
        <v>63</v>
      </c>
      <c r="E95" s="40" t="s">
        <v>38</v>
      </c>
      <c r="F95" s="40"/>
      <c r="G95" s="40" t="s">
        <v>29</v>
      </c>
      <c r="H95" s="200">
        <v>1000</v>
      </c>
      <c r="I95" s="41">
        <v>200</v>
      </c>
      <c r="J95" s="40" t="s">
        <v>30</v>
      </c>
      <c r="K95" s="40" t="s">
        <v>31</v>
      </c>
    </row>
    <row r="96" spans="1:11" ht="15.75" customHeight="1">
      <c r="A96" s="42">
        <v>9</v>
      </c>
      <c r="B96" s="40" t="s">
        <v>2227</v>
      </c>
      <c r="C96" s="40" t="s">
        <v>25</v>
      </c>
      <c r="D96" s="40" t="s">
        <v>2228</v>
      </c>
      <c r="E96" s="40" t="s">
        <v>141</v>
      </c>
      <c r="F96" s="40"/>
      <c r="G96" s="40" t="s">
        <v>29</v>
      </c>
      <c r="H96" s="200">
        <v>1000</v>
      </c>
      <c r="I96" s="41">
        <v>200</v>
      </c>
      <c r="J96" s="40" t="s">
        <v>30</v>
      </c>
      <c r="K96" s="40" t="s">
        <v>31</v>
      </c>
    </row>
    <row r="97" spans="1:11" ht="15.75" customHeight="1">
      <c r="A97" s="42">
        <v>9</v>
      </c>
      <c r="B97" s="40" t="s">
        <v>3857</v>
      </c>
      <c r="C97" s="40" t="s">
        <v>25</v>
      </c>
      <c r="D97" s="40" t="s">
        <v>3858</v>
      </c>
      <c r="E97" s="40" t="s">
        <v>46</v>
      </c>
      <c r="F97" s="40"/>
      <c r="G97" s="40" t="s">
        <v>29</v>
      </c>
      <c r="H97" s="200">
        <v>400</v>
      </c>
      <c r="I97" s="41">
        <v>80</v>
      </c>
      <c r="J97" s="40" t="s">
        <v>30</v>
      </c>
      <c r="K97" s="40" t="s">
        <v>31</v>
      </c>
    </row>
    <row r="98" spans="1:11" ht="15.75" customHeight="1">
      <c r="A98" s="42">
        <v>9</v>
      </c>
      <c r="B98" s="40" t="s">
        <v>3859</v>
      </c>
      <c r="C98" s="40" t="s">
        <v>25</v>
      </c>
      <c r="D98" s="40" t="s">
        <v>2978</v>
      </c>
      <c r="E98" s="40" t="s">
        <v>50</v>
      </c>
      <c r="F98" s="40"/>
      <c r="G98" s="40" t="s">
        <v>29</v>
      </c>
      <c r="H98" s="200">
        <v>500</v>
      </c>
      <c r="I98" s="41">
        <v>100</v>
      </c>
      <c r="J98" s="40" t="s">
        <v>30</v>
      </c>
      <c r="K98" s="40" t="s">
        <v>31</v>
      </c>
    </row>
    <row r="99" spans="1:11" ht="15.75" customHeight="1">
      <c r="A99" s="42">
        <v>9</v>
      </c>
      <c r="B99" s="40" t="s">
        <v>3860</v>
      </c>
      <c r="C99" s="40" t="s">
        <v>25</v>
      </c>
      <c r="D99" s="40" t="s">
        <v>782</v>
      </c>
      <c r="E99" s="40" t="s">
        <v>150</v>
      </c>
      <c r="F99" s="40"/>
      <c r="G99" s="40" t="s">
        <v>29</v>
      </c>
      <c r="H99" s="200">
        <v>500</v>
      </c>
      <c r="I99" s="41">
        <v>100</v>
      </c>
      <c r="J99" s="40" t="s">
        <v>30</v>
      </c>
      <c r="K99" s="40" t="s">
        <v>31</v>
      </c>
    </row>
    <row r="100" spans="1:11" ht="15.75" customHeight="1">
      <c r="A100" s="42">
        <v>9</v>
      </c>
      <c r="B100" s="40" t="s">
        <v>3861</v>
      </c>
      <c r="C100" s="40" t="s">
        <v>25</v>
      </c>
      <c r="D100" s="40" t="s">
        <v>185</v>
      </c>
      <c r="E100" s="40" t="s">
        <v>42</v>
      </c>
      <c r="F100" s="40"/>
      <c r="G100" s="40" t="s">
        <v>29</v>
      </c>
      <c r="H100" s="200">
        <v>200</v>
      </c>
      <c r="I100" s="41">
        <v>40</v>
      </c>
      <c r="J100" s="40" t="s">
        <v>30</v>
      </c>
      <c r="K100" s="40" t="s">
        <v>31</v>
      </c>
    </row>
    <row r="101" spans="1:11" ht="15.75" customHeight="1">
      <c r="A101" s="42">
        <v>9</v>
      </c>
      <c r="B101" s="40" t="s">
        <v>3862</v>
      </c>
      <c r="C101" s="40" t="s">
        <v>25</v>
      </c>
      <c r="D101" s="40" t="s">
        <v>3046</v>
      </c>
      <c r="E101" s="40" t="s">
        <v>141</v>
      </c>
      <c r="F101" s="40"/>
      <c r="G101" s="40" t="s">
        <v>29</v>
      </c>
      <c r="H101" s="200">
        <v>4000</v>
      </c>
      <c r="I101" s="41" t="s">
        <v>101</v>
      </c>
      <c r="J101" s="40" t="s">
        <v>30</v>
      </c>
      <c r="K101" s="40" t="s">
        <v>31</v>
      </c>
    </row>
    <row r="102" spans="1:11" ht="15.75" customHeight="1">
      <c r="A102" s="42">
        <v>9</v>
      </c>
      <c r="B102" s="40" t="s">
        <v>3863</v>
      </c>
      <c r="C102" s="40" t="s">
        <v>25</v>
      </c>
      <c r="D102" s="40" t="s">
        <v>33</v>
      </c>
      <c r="E102" s="40" t="s">
        <v>38</v>
      </c>
      <c r="F102" s="40"/>
      <c r="G102" s="40" t="s">
        <v>29</v>
      </c>
      <c r="H102" s="200">
        <v>500</v>
      </c>
      <c r="I102" s="41" t="s">
        <v>101</v>
      </c>
      <c r="J102" s="40" t="s">
        <v>30</v>
      </c>
      <c r="K102" s="40" t="s">
        <v>31</v>
      </c>
    </row>
    <row r="103" spans="1:11" ht="15.75" customHeight="1">
      <c r="A103" s="42">
        <v>9</v>
      </c>
      <c r="B103" s="40" t="s">
        <v>3864</v>
      </c>
      <c r="C103" s="40" t="s">
        <v>25</v>
      </c>
      <c r="D103" s="40" t="s">
        <v>248</v>
      </c>
      <c r="E103" s="40" t="s">
        <v>249</v>
      </c>
      <c r="F103" s="40"/>
      <c r="G103" s="40" t="s">
        <v>29</v>
      </c>
      <c r="H103" s="200">
        <v>1000</v>
      </c>
      <c r="I103" s="41">
        <v>200</v>
      </c>
      <c r="J103" s="40" t="s">
        <v>30</v>
      </c>
      <c r="K103" s="40" t="s">
        <v>31</v>
      </c>
    </row>
    <row r="104" spans="1:11" ht="15.75" customHeight="1">
      <c r="A104" s="42">
        <v>9</v>
      </c>
      <c r="B104" s="40" t="s">
        <v>3865</v>
      </c>
      <c r="C104" s="40" t="s">
        <v>25</v>
      </c>
      <c r="D104" s="40" t="s">
        <v>841</v>
      </c>
      <c r="E104" s="40" t="s">
        <v>533</v>
      </c>
      <c r="F104" s="40"/>
      <c r="G104" s="40" t="s">
        <v>29</v>
      </c>
      <c r="H104" s="200">
        <v>1000</v>
      </c>
      <c r="I104" s="41">
        <v>200</v>
      </c>
      <c r="J104" s="40" t="s">
        <v>30</v>
      </c>
      <c r="K104" s="40" t="s">
        <v>31</v>
      </c>
    </row>
    <row r="105" spans="1:11" ht="15.75" customHeight="1">
      <c r="A105" s="42">
        <v>9</v>
      </c>
      <c r="B105" s="40" t="s">
        <v>3866</v>
      </c>
      <c r="C105" s="40" t="s">
        <v>25</v>
      </c>
      <c r="D105" s="40" t="s">
        <v>77</v>
      </c>
      <c r="E105" s="40" t="s">
        <v>78</v>
      </c>
      <c r="F105" s="40"/>
      <c r="G105" s="40" t="s">
        <v>29</v>
      </c>
      <c r="H105" s="200">
        <v>1000</v>
      </c>
      <c r="I105" s="41">
        <v>200</v>
      </c>
      <c r="J105" s="40" t="s">
        <v>30</v>
      </c>
      <c r="K105" s="40" t="s">
        <v>31</v>
      </c>
    </row>
    <row r="106" spans="1:11" ht="15.75" customHeight="1">
      <c r="A106" s="42">
        <v>9</v>
      </c>
      <c r="B106" s="40" t="s">
        <v>3867</v>
      </c>
      <c r="C106" s="40" t="s">
        <v>25</v>
      </c>
      <c r="D106" s="40" t="s">
        <v>3868</v>
      </c>
      <c r="E106" s="40" t="s">
        <v>768</v>
      </c>
      <c r="F106" s="40"/>
      <c r="G106" s="40" t="s">
        <v>29</v>
      </c>
      <c r="H106" s="200">
        <v>1000</v>
      </c>
      <c r="I106" s="41">
        <v>200</v>
      </c>
      <c r="J106" s="40" t="s">
        <v>30</v>
      </c>
      <c r="K106" s="40" t="s">
        <v>31</v>
      </c>
    </row>
    <row r="107" spans="1:11" ht="15.75" customHeight="1">
      <c r="A107" s="42">
        <v>9</v>
      </c>
      <c r="B107" s="40" t="s">
        <v>1823</v>
      </c>
      <c r="C107" s="40" t="s">
        <v>25</v>
      </c>
      <c r="D107" s="40" t="s">
        <v>841</v>
      </c>
      <c r="E107" s="40" t="s">
        <v>533</v>
      </c>
      <c r="F107" s="40"/>
      <c r="G107" s="40" t="s">
        <v>29</v>
      </c>
      <c r="H107" s="200">
        <v>1000</v>
      </c>
      <c r="I107" s="41">
        <v>200</v>
      </c>
      <c r="J107" s="40" t="s">
        <v>30</v>
      </c>
      <c r="K107" s="40" t="s">
        <v>31</v>
      </c>
    </row>
    <row r="108" spans="1:11" ht="15.75" customHeight="1">
      <c r="A108" s="431">
        <v>9</v>
      </c>
      <c r="B108" s="432" t="s">
        <v>3869</v>
      </c>
      <c r="C108" s="40" t="s">
        <v>25</v>
      </c>
      <c r="D108" s="40" t="s">
        <v>2356</v>
      </c>
      <c r="E108" s="40" t="s">
        <v>1308</v>
      </c>
      <c r="F108" s="40"/>
      <c r="G108" s="40" t="s">
        <v>29</v>
      </c>
      <c r="H108" s="200">
        <v>1000</v>
      </c>
      <c r="I108" s="41">
        <v>200</v>
      </c>
      <c r="J108" s="40" t="s">
        <v>30</v>
      </c>
      <c r="K108" s="40" t="s">
        <v>31</v>
      </c>
    </row>
    <row r="109" spans="1:11" ht="15.75" customHeight="1">
      <c r="A109" s="431">
        <v>9</v>
      </c>
      <c r="B109" s="432" t="s">
        <v>3870</v>
      </c>
      <c r="C109" s="40" t="s">
        <v>59</v>
      </c>
      <c r="D109" s="40" t="s">
        <v>831</v>
      </c>
      <c r="E109" s="40" t="s">
        <v>50</v>
      </c>
      <c r="F109" s="40"/>
      <c r="G109" s="40" t="s">
        <v>29</v>
      </c>
      <c r="H109" s="200">
        <v>1000</v>
      </c>
      <c r="I109" s="41">
        <v>200</v>
      </c>
      <c r="J109" s="40" t="s">
        <v>30</v>
      </c>
      <c r="K109" s="40" t="s">
        <v>31</v>
      </c>
    </row>
    <row r="110" spans="1:11" ht="15.75" customHeight="1">
      <c r="A110" s="42">
        <v>9</v>
      </c>
      <c r="B110" s="40" t="s">
        <v>3871</v>
      </c>
      <c r="C110" s="40" t="s">
        <v>25</v>
      </c>
      <c r="D110" s="40" t="s">
        <v>1282</v>
      </c>
      <c r="E110" s="40" t="s">
        <v>38</v>
      </c>
      <c r="F110" s="40"/>
      <c r="G110" s="40" t="s">
        <v>29</v>
      </c>
      <c r="H110" s="200">
        <v>1000</v>
      </c>
      <c r="I110" s="41">
        <v>200</v>
      </c>
      <c r="J110" s="40" t="s">
        <v>30</v>
      </c>
      <c r="K110" s="40" t="s">
        <v>31</v>
      </c>
    </row>
    <row r="111" spans="1:11" ht="15.75" customHeight="1">
      <c r="A111" s="42">
        <v>9</v>
      </c>
      <c r="B111" s="40" t="s">
        <v>3872</v>
      </c>
      <c r="C111" s="40" t="s">
        <v>25</v>
      </c>
      <c r="D111" s="40" t="s">
        <v>826</v>
      </c>
      <c r="E111" s="40" t="s">
        <v>96</v>
      </c>
      <c r="F111" s="40"/>
      <c r="G111" s="40" t="s">
        <v>29</v>
      </c>
      <c r="H111" s="200">
        <v>1000</v>
      </c>
      <c r="I111" s="41">
        <v>200</v>
      </c>
      <c r="J111" s="40" t="s">
        <v>30</v>
      </c>
      <c r="K111" s="40" t="s">
        <v>31</v>
      </c>
    </row>
    <row r="112" spans="1:11" ht="15.75" customHeight="1">
      <c r="A112" s="42">
        <v>9</v>
      </c>
      <c r="B112" s="40" t="s">
        <v>3873</v>
      </c>
      <c r="C112" s="40" t="s">
        <v>59</v>
      </c>
      <c r="D112" s="40" t="s">
        <v>74</v>
      </c>
      <c r="E112" s="40" t="s">
        <v>38</v>
      </c>
      <c r="F112" s="40"/>
      <c r="G112" s="40" t="s">
        <v>29</v>
      </c>
      <c r="H112" s="200">
        <v>1000</v>
      </c>
      <c r="I112" s="41">
        <v>200</v>
      </c>
      <c r="J112" s="40" t="s">
        <v>30</v>
      </c>
      <c r="K112" s="40" t="s">
        <v>31</v>
      </c>
    </row>
    <row r="113" spans="1:11" ht="15.75" customHeight="1">
      <c r="A113" s="42">
        <v>9</v>
      </c>
      <c r="B113" s="40" t="s">
        <v>3874</v>
      </c>
      <c r="C113" s="40" t="s">
        <v>25</v>
      </c>
      <c r="D113" s="40" t="s">
        <v>3583</v>
      </c>
      <c r="E113" s="40" t="s">
        <v>46</v>
      </c>
      <c r="F113" s="40"/>
      <c r="G113" s="40" t="s">
        <v>29</v>
      </c>
      <c r="H113" s="200">
        <v>1000</v>
      </c>
      <c r="I113" s="41">
        <v>200</v>
      </c>
      <c r="J113" s="40" t="s">
        <v>30</v>
      </c>
      <c r="K113" s="40" t="s">
        <v>31</v>
      </c>
    </row>
    <row r="114" spans="1:11" ht="15.75" customHeight="1">
      <c r="A114" s="42">
        <v>9</v>
      </c>
      <c r="B114" s="40" t="s">
        <v>3875</v>
      </c>
      <c r="C114" s="40" t="s">
        <v>59</v>
      </c>
      <c r="D114" s="40" t="s">
        <v>779</v>
      </c>
      <c r="E114" s="40" t="s">
        <v>42</v>
      </c>
      <c r="F114" s="40"/>
      <c r="G114" s="40" t="s">
        <v>29</v>
      </c>
      <c r="H114" s="200">
        <v>3000</v>
      </c>
      <c r="I114" s="41">
        <v>900</v>
      </c>
      <c r="J114" s="40" t="s">
        <v>30</v>
      </c>
      <c r="K114" s="40" t="s">
        <v>31</v>
      </c>
    </row>
    <row r="115" spans="1:11" ht="15.75" customHeight="1">
      <c r="A115" s="42">
        <v>10</v>
      </c>
      <c r="B115" s="40" t="s">
        <v>2375</v>
      </c>
      <c r="C115" s="40" t="s">
        <v>25</v>
      </c>
      <c r="D115" s="40" t="s">
        <v>99</v>
      </c>
      <c r="E115" s="40" t="s">
        <v>42</v>
      </c>
      <c r="F115" s="40"/>
      <c r="G115" s="40" t="s">
        <v>29</v>
      </c>
      <c r="H115" s="200">
        <v>1000</v>
      </c>
      <c r="I115" s="41">
        <v>200</v>
      </c>
      <c r="J115" s="40" t="s">
        <v>30</v>
      </c>
      <c r="K115" s="40" t="s">
        <v>31</v>
      </c>
    </row>
    <row r="116" spans="1:11" ht="15.75" customHeight="1">
      <c r="A116" s="42">
        <v>10</v>
      </c>
      <c r="B116" s="40" t="s">
        <v>3876</v>
      </c>
      <c r="C116" s="40" t="s">
        <v>25</v>
      </c>
      <c r="D116" s="40" t="s">
        <v>55</v>
      </c>
      <c r="E116" s="40" t="s">
        <v>96</v>
      </c>
      <c r="F116" s="40"/>
      <c r="G116" s="40" t="s">
        <v>29</v>
      </c>
      <c r="H116" s="200">
        <v>1000</v>
      </c>
      <c r="I116" s="41">
        <v>200</v>
      </c>
      <c r="J116" s="40" t="s">
        <v>30</v>
      </c>
      <c r="K116" s="40" t="s">
        <v>31</v>
      </c>
    </row>
    <row r="117" spans="1:11" ht="15.75" customHeight="1">
      <c r="A117" s="42">
        <v>10</v>
      </c>
      <c r="B117" s="40" t="s">
        <v>2148</v>
      </c>
      <c r="C117" s="40" t="s">
        <v>25</v>
      </c>
      <c r="D117" s="40" t="s">
        <v>2588</v>
      </c>
      <c r="E117" s="40" t="s">
        <v>311</v>
      </c>
      <c r="F117" s="40"/>
      <c r="G117" s="40" t="s">
        <v>29</v>
      </c>
      <c r="H117" s="200">
        <v>1000</v>
      </c>
      <c r="I117" s="41">
        <v>200</v>
      </c>
      <c r="J117" s="40" t="s">
        <v>30</v>
      </c>
      <c r="K117" s="40" t="s">
        <v>31</v>
      </c>
    </row>
    <row r="118" spans="1:11" ht="15.75" customHeight="1">
      <c r="A118" s="42">
        <v>10</v>
      </c>
      <c r="B118" s="40" t="s">
        <v>3877</v>
      </c>
      <c r="C118" s="40" t="s">
        <v>25</v>
      </c>
      <c r="D118" s="40" t="s">
        <v>3878</v>
      </c>
      <c r="E118" s="40" t="s">
        <v>533</v>
      </c>
      <c r="F118" s="40"/>
      <c r="G118" s="40" t="s">
        <v>29</v>
      </c>
      <c r="H118" s="200">
        <v>1000</v>
      </c>
      <c r="I118" s="41">
        <v>200</v>
      </c>
      <c r="J118" s="40" t="s">
        <v>30</v>
      </c>
      <c r="K118" s="40" t="s">
        <v>31</v>
      </c>
    </row>
    <row r="119" spans="1:11" ht="15.75" customHeight="1">
      <c r="A119" s="42">
        <v>10</v>
      </c>
      <c r="B119" s="40" t="s">
        <v>3879</v>
      </c>
      <c r="C119" s="40" t="s">
        <v>25</v>
      </c>
      <c r="D119" s="40" t="s">
        <v>206</v>
      </c>
      <c r="E119" s="40" t="s">
        <v>96</v>
      </c>
      <c r="F119" s="40"/>
      <c r="G119" s="40" t="s">
        <v>29</v>
      </c>
      <c r="H119" s="200">
        <v>1000</v>
      </c>
      <c r="I119" s="41">
        <v>200</v>
      </c>
      <c r="J119" s="40" t="s">
        <v>30</v>
      </c>
      <c r="K119" s="40" t="s">
        <v>31</v>
      </c>
    </row>
    <row r="120" spans="1:11" ht="15.75" customHeight="1">
      <c r="A120" s="42">
        <v>10</v>
      </c>
      <c r="B120" s="40" t="s">
        <v>3880</v>
      </c>
      <c r="C120" s="40" t="s">
        <v>25</v>
      </c>
      <c r="D120" s="40" t="s">
        <v>206</v>
      </c>
      <c r="E120" s="40" t="s">
        <v>96</v>
      </c>
      <c r="F120" s="40"/>
      <c r="G120" s="40" t="s">
        <v>29</v>
      </c>
      <c r="H120" s="200">
        <v>1000</v>
      </c>
      <c r="I120" s="41">
        <v>200</v>
      </c>
      <c r="J120" s="40" t="s">
        <v>30</v>
      </c>
      <c r="K120" s="40" t="s">
        <v>31</v>
      </c>
    </row>
    <row r="121" spans="1:11" ht="15.75" customHeight="1">
      <c r="A121" s="42">
        <v>10</v>
      </c>
      <c r="B121" s="40" t="s">
        <v>3881</v>
      </c>
      <c r="C121" s="40" t="s">
        <v>25</v>
      </c>
      <c r="D121" s="40" t="s">
        <v>3882</v>
      </c>
      <c r="E121" s="40" t="s">
        <v>311</v>
      </c>
      <c r="F121" s="40"/>
      <c r="G121" s="40" t="s">
        <v>29</v>
      </c>
      <c r="H121" s="200">
        <v>2000</v>
      </c>
      <c r="I121" s="41">
        <v>400</v>
      </c>
      <c r="J121" s="40" t="s">
        <v>30</v>
      </c>
      <c r="K121" s="40" t="s">
        <v>31</v>
      </c>
    </row>
    <row r="122" spans="1:11" ht="15.75" customHeight="1">
      <c r="A122" s="42">
        <v>10</v>
      </c>
      <c r="B122" s="40" t="s">
        <v>3883</v>
      </c>
      <c r="C122" s="40" t="s">
        <v>25</v>
      </c>
      <c r="D122" s="40" t="s">
        <v>81</v>
      </c>
      <c r="E122" s="40" t="s">
        <v>318</v>
      </c>
      <c r="F122" s="40"/>
      <c r="G122" s="40" t="s">
        <v>29</v>
      </c>
      <c r="H122" s="200">
        <v>2000</v>
      </c>
      <c r="I122" s="41">
        <v>400</v>
      </c>
      <c r="J122" s="40" t="s">
        <v>30</v>
      </c>
      <c r="K122" s="40" t="s">
        <v>31</v>
      </c>
    </row>
    <row r="123" spans="1:11" ht="15.75" customHeight="1">
      <c r="A123" s="42">
        <v>10</v>
      </c>
      <c r="B123" s="40" t="s">
        <v>609</v>
      </c>
      <c r="C123" s="40" t="s">
        <v>25</v>
      </c>
      <c r="D123" s="40" t="s">
        <v>86</v>
      </c>
      <c r="E123" s="40" t="s">
        <v>42</v>
      </c>
      <c r="F123" s="40"/>
      <c r="G123" s="40" t="s">
        <v>29</v>
      </c>
      <c r="H123" s="200">
        <v>2000</v>
      </c>
      <c r="I123" s="41">
        <v>400</v>
      </c>
      <c r="J123" s="40" t="s">
        <v>30</v>
      </c>
      <c r="K123" s="40" t="s">
        <v>31</v>
      </c>
    </row>
    <row r="124" spans="1:11" ht="15.75" customHeight="1">
      <c r="A124" s="42">
        <v>10</v>
      </c>
      <c r="B124" s="40" t="s">
        <v>2917</v>
      </c>
      <c r="C124" s="40" t="s">
        <v>25</v>
      </c>
      <c r="D124" s="40" t="s">
        <v>2918</v>
      </c>
      <c r="E124" s="40" t="s">
        <v>1461</v>
      </c>
      <c r="F124" s="40"/>
      <c r="G124" s="40" t="s">
        <v>29</v>
      </c>
      <c r="H124" s="200">
        <v>2000</v>
      </c>
      <c r="I124" s="41">
        <v>400</v>
      </c>
      <c r="J124" s="40" t="s">
        <v>30</v>
      </c>
      <c r="K124" s="40" t="s">
        <v>31</v>
      </c>
    </row>
    <row r="125" spans="1:11" ht="15.75" customHeight="1">
      <c r="A125" s="42">
        <v>10</v>
      </c>
      <c r="B125" s="40" t="s">
        <v>3884</v>
      </c>
      <c r="C125" s="40" t="s">
        <v>25</v>
      </c>
      <c r="D125" s="40" t="s">
        <v>3885</v>
      </c>
      <c r="E125" s="40" t="s">
        <v>1927</v>
      </c>
      <c r="F125" s="40"/>
      <c r="G125" s="40" t="s">
        <v>29</v>
      </c>
      <c r="H125" s="200">
        <v>5000</v>
      </c>
      <c r="I125" s="41">
        <v>1500</v>
      </c>
      <c r="J125" s="40" t="s">
        <v>30</v>
      </c>
      <c r="K125" s="40" t="s">
        <v>31</v>
      </c>
    </row>
    <row r="126" spans="1:11" ht="15.75" customHeight="1">
      <c r="A126" s="42">
        <v>10</v>
      </c>
      <c r="B126" s="40" t="s">
        <v>3886</v>
      </c>
      <c r="C126" s="40" t="s">
        <v>25</v>
      </c>
      <c r="D126" s="40" t="s">
        <v>1432</v>
      </c>
      <c r="E126" s="40" t="s">
        <v>219</v>
      </c>
      <c r="F126" s="40"/>
      <c r="G126" s="40" t="s">
        <v>29</v>
      </c>
      <c r="H126" s="200">
        <v>500</v>
      </c>
      <c r="I126" s="41">
        <v>100</v>
      </c>
      <c r="J126" s="40" t="s">
        <v>30</v>
      </c>
      <c r="K126" s="40" t="s">
        <v>31</v>
      </c>
    </row>
    <row r="127" spans="1:11" ht="15.75" customHeight="1">
      <c r="A127" s="42">
        <v>10</v>
      </c>
      <c r="B127" s="40" t="s">
        <v>3887</v>
      </c>
      <c r="C127" s="40" t="s">
        <v>59</v>
      </c>
      <c r="D127" s="40" t="s">
        <v>60</v>
      </c>
      <c r="E127" s="40" t="s">
        <v>801</v>
      </c>
      <c r="F127" s="40"/>
      <c r="G127" s="40" t="s">
        <v>29</v>
      </c>
      <c r="H127" s="200">
        <v>1000</v>
      </c>
      <c r="I127" s="41">
        <v>200</v>
      </c>
      <c r="J127" s="40" t="s">
        <v>30</v>
      </c>
      <c r="K127" s="40" t="s">
        <v>31</v>
      </c>
    </row>
    <row r="128" spans="1:11" ht="15.75" customHeight="1">
      <c r="A128" s="42">
        <v>10</v>
      </c>
      <c r="B128" s="40" t="s">
        <v>3888</v>
      </c>
      <c r="C128" s="40" t="s">
        <v>25</v>
      </c>
      <c r="D128" s="40" t="s">
        <v>63</v>
      </c>
      <c r="E128" s="40" t="s">
        <v>561</v>
      </c>
      <c r="F128" s="40"/>
      <c r="G128" s="40" t="s">
        <v>29</v>
      </c>
      <c r="H128" s="200">
        <v>10000</v>
      </c>
      <c r="I128" s="41">
        <v>3000</v>
      </c>
      <c r="J128" s="40" t="s">
        <v>30</v>
      </c>
      <c r="K128" s="40" t="s">
        <v>31</v>
      </c>
    </row>
    <row r="129" spans="1:11" ht="15.75" customHeight="1">
      <c r="A129" s="42">
        <v>11</v>
      </c>
      <c r="B129" s="40" t="s">
        <v>3889</v>
      </c>
      <c r="C129" s="40" t="s">
        <v>25</v>
      </c>
      <c r="D129" s="40" t="s">
        <v>169</v>
      </c>
      <c r="E129" s="40" t="s">
        <v>78</v>
      </c>
      <c r="F129" s="40"/>
      <c r="G129" s="40" t="s">
        <v>29</v>
      </c>
      <c r="H129" s="200">
        <v>500</v>
      </c>
      <c r="I129" s="41">
        <v>100</v>
      </c>
      <c r="J129" s="40" t="s">
        <v>30</v>
      </c>
      <c r="K129" s="40" t="s">
        <v>31</v>
      </c>
    </row>
    <row r="130" spans="1:11" ht="15.75" customHeight="1">
      <c r="A130" s="42">
        <v>11</v>
      </c>
      <c r="B130" s="40" t="s">
        <v>3890</v>
      </c>
      <c r="C130" s="40" t="s">
        <v>25</v>
      </c>
      <c r="D130" s="40" t="s">
        <v>303</v>
      </c>
      <c r="E130" s="40" t="s">
        <v>96</v>
      </c>
      <c r="F130" s="40"/>
      <c r="G130" s="40" t="s">
        <v>29</v>
      </c>
      <c r="H130" s="200">
        <v>500</v>
      </c>
      <c r="I130" s="41" t="s">
        <v>101</v>
      </c>
      <c r="J130" s="40" t="s">
        <v>30</v>
      </c>
      <c r="K130" s="40" t="s">
        <v>31</v>
      </c>
    </row>
    <row r="131" spans="1:11" ht="15.75" customHeight="1">
      <c r="A131" s="42">
        <v>11</v>
      </c>
      <c r="B131" s="40" t="s">
        <v>3890</v>
      </c>
      <c r="C131" s="40" t="s">
        <v>25</v>
      </c>
      <c r="D131" s="40" t="s">
        <v>303</v>
      </c>
      <c r="E131" s="40" t="s">
        <v>96</v>
      </c>
      <c r="F131" s="40"/>
      <c r="G131" s="40" t="s">
        <v>29</v>
      </c>
      <c r="H131" s="200">
        <v>500</v>
      </c>
      <c r="I131" s="41">
        <v>100</v>
      </c>
      <c r="J131" s="40" t="s">
        <v>30</v>
      </c>
      <c r="K131" s="40" t="s">
        <v>31</v>
      </c>
    </row>
    <row r="132" spans="1:11" ht="15.75" customHeight="1">
      <c r="A132" s="42">
        <v>11</v>
      </c>
      <c r="B132" s="40" t="s">
        <v>3891</v>
      </c>
      <c r="C132" s="40" t="s">
        <v>25</v>
      </c>
      <c r="D132" s="40" t="s">
        <v>303</v>
      </c>
      <c r="E132" s="40" t="s">
        <v>96</v>
      </c>
      <c r="F132" s="40"/>
      <c r="G132" s="40" t="s">
        <v>29</v>
      </c>
      <c r="H132" s="200">
        <v>500</v>
      </c>
      <c r="I132" s="41" t="s">
        <v>101</v>
      </c>
      <c r="J132" s="40" t="s">
        <v>30</v>
      </c>
      <c r="K132" s="40" t="s">
        <v>31</v>
      </c>
    </row>
    <row r="133" spans="1:11" ht="15.75" customHeight="1">
      <c r="A133" s="42">
        <v>11</v>
      </c>
      <c r="B133" s="40" t="s">
        <v>3891</v>
      </c>
      <c r="C133" s="40" t="s">
        <v>25</v>
      </c>
      <c r="D133" s="40" t="s">
        <v>303</v>
      </c>
      <c r="E133" s="40" t="s">
        <v>96</v>
      </c>
      <c r="F133" s="40"/>
      <c r="G133" s="40" t="s">
        <v>29</v>
      </c>
      <c r="H133" s="200">
        <v>500</v>
      </c>
      <c r="I133" s="41">
        <v>100</v>
      </c>
      <c r="J133" s="40" t="s">
        <v>30</v>
      </c>
      <c r="K133" s="40" t="s">
        <v>31</v>
      </c>
    </row>
    <row r="134" spans="1:11" ht="15.75" customHeight="1">
      <c r="A134" s="438">
        <v>11</v>
      </c>
      <c r="B134" s="439" t="s">
        <v>3730</v>
      </c>
      <c r="C134" s="40" t="s">
        <v>25</v>
      </c>
      <c r="D134" s="40" t="s">
        <v>3892</v>
      </c>
      <c r="E134" s="40" t="s">
        <v>3614</v>
      </c>
      <c r="F134" s="40"/>
      <c r="G134" s="40" t="s">
        <v>29</v>
      </c>
      <c r="H134" s="200">
        <v>500</v>
      </c>
      <c r="I134" s="41">
        <v>100</v>
      </c>
      <c r="J134" s="40" t="s">
        <v>30</v>
      </c>
      <c r="K134" s="40" t="s">
        <v>31</v>
      </c>
    </row>
    <row r="135" spans="1:11" ht="15.75" customHeight="1">
      <c r="A135" s="438">
        <v>11</v>
      </c>
      <c r="B135" s="439" t="s">
        <v>3893</v>
      </c>
      <c r="C135" s="40" t="s">
        <v>25</v>
      </c>
      <c r="D135" s="40" t="s">
        <v>89</v>
      </c>
      <c r="E135" s="40" t="s">
        <v>38</v>
      </c>
      <c r="F135" s="40"/>
      <c r="G135" s="40" t="s">
        <v>29</v>
      </c>
      <c r="H135" s="200">
        <v>500</v>
      </c>
      <c r="I135" s="41">
        <v>100</v>
      </c>
      <c r="J135" s="40" t="s">
        <v>30</v>
      </c>
      <c r="K135" s="40" t="s">
        <v>31</v>
      </c>
    </row>
    <row r="136" spans="1:11" ht="15.75" customHeight="1">
      <c r="A136" s="438">
        <v>11</v>
      </c>
      <c r="B136" s="439" t="s">
        <v>3894</v>
      </c>
      <c r="C136" s="40" t="s">
        <v>59</v>
      </c>
      <c r="D136" s="40" t="s">
        <v>3895</v>
      </c>
      <c r="E136" s="40" t="s">
        <v>870</v>
      </c>
      <c r="F136" s="40"/>
      <c r="G136" s="40" t="s">
        <v>29</v>
      </c>
      <c r="H136" s="200">
        <v>500</v>
      </c>
      <c r="I136" s="41">
        <v>100</v>
      </c>
      <c r="J136" s="40" t="s">
        <v>30</v>
      </c>
      <c r="K136" s="40" t="s">
        <v>31</v>
      </c>
    </row>
    <row r="137" spans="1:11" ht="15.75" customHeight="1">
      <c r="A137" s="438">
        <v>11</v>
      </c>
      <c r="B137" s="439" t="s">
        <v>3896</v>
      </c>
      <c r="C137" s="40" t="s">
        <v>25</v>
      </c>
      <c r="D137" s="40" t="s">
        <v>710</v>
      </c>
      <c r="E137" s="40" t="s">
        <v>216</v>
      </c>
      <c r="F137" s="40"/>
      <c r="G137" s="40" t="s">
        <v>29</v>
      </c>
      <c r="H137" s="200">
        <v>500</v>
      </c>
      <c r="I137" s="41">
        <v>100</v>
      </c>
      <c r="J137" s="40" t="s">
        <v>30</v>
      </c>
      <c r="K137" s="40" t="s">
        <v>31</v>
      </c>
    </row>
    <row r="138" spans="1:11" ht="15.75" customHeight="1">
      <c r="A138" s="438">
        <v>11</v>
      </c>
      <c r="B138" s="439" t="s">
        <v>3897</v>
      </c>
      <c r="C138" s="40" t="s">
        <v>25</v>
      </c>
      <c r="D138" s="40" t="s">
        <v>792</v>
      </c>
      <c r="E138" s="40" t="s">
        <v>249</v>
      </c>
      <c r="F138" s="40"/>
      <c r="G138" s="468" t="s">
        <v>29</v>
      </c>
      <c r="H138" s="200">
        <v>500</v>
      </c>
      <c r="I138" s="41">
        <v>100</v>
      </c>
      <c r="J138" s="40" t="s">
        <v>30</v>
      </c>
      <c r="K138" s="40" t="s">
        <v>31</v>
      </c>
    </row>
    <row r="139" spans="1:11" ht="15.75" customHeight="1">
      <c r="A139" s="438">
        <v>11</v>
      </c>
      <c r="B139" s="439" t="s">
        <v>3898</v>
      </c>
      <c r="C139" s="40" t="s">
        <v>25</v>
      </c>
      <c r="D139" s="40" t="s">
        <v>3899</v>
      </c>
      <c r="E139" s="40" t="s">
        <v>1491</v>
      </c>
      <c r="F139" s="40"/>
      <c r="G139" s="40" t="s">
        <v>29</v>
      </c>
      <c r="H139" s="200">
        <v>500</v>
      </c>
      <c r="I139" s="41">
        <v>100</v>
      </c>
      <c r="J139" s="40" t="s">
        <v>30</v>
      </c>
      <c r="K139" s="40" t="s">
        <v>31</v>
      </c>
    </row>
    <row r="140" spans="1:11" ht="15.75" customHeight="1">
      <c r="A140" s="438">
        <v>11</v>
      </c>
      <c r="B140" s="439" t="s">
        <v>3900</v>
      </c>
      <c r="C140" s="40" t="s">
        <v>59</v>
      </c>
      <c r="D140" s="40" t="s">
        <v>3899</v>
      </c>
      <c r="E140" s="40" t="s">
        <v>1491</v>
      </c>
      <c r="F140" s="40"/>
      <c r="G140" s="40" t="s">
        <v>29</v>
      </c>
      <c r="H140" s="200">
        <v>500</v>
      </c>
      <c r="I140" s="41">
        <v>100</v>
      </c>
      <c r="J140" s="40" t="s">
        <v>30</v>
      </c>
      <c r="K140" s="40" t="s">
        <v>31</v>
      </c>
    </row>
    <row r="141" spans="1:11" ht="15.75" customHeight="1">
      <c r="A141" s="438">
        <v>11</v>
      </c>
      <c r="B141" s="439" t="s">
        <v>3901</v>
      </c>
      <c r="C141" s="40" t="s">
        <v>25</v>
      </c>
      <c r="D141" s="40" t="s">
        <v>3899</v>
      </c>
      <c r="E141" s="40" t="s">
        <v>1491</v>
      </c>
      <c r="F141" s="40"/>
      <c r="G141" s="40" t="s">
        <v>29</v>
      </c>
      <c r="H141" s="200">
        <v>500</v>
      </c>
      <c r="I141" s="41">
        <v>100</v>
      </c>
      <c r="J141" s="40" t="s">
        <v>30</v>
      </c>
      <c r="K141" s="40" t="s">
        <v>31</v>
      </c>
    </row>
    <row r="142" spans="1:11" ht="15.75" customHeight="1">
      <c r="A142" s="438">
        <v>11</v>
      </c>
      <c r="B142" s="439" t="s">
        <v>3902</v>
      </c>
      <c r="C142" s="40" t="s">
        <v>59</v>
      </c>
      <c r="D142" s="40" t="s">
        <v>3903</v>
      </c>
      <c r="E142" s="40" t="s">
        <v>533</v>
      </c>
      <c r="F142" s="40"/>
      <c r="G142" s="40" t="s">
        <v>29</v>
      </c>
      <c r="H142" s="200">
        <v>500</v>
      </c>
      <c r="I142" s="41">
        <v>100</v>
      </c>
      <c r="J142" s="40" t="s">
        <v>30</v>
      </c>
      <c r="K142" s="40" t="s">
        <v>31</v>
      </c>
    </row>
    <row r="143" spans="1:11" ht="15.75" customHeight="1">
      <c r="A143" s="438">
        <v>11</v>
      </c>
      <c r="B143" s="439" t="s">
        <v>1076</v>
      </c>
      <c r="C143" s="40" t="s">
        <v>25</v>
      </c>
      <c r="D143" s="40" t="s">
        <v>3904</v>
      </c>
      <c r="E143" s="40" t="s">
        <v>561</v>
      </c>
      <c r="F143" s="40"/>
      <c r="G143" s="40" t="s">
        <v>29</v>
      </c>
      <c r="H143" s="200">
        <v>8000</v>
      </c>
      <c r="I143" s="41">
        <v>2400</v>
      </c>
      <c r="J143" s="40" t="s">
        <v>30</v>
      </c>
      <c r="K143" s="40" t="s">
        <v>31</v>
      </c>
    </row>
    <row r="144" spans="1:11" ht="15.75" customHeight="1">
      <c r="A144" s="438">
        <v>15</v>
      </c>
      <c r="B144" s="439" t="s">
        <v>1434</v>
      </c>
      <c r="C144" s="40" t="s">
        <v>25</v>
      </c>
      <c r="D144" s="40" t="s">
        <v>81</v>
      </c>
      <c r="E144" s="40" t="s">
        <v>318</v>
      </c>
      <c r="F144" s="40"/>
      <c r="G144" s="40" t="s">
        <v>29</v>
      </c>
      <c r="H144" s="200">
        <v>500</v>
      </c>
      <c r="I144" s="41">
        <v>100</v>
      </c>
      <c r="J144" s="40" t="s">
        <v>30</v>
      </c>
      <c r="K144" s="40" t="s">
        <v>31</v>
      </c>
    </row>
    <row r="145" spans="1:11" ht="15.75" customHeight="1">
      <c r="A145" s="438">
        <v>15</v>
      </c>
      <c r="B145" s="439" t="s">
        <v>3905</v>
      </c>
      <c r="C145" s="40" t="s">
        <v>25</v>
      </c>
      <c r="D145" s="40" t="s">
        <v>1371</v>
      </c>
      <c r="E145" s="40" t="s">
        <v>96</v>
      </c>
      <c r="F145" s="40"/>
      <c r="G145" s="40" t="s">
        <v>29</v>
      </c>
      <c r="H145" s="200">
        <v>500</v>
      </c>
      <c r="I145" s="41">
        <v>100</v>
      </c>
      <c r="J145" s="40" t="s">
        <v>30</v>
      </c>
      <c r="K145" s="40" t="s">
        <v>31</v>
      </c>
    </row>
    <row r="146" spans="1:11" ht="15.75" customHeight="1">
      <c r="A146" s="438">
        <v>15</v>
      </c>
      <c r="B146" s="439" t="s">
        <v>3906</v>
      </c>
      <c r="C146" s="40" t="s">
        <v>25</v>
      </c>
      <c r="D146" s="40" t="s">
        <v>2248</v>
      </c>
      <c r="E146" s="40" t="s">
        <v>318</v>
      </c>
      <c r="F146" s="40"/>
      <c r="G146" s="40" t="s">
        <v>29</v>
      </c>
      <c r="H146" s="200">
        <v>500</v>
      </c>
      <c r="I146" s="41">
        <v>100</v>
      </c>
      <c r="J146" s="40" t="s">
        <v>30</v>
      </c>
      <c r="K146" s="40" t="s">
        <v>31</v>
      </c>
    </row>
    <row r="147" spans="1:11" ht="15.75" customHeight="1">
      <c r="A147" s="438">
        <v>15</v>
      </c>
      <c r="B147" s="439" t="s">
        <v>3359</v>
      </c>
      <c r="C147" s="40" t="s">
        <v>59</v>
      </c>
      <c r="D147" s="40" t="s">
        <v>792</v>
      </c>
      <c r="E147" s="40" t="s">
        <v>60</v>
      </c>
      <c r="F147" s="40"/>
      <c r="G147" s="40" t="s">
        <v>29</v>
      </c>
      <c r="H147" s="200">
        <v>500</v>
      </c>
      <c r="I147" s="41">
        <v>100</v>
      </c>
      <c r="J147" s="40" t="s">
        <v>30</v>
      </c>
      <c r="K147" s="40" t="s">
        <v>31</v>
      </c>
    </row>
    <row r="148" spans="1:11" ht="15.75" customHeight="1">
      <c r="A148" s="438">
        <v>15</v>
      </c>
      <c r="B148" s="439" t="s">
        <v>3907</v>
      </c>
      <c r="C148" s="40" t="s">
        <v>25</v>
      </c>
      <c r="D148" s="40" t="s">
        <v>3908</v>
      </c>
      <c r="E148" s="40" t="s">
        <v>242</v>
      </c>
      <c r="F148" s="40"/>
      <c r="G148" s="40" t="s">
        <v>29</v>
      </c>
      <c r="H148" s="200">
        <v>500</v>
      </c>
      <c r="I148" s="41">
        <v>100</v>
      </c>
      <c r="J148" s="40" t="s">
        <v>30</v>
      </c>
      <c r="K148" s="40" t="s">
        <v>31</v>
      </c>
    </row>
    <row r="149" spans="1:11" ht="15.75" customHeight="1">
      <c r="A149" s="438">
        <v>15</v>
      </c>
      <c r="B149" s="439" t="s">
        <v>3909</v>
      </c>
      <c r="C149" s="40" t="s">
        <v>59</v>
      </c>
      <c r="D149" s="40" t="s">
        <v>1007</v>
      </c>
      <c r="E149" s="40" t="s">
        <v>258</v>
      </c>
      <c r="F149" s="40"/>
      <c r="G149" s="40" t="s">
        <v>29</v>
      </c>
      <c r="H149" s="200">
        <v>500</v>
      </c>
      <c r="I149" s="41">
        <v>100</v>
      </c>
      <c r="J149" s="40" t="s">
        <v>30</v>
      </c>
      <c r="K149" s="40" t="s">
        <v>31</v>
      </c>
    </row>
    <row r="150" spans="1:11" ht="15.75" customHeight="1">
      <c r="A150" s="438">
        <v>15</v>
      </c>
      <c r="B150" s="439" t="s">
        <v>3910</v>
      </c>
      <c r="C150" s="40" t="s">
        <v>25</v>
      </c>
      <c r="D150" s="40" t="s">
        <v>83</v>
      </c>
      <c r="E150" s="40" t="s">
        <v>46</v>
      </c>
      <c r="F150" s="40"/>
      <c r="G150" s="40" t="s">
        <v>29</v>
      </c>
      <c r="H150" s="200">
        <v>500</v>
      </c>
      <c r="I150" s="41">
        <v>100</v>
      </c>
      <c r="J150" s="40" t="s">
        <v>30</v>
      </c>
      <c r="K150" s="40" t="s">
        <v>31</v>
      </c>
    </row>
    <row r="151" spans="1:11" ht="15.75" customHeight="1">
      <c r="A151" s="438">
        <v>15</v>
      </c>
      <c r="B151" s="439" t="s">
        <v>2103</v>
      </c>
      <c r="C151" s="40" t="s">
        <v>25</v>
      </c>
      <c r="D151" s="40" t="s">
        <v>688</v>
      </c>
      <c r="E151" s="40" t="s">
        <v>38</v>
      </c>
      <c r="F151" s="40"/>
      <c r="G151" s="40" t="s">
        <v>142</v>
      </c>
      <c r="H151" s="200">
        <v>100</v>
      </c>
      <c r="I151" s="41" t="s">
        <v>101</v>
      </c>
      <c r="J151" s="40"/>
      <c r="K151" s="40" t="s">
        <v>31</v>
      </c>
    </row>
    <row r="152" spans="1:11" ht="15.75" customHeight="1">
      <c r="A152" s="438">
        <v>15</v>
      </c>
      <c r="B152" s="439" t="s">
        <v>3911</v>
      </c>
      <c r="C152" s="40" t="s">
        <v>25</v>
      </c>
      <c r="D152" s="40" t="s">
        <v>3796</v>
      </c>
      <c r="E152" s="40" t="s">
        <v>78</v>
      </c>
      <c r="F152" s="40"/>
      <c r="G152" s="40" t="s">
        <v>29</v>
      </c>
      <c r="H152" s="200">
        <v>200</v>
      </c>
      <c r="I152" s="41">
        <v>40</v>
      </c>
      <c r="J152" s="40" t="s">
        <v>30</v>
      </c>
      <c r="K152" s="40" t="s">
        <v>31</v>
      </c>
    </row>
    <row r="153" spans="1:11" ht="15.75" customHeight="1">
      <c r="A153" s="438">
        <v>15</v>
      </c>
      <c r="B153" s="439" t="s">
        <v>3912</v>
      </c>
      <c r="C153" s="40" t="s">
        <v>25</v>
      </c>
      <c r="D153" s="40" t="s">
        <v>688</v>
      </c>
      <c r="E153" s="40" t="s">
        <v>38</v>
      </c>
      <c r="F153" s="40"/>
      <c r="G153" s="40" t="s">
        <v>29</v>
      </c>
      <c r="H153" s="200">
        <v>200</v>
      </c>
      <c r="I153" s="41">
        <v>40</v>
      </c>
      <c r="J153" s="40" t="s">
        <v>30</v>
      </c>
      <c r="K153" s="40" t="s">
        <v>31</v>
      </c>
    </row>
    <row r="154" spans="1:11" ht="15.75" customHeight="1">
      <c r="A154" s="438">
        <v>15</v>
      </c>
      <c r="B154" s="439" t="s">
        <v>3913</v>
      </c>
      <c r="C154" s="40" t="s">
        <v>25</v>
      </c>
      <c r="D154" s="40" t="s">
        <v>27</v>
      </c>
      <c r="E154" s="40" t="s">
        <v>46</v>
      </c>
      <c r="F154" s="40"/>
      <c r="G154" s="40" t="s">
        <v>29</v>
      </c>
      <c r="H154" s="200">
        <v>200</v>
      </c>
      <c r="I154" s="41">
        <v>40</v>
      </c>
      <c r="J154" s="40" t="s">
        <v>30</v>
      </c>
      <c r="K154" s="40" t="s">
        <v>31</v>
      </c>
    </row>
    <row r="155" spans="1:11" ht="15.75" customHeight="1">
      <c r="A155" s="438">
        <v>15</v>
      </c>
      <c r="B155" s="439" t="s">
        <v>3914</v>
      </c>
      <c r="C155" s="40" t="s">
        <v>25</v>
      </c>
      <c r="D155" s="40" t="s">
        <v>947</v>
      </c>
      <c r="E155" s="40" t="s">
        <v>42</v>
      </c>
      <c r="F155" s="40"/>
      <c r="G155" s="40" t="s">
        <v>29</v>
      </c>
      <c r="H155" s="200">
        <v>200</v>
      </c>
      <c r="I155" s="41">
        <v>40</v>
      </c>
      <c r="J155" s="40" t="s">
        <v>30</v>
      </c>
      <c r="K155" s="40" t="s">
        <v>31</v>
      </c>
    </row>
    <row r="156" spans="1:11" ht="15.75" customHeight="1">
      <c r="A156" s="438">
        <v>15</v>
      </c>
      <c r="B156" s="439" t="s">
        <v>3915</v>
      </c>
      <c r="C156" s="40" t="s">
        <v>25</v>
      </c>
      <c r="D156" s="40" t="s">
        <v>548</v>
      </c>
      <c r="E156" s="40" t="s">
        <v>42</v>
      </c>
      <c r="F156" s="40"/>
      <c r="G156" s="40" t="s">
        <v>29</v>
      </c>
      <c r="H156" s="200">
        <v>200</v>
      </c>
      <c r="I156" s="41">
        <v>40</v>
      </c>
      <c r="J156" s="40" t="s">
        <v>30</v>
      </c>
      <c r="K156" s="40" t="s">
        <v>31</v>
      </c>
    </row>
    <row r="157" spans="1:11" ht="15.75" customHeight="1">
      <c r="A157" s="438">
        <v>15</v>
      </c>
      <c r="B157" s="439" t="s">
        <v>3916</v>
      </c>
      <c r="C157" s="40" t="s">
        <v>25</v>
      </c>
      <c r="D157" s="40" t="s">
        <v>92</v>
      </c>
      <c r="E157" s="40" t="s">
        <v>540</v>
      </c>
      <c r="F157" s="40"/>
      <c r="G157" s="40" t="s">
        <v>29</v>
      </c>
      <c r="H157" s="200">
        <v>200</v>
      </c>
      <c r="I157" s="41">
        <v>40</v>
      </c>
      <c r="J157" s="40" t="s">
        <v>30</v>
      </c>
      <c r="K157" s="40" t="s">
        <v>31</v>
      </c>
    </row>
    <row r="158" spans="1:11" ht="15.75" customHeight="1">
      <c r="A158" s="438">
        <v>15</v>
      </c>
      <c r="B158" s="439" t="s">
        <v>3917</v>
      </c>
      <c r="C158" s="40" t="s">
        <v>25</v>
      </c>
      <c r="D158" s="40"/>
      <c r="E158" s="40" t="s">
        <v>533</v>
      </c>
      <c r="F158" s="40"/>
      <c r="G158" s="40" t="s">
        <v>29</v>
      </c>
      <c r="H158" s="200">
        <v>800</v>
      </c>
      <c r="I158" s="41">
        <v>160</v>
      </c>
      <c r="J158" s="40" t="s">
        <v>30</v>
      </c>
      <c r="K158" s="40" t="s">
        <v>31</v>
      </c>
    </row>
    <row r="159" spans="1:11" ht="15.75" customHeight="1">
      <c r="A159" s="438">
        <v>15</v>
      </c>
      <c r="B159" s="439" t="s">
        <v>3918</v>
      </c>
      <c r="C159" s="40" t="s">
        <v>59</v>
      </c>
      <c r="D159" s="40" t="s">
        <v>700</v>
      </c>
      <c r="E159" s="40" t="s">
        <v>46</v>
      </c>
      <c r="F159" s="40"/>
      <c r="G159" s="40" t="s">
        <v>29</v>
      </c>
      <c r="H159" s="200">
        <v>600</v>
      </c>
      <c r="I159" s="41">
        <v>120</v>
      </c>
      <c r="J159" s="40" t="s">
        <v>30</v>
      </c>
      <c r="K159" s="40" t="s">
        <v>31</v>
      </c>
    </row>
    <row r="160" spans="1:11" ht="15.75" customHeight="1">
      <c r="A160" s="438">
        <v>15</v>
      </c>
      <c r="B160" s="439" t="s">
        <v>1317</v>
      </c>
      <c r="C160" s="40" t="s">
        <v>25</v>
      </c>
      <c r="D160" s="40" t="s">
        <v>332</v>
      </c>
      <c r="E160" s="40" t="s">
        <v>46</v>
      </c>
      <c r="F160" s="40"/>
      <c r="G160" s="40" t="s">
        <v>29</v>
      </c>
      <c r="H160" s="200">
        <v>600</v>
      </c>
      <c r="I160" s="41">
        <v>120</v>
      </c>
      <c r="J160" s="40" t="s">
        <v>30</v>
      </c>
      <c r="K160" s="40" t="s">
        <v>31</v>
      </c>
    </row>
    <row r="161" spans="1:11" ht="15.75" customHeight="1">
      <c r="A161" s="438">
        <v>15</v>
      </c>
      <c r="B161" s="439" t="s">
        <v>3919</v>
      </c>
      <c r="C161" s="40" t="s">
        <v>25</v>
      </c>
      <c r="D161" s="40" t="s">
        <v>947</v>
      </c>
      <c r="E161" s="40" t="s">
        <v>42</v>
      </c>
      <c r="F161" s="40"/>
      <c r="G161" s="40" t="s">
        <v>29</v>
      </c>
      <c r="H161" s="200">
        <v>400</v>
      </c>
      <c r="I161" s="41">
        <v>80</v>
      </c>
      <c r="J161" s="40" t="s">
        <v>30</v>
      </c>
      <c r="K161" s="40" t="s">
        <v>31</v>
      </c>
    </row>
    <row r="162" spans="1:11" ht="15.75" customHeight="1">
      <c r="A162" s="438">
        <v>15</v>
      </c>
      <c r="B162" s="439" t="s">
        <v>44</v>
      </c>
      <c r="C162" s="40" t="s">
        <v>25</v>
      </c>
      <c r="D162" s="40" t="s">
        <v>45</v>
      </c>
      <c r="E162" s="40" t="s">
        <v>46</v>
      </c>
      <c r="F162" s="40"/>
      <c r="G162" s="40" t="s">
        <v>29</v>
      </c>
      <c r="H162" s="200">
        <v>400</v>
      </c>
      <c r="I162" s="41">
        <v>80</v>
      </c>
      <c r="J162" s="40" t="s">
        <v>30</v>
      </c>
      <c r="K162" s="40" t="s">
        <v>31</v>
      </c>
    </row>
    <row r="163" spans="1:11" ht="15.75" customHeight="1">
      <c r="A163" s="438">
        <v>15</v>
      </c>
      <c r="B163" s="439" t="s">
        <v>3920</v>
      </c>
      <c r="C163" s="40" t="s">
        <v>25</v>
      </c>
      <c r="D163" s="40" t="s">
        <v>1432</v>
      </c>
      <c r="E163" s="40" t="s">
        <v>1197</v>
      </c>
      <c r="F163" s="40"/>
      <c r="G163" s="40" t="s">
        <v>29</v>
      </c>
      <c r="H163" s="200">
        <v>400</v>
      </c>
      <c r="I163" s="41">
        <v>80</v>
      </c>
      <c r="J163" s="40" t="s">
        <v>30</v>
      </c>
      <c r="K163" s="40" t="s">
        <v>31</v>
      </c>
    </row>
    <row r="164" spans="1:11" ht="15.75" customHeight="1">
      <c r="A164" s="434">
        <v>15</v>
      </c>
      <c r="B164" s="435" t="s">
        <v>3921</v>
      </c>
      <c r="C164" s="48" t="s">
        <v>59</v>
      </c>
      <c r="D164" s="48" t="s">
        <v>63</v>
      </c>
      <c r="E164" s="48" t="s">
        <v>42</v>
      </c>
      <c r="F164" s="48"/>
      <c r="G164" s="48" t="s">
        <v>543</v>
      </c>
      <c r="H164" s="430">
        <v>15</v>
      </c>
      <c r="I164" s="51">
        <v>45</v>
      </c>
      <c r="J164" s="48"/>
      <c r="K164" s="48" t="s">
        <v>31</v>
      </c>
    </row>
    <row r="165" spans="1:11" ht="15.75" customHeight="1">
      <c r="A165" s="436">
        <v>16</v>
      </c>
      <c r="B165" s="77" t="s">
        <v>3922</v>
      </c>
      <c r="C165" s="53" t="s">
        <v>25</v>
      </c>
      <c r="D165" s="53" t="s">
        <v>3923</v>
      </c>
      <c r="E165" s="53" t="s">
        <v>46</v>
      </c>
      <c r="F165" s="53"/>
      <c r="G165" s="53" t="s">
        <v>29</v>
      </c>
      <c r="H165" s="437">
        <v>300</v>
      </c>
      <c r="I165" s="55">
        <v>60</v>
      </c>
      <c r="J165" s="53" t="s">
        <v>30</v>
      </c>
      <c r="K165" s="53" t="s">
        <v>31</v>
      </c>
    </row>
    <row r="166" spans="1:11" ht="15.75" customHeight="1">
      <c r="A166" s="438">
        <v>16</v>
      </c>
      <c r="B166" s="439" t="s">
        <v>3924</v>
      </c>
      <c r="C166" s="40" t="s">
        <v>25</v>
      </c>
      <c r="D166" s="40" t="s">
        <v>232</v>
      </c>
      <c r="E166" s="40" t="s">
        <v>46</v>
      </c>
      <c r="F166" s="40"/>
      <c r="G166" s="40" t="s">
        <v>29</v>
      </c>
      <c r="H166" s="200">
        <v>300</v>
      </c>
      <c r="I166" s="41">
        <v>60</v>
      </c>
      <c r="J166" s="40" t="s">
        <v>30</v>
      </c>
      <c r="K166" s="40" t="s">
        <v>31</v>
      </c>
    </row>
    <row r="167" spans="1:11" ht="15.75" customHeight="1">
      <c r="A167" s="438">
        <v>16</v>
      </c>
      <c r="B167" s="439" t="s">
        <v>3925</v>
      </c>
      <c r="C167" s="40" t="s">
        <v>25</v>
      </c>
      <c r="D167" s="40" t="s">
        <v>89</v>
      </c>
      <c r="E167" s="40" t="s">
        <v>38</v>
      </c>
      <c r="F167" s="40"/>
      <c r="G167" s="40" t="s">
        <v>29</v>
      </c>
      <c r="H167" s="200">
        <v>1000</v>
      </c>
      <c r="I167" s="41">
        <v>200</v>
      </c>
      <c r="J167" s="40" t="s">
        <v>30</v>
      </c>
      <c r="K167" s="40" t="s">
        <v>31</v>
      </c>
    </row>
    <row r="168" spans="1:11" ht="15.75" customHeight="1">
      <c r="A168" s="438">
        <v>16</v>
      </c>
      <c r="B168" s="439" t="s">
        <v>3926</v>
      </c>
      <c r="C168" s="40" t="s">
        <v>25</v>
      </c>
      <c r="D168" s="40" t="s">
        <v>3927</v>
      </c>
      <c r="E168" s="40" t="s">
        <v>333</v>
      </c>
      <c r="F168" s="40"/>
      <c r="G168" s="40" t="s">
        <v>29</v>
      </c>
      <c r="H168" s="200">
        <v>1000</v>
      </c>
      <c r="I168" s="41">
        <v>200</v>
      </c>
      <c r="J168" s="40" t="s">
        <v>30</v>
      </c>
      <c r="K168" s="40" t="s">
        <v>31</v>
      </c>
    </row>
    <row r="169" spans="1:11" ht="15.75" customHeight="1">
      <c r="A169" s="438">
        <v>16</v>
      </c>
      <c r="B169" s="439" t="s">
        <v>3928</v>
      </c>
      <c r="C169" s="40" t="s">
        <v>25</v>
      </c>
      <c r="D169" s="40" t="s">
        <v>685</v>
      </c>
      <c r="E169" s="40" t="s">
        <v>60</v>
      </c>
      <c r="F169" s="40"/>
      <c r="G169" s="40" t="s">
        <v>29</v>
      </c>
      <c r="H169" s="200">
        <v>1000</v>
      </c>
      <c r="I169" s="41">
        <v>200</v>
      </c>
      <c r="J169" s="40" t="s">
        <v>30</v>
      </c>
      <c r="K169" s="40" t="s">
        <v>31</v>
      </c>
    </row>
    <row r="170" spans="1:11" ht="15.75" customHeight="1">
      <c r="A170" s="438">
        <v>16</v>
      </c>
      <c r="B170" s="439" t="s">
        <v>3929</v>
      </c>
      <c r="C170" s="40" t="s">
        <v>25</v>
      </c>
      <c r="D170" s="40" t="s">
        <v>63</v>
      </c>
      <c r="E170" s="40" t="s">
        <v>27</v>
      </c>
      <c r="F170" s="40"/>
      <c r="G170" s="40" t="s">
        <v>29</v>
      </c>
      <c r="H170" s="200">
        <v>1000</v>
      </c>
      <c r="I170" s="41">
        <v>200</v>
      </c>
      <c r="J170" s="40" t="s">
        <v>30</v>
      </c>
      <c r="K170" s="40" t="s">
        <v>31</v>
      </c>
    </row>
    <row r="171" spans="1:11" ht="15.75" customHeight="1">
      <c r="A171" s="438">
        <v>16</v>
      </c>
      <c r="B171" s="439" t="s">
        <v>3370</v>
      </c>
      <c r="C171" s="40" t="s">
        <v>25</v>
      </c>
      <c r="D171" s="40" t="s">
        <v>1278</v>
      </c>
      <c r="E171" s="40" t="s">
        <v>42</v>
      </c>
      <c r="F171" s="40"/>
      <c r="G171" s="40" t="s">
        <v>29</v>
      </c>
      <c r="H171" s="200">
        <v>500</v>
      </c>
      <c r="I171" s="41">
        <v>100</v>
      </c>
      <c r="J171" s="40" t="s">
        <v>30</v>
      </c>
      <c r="K171" s="40" t="s">
        <v>31</v>
      </c>
    </row>
    <row r="172" spans="1:11" ht="15.75" customHeight="1">
      <c r="A172" s="438">
        <v>16</v>
      </c>
      <c r="B172" s="439" t="s">
        <v>3930</v>
      </c>
      <c r="C172" s="40" t="s">
        <v>25</v>
      </c>
      <c r="D172" s="40" t="s">
        <v>192</v>
      </c>
      <c r="E172" s="40" t="s">
        <v>78</v>
      </c>
      <c r="F172" s="40"/>
      <c r="G172" s="40" t="s">
        <v>29</v>
      </c>
      <c r="H172" s="200">
        <v>500</v>
      </c>
      <c r="I172" s="41">
        <v>100</v>
      </c>
      <c r="J172" s="40" t="s">
        <v>30</v>
      </c>
      <c r="K172" s="40" t="s">
        <v>31</v>
      </c>
    </row>
    <row r="173" spans="1:11" ht="15.75" customHeight="1">
      <c r="A173" s="438">
        <v>16</v>
      </c>
      <c r="B173" s="439" t="s">
        <v>3931</v>
      </c>
      <c r="C173" s="40" t="s">
        <v>25</v>
      </c>
      <c r="D173" s="40" t="s">
        <v>1678</v>
      </c>
      <c r="E173" s="40" t="s">
        <v>96</v>
      </c>
      <c r="F173" s="40"/>
      <c r="G173" s="40" t="s">
        <v>29</v>
      </c>
      <c r="H173" s="200">
        <v>500</v>
      </c>
      <c r="I173" s="41">
        <v>100</v>
      </c>
      <c r="J173" s="40" t="s">
        <v>30</v>
      </c>
      <c r="K173" s="40" t="s">
        <v>31</v>
      </c>
    </row>
    <row r="174" spans="1:11" ht="15.75" customHeight="1">
      <c r="A174" s="438">
        <v>16</v>
      </c>
      <c r="B174" s="439" t="s">
        <v>3932</v>
      </c>
      <c r="C174" s="40" t="s">
        <v>25</v>
      </c>
      <c r="D174" s="40" t="s">
        <v>63</v>
      </c>
      <c r="E174" s="40" t="s">
        <v>60</v>
      </c>
      <c r="F174" s="40"/>
      <c r="G174" s="40" t="s">
        <v>29</v>
      </c>
      <c r="H174" s="200">
        <v>2000</v>
      </c>
      <c r="I174" s="41">
        <v>400</v>
      </c>
      <c r="J174" s="40" t="s">
        <v>30</v>
      </c>
      <c r="K174" s="40" t="s">
        <v>31</v>
      </c>
    </row>
    <row r="175" spans="1:11" ht="15.75" customHeight="1">
      <c r="A175" s="438">
        <v>16</v>
      </c>
      <c r="B175" s="439" t="s">
        <v>3933</v>
      </c>
      <c r="C175" s="40" t="s">
        <v>25</v>
      </c>
      <c r="D175" s="40" t="s">
        <v>866</v>
      </c>
      <c r="E175" s="40" t="s">
        <v>27</v>
      </c>
      <c r="F175" s="40"/>
      <c r="G175" s="40" t="s">
        <v>29</v>
      </c>
      <c r="H175" s="200">
        <v>500</v>
      </c>
      <c r="I175" s="41" t="s">
        <v>101</v>
      </c>
      <c r="J175" s="40" t="s">
        <v>30</v>
      </c>
      <c r="K175" s="40" t="s">
        <v>31</v>
      </c>
    </row>
    <row r="176" spans="1:11" ht="15.75" customHeight="1">
      <c r="A176" s="438">
        <v>16</v>
      </c>
      <c r="B176" s="439" t="s">
        <v>3933</v>
      </c>
      <c r="C176" s="40" t="s">
        <v>25</v>
      </c>
      <c r="D176" s="40" t="s">
        <v>866</v>
      </c>
      <c r="E176" s="40" t="s">
        <v>27</v>
      </c>
      <c r="F176" s="40"/>
      <c r="G176" s="40" t="s">
        <v>29</v>
      </c>
      <c r="H176" s="200">
        <v>5500</v>
      </c>
      <c r="I176" s="41">
        <v>1100</v>
      </c>
      <c r="J176" s="40" t="s">
        <v>30</v>
      </c>
      <c r="K176" s="40" t="s">
        <v>31</v>
      </c>
    </row>
    <row r="177" spans="1:11" ht="15.75" customHeight="1">
      <c r="A177" s="438">
        <v>16</v>
      </c>
      <c r="B177" s="439" t="s">
        <v>3934</v>
      </c>
      <c r="C177" s="40" t="s">
        <v>25</v>
      </c>
      <c r="D177" s="40" t="s">
        <v>176</v>
      </c>
      <c r="E177" s="40" t="s">
        <v>38</v>
      </c>
      <c r="F177" s="40"/>
      <c r="G177" s="40" t="s">
        <v>29</v>
      </c>
      <c r="H177" s="200">
        <v>300</v>
      </c>
      <c r="I177" s="41">
        <v>60</v>
      </c>
      <c r="J177" s="40" t="s">
        <v>30</v>
      </c>
      <c r="K177" s="40" t="s">
        <v>31</v>
      </c>
    </row>
    <row r="178" spans="1:11" ht="15.75" customHeight="1">
      <c r="A178" s="438">
        <v>16</v>
      </c>
      <c r="B178" s="439" t="s">
        <v>3935</v>
      </c>
      <c r="C178" s="40" t="s">
        <v>25</v>
      </c>
      <c r="D178" s="40" t="s">
        <v>532</v>
      </c>
      <c r="E178" s="40" t="s">
        <v>38</v>
      </c>
      <c r="F178" s="40"/>
      <c r="G178" s="40" t="s">
        <v>29</v>
      </c>
      <c r="H178" s="200">
        <v>400</v>
      </c>
      <c r="I178" s="41">
        <v>80</v>
      </c>
      <c r="J178" s="40" t="s">
        <v>30</v>
      </c>
      <c r="K178" s="40" t="s">
        <v>31</v>
      </c>
    </row>
    <row r="179" spans="1:11" ht="15.75" customHeight="1">
      <c r="A179" s="438">
        <v>16</v>
      </c>
      <c r="B179" s="439" t="s">
        <v>3936</v>
      </c>
      <c r="C179" s="40" t="s">
        <v>59</v>
      </c>
      <c r="D179" s="40" t="s">
        <v>263</v>
      </c>
      <c r="E179" s="40" t="s">
        <v>42</v>
      </c>
      <c r="F179" s="40"/>
      <c r="G179" s="40" t="s">
        <v>29</v>
      </c>
      <c r="H179" s="200">
        <v>100</v>
      </c>
      <c r="I179" s="41" t="s">
        <v>101</v>
      </c>
      <c r="J179" s="40" t="s">
        <v>30</v>
      </c>
      <c r="K179" s="40" t="s">
        <v>31</v>
      </c>
    </row>
    <row r="180" spans="1:11" ht="15.75" customHeight="1">
      <c r="A180" s="438">
        <v>16</v>
      </c>
      <c r="B180" s="439" t="s">
        <v>3937</v>
      </c>
      <c r="C180" s="40" t="s">
        <v>25</v>
      </c>
      <c r="D180" s="40" t="s">
        <v>63</v>
      </c>
      <c r="E180" s="40" t="s">
        <v>38</v>
      </c>
      <c r="F180" s="40"/>
      <c r="G180" s="40" t="s">
        <v>29</v>
      </c>
      <c r="H180" s="200">
        <v>500</v>
      </c>
      <c r="I180" s="41" t="s">
        <v>101</v>
      </c>
      <c r="J180" s="40" t="s">
        <v>30</v>
      </c>
      <c r="K180" s="40" t="s">
        <v>31</v>
      </c>
    </row>
    <row r="181" spans="1:11" ht="15.75" customHeight="1">
      <c r="A181" s="438">
        <v>17</v>
      </c>
      <c r="B181" s="439" t="s">
        <v>3938</v>
      </c>
      <c r="C181" s="40" t="s">
        <v>25</v>
      </c>
      <c r="D181" s="40" t="s">
        <v>1839</v>
      </c>
      <c r="E181" s="40" t="s">
        <v>38</v>
      </c>
      <c r="F181" s="40"/>
      <c r="G181" s="40" t="s">
        <v>29</v>
      </c>
      <c r="H181" s="200">
        <v>500</v>
      </c>
      <c r="I181" s="41">
        <v>100</v>
      </c>
      <c r="J181" s="40" t="s">
        <v>30</v>
      </c>
      <c r="K181" s="40" t="s">
        <v>31</v>
      </c>
    </row>
    <row r="182" spans="1:11" ht="15.75" customHeight="1">
      <c r="A182" s="438">
        <v>17</v>
      </c>
      <c r="B182" s="439" t="s">
        <v>3939</v>
      </c>
      <c r="C182" s="40" t="s">
        <v>25</v>
      </c>
      <c r="D182" s="40" t="s">
        <v>3583</v>
      </c>
      <c r="E182" s="40" t="s">
        <v>46</v>
      </c>
      <c r="F182" s="40"/>
      <c r="G182" s="40" t="s">
        <v>29</v>
      </c>
      <c r="H182" s="200">
        <v>1000</v>
      </c>
      <c r="I182" s="41">
        <v>200</v>
      </c>
      <c r="J182" s="40" t="s">
        <v>30</v>
      </c>
      <c r="K182" s="40" t="s">
        <v>31</v>
      </c>
    </row>
    <row r="183" spans="1:11" ht="15.75" customHeight="1">
      <c r="A183" s="438">
        <v>17</v>
      </c>
      <c r="B183" s="439" t="s">
        <v>1576</v>
      </c>
      <c r="C183" s="40" t="s">
        <v>25</v>
      </c>
      <c r="D183" s="40" t="s">
        <v>63</v>
      </c>
      <c r="E183" s="40" t="s">
        <v>60</v>
      </c>
      <c r="F183" s="40"/>
      <c r="G183" s="40" t="s">
        <v>29</v>
      </c>
      <c r="H183" s="200">
        <v>1500</v>
      </c>
      <c r="I183" s="41">
        <v>300</v>
      </c>
      <c r="J183" s="40" t="s">
        <v>30</v>
      </c>
      <c r="K183" s="40" t="s">
        <v>31</v>
      </c>
    </row>
    <row r="184" spans="1:11" ht="15.75" customHeight="1">
      <c r="A184" s="438">
        <v>17</v>
      </c>
      <c r="B184" s="439" t="s">
        <v>3940</v>
      </c>
      <c r="C184" s="40" t="s">
        <v>25</v>
      </c>
      <c r="D184" s="40" t="s">
        <v>724</v>
      </c>
      <c r="E184" s="40" t="s">
        <v>540</v>
      </c>
      <c r="F184" s="40"/>
      <c r="G184" s="40" t="s">
        <v>29</v>
      </c>
      <c r="H184" s="200">
        <v>2000</v>
      </c>
      <c r="I184" s="41">
        <v>400</v>
      </c>
      <c r="J184" s="40" t="s">
        <v>30</v>
      </c>
      <c r="K184" s="40" t="s">
        <v>31</v>
      </c>
    </row>
    <row r="185" spans="1:11" ht="15.75" customHeight="1">
      <c r="A185" s="438">
        <v>17</v>
      </c>
      <c r="B185" s="439" t="s">
        <v>3941</v>
      </c>
      <c r="C185" s="40" t="s">
        <v>25</v>
      </c>
      <c r="D185" s="40" t="s">
        <v>303</v>
      </c>
      <c r="E185" s="40" t="s">
        <v>96</v>
      </c>
      <c r="F185" s="40"/>
      <c r="G185" s="40" t="s">
        <v>29</v>
      </c>
      <c r="H185" s="200">
        <v>4000</v>
      </c>
      <c r="I185" s="41">
        <v>800</v>
      </c>
      <c r="J185" s="40" t="s">
        <v>30</v>
      </c>
      <c r="K185" s="40" t="s">
        <v>31</v>
      </c>
    </row>
    <row r="186" spans="1:11" ht="15.75" customHeight="1">
      <c r="A186" s="438">
        <v>17</v>
      </c>
      <c r="B186" s="439" t="s">
        <v>3942</v>
      </c>
      <c r="C186" s="40" t="s">
        <v>25</v>
      </c>
      <c r="D186" s="40" t="s">
        <v>63</v>
      </c>
      <c r="E186" s="40" t="s">
        <v>141</v>
      </c>
      <c r="F186" s="40"/>
      <c r="G186" s="40" t="s">
        <v>29</v>
      </c>
      <c r="H186" s="200">
        <v>5000</v>
      </c>
      <c r="I186" s="41">
        <v>1000</v>
      </c>
      <c r="J186" s="40" t="s">
        <v>30</v>
      </c>
      <c r="K186" s="40" t="s">
        <v>31</v>
      </c>
    </row>
    <row r="187" spans="1:11" ht="15.75" customHeight="1">
      <c r="A187" s="438">
        <v>17</v>
      </c>
      <c r="B187" s="439" t="s">
        <v>713</v>
      </c>
      <c r="C187" s="40" t="s">
        <v>25</v>
      </c>
      <c r="D187" s="40" t="s">
        <v>86</v>
      </c>
      <c r="E187" s="40" t="s">
        <v>42</v>
      </c>
      <c r="F187" s="40"/>
      <c r="G187" s="40" t="s">
        <v>29</v>
      </c>
      <c r="H187" s="200">
        <v>10000</v>
      </c>
      <c r="I187" s="41">
        <v>2000</v>
      </c>
      <c r="J187" s="40" t="s">
        <v>30</v>
      </c>
      <c r="K187" s="40" t="s">
        <v>31</v>
      </c>
    </row>
    <row r="188" spans="1:11" ht="15.75" customHeight="1">
      <c r="A188" s="438">
        <v>17</v>
      </c>
      <c r="B188" s="439" t="s">
        <v>3943</v>
      </c>
      <c r="C188" s="40" t="s">
        <v>25</v>
      </c>
      <c r="D188" s="40" t="s">
        <v>907</v>
      </c>
      <c r="E188" s="40" t="s">
        <v>130</v>
      </c>
      <c r="F188" s="40"/>
      <c r="G188" s="40" t="s">
        <v>29</v>
      </c>
      <c r="H188" s="200">
        <v>20000</v>
      </c>
      <c r="I188" s="41">
        <v>4000</v>
      </c>
      <c r="J188" s="40" t="s">
        <v>30</v>
      </c>
      <c r="K188" s="40" t="s">
        <v>31</v>
      </c>
    </row>
    <row r="189" spans="1:11" ht="15.75" customHeight="1">
      <c r="A189" s="438">
        <v>17</v>
      </c>
      <c r="B189" s="439" t="s">
        <v>3944</v>
      </c>
      <c r="C189" s="40" t="s">
        <v>25</v>
      </c>
      <c r="D189" s="40" t="s">
        <v>2627</v>
      </c>
      <c r="E189" s="40" t="s">
        <v>103</v>
      </c>
      <c r="F189" s="40"/>
      <c r="G189" s="40" t="s">
        <v>29</v>
      </c>
      <c r="H189" s="200">
        <v>100</v>
      </c>
      <c r="I189" s="41">
        <v>20</v>
      </c>
      <c r="J189" s="40" t="s">
        <v>30</v>
      </c>
      <c r="K189" s="40" t="s">
        <v>31</v>
      </c>
    </row>
    <row r="190" spans="1:11" ht="15.75" customHeight="1">
      <c r="A190" s="438">
        <v>17</v>
      </c>
      <c r="B190" s="439" t="s">
        <v>3945</v>
      </c>
      <c r="C190" s="40" t="s">
        <v>25</v>
      </c>
      <c r="D190" s="40" t="s">
        <v>732</v>
      </c>
      <c r="E190" s="40" t="s">
        <v>38</v>
      </c>
      <c r="F190" s="40"/>
      <c r="G190" s="40" t="s">
        <v>29</v>
      </c>
      <c r="H190" s="200">
        <v>100</v>
      </c>
      <c r="I190" s="41">
        <v>20</v>
      </c>
      <c r="J190" s="40" t="s">
        <v>30</v>
      </c>
      <c r="K190" s="40" t="s">
        <v>31</v>
      </c>
    </row>
    <row r="191" spans="1:11" ht="15.75" customHeight="1">
      <c r="A191" s="438">
        <v>17</v>
      </c>
      <c r="B191" s="439" t="s">
        <v>3946</v>
      </c>
      <c r="C191" s="40" t="s">
        <v>25</v>
      </c>
      <c r="D191" s="40" t="s">
        <v>836</v>
      </c>
      <c r="E191" s="40" t="s">
        <v>42</v>
      </c>
      <c r="F191" s="40"/>
      <c r="G191" s="40" t="s">
        <v>29</v>
      </c>
      <c r="H191" s="200">
        <v>100</v>
      </c>
      <c r="I191" s="41">
        <v>20</v>
      </c>
      <c r="J191" s="40" t="s">
        <v>30</v>
      </c>
      <c r="K191" s="40" t="s">
        <v>31</v>
      </c>
    </row>
    <row r="192" spans="1:11" ht="15.75" customHeight="1">
      <c r="A192" s="438">
        <v>18</v>
      </c>
      <c r="B192" s="439" t="s">
        <v>1880</v>
      </c>
      <c r="C192" s="40" t="s">
        <v>25</v>
      </c>
      <c r="D192" s="40" t="s">
        <v>841</v>
      </c>
      <c r="E192" s="40" t="s">
        <v>533</v>
      </c>
      <c r="F192" s="40"/>
      <c r="G192" s="40" t="s">
        <v>29</v>
      </c>
      <c r="H192" s="200">
        <v>2000</v>
      </c>
      <c r="I192" s="41">
        <v>400</v>
      </c>
      <c r="J192" s="40" t="s">
        <v>30</v>
      </c>
      <c r="K192" s="40" t="s">
        <v>31</v>
      </c>
    </row>
    <row r="193" spans="1:11" ht="15.75" customHeight="1">
      <c r="A193" s="438">
        <v>18</v>
      </c>
      <c r="B193" s="439" t="s">
        <v>3947</v>
      </c>
      <c r="C193" s="40" t="s">
        <v>25</v>
      </c>
      <c r="D193" s="40" t="s">
        <v>732</v>
      </c>
      <c r="E193" s="40" t="s">
        <v>38</v>
      </c>
      <c r="F193" s="40"/>
      <c r="G193" s="40" t="s">
        <v>29</v>
      </c>
      <c r="H193" s="200">
        <v>3500</v>
      </c>
      <c r="I193" s="41">
        <v>700</v>
      </c>
      <c r="J193" s="40" t="s">
        <v>30</v>
      </c>
      <c r="K193" s="40" t="s">
        <v>31</v>
      </c>
    </row>
    <row r="194" spans="1:11" ht="15.75" customHeight="1">
      <c r="A194" s="438">
        <v>18</v>
      </c>
      <c r="B194" s="439" t="s">
        <v>1204</v>
      </c>
      <c r="C194" s="40" t="s">
        <v>25</v>
      </c>
      <c r="D194" s="40" t="s">
        <v>548</v>
      </c>
      <c r="E194" s="40" t="s">
        <v>42</v>
      </c>
      <c r="F194" s="40"/>
      <c r="G194" s="40" t="s">
        <v>29</v>
      </c>
      <c r="H194" s="200">
        <v>200</v>
      </c>
      <c r="I194" s="41">
        <v>40</v>
      </c>
      <c r="J194" s="40" t="s">
        <v>30</v>
      </c>
      <c r="K194" s="40" t="s">
        <v>31</v>
      </c>
    </row>
    <row r="195" spans="1:11" ht="15.75" customHeight="1">
      <c r="A195" s="438">
        <v>18</v>
      </c>
      <c r="B195" s="439" t="s">
        <v>3948</v>
      </c>
      <c r="C195" s="40" t="s">
        <v>25</v>
      </c>
      <c r="D195" s="40" t="s">
        <v>3303</v>
      </c>
      <c r="E195" s="40" t="s">
        <v>1491</v>
      </c>
      <c r="F195" s="40"/>
      <c r="G195" s="40" t="s">
        <v>29</v>
      </c>
      <c r="H195" s="200">
        <v>2000</v>
      </c>
      <c r="I195" s="41">
        <v>400</v>
      </c>
      <c r="J195" s="40" t="s">
        <v>30</v>
      </c>
      <c r="K195" s="40" t="s">
        <v>31</v>
      </c>
    </row>
    <row r="196" spans="1:11" ht="15.75" customHeight="1">
      <c r="A196" s="438">
        <v>18</v>
      </c>
      <c r="B196" s="439" t="s">
        <v>3298</v>
      </c>
      <c r="C196" s="40" t="s">
        <v>25</v>
      </c>
      <c r="D196" s="40" t="s">
        <v>63</v>
      </c>
      <c r="E196" s="40" t="s">
        <v>42</v>
      </c>
      <c r="F196" s="40"/>
      <c r="G196" s="40" t="s">
        <v>29</v>
      </c>
      <c r="H196" s="200">
        <v>2500</v>
      </c>
      <c r="I196" s="41">
        <v>500</v>
      </c>
      <c r="J196" s="40" t="s">
        <v>30</v>
      </c>
      <c r="K196" s="40" t="s">
        <v>31</v>
      </c>
    </row>
    <row r="197" spans="1:11" ht="15.75" customHeight="1">
      <c r="A197" s="438">
        <v>18</v>
      </c>
      <c r="B197" s="439" t="s">
        <v>3949</v>
      </c>
      <c r="C197" s="40" t="s">
        <v>25</v>
      </c>
      <c r="D197" s="40" t="s">
        <v>624</v>
      </c>
      <c r="E197" s="40" t="s">
        <v>34</v>
      </c>
      <c r="F197" s="40"/>
      <c r="G197" s="40" t="s">
        <v>29</v>
      </c>
      <c r="H197" s="200">
        <v>2000</v>
      </c>
      <c r="I197" s="41">
        <v>400</v>
      </c>
      <c r="J197" s="40" t="s">
        <v>30</v>
      </c>
      <c r="K197" s="40" t="s">
        <v>31</v>
      </c>
    </row>
    <row r="198" spans="1:11" ht="15.75" customHeight="1">
      <c r="A198" s="438">
        <v>18</v>
      </c>
      <c r="B198" s="439" t="s">
        <v>3950</v>
      </c>
      <c r="C198" s="40" t="s">
        <v>25</v>
      </c>
      <c r="D198" s="40" t="s">
        <v>2223</v>
      </c>
      <c r="E198" s="40" t="s">
        <v>150</v>
      </c>
      <c r="F198" s="40"/>
      <c r="G198" s="40" t="s">
        <v>29</v>
      </c>
      <c r="H198" s="200">
        <v>300</v>
      </c>
      <c r="I198" s="41" t="s">
        <v>101</v>
      </c>
      <c r="J198" s="40" t="s">
        <v>30</v>
      </c>
      <c r="K198" s="40" t="s">
        <v>31</v>
      </c>
    </row>
    <row r="199" spans="1:11" ht="15.75" customHeight="1">
      <c r="A199" s="438">
        <v>18</v>
      </c>
      <c r="B199" s="439" t="s">
        <v>3951</v>
      </c>
      <c r="C199" s="40" t="s">
        <v>25</v>
      </c>
      <c r="D199" s="40" t="s">
        <v>3952</v>
      </c>
      <c r="E199" s="40" t="s">
        <v>216</v>
      </c>
      <c r="F199" s="40"/>
      <c r="G199" s="40" t="s">
        <v>29</v>
      </c>
      <c r="H199" s="200">
        <v>10000</v>
      </c>
      <c r="I199" s="41">
        <v>2000</v>
      </c>
      <c r="J199" s="40" t="s">
        <v>30</v>
      </c>
      <c r="K199" s="40" t="s">
        <v>31</v>
      </c>
    </row>
    <row r="200" spans="1:11" ht="15.75" customHeight="1">
      <c r="A200" s="438">
        <v>18</v>
      </c>
      <c r="B200" s="439" t="s">
        <v>3953</v>
      </c>
      <c r="C200" s="40" t="s">
        <v>25</v>
      </c>
      <c r="D200" s="40" t="s">
        <v>1069</v>
      </c>
      <c r="E200" s="40" t="s">
        <v>96</v>
      </c>
      <c r="F200" s="40"/>
      <c r="G200" s="40" t="s">
        <v>29</v>
      </c>
      <c r="H200" s="200">
        <v>2000</v>
      </c>
      <c r="I200" s="41">
        <v>400</v>
      </c>
      <c r="J200" s="40" t="s">
        <v>30</v>
      </c>
      <c r="K200" s="40" t="s">
        <v>31</v>
      </c>
    </row>
    <row r="201" spans="1:11" ht="15.75" customHeight="1">
      <c r="A201" s="438">
        <v>18</v>
      </c>
      <c r="B201" s="439" t="s">
        <v>2865</v>
      </c>
      <c r="C201" s="40" t="s">
        <v>25</v>
      </c>
      <c r="D201" s="40" t="s">
        <v>2100</v>
      </c>
      <c r="E201" s="40" t="s">
        <v>46</v>
      </c>
      <c r="F201" s="40"/>
      <c r="G201" s="40" t="s">
        <v>29</v>
      </c>
      <c r="H201" s="200">
        <v>200</v>
      </c>
      <c r="I201" s="41">
        <v>40</v>
      </c>
      <c r="J201" s="40" t="s">
        <v>30</v>
      </c>
      <c r="K201" s="40" t="s">
        <v>31</v>
      </c>
    </row>
    <row r="202" spans="1:11" ht="15.75" customHeight="1">
      <c r="A202" s="438">
        <v>18</v>
      </c>
      <c r="B202" s="439" t="s">
        <v>3954</v>
      </c>
      <c r="C202" s="40" t="s">
        <v>25</v>
      </c>
      <c r="D202" s="40" t="s">
        <v>3033</v>
      </c>
      <c r="E202" s="40" t="s">
        <v>141</v>
      </c>
      <c r="F202" s="40"/>
      <c r="G202" s="40" t="s">
        <v>29</v>
      </c>
      <c r="H202" s="200">
        <v>3000</v>
      </c>
      <c r="I202" s="41">
        <v>600</v>
      </c>
      <c r="J202" s="40" t="s">
        <v>30</v>
      </c>
      <c r="K202" s="40" t="s">
        <v>31</v>
      </c>
    </row>
    <row r="203" spans="1:11" ht="15.75" customHeight="1">
      <c r="A203" s="438">
        <v>18</v>
      </c>
      <c r="B203" s="439" t="s">
        <v>3955</v>
      </c>
      <c r="C203" s="40" t="s">
        <v>25</v>
      </c>
      <c r="D203" s="40" t="s">
        <v>657</v>
      </c>
      <c r="E203" s="40" t="s">
        <v>38</v>
      </c>
      <c r="F203" s="40"/>
      <c r="G203" s="40" t="s">
        <v>29</v>
      </c>
      <c r="H203" s="200">
        <v>1000</v>
      </c>
      <c r="I203" s="41">
        <v>200</v>
      </c>
      <c r="J203" s="40" t="s">
        <v>30</v>
      </c>
      <c r="K203" s="40" t="s">
        <v>31</v>
      </c>
    </row>
    <row r="204" spans="1:11" ht="15.75" customHeight="1">
      <c r="A204" s="438">
        <v>18</v>
      </c>
      <c r="B204" s="439" t="s">
        <v>3956</v>
      </c>
      <c r="C204" s="40" t="s">
        <v>25</v>
      </c>
      <c r="D204" s="40" t="s">
        <v>89</v>
      </c>
      <c r="E204" s="40" t="s">
        <v>46</v>
      </c>
      <c r="F204" s="40"/>
      <c r="G204" s="40" t="s">
        <v>29</v>
      </c>
      <c r="H204" s="200">
        <v>200</v>
      </c>
      <c r="I204" s="41">
        <v>40</v>
      </c>
      <c r="J204" s="40" t="s">
        <v>30</v>
      </c>
      <c r="K204" s="40" t="s">
        <v>31</v>
      </c>
    </row>
    <row r="205" spans="1:11" ht="15.75" customHeight="1">
      <c r="A205" s="438">
        <v>19</v>
      </c>
      <c r="B205" s="439" t="s">
        <v>3264</v>
      </c>
      <c r="C205" s="40" t="s">
        <v>25</v>
      </c>
      <c r="D205" s="40" t="s">
        <v>3265</v>
      </c>
      <c r="E205" s="40" t="s">
        <v>130</v>
      </c>
      <c r="F205" s="40"/>
      <c r="G205" s="40" t="s">
        <v>29</v>
      </c>
      <c r="H205" s="200">
        <v>10000</v>
      </c>
      <c r="I205" s="41">
        <v>2000</v>
      </c>
      <c r="J205" s="40" t="s">
        <v>30</v>
      </c>
      <c r="K205" s="40" t="s">
        <v>31</v>
      </c>
    </row>
    <row r="206" spans="1:11" ht="15.75" customHeight="1">
      <c r="A206" s="438">
        <v>19</v>
      </c>
      <c r="B206" s="439" t="s">
        <v>3957</v>
      </c>
      <c r="C206" s="40" t="s">
        <v>25</v>
      </c>
      <c r="D206" s="40" t="s">
        <v>185</v>
      </c>
      <c r="E206" s="40" t="s">
        <v>42</v>
      </c>
      <c r="F206" s="40"/>
      <c r="G206" s="40" t="s">
        <v>29</v>
      </c>
      <c r="H206" s="200">
        <v>2500</v>
      </c>
      <c r="I206" s="41">
        <v>500</v>
      </c>
      <c r="J206" s="40" t="s">
        <v>30</v>
      </c>
      <c r="K206" s="40" t="s">
        <v>31</v>
      </c>
    </row>
    <row r="207" spans="1:11" ht="15.75" customHeight="1">
      <c r="A207" s="438">
        <v>19</v>
      </c>
      <c r="B207" s="439" t="s">
        <v>3958</v>
      </c>
      <c r="C207" s="40" t="s">
        <v>25</v>
      </c>
      <c r="D207" s="40" t="s">
        <v>1839</v>
      </c>
      <c r="E207" s="40" t="s">
        <v>38</v>
      </c>
      <c r="F207" s="40"/>
      <c r="G207" s="40" t="s">
        <v>29</v>
      </c>
      <c r="H207" s="200">
        <v>1500</v>
      </c>
      <c r="I207" s="41">
        <v>300</v>
      </c>
      <c r="J207" s="40" t="s">
        <v>30</v>
      </c>
      <c r="K207" s="40" t="s">
        <v>31</v>
      </c>
    </row>
    <row r="208" spans="1:11" ht="15.75" customHeight="1">
      <c r="A208" s="438">
        <v>19</v>
      </c>
      <c r="B208" s="439" t="s">
        <v>3959</v>
      </c>
      <c r="C208" s="40" t="s">
        <v>25</v>
      </c>
      <c r="D208" s="40" t="s">
        <v>3198</v>
      </c>
      <c r="E208" s="40" t="s">
        <v>27</v>
      </c>
      <c r="F208" s="40"/>
      <c r="G208" s="40" t="s">
        <v>29</v>
      </c>
      <c r="H208" s="200">
        <v>500</v>
      </c>
      <c r="I208" s="41" t="s">
        <v>101</v>
      </c>
      <c r="J208" s="40" t="s">
        <v>30</v>
      </c>
      <c r="K208" s="40" t="s">
        <v>31</v>
      </c>
    </row>
    <row r="209" spans="1:11" ht="15.75" customHeight="1">
      <c r="A209" s="438">
        <v>19</v>
      </c>
      <c r="B209" s="439" t="s">
        <v>3959</v>
      </c>
      <c r="C209" s="40" t="s">
        <v>25</v>
      </c>
      <c r="D209" s="40" t="s">
        <v>3198</v>
      </c>
      <c r="E209" s="40" t="s">
        <v>27</v>
      </c>
      <c r="F209" s="40"/>
      <c r="G209" s="40" t="s">
        <v>29</v>
      </c>
      <c r="H209" s="200">
        <v>1000</v>
      </c>
      <c r="I209" s="41">
        <v>200</v>
      </c>
      <c r="J209" s="40" t="s">
        <v>30</v>
      </c>
      <c r="K209" s="40" t="s">
        <v>31</v>
      </c>
    </row>
    <row r="210" spans="1:11" ht="15.75" customHeight="1">
      <c r="A210" s="438">
        <v>19</v>
      </c>
      <c r="B210" s="439" t="s">
        <v>3960</v>
      </c>
      <c r="C210" s="40" t="s">
        <v>25</v>
      </c>
      <c r="D210" s="40" t="s">
        <v>782</v>
      </c>
      <c r="E210" s="40" t="s">
        <v>150</v>
      </c>
      <c r="F210" s="40"/>
      <c r="G210" s="40" t="s">
        <v>29</v>
      </c>
      <c r="H210" s="200">
        <v>500</v>
      </c>
      <c r="I210" s="41">
        <v>100</v>
      </c>
      <c r="J210" s="40" t="s">
        <v>30</v>
      </c>
      <c r="K210" s="40" t="s">
        <v>31</v>
      </c>
    </row>
    <row r="211" spans="1:11" ht="15.75" customHeight="1">
      <c r="A211" s="438">
        <v>19</v>
      </c>
      <c r="B211" s="439" t="s">
        <v>3961</v>
      </c>
      <c r="C211" s="40" t="s">
        <v>25</v>
      </c>
      <c r="D211" s="40" t="s">
        <v>1926</v>
      </c>
      <c r="E211" s="40" t="s">
        <v>1927</v>
      </c>
      <c r="F211" s="40"/>
      <c r="G211" s="40" t="s">
        <v>29</v>
      </c>
      <c r="H211" s="200">
        <v>500</v>
      </c>
      <c r="I211" s="41">
        <v>100</v>
      </c>
      <c r="J211" s="40" t="s">
        <v>30</v>
      </c>
      <c r="K211" s="40" t="s">
        <v>31</v>
      </c>
    </row>
    <row r="212" spans="1:11" ht="15.75" customHeight="1">
      <c r="A212" s="438">
        <v>19</v>
      </c>
      <c r="B212" s="439" t="s">
        <v>3962</v>
      </c>
      <c r="C212" s="40" t="s">
        <v>25</v>
      </c>
      <c r="D212" s="40" t="s">
        <v>811</v>
      </c>
      <c r="E212" s="40" t="s">
        <v>46</v>
      </c>
      <c r="F212" s="40"/>
      <c r="G212" s="40" t="s">
        <v>29</v>
      </c>
      <c r="H212" s="200">
        <v>500</v>
      </c>
      <c r="I212" s="41">
        <v>100</v>
      </c>
      <c r="J212" s="40" t="s">
        <v>30</v>
      </c>
      <c r="K212" s="40" t="s">
        <v>31</v>
      </c>
    </row>
    <row r="213" spans="1:11" ht="15.75" customHeight="1">
      <c r="A213" s="438">
        <v>19</v>
      </c>
      <c r="B213" s="439" t="s">
        <v>3963</v>
      </c>
      <c r="C213" s="40" t="s">
        <v>25</v>
      </c>
      <c r="D213" s="40" t="s">
        <v>68</v>
      </c>
      <c r="E213" s="40" t="s">
        <v>78</v>
      </c>
      <c r="F213" s="40"/>
      <c r="G213" s="40" t="s">
        <v>29</v>
      </c>
      <c r="H213" s="200">
        <v>200</v>
      </c>
      <c r="I213" s="41">
        <v>40</v>
      </c>
      <c r="J213" s="40" t="s">
        <v>30</v>
      </c>
      <c r="K213" s="40" t="s">
        <v>31</v>
      </c>
    </row>
    <row r="214" spans="1:11" ht="15.75" customHeight="1">
      <c r="A214" s="438">
        <v>19</v>
      </c>
      <c r="B214" s="439" t="s">
        <v>3964</v>
      </c>
      <c r="C214" s="40" t="s">
        <v>25</v>
      </c>
      <c r="D214" s="40" t="s">
        <v>3965</v>
      </c>
      <c r="E214" s="40" t="s">
        <v>78</v>
      </c>
      <c r="F214" s="40"/>
      <c r="G214" s="40" t="s">
        <v>29</v>
      </c>
      <c r="H214" s="200">
        <v>200</v>
      </c>
      <c r="I214" s="41">
        <v>40</v>
      </c>
      <c r="J214" s="40" t="s">
        <v>30</v>
      </c>
      <c r="K214" s="40" t="s">
        <v>31</v>
      </c>
    </row>
    <row r="215" spans="1:11" ht="15.75" customHeight="1">
      <c r="A215" s="438">
        <v>19</v>
      </c>
      <c r="B215" s="439" t="s">
        <v>3966</v>
      </c>
      <c r="C215" s="40" t="s">
        <v>25</v>
      </c>
      <c r="D215" s="40" t="s">
        <v>1371</v>
      </c>
      <c r="E215" s="40" t="s">
        <v>96</v>
      </c>
      <c r="F215" s="40"/>
      <c r="G215" s="40" t="s">
        <v>29</v>
      </c>
      <c r="H215" s="200">
        <v>700</v>
      </c>
      <c r="I215" s="41">
        <v>140</v>
      </c>
      <c r="J215" s="40" t="s">
        <v>30</v>
      </c>
      <c r="K215" s="40" t="s">
        <v>31</v>
      </c>
    </row>
    <row r="216" spans="1:11" ht="15.75" customHeight="1">
      <c r="A216" s="438">
        <v>19</v>
      </c>
      <c r="B216" s="439" t="s">
        <v>3967</v>
      </c>
      <c r="C216" s="40" t="s">
        <v>25</v>
      </c>
      <c r="D216" s="40" t="s">
        <v>548</v>
      </c>
      <c r="E216" s="40" t="s">
        <v>42</v>
      </c>
      <c r="F216" s="40"/>
      <c r="G216" s="40" t="s">
        <v>29</v>
      </c>
      <c r="H216" s="200">
        <v>100</v>
      </c>
      <c r="I216" s="41">
        <v>20</v>
      </c>
      <c r="J216" s="40" t="s">
        <v>30</v>
      </c>
      <c r="K216" s="40" t="s">
        <v>31</v>
      </c>
    </row>
    <row r="217" spans="1:11" ht="15.75" customHeight="1">
      <c r="A217" s="438">
        <v>19</v>
      </c>
      <c r="B217" s="439" t="s">
        <v>3968</v>
      </c>
      <c r="C217" s="40" t="s">
        <v>59</v>
      </c>
      <c r="D217" s="40" t="s">
        <v>99</v>
      </c>
      <c r="E217" s="40" t="s">
        <v>42</v>
      </c>
      <c r="F217" s="40"/>
      <c r="G217" s="40" t="s">
        <v>29</v>
      </c>
      <c r="H217" s="200">
        <v>1000</v>
      </c>
      <c r="I217" s="41">
        <v>200</v>
      </c>
      <c r="J217" s="40" t="s">
        <v>30</v>
      </c>
      <c r="K217" s="40" t="s">
        <v>31</v>
      </c>
    </row>
    <row r="218" spans="1:11" ht="15.75" customHeight="1">
      <c r="A218" s="434">
        <v>19</v>
      </c>
      <c r="B218" s="435" t="s">
        <v>3969</v>
      </c>
      <c r="C218" s="48" t="s">
        <v>25</v>
      </c>
      <c r="D218" s="48" t="s">
        <v>852</v>
      </c>
      <c r="E218" s="48" t="s">
        <v>34</v>
      </c>
      <c r="F218" s="48"/>
      <c r="G218" s="48" t="s">
        <v>29</v>
      </c>
      <c r="H218" s="430">
        <v>2000</v>
      </c>
      <c r="I218" s="51">
        <v>400</v>
      </c>
      <c r="J218" s="48" t="s">
        <v>30</v>
      </c>
      <c r="K218" s="48" t="s">
        <v>31</v>
      </c>
    </row>
    <row r="219" spans="1:11" ht="15.75" customHeight="1">
      <c r="A219" s="436">
        <v>22</v>
      </c>
      <c r="B219" s="77" t="s">
        <v>3970</v>
      </c>
      <c r="C219" s="53" t="s">
        <v>25</v>
      </c>
      <c r="D219" s="53" t="s">
        <v>3971</v>
      </c>
      <c r="E219" s="53" t="s">
        <v>130</v>
      </c>
      <c r="F219" s="53"/>
      <c r="G219" s="53" t="s">
        <v>29</v>
      </c>
      <c r="H219" s="437">
        <v>20000</v>
      </c>
      <c r="I219" s="55">
        <v>4000</v>
      </c>
      <c r="J219" s="53" t="s">
        <v>30</v>
      </c>
      <c r="K219" s="53" t="s">
        <v>31</v>
      </c>
    </row>
    <row r="220" spans="1:11" ht="15.75" customHeight="1">
      <c r="A220" s="438">
        <v>22</v>
      </c>
      <c r="B220" s="439" t="s">
        <v>3972</v>
      </c>
      <c r="C220" s="40" t="s">
        <v>59</v>
      </c>
      <c r="D220" s="40" t="s">
        <v>1349</v>
      </c>
      <c r="E220" s="40" t="s">
        <v>249</v>
      </c>
      <c r="F220" s="40"/>
      <c r="G220" s="40" t="s">
        <v>29</v>
      </c>
      <c r="H220" s="200">
        <v>1500</v>
      </c>
      <c r="I220" s="41" t="s">
        <v>101</v>
      </c>
      <c r="J220" s="40" t="s">
        <v>30</v>
      </c>
      <c r="K220" s="40" t="s">
        <v>31</v>
      </c>
    </row>
    <row r="221" spans="1:11" ht="15.75" customHeight="1">
      <c r="A221" s="438">
        <v>22</v>
      </c>
      <c r="B221" s="439" t="s">
        <v>3972</v>
      </c>
      <c r="C221" s="40" t="s">
        <v>59</v>
      </c>
      <c r="D221" s="40" t="s">
        <v>1349</v>
      </c>
      <c r="E221" s="40" t="s">
        <v>249</v>
      </c>
      <c r="F221" s="40"/>
      <c r="G221" s="40" t="s">
        <v>29</v>
      </c>
      <c r="H221" s="200">
        <v>8000</v>
      </c>
      <c r="I221" s="41">
        <v>1600</v>
      </c>
      <c r="J221" s="40" t="s">
        <v>30</v>
      </c>
      <c r="K221" s="40" t="s">
        <v>31</v>
      </c>
    </row>
    <row r="222" spans="1:11" ht="15.75" customHeight="1">
      <c r="A222" s="438">
        <v>22</v>
      </c>
      <c r="B222" s="439" t="s">
        <v>3973</v>
      </c>
      <c r="C222" s="40" t="s">
        <v>25</v>
      </c>
      <c r="D222" s="40" t="s">
        <v>732</v>
      </c>
      <c r="E222" s="40" t="s">
        <v>38</v>
      </c>
      <c r="F222" s="40"/>
      <c r="G222" s="40" t="s">
        <v>29</v>
      </c>
      <c r="H222" s="200">
        <v>6000</v>
      </c>
      <c r="I222" s="41">
        <v>1200</v>
      </c>
      <c r="J222" s="40" t="s">
        <v>30</v>
      </c>
      <c r="K222" s="40" t="s">
        <v>31</v>
      </c>
    </row>
    <row r="223" spans="1:11" ht="15.75" customHeight="1">
      <c r="A223" s="438">
        <v>22</v>
      </c>
      <c r="B223" s="439" t="s">
        <v>3974</v>
      </c>
      <c r="C223" s="40" t="s">
        <v>25</v>
      </c>
      <c r="D223" s="40" t="s">
        <v>92</v>
      </c>
      <c r="E223" s="40" t="s">
        <v>34</v>
      </c>
      <c r="F223" s="40"/>
      <c r="G223" s="40" t="s">
        <v>29</v>
      </c>
      <c r="H223" s="200">
        <v>5000</v>
      </c>
      <c r="I223" s="41">
        <v>1000</v>
      </c>
      <c r="J223" s="40" t="s">
        <v>30</v>
      </c>
      <c r="K223" s="40" t="s">
        <v>31</v>
      </c>
    </row>
    <row r="224" spans="1:11" ht="15.75" customHeight="1">
      <c r="A224" s="438">
        <v>22</v>
      </c>
      <c r="B224" s="439" t="s">
        <v>3975</v>
      </c>
      <c r="C224" s="40" t="s">
        <v>25</v>
      </c>
      <c r="D224" s="40" t="s">
        <v>706</v>
      </c>
      <c r="E224" s="40" t="s">
        <v>249</v>
      </c>
      <c r="F224" s="40"/>
      <c r="G224" s="40" t="s">
        <v>29</v>
      </c>
      <c r="H224" s="200">
        <v>3500</v>
      </c>
      <c r="I224" s="41">
        <v>700</v>
      </c>
      <c r="J224" s="40" t="s">
        <v>30</v>
      </c>
      <c r="K224" s="40" t="s">
        <v>31</v>
      </c>
    </row>
    <row r="225" spans="1:11" ht="15.75" customHeight="1">
      <c r="A225" s="438">
        <v>22</v>
      </c>
      <c r="B225" s="439" t="s">
        <v>3976</v>
      </c>
      <c r="C225" s="40" t="s">
        <v>25</v>
      </c>
      <c r="D225" s="40" t="s">
        <v>624</v>
      </c>
      <c r="E225" s="40" t="s">
        <v>34</v>
      </c>
      <c r="F225" s="40"/>
      <c r="G225" s="40" t="s">
        <v>29</v>
      </c>
      <c r="H225" s="200">
        <v>3000</v>
      </c>
      <c r="I225" s="41">
        <v>600</v>
      </c>
      <c r="J225" s="40" t="s">
        <v>30</v>
      </c>
      <c r="K225" s="40" t="s">
        <v>31</v>
      </c>
    </row>
    <row r="226" spans="1:11" ht="15.75" customHeight="1">
      <c r="A226" s="438">
        <v>22</v>
      </c>
      <c r="B226" s="439" t="s">
        <v>3977</v>
      </c>
      <c r="C226" s="40" t="s">
        <v>25</v>
      </c>
      <c r="D226" s="40" t="s">
        <v>3978</v>
      </c>
      <c r="E226" s="40" t="s">
        <v>333</v>
      </c>
      <c r="F226" s="40"/>
      <c r="G226" s="40" t="s">
        <v>29</v>
      </c>
      <c r="H226" s="200">
        <v>3000</v>
      </c>
      <c r="I226" s="41">
        <v>600</v>
      </c>
      <c r="J226" s="40" t="s">
        <v>30</v>
      </c>
      <c r="K226" s="40" t="s">
        <v>31</v>
      </c>
    </row>
    <row r="227" spans="1:11" ht="15.75" customHeight="1">
      <c r="A227" s="438">
        <v>22</v>
      </c>
      <c r="B227" s="439" t="s">
        <v>3979</v>
      </c>
      <c r="C227" s="40" t="s">
        <v>25</v>
      </c>
      <c r="D227" s="40" t="s">
        <v>724</v>
      </c>
      <c r="E227" s="40" t="s">
        <v>540</v>
      </c>
      <c r="F227" s="40"/>
      <c r="G227" s="40" t="s">
        <v>29</v>
      </c>
      <c r="H227" s="200">
        <v>2000</v>
      </c>
      <c r="I227" s="41">
        <v>400</v>
      </c>
      <c r="J227" s="40" t="s">
        <v>30</v>
      </c>
      <c r="K227" s="40" t="s">
        <v>31</v>
      </c>
    </row>
    <row r="228" spans="1:11" ht="15.75" customHeight="1">
      <c r="A228" s="438">
        <v>22</v>
      </c>
      <c r="B228" s="439" t="s">
        <v>3939</v>
      </c>
      <c r="C228" s="40" t="s">
        <v>25</v>
      </c>
      <c r="D228" s="40" t="s">
        <v>3583</v>
      </c>
      <c r="E228" s="40" t="s">
        <v>46</v>
      </c>
      <c r="F228" s="40"/>
      <c r="G228" s="40" t="s">
        <v>29</v>
      </c>
      <c r="H228" s="200">
        <v>1000</v>
      </c>
      <c r="I228" s="41">
        <v>200</v>
      </c>
      <c r="J228" s="40" t="s">
        <v>30</v>
      </c>
      <c r="K228" s="40" t="s">
        <v>31</v>
      </c>
    </row>
    <row r="229" spans="1:11" ht="15.75" customHeight="1">
      <c r="A229" s="438">
        <v>22</v>
      </c>
      <c r="B229" s="439" t="s">
        <v>3980</v>
      </c>
      <c r="C229" s="40" t="s">
        <v>25</v>
      </c>
      <c r="D229" s="40" t="s">
        <v>169</v>
      </c>
      <c r="E229" s="40" t="s">
        <v>78</v>
      </c>
      <c r="F229" s="40"/>
      <c r="G229" s="40" t="s">
        <v>29</v>
      </c>
      <c r="H229" s="200">
        <v>1000</v>
      </c>
      <c r="I229" s="41">
        <v>200</v>
      </c>
      <c r="J229" s="40" t="s">
        <v>30</v>
      </c>
      <c r="K229" s="40" t="s">
        <v>31</v>
      </c>
    </row>
    <row r="230" spans="1:11" ht="15.75" customHeight="1">
      <c r="A230" s="438">
        <v>22</v>
      </c>
      <c r="B230" s="439" t="s">
        <v>2212</v>
      </c>
      <c r="C230" s="40" t="s">
        <v>59</v>
      </c>
      <c r="D230" s="40" t="s">
        <v>2213</v>
      </c>
      <c r="E230" s="40" t="s">
        <v>42</v>
      </c>
      <c r="F230" s="40"/>
      <c r="G230" s="40" t="s">
        <v>29</v>
      </c>
      <c r="H230" s="200">
        <v>1000</v>
      </c>
      <c r="I230" s="41">
        <v>200</v>
      </c>
      <c r="J230" s="40" t="s">
        <v>30</v>
      </c>
      <c r="K230" s="40" t="s">
        <v>31</v>
      </c>
    </row>
    <row r="231" spans="1:11" ht="15.75" customHeight="1">
      <c r="A231" s="438">
        <v>22</v>
      </c>
      <c r="B231" s="439" t="s">
        <v>2831</v>
      </c>
      <c r="C231" s="40" t="s">
        <v>25</v>
      </c>
      <c r="D231" s="40" t="s">
        <v>1390</v>
      </c>
      <c r="E231" s="40" t="s">
        <v>50</v>
      </c>
      <c r="F231" s="40"/>
      <c r="G231" s="40" t="s">
        <v>29</v>
      </c>
      <c r="H231" s="200">
        <v>1000</v>
      </c>
      <c r="I231" s="41">
        <v>200</v>
      </c>
      <c r="J231" s="40" t="s">
        <v>30</v>
      </c>
      <c r="K231" s="40" t="s">
        <v>31</v>
      </c>
    </row>
    <row r="232" spans="1:11" ht="15.75" customHeight="1">
      <c r="A232" s="438">
        <v>22</v>
      </c>
      <c r="B232" s="439" t="s">
        <v>3981</v>
      </c>
      <c r="C232" s="40" t="s">
        <v>25</v>
      </c>
      <c r="D232" s="40" t="s">
        <v>1390</v>
      </c>
      <c r="E232" s="40" t="s">
        <v>50</v>
      </c>
      <c r="F232" s="40"/>
      <c r="G232" s="40" t="s">
        <v>29</v>
      </c>
      <c r="H232" s="200">
        <v>1000</v>
      </c>
      <c r="I232" s="41">
        <v>200</v>
      </c>
      <c r="J232" s="40" t="s">
        <v>30</v>
      </c>
      <c r="K232" s="40" t="s">
        <v>31</v>
      </c>
    </row>
    <row r="233" spans="1:11" ht="15.75" customHeight="1">
      <c r="A233" s="438">
        <v>22</v>
      </c>
      <c r="B233" s="439" t="s">
        <v>3982</v>
      </c>
      <c r="C233" s="40" t="s">
        <v>25</v>
      </c>
      <c r="D233" s="40" t="s">
        <v>1390</v>
      </c>
      <c r="E233" s="40" t="s">
        <v>50</v>
      </c>
      <c r="F233" s="40"/>
      <c r="G233" s="40" t="s">
        <v>29</v>
      </c>
      <c r="H233" s="200">
        <v>1000</v>
      </c>
      <c r="I233" s="41">
        <v>200</v>
      </c>
      <c r="J233" s="40" t="s">
        <v>30</v>
      </c>
      <c r="K233" s="40" t="s">
        <v>31</v>
      </c>
    </row>
    <row r="234" spans="1:11" ht="15.75" customHeight="1">
      <c r="A234" s="438">
        <v>22</v>
      </c>
      <c r="B234" s="439" t="s">
        <v>3983</v>
      </c>
      <c r="C234" s="40" t="s">
        <v>25</v>
      </c>
      <c r="D234" s="40" t="s">
        <v>3127</v>
      </c>
      <c r="E234" s="40" t="s">
        <v>78</v>
      </c>
      <c r="F234" s="40"/>
      <c r="G234" s="40" t="s">
        <v>29</v>
      </c>
      <c r="H234" s="200">
        <v>500</v>
      </c>
      <c r="I234" s="41">
        <v>100</v>
      </c>
      <c r="J234" s="40" t="s">
        <v>30</v>
      </c>
      <c r="K234" s="40" t="s">
        <v>31</v>
      </c>
    </row>
    <row r="235" spans="1:11" ht="15.75" customHeight="1">
      <c r="A235" s="438">
        <v>22</v>
      </c>
      <c r="B235" s="439" t="s">
        <v>3984</v>
      </c>
      <c r="C235" s="40" t="s">
        <v>25</v>
      </c>
      <c r="D235" s="40" t="s">
        <v>3385</v>
      </c>
      <c r="E235" s="40" t="s">
        <v>78</v>
      </c>
      <c r="F235" s="40"/>
      <c r="G235" s="40" t="s">
        <v>29</v>
      </c>
      <c r="H235" s="200">
        <v>500</v>
      </c>
      <c r="I235" s="41">
        <v>100</v>
      </c>
      <c r="J235" s="40" t="s">
        <v>30</v>
      </c>
      <c r="K235" s="40" t="s">
        <v>31</v>
      </c>
    </row>
    <row r="236" spans="1:11" ht="15.75" customHeight="1">
      <c r="A236" s="438">
        <v>22</v>
      </c>
      <c r="B236" s="439" t="s">
        <v>3985</v>
      </c>
      <c r="C236" s="40" t="s">
        <v>25</v>
      </c>
      <c r="D236" s="40" t="s">
        <v>3600</v>
      </c>
      <c r="E236" s="40" t="s">
        <v>150</v>
      </c>
      <c r="F236" s="40"/>
      <c r="G236" s="40" t="s">
        <v>29</v>
      </c>
      <c r="H236" s="200">
        <v>500</v>
      </c>
      <c r="I236" s="41">
        <v>100</v>
      </c>
      <c r="J236" s="40" t="s">
        <v>30</v>
      </c>
      <c r="K236" s="40" t="s">
        <v>31</v>
      </c>
    </row>
    <row r="237" spans="1:11" ht="15.75" customHeight="1">
      <c r="A237" s="438">
        <v>22</v>
      </c>
      <c r="B237" s="439" t="s">
        <v>3986</v>
      </c>
      <c r="C237" s="40" t="s">
        <v>25</v>
      </c>
      <c r="D237" s="40" t="s">
        <v>77</v>
      </c>
      <c r="E237" s="40" t="s">
        <v>78</v>
      </c>
      <c r="F237" s="40"/>
      <c r="G237" s="40" t="s">
        <v>29</v>
      </c>
      <c r="H237" s="200">
        <v>500</v>
      </c>
      <c r="I237" s="41">
        <v>100</v>
      </c>
      <c r="J237" s="40" t="s">
        <v>30</v>
      </c>
      <c r="K237" s="40" t="s">
        <v>31</v>
      </c>
    </row>
    <row r="238" spans="1:11" ht="15.75" customHeight="1">
      <c r="A238" s="438">
        <v>22</v>
      </c>
      <c r="B238" s="439" t="s">
        <v>3987</v>
      </c>
      <c r="C238" s="40" t="s">
        <v>25</v>
      </c>
      <c r="D238" s="40" t="s">
        <v>1371</v>
      </c>
      <c r="E238" s="40" t="s">
        <v>96</v>
      </c>
      <c r="F238" s="40"/>
      <c r="G238" s="40" t="s">
        <v>29</v>
      </c>
      <c r="H238" s="200">
        <v>500</v>
      </c>
      <c r="I238" s="41">
        <v>100</v>
      </c>
      <c r="J238" s="40" t="s">
        <v>30</v>
      </c>
      <c r="K238" s="40" t="s">
        <v>31</v>
      </c>
    </row>
    <row r="239" spans="1:11" ht="15.75" customHeight="1">
      <c r="A239" s="438">
        <v>22</v>
      </c>
      <c r="B239" s="439" t="s">
        <v>3988</v>
      </c>
      <c r="C239" s="40" t="s">
        <v>25</v>
      </c>
      <c r="D239" s="40" t="s">
        <v>1371</v>
      </c>
      <c r="E239" s="40" t="s">
        <v>96</v>
      </c>
      <c r="F239" s="40"/>
      <c r="G239" s="40" t="s">
        <v>29</v>
      </c>
      <c r="H239" s="200">
        <v>500</v>
      </c>
      <c r="I239" s="41">
        <v>100</v>
      </c>
      <c r="J239" s="40" t="s">
        <v>30</v>
      </c>
      <c r="K239" s="40" t="s">
        <v>31</v>
      </c>
    </row>
    <row r="240" spans="1:11" ht="15.75" customHeight="1">
      <c r="A240" s="438">
        <v>22</v>
      </c>
      <c r="B240" s="439" t="s">
        <v>3989</v>
      </c>
      <c r="C240" s="40" t="s">
        <v>25</v>
      </c>
      <c r="D240" s="40" t="s">
        <v>1349</v>
      </c>
      <c r="E240" s="40" t="s">
        <v>249</v>
      </c>
      <c r="F240" s="40"/>
      <c r="G240" s="40" t="s">
        <v>29</v>
      </c>
      <c r="H240" s="200">
        <v>500</v>
      </c>
      <c r="I240" s="41">
        <v>100</v>
      </c>
      <c r="J240" s="40" t="s">
        <v>30</v>
      </c>
      <c r="K240" s="40" t="s">
        <v>31</v>
      </c>
    </row>
    <row r="241" spans="1:11" ht="15.75" customHeight="1">
      <c r="A241" s="438">
        <v>22</v>
      </c>
      <c r="B241" s="439" t="s">
        <v>3990</v>
      </c>
      <c r="C241" s="40" t="s">
        <v>25</v>
      </c>
      <c r="D241" s="40" t="s">
        <v>3991</v>
      </c>
      <c r="E241" s="40" t="s">
        <v>1308</v>
      </c>
      <c r="F241" s="40"/>
      <c r="G241" s="40" t="s">
        <v>29</v>
      </c>
      <c r="H241" s="200">
        <v>600</v>
      </c>
      <c r="I241" s="41">
        <v>120</v>
      </c>
      <c r="J241" s="40" t="s">
        <v>30</v>
      </c>
      <c r="K241" s="40" t="s">
        <v>31</v>
      </c>
    </row>
    <row r="242" spans="1:11" ht="15.75" customHeight="1">
      <c r="A242" s="438">
        <v>22</v>
      </c>
      <c r="B242" s="439" t="s">
        <v>3992</v>
      </c>
      <c r="C242" s="40" t="s">
        <v>25</v>
      </c>
      <c r="D242" s="40" t="s">
        <v>63</v>
      </c>
      <c r="E242" s="40" t="s">
        <v>38</v>
      </c>
      <c r="F242" s="40"/>
      <c r="G242" s="40" t="s">
        <v>29</v>
      </c>
      <c r="H242" s="200">
        <v>300</v>
      </c>
      <c r="I242" s="41">
        <v>60</v>
      </c>
      <c r="J242" s="40" t="s">
        <v>30</v>
      </c>
      <c r="K242" s="40" t="s">
        <v>31</v>
      </c>
    </row>
    <row r="243" spans="1:11" ht="15.75" customHeight="1">
      <c r="A243" s="438">
        <v>22</v>
      </c>
      <c r="B243" s="439" t="s">
        <v>3993</v>
      </c>
      <c r="C243" s="40" t="s">
        <v>25</v>
      </c>
      <c r="D243" s="40" t="s">
        <v>688</v>
      </c>
      <c r="E243" s="40" t="s">
        <v>46</v>
      </c>
      <c r="F243" s="40"/>
      <c r="G243" s="40" t="s">
        <v>29</v>
      </c>
      <c r="H243" s="200">
        <v>300</v>
      </c>
      <c r="I243" s="41">
        <v>60</v>
      </c>
      <c r="J243" s="40" t="s">
        <v>30</v>
      </c>
      <c r="K243" s="40" t="s">
        <v>31</v>
      </c>
    </row>
    <row r="244" spans="1:11" ht="15.75" customHeight="1">
      <c r="A244" s="438">
        <v>22</v>
      </c>
      <c r="B244" s="439" t="s">
        <v>576</v>
      </c>
      <c r="C244" s="40" t="s">
        <v>25</v>
      </c>
      <c r="D244" s="40" t="s">
        <v>55</v>
      </c>
      <c r="E244" s="40" t="s">
        <v>96</v>
      </c>
      <c r="F244" s="40"/>
      <c r="G244" s="40" t="s">
        <v>142</v>
      </c>
      <c r="H244" s="200">
        <v>5</v>
      </c>
      <c r="I244" s="41">
        <v>25</v>
      </c>
      <c r="J244" s="40"/>
      <c r="K244" s="40" t="s">
        <v>31</v>
      </c>
    </row>
    <row r="245" spans="1:11" ht="15.75" customHeight="1">
      <c r="A245" s="438">
        <v>22</v>
      </c>
      <c r="B245" s="439" t="s">
        <v>576</v>
      </c>
      <c r="C245" s="40" t="s">
        <v>25</v>
      </c>
      <c r="D245" s="40" t="s">
        <v>55</v>
      </c>
      <c r="E245" s="40" t="s">
        <v>96</v>
      </c>
      <c r="F245" s="40"/>
      <c r="G245" s="40" t="s">
        <v>543</v>
      </c>
      <c r="H245" s="200">
        <v>3</v>
      </c>
      <c r="I245" s="41">
        <v>9</v>
      </c>
      <c r="J245" s="40"/>
      <c r="K245" s="40" t="s">
        <v>31</v>
      </c>
    </row>
    <row r="246" spans="1:11" ht="15.75" customHeight="1">
      <c r="A246" s="438">
        <v>23</v>
      </c>
      <c r="B246" s="439" t="s">
        <v>3107</v>
      </c>
      <c r="C246" s="40" t="s">
        <v>25</v>
      </c>
      <c r="D246" s="40" t="s">
        <v>1511</v>
      </c>
      <c r="E246" s="40" t="s">
        <v>34</v>
      </c>
      <c r="F246" s="40"/>
      <c r="G246" s="40" t="s">
        <v>29</v>
      </c>
      <c r="H246" s="200">
        <v>20000</v>
      </c>
      <c r="I246" s="41">
        <v>4000</v>
      </c>
      <c r="J246" s="40" t="s">
        <v>30</v>
      </c>
      <c r="K246" s="40" t="s">
        <v>31</v>
      </c>
    </row>
    <row r="247" spans="1:11" ht="15.75" customHeight="1">
      <c r="A247" s="438">
        <v>23</v>
      </c>
      <c r="B247" s="439" t="s">
        <v>3994</v>
      </c>
      <c r="C247" s="40" t="s">
        <v>25</v>
      </c>
      <c r="D247" s="40" t="s">
        <v>852</v>
      </c>
      <c r="E247" s="40" t="s">
        <v>34</v>
      </c>
      <c r="F247" s="40"/>
      <c r="G247" s="40" t="s">
        <v>29</v>
      </c>
      <c r="H247" s="200">
        <v>5000</v>
      </c>
      <c r="I247" s="41">
        <v>1000</v>
      </c>
      <c r="J247" s="40" t="s">
        <v>30</v>
      </c>
      <c r="K247" s="40" t="s">
        <v>31</v>
      </c>
    </row>
    <row r="248" spans="1:11" ht="15.75" customHeight="1">
      <c r="A248" s="438">
        <v>23</v>
      </c>
      <c r="B248" s="439" t="s">
        <v>3995</v>
      </c>
      <c r="C248" s="40" t="s">
        <v>25</v>
      </c>
      <c r="D248" s="40" t="s">
        <v>86</v>
      </c>
      <c r="E248" s="40" t="s">
        <v>42</v>
      </c>
      <c r="F248" s="40"/>
      <c r="G248" s="40" t="s">
        <v>29</v>
      </c>
      <c r="H248" s="200">
        <v>4000</v>
      </c>
      <c r="I248" s="41">
        <v>800</v>
      </c>
      <c r="J248" s="40" t="s">
        <v>30</v>
      </c>
      <c r="K248" s="40" t="s">
        <v>31</v>
      </c>
    </row>
    <row r="249" spans="1:11" ht="15.75" customHeight="1">
      <c r="A249" s="438">
        <v>23</v>
      </c>
      <c r="B249" s="439" t="s">
        <v>3996</v>
      </c>
      <c r="C249" s="40" t="s">
        <v>25</v>
      </c>
      <c r="D249" s="40" t="s">
        <v>841</v>
      </c>
      <c r="E249" s="40" t="s">
        <v>533</v>
      </c>
      <c r="F249" s="40"/>
      <c r="G249" s="40" t="s">
        <v>29</v>
      </c>
      <c r="H249" s="200">
        <v>2000</v>
      </c>
      <c r="I249" s="41">
        <v>400</v>
      </c>
      <c r="J249" s="40" t="s">
        <v>30</v>
      </c>
      <c r="K249" s="40" t="s">
        <v>31</v>
      </c>
    </row>
    <row r="250" spans="1:11" ht="15.75" customHeight="1">
      <c r="A250" s="438">
        <v>23</v>
      </c>
      <c r="B250" s="439" t="s">
        <v>3997</v>
      </c>
      <c r="C250" s="40" t="s">
        <v>59</v>
      </c>
      <c r="D250" s="40" t="s">
        <v>700</v>
      </c>
      <c r="E250" s="40" t="s">
        <v>46</v>
      </c>
      <c r="F250" s="40"/>
      <c r="G250" s="40" t="s">
        <v>29</v>
      </c>
      <c r="H250" s="200">
        <v>1850</v>
      </c>
      <c r="I250" s="41">
        <v>370</v>
      </c>
      <c r="J250" s="40" t="s">
        <v>30</v>
      </c>
      <c r="K250" s="40" t="s">
        <v>31</v>
      </c>
    </row>
    <row r="251" spans="1:11" ht="15.75" customHeight="1">
      <c r="A251" s="438">
        <v>23</v>
      </c>
      <c r="B251" s="439" t="s">
        <v>3998</v>
      </c>
      <c r="C251" s="40" t="s">
        <v>25</v>
      </c>
      <c r="D251" s="40" t="s">
        <v>89</v>
      </c>
      <c r="E251" s="40" t="s">
        <v>38</v>
      </c>
      <c r="F251" s="40"/>
      <c r="G251" s="40" t="s">
        <v>29</v>
      </c>
      <c r="H251" s="200">
        <v>200</v>
      </c>
      <c r="I251" s="41">
        <v>40</v>
      </c>
      <c r="J251" s="40" t="s">
        <v>30</v>
      </c>
      <c r="K251" s="40" t="s">
        <v>31</v>
      </c>
    </row>
    <row r="252" spans="1:11" ht="15.75" customHeight="1">
      <c r="A252" s="438">
        <v>23</v>
      </c>
      <c r="B252" s="439" t="s">
        <v>3999</v>
      </c>
      <c r="C252" s="40" t="s">
        <v>25</v>
      </c>
      <c r="D252" s="40" t="s">
        <v>209</v>
      </c>
      <c r="E252" s="40" t="s">
        <v>96</v>
      </c>
      <c r="F252" s="40"/>
      <c r="G252" s="40" t="s">
        <v>29</v>
      </c>
      <c r="H252" s="200">
        <v>1000</v>
      </c>
      <c r="I252" s="41">
        <v>200</v>
      </c>
      <c r="J252" s="40" t="s">
        <v>30</v>
      </c>
      <c r="K252" s="40" t="s">
        <v>31</v>
      </c>
    </row>
    <row r="253" spans="1:11" ht="15.75" customHeight="1">
      <c r="A253" s="438">
        <v>23</v>
      </c>
      <c r="B253" s="439" t="s">
        <v>4000</v>
      </c>
      <c r="C253" s="40" t="s">
        <v>25</v>
      </c>
      <c r="D253" s="40" t="s">
        <v>1371</v>
      </c>
      <c r="E253" s="40" t="s">
        <v>96</v>
      </c>
      <c r="F253" s="40"/>
      <c r="G253" s="40" t="s">
        <v>29</v>
      </c>
      <c r="H253" s="200">
        <v>1000</v>
      </c>
      <c r="I253" s="41">
        <v>200</v>
      </c>
      <c r="J253" s="40" t="s">
        <v>30</v>
      </c>
      <c r="K253" s="40" t="s">
        <v>31</v>
      </c>
    </row>
    <row r="254" spans="1:11" ht="15.75" customHeight="1">
      <c r="A254" s="438">
        <v>23</v>
      </c>
      <c r="B254" s="439" t="s">
        <v>4001</v>
      </c>
      <c r="C254" s="40" t="s">
        <v>25</v>
      </c>
      <c r="D254" s="40" t="s">
        <v>647</v>
      </c>
      <c r="E254" s="40" t="s">
        <v>96</v>
      </c>
      <c r="F254" s="40"/>
      <c r="G254" s="40" t="s">
        <v>29</v>
      </c>
      <c r="H254" s="200">
        <v>1000</v>
      </c>
      <c r="I254" s="41">
        <v>200</v>
      </c>
      <c r="J254" s="40" t="s">
        <v>30</v>
      </c>
      <c r="K254" s="40" t="s">
        <v>31</v>
      </c>
    </row>
    <row r="255" spans="1:11" ht="15.75" customHeight="1">
      <c r="A255" s="438">
        <v>23</v>
      </c>
      <c r="B255" s="439" t="s">
        <v>4002</v>
      </c>
      <c r="C255" s="40" t="s">
        <v>25</v>
      </c>
      <c r="D255" s="40" t="s">
        <v>4003</v>
      </c>
      <c r="E255" s="40" t="s">
        <v>389</v>
      </c>
      <c r="F255" s="40"/>
      <c r="G255" s="40" t="s">
        <v>29</v>
      </c>
      <c r="H255" s="200">
        <v>500</v>
      </c>
      <c r="I255" s="41" t="s">
        <v>101</v>
      </c>
      <c r="J255" s="40" t="s">
        <v>30</v>
      </c>
      <c r="K255" s="40" t="s">
        <v>31</v>
      </c>
    </row>
    <row r="256" spans="1:11" ht="15.75" customHeight="1">
      <c r="A256" s="438">
        <v>23</v>
      </c>
      <c r="B256" s="439" t="s">
        <v>4004</v>
      </c>
      <c r="C256" s="40" t="s">
        <v>25</v>
      </c>
      <c r="D256" s="40" t="s">
        <v>4005</v>
      </c>
      <c r="E256" s="40" t="s">
        <v>389</v>
      </c>
      <c r="F256" s="40"/>
      <c r="G256" s="40" t="s">
        <v>29</v>
      </c>
      <c r="H256" s="200">
        <v>1000</v>
      </c>
      <c r="I256" s="41" t="s">
        <v>101</v>
      </c>
      <c r="J256" s="40" t="s">
        <v>30</v>
      </c>
      <c r="K256" s="40" t="s">
        <v>31</v>
      </c>
    </row>
    <row r="257" spans="1:11" ht="15.75" customHeight="1">
      <c r="A257" s="438">
        <v>23</v>
      </c>
      <c r="B257" s="439" t="s">
        <v>4006</v>
      </c>
      <c r="C257" s="40" t="s">
        <v>25</v>
      </c>
      <c r="D257" s="40" t="s">
        <v>4005</v>
      </c>
      <c r="E257" s="40" t="s">
        <v>389</v>
      </c>
      <c r="F257" s="40"/>
      <c r="G257" s="40" t="s">
        <v>29</v>
      </c>
      <c r="H257" s="200">
        <v>1500</v>
      </c>
      <c r="I257" s="41" t="s">
        <v>101</v>
      </c>
      <c r="J257" s="40" t="s">
        <v>30</v>
      </c>
      <c r="K257" s="40" t="s">
        <v>31</v>
      </c>
    </row>
    <row r="258" spans="1:11" ht="15.75" customHeight="1">
      <c r="A258" s="438">
        <v>23</v>
      </c>
      <c r="B258" s="439" t="s">
        <v>4007</v>
      </c>
      <c r="C258" s="40" t="s">
        <v>25</v>
      </c>
      <c r="D258" s="40" t="s">
        <v>4005</v>
      </c>
      <c r="E258" s="40" t="s">
        <v>389</v>
      </c>
      <c r="F258" s="40"/>
      <c r="G258" s="40" t="s">
        <v>29</v>
      </c>
      <c r="H258" s="200">
        <v>2000</v>
      </c>
      <c r="I258" s="41" t="s">
        <v>101</v>
      </c>
      <c r="J258" s="40" t="s">
        <v>30</v>
      </c>
      <c r="K258" s="40" t="s">
        <v>31</v>
      </c>
    </row>
    <row r="259" spans="1:11" ht="15.75" customHeight="1">
      <c r="A259" s="438">
        <v>23</v>
      </c>
      <c r="B259" s="439" t="s">
        <v>4008</v>
      </c>
      <c r="C259" s="40" t="s">
        <v>25</v>
      </c>
      <c r="D259" s="40" t="s">
        <v>4009</v>
      </c>
      <c r="E259" s="40" t="s">
        <v>389</v>
      </c>
      <c r="F259" s="40"/>
      <c r="G259" s="40" t="s">
        <v>29</v>
      </c>
      <c r="H259" s="200">
        <v>1000</v>
      </c>
      <c r="I259" s="41" t="s">
        <v>101</v>
      </c>
      <c r="J259" s="40" t="s">
        <v>30</v>
      </c>
      <c r="K259" s="40" t="s">
        <v>31</v>
      </c>
    </row>
    <row r="260" spans="1:11" ht="15.75" customHeight="1">
      <c r="A260" s="438">
        <v>23</v>
      </c>
      <c r="B260" s="439" t="s">
        <v>3221</v>
      </c>
      <c r="C260" s="40" t="s">
        <v>25</v>
      </c>
      <c r="D260" s="40" t="s">
        <v>947</v>
      </c>
      <c r="E260" s="40" t="s">
        <v>42</v>
      </c>
      <c r="F260" s="40"/>
      <c r="G260" s="40" t="s">
        <v>29</v>
      </c>
      <c r="H260" s="200">
        <v>100</v>
      </c>
      <c r="I260" s="41">
        <v>20</v>
      </c>
      <c r="J260" s="40" t="s">
        <v>30</v>
      </c>
      <c r="K260" s="40" t="s">
        <v>31</v>
      </c>
    </row>
    <row r="261" spans="1:11" ht="15.75" customHeight="1">
      <c r="A261" s="438">
        <v>24</v>
      </c>
      <c r="B261" s="439" t="s">
        <v>4010</v>
      </c>
      <c r="C261" s="40" t="s">
        <v>59</v>
      </c>
      <c r="D261" s="40" t="s">
        <v>258</v>
      </c>
      <c r="E261" s="40" t="s">
        <v>96</v>
      </c>
      <c r="F261" s="40"/>
      <c r="G261" s="40" t="s">
        <v>29</v>
      </c>
      <c r="H261" s="200">
        <v>1000</v>
      </c>
      <c r="I261" s="41" t="s">
        <v>101</v>
      </c>
      <c r="J261" s="40" t="s">
        <v>30</v>
      </c>
      <c r="K261" s="40" t="s">
        <v>31</v>
      </c>
    </row>
    <row r="262" spans="1:11" ht="15.75" customHeight="1">
      <c r="A262" s="438">
        <v>24</v>
      </c>
      <c r="B262" s="439" t="s">
        <v>2685</v>
      </c>
      <c r="C262" s="40" t="s">
        <v>25</v>
      </c>
      <c r="D262" s="40" t="s">
        <v>195</v>
      </c>
      <c r="E262" s="40" t="s">
        <v>96</v>
      </c>
      <c r="F262" s="40"/>
      <c r="G262" s="40" t="s">
        <v>29</v>
      </c>
      <c r="H262" s="200">
        <v>4000</v>
      </c>
      <c r="I262" s="41" t="s">
        <v>101</v>
      </c>
      <c r="J262" s="40" t="s">
        <v>30</v>
      </c>
      <c r="K262" s="40" t="s">
        <v>31</v>
      </c>
    </row>
    <row r="263" spans="1:11" ht="15.75" customHeight="1">
      <c r="A263" s="438">
        <v>24</v>
      </c>
      <c r="B263" s="439" t="s">
        <v>4011</v>
      </c>
      <c r="C263" s="40" t="s">
        <v>25</v>
      </c>
      <c r="D263" s="40" t="s">
        <v>669</v>
      </c>
      <c r="E263" s="40" t="s">
        <v>56</v>
      </c>
      <c r="F263" s="40"/>
      <c r="G263" s="40" t="s">
        <v>29</v>
      </c>
      <c r="H263" s="200">
        <v>3000</v>
      </c>
      <c r="I263" s="41">
        <v>600</v>
      </c>
      <c r="J263" s="40" t="s">
        <v>30</v>
      </c>
      <c r="K263" s="40" t="s">
        <v>31</v>
      </c>
    </row>
    <row r="264" spans="1:11" ht="15.75" customHeight="1">
      <c r="A264" s="438">
        <v>24</v>
      </c>
      <c r="B264" s="439" t="s">
        <v>1300</v>
      </c>
      <c r="C264" s="40" t="s">
        <v>59</v>
      </c>
      <c r="D264" s="40" t="s">
        <v>1301</v>
      </c>
      <c r="E264" s="40" t="s">
        <v>801</v>
      </c>
      <c r="F264" s="40"/>
      <c r="G264" s="40" t="s">
        <v>29</v>
      </c>
      <c r="H264" s="200">
        <v>3000</v>
      </c>
      <c r="I264" s="41">
        <v>600</v>
      </c>
      <c r="J264" s="40" t="s">
        <v>30</v>
      </c>
      <c r="K264" s="40" t="s">
        <v>31</v>
      </c>
    </row>
    <row r="265" spans="1:11" ht="15.75" customHeight="1">
      <c r="A265" s="438">
        <v>24</v>
      </c>
      <c r="B265" s="439" t="s">
        <v>4012</v>
      </c>
      <c r="C265" s="40" t="s">
        <v>25</v>
      </c>
      <c r="D265" s="40" t="s">
        <v>532</v>
      </c>
      <c r="E265" s="40" t="s">
        <v>27</v>
      </c>
      <c r="F265" s="40"/>
      <c r="G265" s="40" t="s">
        <v>29</v>
      </c>
      <c r="H265" s="200">
        <v>2500</v>
      </c>
      <c r="I265" s="41">
        <v>500</v>
      </c>
      <c r="J265" s="40" t="s">
        <v>30</v>
      </c>
      <c r="K265" s="40" t="s">
        <v>31</v>
      </c>
    </row>
    <row r="266" spans="1:11" ht="15.75" customHeight="1">
      <c r="A266" s="438">
        <v>24</v>
      </c>
      <c r="B266" s="439" t="s">
        <v>4013</v>
      </c>
      <c r="C266" s="40" t="s">
        <v>25</v>
      </c>
      <c r="D266" s="40" t="s">
        <v>99</v>
      </c>
      <c r="E266" s="40" t="s">
        <v>42</v>
      </c>
      <c r="F266" s="40"/>
      <c r="G266" s="40" t="s">
        <v>29</v>
      </c>
      <c r="H266" s="200">
        <v>1000</v>
      </c>
      <c r="I266" s="41">
        <v>200</v>
      </c>
      <c r="J266" s="40" t="s">
        <v>30</v>
      </c>
      <c r="K266" s="40" t="s">
        <v>31</v>
      </c>
    </row>
    <row r="267" spans="1:11" ht="15.75" customHeight="1">
      <c r="A267" s="438">
        <v>24</v>
      </c>
      <c r="B267" s="439" t="s">
        <v>4014</v>
      </c>
      <c r="C267" s="40" t="s">
        <v>25</v>
      </c>
      <c r="D267" s="40" t="s">
        <v>99</v>
      </c>
      <c r="E267" s="40" t="s">
        <v>42</v>
      </c>
      <c r="F267" s="40"/>
      <c r="G267" s="40" t="s">
        <v>29</v>
      </c>
      <c r="H267" s="200">
        <v>500</v>
      </c>
      <c r="I267" s="41">
        <v>100</v>
      </c>
      <c r="J267" s="40" t="s">
        <v>30</v>
      </c>
      <c r="K267" s="40" t="s">
        <v>31</v>
      </c>
    </row>
    <row r="268" spans="1:11" ht="15.75" customHeight="1">
      <c r="A268" s="438">
        <v>24</v>
      </c>
      <c r="B268" s="439" t="s">
        <v>3177</v>
      </c>
      <c r="C268" s="40" t="s">
        <v>25</v>
      </c>
      <c r="D268" s="40" t="s">
        <v>1390</v>
      </c>
      <c r="E268" s="40" t="s">
        <v>50</v>
      </c>
      <c r="F268" s="40"/>
      <c r="G268" s="40" t="s">
        <v>29</v>
      </c>
      <c r="H268" s="200">
        <v>500</v>
      </c>
      <c r="I268" s="41">
        <v>100</v>
      </c>
      <c r="J268" s="40" t="s">
        <v>30</v>
      </c>
      <c r="K268" s="40" t="s">
        <v>31</v>
      </c>
    </row>
    <row r="269" spans="1:11" ht="15.75" customHeight="1">
      <c r="A269" s="438">
        <v>24</v>
      </c>
      <c r="B269" s="439" t="s">
        <v>4015</v>
      </c>
      <c r="C269" s="40" t="s">
        <v>25</v>
      </c>
      <c r="D269" s="40" t="s">
        <v>4016</v>
      </c>
      <c r="E269" s="40" t="s">
        <v>38</v>
      </c>
      <c r="F269" s="40"/>
      <c r="G269" s="40" t="s">
        <v>29</v>
      </c>
      <c r="H269" s="200">
        <v>500</v>
      </c>
      <c r="I269" s="41">
        <v>100</v>
      </c>
      <c r="J269" s="40" t="s">
        <v>30</v>
      </c>
      <c r="K269" s="40" t="s">
        <v>31</v>
      </c>
    </row>
    <row r="270" spans="1:11" ht="15.75" customHeight="1">
      <c r="A270" s="438">
        <v>24</v>
      </c>
      <c r="B270" s="439" t="s">
        <v>4017</v>
      </c>
      <c r="C270" s="40" t="s">
        <v>25</v>
      </c>
      <c r="D270" s="40" t="s">
        <v>92</v>
      </c>
      <c r="E270" s="40" t="s">
        <v>34</v>
      </c>
      <c r="F270" s="40"/>
      <c r="G270" s="40" t="s">
        <v>29</v>
      </c>
      <c r="H270" s="200">
        <v>500</v>
      </c>
      <c r="I270" s="41">
        <v>100</v>
      </c>
      <c r="J270" s="40" t="s">
        <v>30</v>
      </c>
      <c r="K270" s="40" t="s">
        <v>31</v>
      </c>
    </row>
    <row r="271" spans="1:11" ht="15.75" customHeight="1">
      <c r="A271" s="438">
        <v>24</v>
      </c>
      <c r="B271" s="439" t="s">
        <v>4018</v>
      </c>
      <c r="C271" s="40" t="s">
        <v>25</v>
      </c>
      <c r="D271" s="40" t="s">
        <v>4019</v>
      </c>
      <c r="E271" s="40" t="s">
        <v>111</v>
      </c>
      <c r="F271" s="40"/>
      <c r="G271" s="40" t="s">
        <v>29</v>
      </c>
      <c r="H271" s="200">
        <v>500</v>
      </c>
      <c r="I271" s="41">
        <v>100</v>
      </c>
      <c r="J271" s="40" t="s">
        <v>30</v>
      </c>
      <c r="K271" s="40" t="s">
        <v>31</v>
      </c>
    </row>
    <row r="272" spans="1:11" ht="15.75" customHeight="1">
      <c r="A272" s="438">
        <v>24</v>
      </c>
      <c r="B272" s="439" t="s">
        <v>4020</v>
      </c>
      <c r="C272" s="40" t="s">
        <v>25</v>
      </c>
      <c r="D272" s="40" t="s">
        <v>548</v>
      </c>
      <c r="E272" s="40" t="s">
        <v>42</v>
      </c>
      <c r="F272" s="40"/>
      <c r="G272" s="40" t="s">
        <v>29</v>
      </c>
      <c r="H272" s="200">
        <v>500</v>
      </c>
      <c r="I272" s="41">
        <v>100</v>
      </c>
      <c r="J272" s="40" t="s">
        <v>30</v>
      </c>
      <c r="K272" s="40" t="s">
        <v>31</v>
      </c>
    </row>
    <row r="273" spans="1:11" ht="15.75" customHeight="1">
      <c r="A273" s="438">
        <v>24</v>
      </c>
      <c r="B273" s="439" t="s">
        <v>4021</v>
      </c>
      <c r="C273" s="40" t="s">
        <v>25</v>
      </c>
      <c r="D273" s="40" t="s">
        <v>548</v>
      </c>
      <c r="E273" s="40" t="s">
        <v>42</v>
      </c>
      <c r="F273" s="40"/>
      <c r="G273" s="40" t="s">
        <v>29</v>
      </c>
      <c r="H273" s="200">
        <v>700</v>
      </c>
      <c r="I273" s="41">
        <v>140</v>
      </c>
      <c r="J273" s="40" t="s">
        <v>30</v>
      </c>
      <c r="K273" s="40" t="s">
        <v>31</v>
      </c>
    </row>
    <row r="274" spans="1:11" ht="15.75" customHeight="1">
      <c r="A274" s="438">
        <v>24</v>
      </c>
      <c r="B274" s="439" t="s">
        <v>4022</v>
      </c>
      <c r="C274" s="40" t="s">
        <v>25</v>
      </c>
      <c r="D274" s="40" t="s">
        <v>3463</v>
      </c>
      <c r="E274" s="40" t="s">
        <v>216</v>
      </c>
      <c r="F274" s="40"/>
      <c r="G274" s="40" t="s">
        <v>29</v>
      </c>
      <c r="H274" s="200">
        <v>50</v>
      </c>
      <c r="I274" s="41">
        <v>15</v>
      </c>
      <c r="J274" s="40" t="s">
        <v>30</v>
      </c>
      <c r="K274" s="40" t="s">
        <v>31</v>
      </c>
    </row>
    <row r="275" spans="1:11" ht="15.75" customHeight="1">
      <c r="A275" s="438">
        <v>24</v>
      </c>
      <c r="B275" s="439" t="s">
        <v>4023</v>
      </c>
      <c r="C275" s="40" t="s">
        <v>25</v>
      </c>
      <c r="D275" s="40" t="s">
        <v>4024</v>
      </c>
      <c r="E275" s="40" t="s">
        <v>1461</v>
      </c>
      <c r="F275" s="40"/>
      <c r="G275" s="40" t="s">
        <v>29</v>
      </c>
      <c r="H275" s="200">
        <v>100</v>
      </c>
      <c r="I275" s="41">
        <v>30</v>
      </c>
      <c r="J275" s="40" t="s">
        <v>30</v>
      </c>
      <c r="K275" s="40" t="s">
        <v>31</v>
      </c>
    </row>
    <row r="276" spans="1:11" ht="15.75" customHeight="1">
      <c r="A276" s="438">
        <v>24</v>
      </c>
      <c r="B276" s="439" t="s">
        <v>4025</v>
      </c>
      <c r="C276" s="40" t="s">
        <v>25</v>
      </c>
      <c r="D276" s="40" t="s">
        <v>248</v>
      </c>
      <c r="E276" s="40" t="s">
        <v>249</v>
      </c>
      <c r="F276" s="40"/>
      <c r="G276" s="40" t="s">
        <v>29</v>
      </c>
      <c r="H276" s="200">
        <v>1500</v>
      </c>
      <c r="I276" s="41">
        <v>300</v>
      </c>
      <c r="J276" s="40" t="s">
        <v>30</v>
      </c>
      <c r="K276" s="40" t="s">
        <v>31</v>
      </c>
    </row>
    <row r="277" spans="1:11" ht="15.75" customHeight="1">
      <c r="A277" s="438">
        <v>24</v>
      </c>
      <c r="B277" s="439" t="s">
        <v>4026</v>
      </c>
      <c r="C277" s="40" t="s">
        <v>25</v>
      </c>
      <c r="D277" s="40" t="s">
        <v>1007</v>
      </c>
      <c r="E277" s="40" t="s">
        <v>258</v>
      </c>
      <c r="F277" s="40"/>
      <c r="G277" s="40" t="s">
        <v>29</v>
      </c>
      <c r="H277" s="200">
        <v>1500</v>
      </c>
      <c r="I277" s="41">
        <v>300</v>
      </c>
      <c r="J277" s="40" t="s">
        <v>30</v>
      </c>
      <c r="K277" s="40" t="s">
        <v>31</v>
      </c>
    </row>
    <row r="278" spans="1:11" ht="15.75" customHeight="1">
      <c r="A278" s="438">
        <v>24</v>
      </c>
      <c r="B278" s="439" t="s">
        <v>4027</v>
      </c>
      <c r="C278" s="40" t="s">
        <v>59</v>
      </c>
      <c r="D278" s="40" t="s">
        <v>593</v>
      </c>
      <c r="E278" s="40" t="s">
        <v>96</v>
      </c>
      <c r="F278" s="40"/>
      <c r="G278" s="40" t="s">
        <v>29</v>
      </c>
      <c r="H278" s="200">
        <v>500</v>
      </c>
      <c r="I278" s="41" t="s">
        <v>101</v>
      </c>
      <c r="J278" s="40" t="s">
        <v>30</v>
      </c>
      <c r="K278" s="40" t="s">
        <v>31</v>
      </c>
    </row>
    <row r="279" spans="1:11" ht="15.75" customHeight="1">
      <c r="A279" s="438">
        <v>24</v>
      </c>
      <c r="B279" s="439" t="s">
        <v>4027</v>
      </c>
      <c r="C279" s="40" t="s">
        <v>59</v>
      </c>
      <c r="D279" s="40" t="s">
        <v>593</v>
      </c>
      <c r="E279" s="40" t="s">
        <v>96</v>
      </c>
      <c r="F279" s="40"/>
      <c r="G279" s="40" t="s">
        <v>29</v>
      </c>
      <c r="H279" s="200">
        <v>2500</v>
      </c>
      <c r="I279" s="41">
        <v>500</v>
      </c>
      <c r="J279" s="40" t="s">
        <v>30</v>
      </c>
      <c r="K279" s="40" t="s">
        <v>31</v>
      </c>
    </row>
    <row r="280" spans="1:11" ht="15.75" customHeight="1">
      <c r="A280" s="438">
        <v>24</v>
      </c>
      <c r="B280" s="439" t="s">
        <v>1076</v>
      </c>
      <c r="C280" s="40" t="s">
        <v>25</v>
      </c>
      <c r="D280" s="40" t="s">
        <v>3904</v>
      </c>
      <c r="E280" s="40" t="s">
        <v>561</v>
      </c>
      <c r="F280" s="40"/>
      <c r="G280" s="40" t="s">
        <v>29</v>
      </c>
      <c r="H280" s="200">
        <v>4000</v>
      </c>
      <c r="I280" s="41">
        <v>1200</v>
      </c>
      <c r="J280" s="40" t="s">
        <v>30</v>
      </c>
      <c r="K280" s="40" t="s">
        <v>31</v>
      </c>
    </row>
    <row r="281" spans="1:11" ht="15.75" customHeight="1">
      <c r="A281" s="438">
        <v>24</v>
      </c>
      <c r="B281" s="439" t="s">
        <v>4028</v>
      </c>
      <c r="C281" s="40" t="s">
        <v>25</v>
      </c>
      <c r="D281" s="40" t="s">
        <v>63</v>
      </c>
      <c r="E281" s="40" t="s">
        <v>96</v>
      </c>
      <c r="F281" s="40"/>
      <c r="G281" s="40" t="s">
        <v>29</v>
      </c>
      <c r="H281" s="200">
        <v>1500</v>
      </c>
      <c r="I281" s="41">
        <v>450</v>
      </c>
      <c r="J281" s="40" t="s">
        <v>30</v>
      </c>
      <c r="K281" s="40" t="s">
        <v>31</v>
      </c>
    </row>
    <row r="282" spans="1:11" ht="15.75" customHeight="1">
      <c r="A282" s="438">
        <v>24</v>
      </c>
      <c r="B282" s="439" t="s">
        <v>253</v>
      </c>
      <c r="C282" s="40" t="s">
        <v>25</v>
      </c>
      <c r="D282" s="40" t="s">
        <v>254</v>
      </c>
      <c r="E282" s="40" t="s">
        <v>111</v>
      </c>
      <c r="F282" s="40"/>
      <c r="G282" s="40" t="s">
        <v>29</v>
      </c>
      <c r="H282" s="200">
        <v>8500</v>
      </c>
      <c r="I282" s="41">
        <v>1700</v>
      </c>
      <c r="J282" s="40" t="s">
        <v>30</v>
      </c>
      <c r="K282" s="40" t="s">
        <v>31</v>
      </c>
    </row>
    <row r="283" spans="1:11" ht="15.75" customHeight="1">
      <c r="A283" s="434">
        <v>24</v>
      </c>
      <c r="B283" s="435" t="s">
        <v>4029</v>
      </c>
      <c r="C283" s="48" t="s">
        <v>25</v>
      </c>
      <c r="D283" s="48" t="s">
        <v>185</v>
      </c>
      <c r="E283" s="48" t="s">
        <v>42</v>
      </c>
      <c r="F283" s="48"/>
      <c r="G283" s="48" t="s">
        <v>29</v>
      </c>
      <c r="H283" s="430">
        <v>1000</v>
      </c>
      <c r="I283" s="51">
        <v>200</v>
      </c>
      <c r="J283" s="48" t="s">
        <v>30</v>
      </c>
      <c r="K283" s="48" t="s">
        <v>31</v>
      </c>
    </row>
    <row r="284" spans="1:11" ht="15.75" customHeight="1">
      <c r="A284" s="52">
        <v>25</v>
      </c>
      <c r="B284" s="53" t="s">
        <v>4030</v>
      </c>
      <c r="C284" s="53" t="s">
        <v>25</v>
      </c>
      <c r="D284" s="53" t="s">
        <v>688</v>
      </c>
      <c r="E284" s="53" t="s">
        <v>27</v>
      </c>
      <c r="F284" s="53"/>
      <c r="G284" s="53" t="s">
        <v>29</v>
      </c>
      <c r="H284" s="53">
        <v>800</v>
      </c>
      <c r="I284" s="55">
        <v>160</v>
      </c>
      <c r="J284" s="53" t="s">
        <v>30</v>
      </c>
      <c r="K284" s="53" t="s">
        <v>31</v>
      </c>
    </row>
    <row r="285" spans="1:11" ht="15.75" customHeight="1">
      <c r="A285" s="438">
        <v>25</v>
      </c>
      <c r="B285" s="439" t="s">
        <v>4031</v>
      </c>
      <c r="C285" s="40" t="s">
        <v>25</v>
      </c>
      <c r="D285" s="40" t="s">
        <v>600</v>
      </c>
      <c r="E285" s="40" t="s">
        <v>60</v>
      </c>
      <c r="F285" s="40"/>
      <c r="G285" s="40" t="s">
        <v>29</v>
      </c>
      <c r="H285" s="200">
        <v>1000</v>
      </c>
      <c r="I285" s="41">
        <v>200</v>
      </c>
      <c r="J285" s="40" t="s">
        <v>30</v>
      </c>
      <c r="K285" s="40" t="s">
        <v>31</v>
      </c>
    </row>
    <row r="286" spans="1:11" ht="15.75" customHeight="1">
      <c r="A286" s="438">
        <v>25</v>
      </c>
      <c r="B286" s="439" t="s">
        <v>4032</v>
      </c>
      <c r="C286" s="40" t="s">
        <v>25</v>
      </c>
      <c r="D286" s="40" t="s">
        <v>206</v>
      </c>
      <c r="E286" s="40" t="s">
        <v>96</v>
      </c>
      <c r="F286" s="40"/>
      <c r="G286" s="40" t="s">
        <v>29</v>
      </c>
      <c r="H286" s="200">
        <v>500</v>
      </c>
      <c r="I286" s="41" t="s">
        <v>101</v>
      </c>
      <c r="J286" s="40" t="s">
        <v>30</v>
      </c>
      <c r="K286" s="40" t="s">
        <v>31</v>
      </c>
    </row>
    <row r="287" spans="1:11" ht="15.75" customHeight="1">
      <c r="A287" s="438">
        <v>25</v>
      </c>
      <c r="B287" s="439" t="s">
        <v>3690</v>
      </c>
      <c r="C287" s="40" t="s">
        <v>25</v>
      </c>
      <c r="D287" s="40" t="s">
        <v>1490</v>
      </c>
      <c r="E287" s="40" t="s">
        <v>1461</v>
      </c>
      <c r="F287" s="40"/>
      <c r="G287" s="40" t="s">
        <v>29</v>
      </c>
      <c r="H287" s="200">
        <v>500</v>
      </c>
      <c r="I287" s="41">
        <v>100</v>
      </c>
      <c r="J287" s="40" t="s">
        <v>30</v>
      </c>
      <c r="K287" s="40" t="s">
        <v>31</v>
      </c>
    </row>
    <row r="288" spans="1:11" ht="15.75" customHeight="1">
      <c r="A288" s="438">
        <v>25</v>
      </c>
      <c r="B288" s="439" t="s">
        <v>4033</v>
      </c>
      <c r="C288" s="40" t="s">
        <v>25</v>
      </c>
      <c r="D288" s="40" t="s">
        <v>176</v>
      </c>
      <c r="E288" s="40" t="s">
        <v>242</v>
      </c>
      <c r="F288" s="40"/>
      <c r="G288" s="40" t="s">
        <v>29</v>
      </c>
      <c r="H288" s="200">
        <v>500</v>
      </c>
      <c r="I288" s="41">
        <v>100</v>
      </c>
      <c r="J288" s="40" t="s">
        <v>30</v>
      </c>
      <c r="K288" s="40" t="s">
        <v>31</v>
      </c>
    </row>
    <row r="289" spans="1:11" ht="15.75" customHeight="1">
      <c r="A289" s="438">
        <v>25</v>
      </c>
      <c r="B289" s="439" t="s">
        <v>4034</v>
      </c>
      <c r="C289" s="40" t="s">
        <v>25</v>
      </c>
      <c r="D289" s="40" t="s">
        <v>1704</v>
      </c>
      <c r="E289" s="40" t="s">
        <v>38</v>
      </c>
      <c r="F289" s="40"/>
      <c r="G289" s="40" t="s">
        <v>29</v>
      </c>
      <c r="H289" s="200">
        <v>500</v>
      </c>
      <c r="I289" s="41" t="s">
        <v>101</v>
      </c>
      <c r="J289" s="40" t="s">
        <v>30</v>
      </c>
      <c r="K289" s="40" t="s">
        <v>31</v>
      </c>
    </row>
    <row r="290" spans="1:11" ht="15.75" customHeight="1">
      <c r="A290" s="438">
        <v>25</v>
      </c>
      <c r="B290" s="439" t="s">
        <v>1457</v>
      </c>
      <c r="C290" s="40" t="s">
        <v>25</v>
      </c>
      <c r="D290" s="40" t="s">
        <v>627</v>
      </c>
      <c r="E290" s="40" t="s">
        <v>540</v>
      </c>
      <c r="F290" s="40"/>
      <c r="G290" s="40" t="s">
        <v>29</v>
      </c>
      <c r="H290" s="200">
        <v>5000</v>
      </c>
      <c r="I290" s="41">
        <v>1000</v>
      </c>
      <c r="J290" s="40" t="s">
        <v>30</v>
      </c>
      <c r="K290" s="40" t="s">
        <v>31</v>
      </c>
    </row>
    <row r="291" spans="1:11" ht="15.75" customHeight="1">
      <c r="A291" s="438">
        <v>25</v>
      </c>
      <c r="B291" s="439" t="s">
        <v>4035</v>
      </c>
      <c r="C291" s="40" t="s">
        <v>25</v>
      </c>
      <c r="D291" s="40" t="s">
        <v>1371</v>
      </c>
      <c r="E291" s="40" t="s">
        <v>96</v>
      </c>
      <c r="F291" s="40"/>
      <c r="G291" s="40" t="s">
        <v>29</v>
      </c>
      <c r="H291" s="200">
        <v>500</v>
      </c>
      <c r="I291" s="41">
        <v>100</v>
      </c>
      <c r="J291" s="40" t="s">
        <v>30</v>
      </c>
      <c r="K291" s="40" t="s">
        <v>31</v>
      </c>
    </row>
    <row r="292" spans="1:11" ht="15.75" customHeight="1">
      <c r="A292" s="438">
        <v>26</v>
      </c>
      <c r="B292" s="439" t="s">
        <v>4036</v>
      </c>
      <c r="C292" s="40" t="s">
        <v>25</v>
      </c>
      <c r="D292" s="40" t="s">
        <v>258</v>
      </c>
      <c r="E292" s="40" t="s">
        <v>96</v>
      </c>
      <c r="F292" s="40"/>
      <c r="G292" s="40" t="s">
        <v>29</v>
      </c>
      <c r="H292" s="200">
        <v>3000</v>
      </c>
      <c r="I292" s="41">
        <v>600</v>
      </c>
      <c r="J292" s="40" t="s">
        <v>30</v>
      </c>
      <c r="K292" s="40" t="s">
        <v>31</v>
      </c>
    </row>
    <row r="293" spans="1:11" ht="15.75" customHeight="1">
      <c r="A293" s="438">
        <v>26</v>
      </c>
      <c r="B293" s="439" t="s">
        <v>4037</v>
      </c>
      <c r="C293" s="40" t="s">
        <v>25</v>
      </c>
      <c r="D293" s="40" t="s">
        <v>600</v>
      </c>
      <c r="E293" s="40" t="s">
        <v>60</v>
      </c>
      <c r="F293" s="40"/>
      <c r="G293" s="40" t="s">
        <v>29</v>
      </c>
      <c r="H293" s="200">
        <v>1500</v>
      </c>
      <c r="I293" s="41">
        <v>300</v>
      </c>
      <c r="J293" s="40" t="s">
        <v>30</v>
      </c>
      <c r="K293" s="40" t="s">
        <v>31</v>
      </c>
    </row>
    <row r="294" spans="1:11" ht="15.75" customHeight="1">
      <c r="A294" s="438">
        <v>26</v>
      </c>
      <c r="B294" s="439" t="s">
        <v>4038</v>
      </c>
      <c r="C294" s="40" t="s">
        <v>25</v>
      </c>
      <c r="D294" s="40" t="s">
        <v>4039</v>
      </c>
      <c r="E294" s="40" t="s">
        <v>540</v>
      </c>
      <c r="F294" s="40"/>
      <c r="G294" s="40" t="s">
        <v>142</v>
      </c>
      <c r="H294" s="200">
        <v>20</v>
      </c>
      <c r="I294" s="41">
        <v>100</v>
      </c>
      <c r="J294" s="40" t="s">
        <v>30</v>
      </c>
      <c r="K294" s="40" t="s">
        <v>31</v>
      </c>
    </row>
    <row r="295" spans="1:11" ht="15.75" customHeight="1">
      <c r="A295" s="438">
        <v>26</v>
      </c>
      <c r="B295" s="439" t="s">
        <v>4040</v>
      </c>
      <c r="C295" s="40" t="s">
        <v>25</v>
      </c>
      <c r="D295" s="40" t="s">
        <v>268</v>
      </c>
      <c r="E295" s="40" t="s">
        <v>78</v>
      </c>
      <c r="F295" s="40"/>
      <c r="G295" s="40" t="s">
        <v>29</v>
      </c>
      <c r="H295" s="200">
        <v>200</v>
      </c>
      <c r="I295" s="41">
        <v>40</v>
      </c>
      <c r="J295" s="40" t="s">
        <v>30</v>
      </c>
      <c r="K295" s="40" t="s">
        <v>31</v>
      </c>
    </row>
    <row r="296" spans="1:11" ht="15.75" customHeight="1">
      <c r="A296" s="438">
        <v>26</v>
      </c>
      <c r="B296" s="439" t="s">
        <v>4041</v>
      </c>
      <c r="C296" s="40" t="s">
        <v>25</v>
      </c>
      <c r="D296" s="40" t="s">
        <v>4042</v>
      </c>
      <c r="E296" s="40" t="s">
        <v>38</v>
      </c>
      <c r="F296" s="40"/>
      <c r="G296" s="40" t="s">
        <v>29</v>
      </c>
      <c r="H296" s="200">
        <v>2500</v>
      </c>
      <c r="I296" s="41">
        <v>500</v>
      </c>
      <c r="J296" s="40" t="s">
        <v>30</v>
      </c>
      <c r="K296" s="40" t="s">
        <v>31</v>
      </c>
    </row>
    <row r="297" spans="1:11" ht="15.75" customHeight="1">
      <c r="A297" s="438">
        <v>26</v>
      </c>
      <c r="B297" s="439" t="s">
        <v>1446</v>
      </c>
      <c r="C297" s="40" t="s">
        <v>25</v>
      </c>
      <c r="D297" s="40" t="s">
        <v>2246</v>
      </c>
      <c r="E297" s="40" t="s">
        <v>318</v>
      </c>
      <c r="F297" s="40"/>
      <c r="G297" s="40" t="s">
        <v>29</v>
      </c>
      <c r="H297" s="200">
        <v>3000</v>
      </c>
      <c r="I297" s="41" t="s">
        <v>101</v>
      </c>
      <c r="J297" s="40" t="s">
        <v>30</v>
      </c>
      <c r="K297" s="40" t="s">
        <v>31</v>
      </c>
    </row>
    <row r="298" spans="1:11" ht="15.75" customHeight="1">
      <c r="A298" s="438">
        <v>26</v>
      </c>
      <c r="B298" s="439" t="s">
        <v>4043</v>
      </c>
      <c r="C298" s="40" t="s">
        <v>25</v>
      </c>
      <c r="D298" s="40" t="s">
        <v>4044</v>
      </c>
      <c r="E298" s="40" t="s">
        <v>540</v>
      </c>
      <c r="F298" s="40"/>
      <c r="G298" s="40" t="s">
        <v>29</v>
      </c>
      <c r="H298" s="200">
        <v>500</v>
      </c>
      <c r="I298" s="41" t="s">
        <v>101</v>
      </c>
      <c r="J298" s="40" t="s">
        <v>30</v>
      </c>
      <c r="K298" s="40" t="s">
        <v>31</v>
      </c>
    </row>
    <row r="299" spans="1:11" ht="15.75" customHeight="1">
      <c r="A299" s="2"/>
      <c r="B299" s="1"/>
      <c r="C299" s="1"/>
      <c r="D299" s="1"/>
      <c r="E299" s="1"/>
      <c r="F299" s="1"/>
      <c r="G299" s="1"/>
      <c r="H299" s="45"/>
      <c r="I299" s="61"/>
      <c r="J299" s="1"/>
      <c r="K299" s="1"/>
    </row>
    <row r="300" spans="1:11" ht="15.75" customHeight="1">
      <c r="A300" s="2"/>
      <c r="B300" s="1"/>
      <c r="C300" s="1"/>
      <c r="D300" s="1"/>
      <c r="E300" s="1"/>
      <c r="F300" s="1"/>
      <c r="G300" s="1"/>
      <c r="H300" s="1"/>
      <c r="I300" s="61"/>
      <c r="J300" s="1"/>
      <c r="K300" s="1"/>
    </row>
    <row r="301" spans="1:11" ht="15.75" customHeight="1">
      <c r="A301" s="2"/>
      <c r="B301" s="1"/>
      <c r="C301" s="1"/>
      <c r="D301" s="1"/>
      <c r="E301" s="1"/>
      <c r="F301" s="1"/>
      <c r="G301" s="1"/>
      <c r="H301" s="1"/>
      <c r="I301" s="62" t="s">
        <v>335</v>
      </c>
      <c r="J301" s="63"/>
      <c r="K301" s="1"/>
    </row>
    <row r="302" spans="1:11" ht="16.5" customHeight="1">
      <c r="A302" s="2"/>
      <c r="B302" s="1" t="s">
        <v>336</v>
      </c>
      <c r="C302" s="1"/>
      <c r="D302" s="1"/>
      <c r="E302" s="1" t="s">
        <v>337</v>
      </c>
      <c r="F302" s="1"/>
      <c r="G302" s="1"/>
      <c r="H302" s="1"/>
      <c r="I302" s="6" t="s">
        <v>338</v>
      </c>
      <c r="J302" s="292" t="s">
        <v>4045</v>
      </c>
      <c r="K302" s="1"/>
    </row>
    <row r="303" spans="1:11" ht="15.75" customHeight="1">
      <c r="A303" s="2"/>
      <c r="B303" s="1"/>
      <c r="C303" s="1"/>
      <c r="D303" s="1"/>
      <c r="E303" s="1"/>
      <c r="F303" s="1"/>
      <c r="G303" s="1"/>
      <c r="H303" s="1"/>
      <c r="I303" s="6" t="s">
        <v>340</v>
      </c>
      <c r="J303" s="292" t="s">
        <v>4046</v>
      </c>
      <c r="K303" s="65"/>
    </row>
    <row r="304" spans="1:11" ht="15.75" customHeight="1">
      <c r="A304" s="2"/>
      <c r="B304" s="1"/>
      <c r="C304" s="1"/>
      <c r="D304" s="1"/>
      <c r="E304" s="1"/>
      <c r="F304" s="1"/>
      <c r="G304" s="1"/>
      <c r="H304" s="1"/>
      <c r="I304" s="6" t="s">
        <v>342</v>
      </c>
      <c r="J304" s="292">
        <v>0</v>
      </c>
      <c r="K304" s="1"/>
    </row>
    <row r="305" spans="1:26" ht="15.75" customHeight="1">
      <c r="A305" s="2"/>
      <c r="B305" s="67" t="s">
        <v>343</v>
      </c>
      <c r="C305" s="1"/>
      <c r="D305" s="1"/>
      <c r="E305" s="554" t="s">
        <v>344</v>
      </c>
      <c r="F305" s="553"/>
      <c r="G305" s="553"/>
      <c r="H305" s="553"/>
      <c r="I305" s="6" t="s">
        <v>345</v>
      </c>
      <c r="J305" s="292" t="s">
        <v>4047</v>
      </c>
      <c r="K305" s="1"/>
    </row>
    <row r="306" spans="1:26" ht="15.75" customHeight="1">
      <c r="A306" s="2"/>
      <c r="B306" s="1" t="s">
        <v>347</v>
      </c>
      <c r="C306" s="1"/>
      <c r="D306" s="1"/>
      <c r="E306" s="552" t="s">
        <v>348</v>
      </c>
      <c r="F306" s="553"/>
      <c r="G306" s="553"/>
      <c r="H306" s="553"/>
      <c r="I306" s="6" t="s">
        <v>349</v>
      </c>
      <c r="J306" s="292">
        <v>0</v>
      </c>
      <c r="K306" s="1"/>
    </row>
    <row r="307" spans="1:26" ht="15.75" customHeight="1">
      <c r="A307" s="2"/>
      <c r="B307" s="1"/>
      <c r="C307" s="1"/>
      <c r="D307" s="1"/>
      <c r="E307" s="1"/>
      <c r="F307" s="1"/>
      <c r="G307" s="1"/>
      <c r="H307" s="1"/>
      <c r="I307" s="6" t="s">
        <v>351</v>
      </c>
      <c r="J307" s="475" t="s">
        <v>4048</v>
      </c>
      <c r="K307" s="1"/>
    </row>
    <row r="308" spans="1:26" ht="15.75" customHeight="1">
      <c r="A308" s="2"/>
      <c r="B308" s="1"/>
      <c r="C308" s="1"/>
      <c r="D308" s="1"/>
      <c r="E308" s="1"/>
      <c r="F308" s="1"/>
      <c r="G308" s="1"/>
      <c r="H308" s="1"/>
      <c r="I308" s="6" t="s">
        <v>353</v>
      </c>
      <c r="J308" s="293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2"/>
      <c r="B309" s="1"/>
      <c r="C309" s="1"/>
      <c r="D309" s="1"/>
      <c r="E309" s="1"/>
      <c r="F309" s="1"/>
      <c r="G309" s="1"/>
      <c r="H309" s="1"/>
      <c r="I309" s="68" t="s">
        <v>354</v>
      </c>
      <c r="J309" s="291" t="s">
        <v>4049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2"/>
      <c r="B310" s="1"/>
      <c r="C310" s="1"/>
      <c r="D310" s="1"/>
      <c r="E310" s="1"/>
      <c r="F310" s="1"/>
      <c r="G310" s="1"/>
      <c r="H310" s="1"/>
      <c r="I310" s="68" t="s">
        <v>356</v>
      </c>
      <c r="J310" s="69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2"/>
      <c r="B311" s="70"/>
      <c r="C311" s="1"/>
      <c r="D311" s="1"/>
      <c r="E311" s="70"/>
      <c r="F311" s="70"/>
      <c r="G311" s="70"/>
      <c r="H311" s="1"/>
      <c r="I311" s="6"/>
      <c r="J311" s="63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2"/>
      <c r="B312" s="1"/>
      <c r="C312" s="1"/>
      <c r="D312" s="1"/>
      <c r="E312" s="1"/>
      <c r="F312" s="1"/>
      <c r="G312" s="1"/>
      <c r="H312" s="1"/>
      <c r="I312" s="6"/>
      <c r="J312" s="63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2"/>
      <c r="B313" s="1"/>
      <c r="C313" s="1"/>
      <c r="D313" s="1"/>
      <c r="E313" s="1"/>
      <c r="F313" s="1"/>
      <c r="G313" s="1"/>
      <c r="H313" s="1"/>
      <c r="I313" s="6"/>
      <c r="J313" s="63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2"/>
      <c r="B314" s="1"/>
      <c r="C314" s="1"/>
      <c r="D314" s="1"/>
      <c r="E314" s="1"/>
      <c r="F314" s="1"/>
      <c r="G314" s="1"/>
      <c r="H314" s="1"/>
      <c r="I314" s="6"/>
      <c r="J314" s="69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2"/>
      <c r="B315" s="1"/>
      <c r="C315" s="1"/>
      <c r="D315" s="1"/>
      <c r="E315" s="1"/>
      <c r="F315" s="1"/>
      <c r="G315" s="1"/>
      <c r="H315" s="1"/>
      <c r="I315" s="6"/>
      <c r="J315" s="69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2"/>
      <c r="B316" s="1"/>
      <c r="C316" s="1"/>
      <c r="D316" s="1"/>
      <c r="E316" s="1"/>
      <c r="F316" s="1"/>
      <c r="G316" s="1"/>
      <c r="H316" s="1"/>
      <c r="I316" s="61"/>
      <c r="J316" s="1"/>
      <c r="K316" s="1"/>
    </row>
    <row r="317" spans="1:26" ht="15.75" customHeight="1">
      <c r="A317" s="2"/>
      <c r="B317" s="1"/>
      <c r="C317" s="1"/>
      <c r="D317" s="1"/>
      <c r="E317" s="1"/>
      <c r="F317" s="1"/>
      <c r="G317" s="1"/>
      <c r="H317" s="1"/>
      <c r="I317" s="61"/>
      <c r="J317" s="1"/>
      <c r="K317" s="1"/>
    </row>
    <row r="318" spans="1:26" ht="15.75" customHeight="1">
      <c r="A318" s="2"/>
      <c r="B318" s="1"/>
      <c r="C318" s="1"/>
      <c r="D318" s="1"/>
      <c r="E318" s="1"/>
      <c r="F318" s="1"/>
      <c r="G318" s="1"/>
      <c r="H318" s="1"/>
      <c r="I318" s="61"/>
      <c r="J318" s="1"/>
      <c r="K318" s="1"/>
    </row>
    <row r="319" spans="1:26" ht="15.75" customHeight="1">
      <c r="A319" s="2"/>
      <c r="B319" s="1"/>
      <c r="C319" s="1"/>
      <c r="D319" s="1"/>
      <c r="E319" s="1"/>
      <c r="F319" s="1"/>
      <c r="G319" s="1"/>
      <c r="H319" s="1"/>
      <c r="I319" s="61"/>
      <c r="J319" s="1"/>
      <c r="K319" s="1"/>
    </row>
    <row r="320" spans="1:26" ht="15.75" customHeight="1">
      <c r="A320" s="2"/>
      <c r="B320" s="1"/>
      <c r="C320" s="1"/>
      <c r="D320" s="1"/>
      <c r="E320" s="1"/>
      <c r="F320" s="1"/>
      <c r="G320" s="1"/>
      <c r="H320" s="1"/>
      <c r="I320" s="61"/>
      <c r="J320" s="1"/>
      <c r="K320" s="1"/>
    </row>
    <row r="321" spans="1:11" ht="15.75" customHeight="1">
      <c r="A321" s="2"/>
      <c r="B321" s="1"/>
      <c r="C321" s="1"/>
      <c r="D321" s="1"/>
      <c r="E321" s="1"/>
      <c r="F321" s="1"/>
      <c r="G321" s="1"/>
      <c r="H321" s="1"/>
      <c r="I321" s="61"/>
      <c r="J321" s="1"/>
      <c r="K321" s="1"/>
    </row>
    <row r="322" spans="1:11" ht="15.75" customHeight="1">
      <c r="A322" s="2"/>
      <c r="B322" s="1"/>
      <c r="C322" s="1"/>
      <c r="D322" s="1"/>
      <c r="E322" s="1"/>
      <c r="F322" s="1"/>
      <c r="G322" s="1"/>
      <c r="H322" s="1"/>
      <c r="I322" s="61"/>
      <c r="J322" s="1"/>
      <c r="K322" s="1"/>
    </row>
    <row r="323" spans="1:11" ht="15.75" customHeight="1">
      <c r="A323" s="2"/>
      <c r="B323" s="1"/>
      <c r="C323" s="1"/>
      <c r="D323" s="1"/>
      <c r="E323" s="1"/>
      <c r="F323" s="1"/>
      <c r="G323" s="1"/>
      <c r="H323" s="1"/>
      <c r="I323" s="61"/>
      <c r="J323" s="1"/>
      <c r="K323" s="1"/>
    </row>
    <row r="324" spans="1:11" ht="15.75" customHeight="1">
      <c r="A324" s="2"/>
      <c r="B324" s="1"/>
      <c r="C324" s="1"/>
      <c r="D324" s="1"/>
      <c r="E324" s="1"/>
      <c r="F324" s="1"/>
      <c r="G324" s="1"/>
      <c r="H324" s="1"/>
      <c r="I324" s="61"/>
      <c r="J324" s="1"/>
      <c r="K324" s="1"/>
    </row>
    <row r="325" spans="1:11" ht="15.75" customHeight="1">
      <c r="A325" s="2"/>
      <c r="B325" s="1"/>
      <c r="C325" s="1"/>
      <c r="D325" s="1"/>
      <c r="E325" s="1"/>
      <c r="F325" s="1"/>
      <c r="G325" s="1"/>
      <c r="H325" s="1"/>
      <c r="I325" s="61"/>
      <c r="J325" s="1"/>
      <c r="K325" s="1"/>
    </row>
    <row r="326" spans="1:11" ht="15.75" customHeight="1">
      <c r="A326" s="2"/>
      <c r="B326" s="1"/>
      <c r="C326" s="1"/>
      <c r="D326" s="1"/>
      <c r="E326" s="1"/>
      <c r="F326" s="1"/>
      <c r="G326" s="1"/>
      <c r="H326" s="1"/>
      <c r="I326" s="61"/>
      <c r="J326" s="1"/>
      <c r="K326" s="1"/>
    </row>
    <row r="327" spans="1:11" ht="15.75" customHeight="1">
      <c r="A327" s="2"/>
      <c r="B327" s="1"/>
      <c r="C327" s="1"/>
      <c r="D327" s="1"/>
      <c r="E327" s="1"/>
      <c r="F327" s="1"/>
      <c r="G327" s="1"/>
      <c r="H327" s="1"/>
      <c r="I327" s="61"/>
      <c r="J327" s="1"/>
      <c r="K327" s="1"/>
    </row>
    <row r="328" spans="1:11" ht="15.75" customHeight="1">
      <c r="A328" s="2"/>
      <c r="B328" s="1"/>
      <c r="C328" s="1"/>
      <c r="D328" s="1"/>
      <c r="E328" s="1"/>
      <c r="F328" s="1"/>
      <c r="G328" s="1"/>
      <c r="H328" s="1"/>
      <c r="I328" s="61"/>
      <c r="J328" s="1"/>
      <c r="K328" s="1"/>
    </row>
    <row r="329" spans="1:11" ht="15.75" customHeight="1">
      <c r="A329" s="2"/>
      <c r="B329" s="1"/>
      <c r="C329" s="1"/>
      <c r="D329" s="1"/>
      <c r="E329" s="1"/>
      <c r="F329" s="1"/>
      <c r="G329" s="1"/>
      <c r="H329" s="1"/>
      <c r="I329" s="61"/>
      <c r="J329" s="1"/>
      <c r="K329" s="1"/>
    </row>
    <row r="330" spans="1:11" ht="15.75" customHeight="1">
      <c r="A330" s="2"/>
      <c r="B330" s="1"/>
      <c r="C330" s="1"/>
      <c r="D330" s="1"/>
      <c r="E330" s="1"/>
      <c r="F330" s="1"/>
      <c r="G330" s="1"/>
      <c r="H330" s="1"/>
      <c r="I330" s="61"/>
      <c r="J330" s="1"/>
      <c r="K330" s="1"/>
    </row>
    <row r="331" spans="1:11" ht="15.75" customHeight="1">
      <c r="A331" s="2"/>
      <c r="B331" s="1"/>
      <c r="C331" s="1"/>
      <c r="D331" s="1"/>
      <c r="E331" s="1"/>
      <c r="F331" s="1"/>
      <c r="G331" s="1"/>
      <c r="H331" s="1"/>
      <c r="I331" s="61"/>
      <c r="J331" s="1"/>
      <c r="K331" s="1"/>
    </row>
    <row r="332" spans="1:11" ht="15.75" customHeight="1">
      <c r="A332" s="2"/>
      <c r="B332" s="1"/>
      <c r="C332" s="1"/>
      <c r="D332" s="1"/>
      <c r="E332" s="1"/>
      <c r="F332" s="1"/>
      <c r="G332" s="1"/>
      <c r="H332" s="1"/>
      <c r="I332" s="61"/>
      <c r="J332" s="1"/>
      <c r="K332" s="1"/>
    </row>
    <row r="333" spans="1:11" ht="15.75" customHeight="1">
      <c r="A333" s="2"/>
      <c r="B333" s="1"/>
      <c r="C333" s="1"/>
      <c r="D333" s="1"/>
      <c r="E333" s="1"/>
      <c r="F333" s="1"/>
      <c r="G333" s="1"/>
      <c r="H333" s="1"/>
      <c r="I333" s="61"/>
      <c r="J333" s="1"/>
      <c r="K333" s="1"/>
    </row>
    <row r="334" spans="1:11" ht="15.75" customHeight="1">
      <c r="A334" s="2"/>
      <c r="B334" s="1"/>
      <c r="C334" s="1"/>
      <c r="D334" s="1"/>
      <c r="E334" s="1"/>
      <c r="F334" s="1"/>
      <c r="G334" s="1"/>
      <c r="H334" s="1"/>
      <c r="I334" s="61"/>
      <c r="J334" s="1"/>
      <c r="K334" s="1"/>
    </row>
    <row r="335" spans="1:11" ht="15.75" customHeight="1">
      <c r="A335" s="2"/>
      <c r="B335" s="1"/>
      <c r="C335" s="1"/>
      <c r="D335" s="1"/>
      <c r="E335" s="1"/>
      <c r="F335" s="1"/>
      <c r="G335" s="1"/>
      <c r="H335" s="1"/>
      <c r="I335" s="61"/>
      <c r="J335" s="1"/>
      <c r="K335" s="1"/>
    </row>
    <row r="336" spans="1:11" ht="15.75" customHeight="1">
      <c r="A336" s="2"/>
      <c r="B336" s="1"/>
      <c r="C336" s="1"/>
      <c r="D336" s="1"/>
      <c r="E336" s="1"/>
      <c r="F336" s="1"/>
      <c r="G336" s="1"/>
      <c r="H336" s="1"/>
      <c r="I336" s="61"/>
      <c r="J336" s="1"/>
      <c r="K336" s="1"/>
    </row>
    <row r="337" spans="1:11" ht="15.75" customHeight="1">
      <c r="A337" s="2"/>
      <c r="B337" s="1"/>
      <c r="C337" s="1"/>
      <c r="D337" s="1"/>
      <c r="E337" s="1"/>
      <c r="F337" s="1"/>
      <c r="G337" s="1"/>
      <c r="H337" s="1"/>
      <c r="I337" s="61"/>
      <c r="J337" s="1"/>
      <c r="K337" s="1"/>
    </row>
    <row r="338" spans="1:11" ht="15.75" customHeight="1">
      <c r="A338" s="2"/>
      <c r="B338" s="1"/>
      <c r="C338" s="1"/>
      <c r="D338" s="1"/>
      <c r="E338" s="1"/>
      <c r="F338" s="1"/>
      <c r="G338" s="1"/>
      <c r="H338" s="1"/>
      <c r="I338" s="61"/>
      <c r="J338" s="1"/>
      <c r="K338" s="1"/>
    </row>
    <row r="339" spans="1:11" ht="15.75" customHeight="1">
      <c r="A339" s="2"/>
      <c r="B339" s="1"/>
      <c r="C339" s="1"/>
      <c r="D339" s="1"/>
      <c r="E339" s="1"/>
      <c r="F339" s="1"/>
      <c r="G339" s="1"/>
      <c r="H339" s="1"/>
      <c r="I339" s="61"/>
      <c r="J339" s="1"/>
      <c r="K339" s="1"/>
    </row>
    <row r="340" spans="1:11" ht="15.75" customHeight="1">
      <c r="A340" s="2"/>
      <c r="B340" s="1"/>
      <c r="C340" s="1"/>
      <c r="D340" s="1"/>
      <c r="E340" s="1"/>
      <c r="F340" s="1"/>
      <c r="G340" s="1"/>
      <c r="H340" s="1"/>
      <c r="I340" s="61"/>
      <c r="J340" s="1"/>
      <c r="K340" s="1"/>
    </row>
    <row r="341" spans="1:11" ht="15.75" customHeight="1">
      <c r="A341" s="2"/>
      <c r="B341" s="1"/>
      <c r="C341" s="1"/>
      <c r="D341" s="1"/>
      <c r="E341" s="1"/>
      <c r="F341" s="1"/>
      <c r="G341" s="1"/>
      <c r="H341" s="1"/>
      <c r="I341" s="61"/>
      <c r="J341" s="1"/>
      <c r="K341" s="1"/>
    </row>
    <row r="342" spans="1:11" ht="15.75" customHeight="1">
      <c r="A342" s="2"/>
      <c r="B342" s="1"/>
      <c r="C342" s="1"/>
      <c r="D342" s="1"/>
      <c r="E342" s="1"/>
      <c r="F342" s="1"/>
      <c r="G342" s="1"/>
      <c r="H342" s="1"/>
      <c r="I342" s="61"/>
      <c r="J342" s="1"/>
      <c r="K342" s="1"/>
    </row>
    <row r="343" spans="1:11" ht="15.75" customHeight="1">
      <c r="A343" s="2"/>
      <c r="B343" s="1"/>
      <c r="C343" s="1"/>
      <c r="D343" s="1"/>
      <c r="E343" s="1"/>
      <c r="F343" s="1"/>
      <c r="G343" s="1"/>
      <c r="H343" s="1"/>
      <c r="I343" s="61"/>
      <c r="J343" s="1"/>
      <c r="K343" s="1"/>
    </row>
    <row r="344" spans="1:11" ht="15.75" customHeight="1">
      <c r="A344" s="2"/>
      <c r="B344" s="1"/>
      <c r="C344" s="1"/>
      <c r="D344" s="1"/>
      <c r="E344" s="1"/>
      <c r="F344" s="1"/>
      <c r="G344" s="1"/>
      <c r="H344" s="1"/>
      <c r="I344" s="61"/>
      <c r="J344" s="1"/>
      <c r="K344" s="1"/>
    </row>
    <row r="345" spans="1:11" ht="15.75" customHeight="1">
      <c r="A345" s="2"/>
      <c r="B345" s="1"/>
      <c r="C345" s="1"/>
      <c r="D345" s="1"/>
      <c r="E345" s="1"/>
      <c r="F345" s="1"/>
      <c r="G345" s="1"/>
      <c r="H345" s="1"/>
      <c r="I345" s="61"/>
      <c r="J345" s="1"/>
      <c r="K345" s="1"/>
    </row>
    <row r="346" spans="1:11" ht="15.75" customHeight="1">
      <c r="A346" s="2"/>
      <c r="B346" s="1"/>
      <c r="C346" s="1"/>
      <c r="D346" s="1"/>
      <c r="E346" s="1"/>
      <c r="F346" s="1"/>
      <c r="G346" s="1"/>
      <c r="H346" s="1"/>
      <c r="I346" s="61"/>
      <c r="J346" s="1"/>
      <c r="K346" s="1"/>
    </row>
    <row r="347" spans="1:11" ht="15.75" customHeight="1">
      <c r="A347" s="2"/>
      <c r="B347" s="1"/>
      <c r="C347" s="1"/>
      <c r="D347" s="1"/>
      <c r="E347" s="1"/>
      <c r="F347" s="1"/>
      <c r="G347" s="1"/>
      <c r="H347" s="1"/>
      <c r="I347" s="61"/>
      <c r="J347" s="1"/>
      <c r="K347" s="1"/>
    </row>
    <row r="348" spans="1:11" ht="15.75" customHeight="1">
      <c r="A348" s="2"/>
      <c r="B348" s="1"/>
      <c r="C348" s="1"/>
      <c r="D348" s="1"/>
      <c r="E348" s="1"/>
      <c r="F348" s="1"/>
      <c r="G348" s="1"/>
      <c r="H348" s="1"/>
      <c r="I348" s="61"/>
      <c r="J348" s="1"/>
      <c r="K348" s="1"/>
    </row>
    <row r="349" spans="1:11" ht="15.75" customHeight="1">
      <c r="A349" s="2"/>
      <c r="B349" s="1"/>
      <c r="C349" s="1"/>
      <c r="D349" s="1"/>
      <c r="E349" s="1"/>
      <c r="F349" s="1"/>
      <c r="G349" s="1"/>
      <c r="H349" s="1"/>
      <c r="I349" s="61"/>
      <c r="J349" s="1"/>
      <c r="K349" s="1"/>
    </row>
    <row r="350" spans="1:11" ht="15.75" customHeight="1">
      <c r="A350" s="2"/>
      <c r="B350" s="1"/>
      <c r="C350" s="1"/>
      <c r="D350" s="1"/>
      <c r="E350" s="1"/>
      <c r="F350" s="1"/>
      <c r="G350" s="1"/>
      <c r="H350" s="1"/>
      <c r="I350" s="61"/>
      <c r="J350" s="1"/>
      <c r="K350" s="1"/>
    </row>
    <row r="351" spans="1:11" ht="15.75" customHeight="1">
      <c r="A351" s="2"/>
      <c r="B351" s="1"/>
      <c r="C351" s="1"/>
      <c r="D351" s="1"/>
      <c r="E351" s="1"/>
      <c r="F351" s="1"/>
      <c r="G351" s="1"/>
      <c r="H351" s="1"/>
      <c r="I351" s="61"/>
      <c r="J351" s="1"/>
      <c r="K351" s="1"/>
    </row>
    <row r="352" spans="1:11" ht="15.75" customHeight="1">
      <c r="A352" s="2"/>
      <c r="B352" s="1"/>
      <c r="C352" s="1"/>
      <c r="D352" s="1"/>
      <c r="E352" s="1"/>
      <c r="F352" s="1"/>
      <c r="G352" s="1"/>
      <c r="H352" s="1"/>
      <c r="I352" s="61"/>
      <c r="J352" s="1"/>
      <c r="K352" s="1"/>
    </row>
    <row r="353" spans="1:11" ht="15.75" customHeight="1">
      <c r="A353" s="2"/>
      <c r="B353" s="1"/>
      <c r="C353" s="1"/>
      <c r="D353" s="1"/>
      <c r="E353" s="1"/>
      <c r="F353" s="1"/>
      <c r="G353" s="1"/>
      <c r="H353" s="1"/>
      <c r="I353" s="61"/>
      <c r="J353" s="1"/>
      <c r="K353" s="1"/>
    </row>
    <row r="354" spans="1:11" ht="15.75" customHeight="1">
      <c r="A354" s="2"/>
      <c r="B354" s="1"/>
      <c r="C354" s="1"/>
      <c r="D354" s="1"/>
      <c r="E354" s="1"/>
      <c r="F354" s="1"/>
      <c r="G354" s="1"/>
      <c r="H354" s="1"/>
      <c r="I354" s="61"/>
      <c r="J354" s="1"/>
      <c r="K354" s="1"/>
    </row>
    <row r="355" spans="1:11" ht="15.75" customHeight="1">
      <c r="A355" s="2"/>
      <c r="B355" s="1"/>
      <c r="C355" s="1"/>
      <c r="D355" s="1"/>
      <c r="E355" s="1"/>
      <c r="F355" s="1"/>
      <c r="G355" s="1"/>
      <c r="H355" s="1"/>
      <c r="I355" s="61"/>
      <c r="J355" s="1"/>
      <c r="K355" s="1"/>
    </row>
    <row r="356" spans="1:11" ht="15.75" customHeight="1">
      <c r="A356" s="2"/>
      <c r="B356" s="1"/>
      <c r="C356" s="1"/>
      <c r="D356" s="1"/>
      <c r="E356" s="1"/>
      <c r="F356" s="1"/>
      <c r="G356" s="1"/>
      <c r="H356" s="1"/>
      <c r="I356" s="61"/>
      <c r="J356" s="1"/>
      <c r="K356" s="1"/>
    </row>
    <row r="357" spans="1:11" ht="15.75" customHeight="1">
      <c r="A357" s="2"/>
      <c r="B357" s="1"/>
      <c r="C357" s="1"/>
      <c r="D357" s="1"/>
      <c r="E357" s="1"/>
      <c r="F357" s="1"/>
      <c r="G357" s="1"/>
      <c r="H357" s="1"/>
      <c r="I357" s="61"/>
      <c r="J357" s="1"/>
      <c r="K357" s="1"/>
    </row>
    <row r="358" spans="1:11" ht="15.75" customHeight="1">
      <c r="A358" s="2"/>
      <c r="B358" s="1"/>
      <c r="C358" s="1"/>
      <c r="D358" s="1"/>
      <c r="E358" s="1"/>
      <c r="F358" s="1"/>
      <c r="G358" s="1"/>
      <c r="H358" s="1"/>
      <c r="I358" s="61"/>
      <c r="J358" s="1"/>
      <c r="K358" s="1"/>
    </row>
    <row r="359" spans="1:11" ht="15.75" customHeight="1">
      <c r="A359" s="2"/>
      <c r="B359" s="1"/>
      <c r="C359" s="1"/>
      <c r="D359" s="1"/>
      <c r="E359" s="1"/>
      <c r="F359" s="1"/>
      <c r="G359" s="1"/>
      <c r="H359" s="1"/>
      <c r="I359" s="61"/>
      <c r="J359" s="1"/>
      <c r="K359" s="1"/>
    </row>
    <row r="360" spans="1:11" ht="15.75" customHeight="1">
      <c r="A360" s="2"/>
      <c r="B360" s="1"/>
      <c r="C360" s="1"/>
      <c r="D360" s="1"/>
      <c r="E360" s="1"/>
      <c r="F360" s="1"/>
      <c r="G360" s="1"/>
      <c r="H360" s="1"/>
      <c r="I360" s="61"/>
      <c r="J360" s="1"/>
      <c r="K360" s="1"/>
    </row>
    <row r="361" spans="1:11" ht="15.75" customHeight="1">
      <c r="A361" s="2"/>
      <c r="B361" s="1"/>
      <c r="C361" s="1"/>
      <c r="D361" s="1"/>
      <c r="E361" s="1"/>
      <c r="F361" s="1"/>
      <c r="G361" s="1"/>
      <c r="H361" s="1"/>
      <c r="I361" s="61"/>
      <c r="J361" s="1"/>
      <c r="K361" s="1"/>
    </row>
    <row r="362" spans="1:11" ht="15.75" customHeight="1">
      <c r="A362" s="2"/>
      <c r="B362" s="1"/>
      <c r="C362" s="1"/>
      <c r="D362" s="1"/>
      <c r="E362" s="1"/>
      <c r="F362" s="1"/>
      <c r="G362" s="1"/>
      <c r="H362" s="1"/>
      <c r="I362" s="61"/>
      <c r="J362" s="1"/>
      <c r="K362" s="1"/>
    </row>
    <row r="363" spans="1:11" ht="15.75" customHeight="1">
      <c r="A363" s="2"/>
      <c r="B363" s="1"/>
      <c r="C363" s="1"/>
      <c r="D363" s="1"/>
      <c r="E363" s="1"/>
      <c r="F363" s="1"/>
      <c r="G363" s="1"/>
      <c r="H363" s="1"/>
      <c r="I363" s="61"/>
      <c r="J363" s="1"/>
      <c r="K363" s="1"/>
    </row>
    <row r="364" spans="1:11" ht="15.75" customHeight="1">
      <c r="A364" s="2"/>
      <c r="B364" s="1"/>
      <c r="C364" s="1"/>
      <c r="D364" s="1"/>
      <c r="E364" s="1"/>
      <c r="F364" s="1"/>
      <c r="G364" s="1"/>
      <c r="H364" s="1"/>
      <c r="I364" s="61"/>
      <c r="J364" s="1"/>
      <c r="K364" s="1"/>
    </row>
    <row r="365" spans="1:11" ht="15.75" customHeight="1">
      <c r="A365" s="2"/>
      <c r="B365" s="1"/>
      <c r="C365" s="1"/>
      <c r="D365" s="1"/>
      <c r="E365" s="1"/>
      <c r="F365" s="1"/>
      <c r="G365" s="1"/>
      <c r="H365" s="1"/>
      <c r="I365" s="61"/>
      <c r="J365" s="1"/>
      <c r="K365" s="1"/>
    </row>
    <row r="366" spans="1:11" ht="15.75" customHeight="1">
      <c r="A366" s="2"/>
      <c r="B366" s="1"/>
      <c r="C366" s="1"/>
      <c r="D366" s="1"/>
      <c r="E366" s="1"/>
      <c r="F366" s="1"/>
      <c r="G366" s="1"/>
      <c r="H366" s="1"/>
      <c r="I366" s="61"/>
      <c r="J366" s="1"/>
      <c r="K366" s="1"/>
    </row>
    <row r="367" spans="1:11" ht="15.75" customHeight="1">
      <c r="A367" s="2"/>
      <c r="B367" s="1"/>
      <c r="C367" s="1"/>
      <c r="D367" s="1"/>
      <c r="E367" s="1"/>
      <c r="F367" s="1"/>
      <c r="G367" s="1"/>
      <c r="H367" s="1"/>
      <c r="I367" s="61"/>
      <c r="J367" s="1"/>
      <c r="K367" s="1"/>
    </row>
    <row r="368" spans="1:11" ht="15.75" customHeight="1">
      <c r="A368" s="2"/>
      <c r="B368" s="1"/>
      <c r="C368" s="1"/>
      <c r="D368" s="1"/>
      <c r="E368" s="1"/>
      <c r="F368" s="1"/>
      <c r="G368" s="1"/>
      <c r="H368" s="1"/>
      <c r="I368" s="61"/>
      <c r="J368" s="1"/>
      <c r="K368" s="1"/>
    </row>
    <row r="369" spans="1:11" ht="15.75" customHeight="1">
      <c r="A369" s="2"/>
      <c r="B369" s="1"/>
      <c r="C369" s="1"/>
      <c r="D369" s="1"/>
      <c r="E369" s="1"/>
      <c r="F369" s="1"/>
      <c r="G369" s="1"/>
      <c r="H369" s="1"/>
      <c r="I369" s="61"/>
      <c r="J369" s="1"/>
      <c r="K369" s="1"/>
    </row>
    <row r="370" spans="1:11" ht="15.75" customHeight="1">
      <c r="A370" s="2"/>
      <c r="B370" s="1"/>
      <c r="C370" s="1"/>
      <c r="D370" s="1"/>
      <c r="E370" s="1"/>
      <c r="F370" s="1"/>
      <c r="G370" s="1"/>
      <c r="H370" s="1"/>
      <c r="I370" s="61"/>
      <c r="J370" s="1"/>
      <c r="K370" s="1"/>
    </row>
    <row r="371" spans="1:11" ht="15.75" customHeight="1">
      <c r="A371" s="2"/>
      <c r="B371" s="1"/>
      <c r="C371" s="1"/>
      <c r="D371" s="1"/>
      <c r="E371" s="1"/>
      <c r="F371" s="1"/>
      <c r="G371" s="1"/>
      <c r="H371" s="1"/>
      <c r="I371" s="61"/>
      <c r="J371" s="1"/>
      <c r="K371" s="1"/>
    </row>
    <row r="372" spans="1:11" ht="15.75" customHeight="1">
      <c r="A372" s="2"/>
      <c r="B372" s="1"/>
      <c r="C372" s="1"/>
      <c r="D372" s="1"/>
      <c r="E372" s="1"/>
      <c r="F372" s="1"/>
      <c r="G372" s="1"/>
      <c r="H372" s="1"/>
      <c r="I372" s="61"/>
      <c r="J372" s="1"/>
      <c r="K372" s="1"/>
    </row>
    <row r="373" spans="1:11" ht="15.75" customHeight="1">
      <c r="A373" s="2"/>
      <c r="B373" s="1"/>
      <c r="C373" s="1"/>
      <c r="D373" s="1"/>
      <c r="E373" s="1"/>
      <c r="F373" s="1"/>
      <c r="G373" s="1"/>
      <c r="H373" s="1"/>
      <c r="I373" s="61"/>
      <c r="J373" s="1"/>
      <c r="K373" s="1"/>
    </row>
    <row r="374" spans="1:11" ht="15.75" customHeight="1">
      <c r="A374" s="2"/>
      <c r="B374" s="1"/>
      <c r="C374" s="1"/>
      <c r="D374" s="1"/>
      <c r="E374" s="1"/>
      <c r="F374" s="1"/>
      <c r="G374" s="1"/>
      <c r="H374" s="1"/>
      <c r="I374" s="61"/>
      <c r="J374" s="1"/>
      <c r="K374" s="1"/>
    </row>
    <row r="375" spans="1:11" ht="15.75" customHeight="1">
      <c r="A375" s="2"/>
      <c r="B375" s="1"/>
      <c r="C375" s="1"/>
      <c r="D375" s="1"/>
      <c r="E375" s="1"/>
      <c r="F375" s="1"/>
      <c r="G375" s="1"/>
      <c r="H375" s="1"/>
      <c r="I375" s="61"/>
      <c r="J375" s="1"/>
      <c r="K375" s="1"/>
    </row>
    <row r="376" spans="1:11" ht="15.75" customHeight="1">
      <c r="A376" s="2"/>
      <c r="B376" s="1"/>
      <c r="C376" s="1"/>
      <c r="D376" s="1"/>
      <c r="E376" s="1"/>
      <c r="F376" s="1"/>
      <c r="G376" s="1"/>
      <c r="H376" s="1"/>
      <c r="I376" s="61"/>
      <c r="J376" s="1"/>
      <c r="K376" s="1"/>
    </row>
    <row r="377" spans="1:11" ht="15.75" customHeight="1">
      <c r="A377" s="2"/>
      <c r="B377" s="1"/>
      <c r="C377" s="1"/>
      <c r="D377" s="1"/>
      <c r="E377" s="1"/>
      <c r="F377" s="1"/>
      <c r="G377" s="1"/>
      <c r="H377" s="1"/>
      <c r="I377" s="61"/>
      <c r="J377" s="1"/>
      <c r="K377" s="1"/>
    </row>
    <row r="378" spans="1:11" ht="15.75" customHeight="1">
      <c r="A378" s="2"/>
      <c r="B378" s="1"/>
      <c r="C378" s="1"/>
      <c r="D378" s="1"/>
      <c r="E378" s="1"/>
      <c r="F378" s="1"/>
      <c r="G378" s="1"/>
      <c r="H378" s="1"/>
      <c r="I378" s="61"/>
      <c r="J378" s="1"/>
      <c r="K378" s="1"/>
    </row>
    <row r="379" spans="1:11" ht="15.75" customHeight="1">
      <c r="A379" s="2"/>
      <c r="B379" s="1"/>
      <c r="C379" s="1"/>
      <c r="D379" s="1"/>
      <c r="E379" s="1"/>
      <c r="F379" s="1"/>
      <c r="G379" s="1"/>
      <c r="H379" s="1"/>
      <c r="I379" s="61"/>
      <c r="J379" s="1"/>
      <c r="K379" s="1"/>
    </row>
    <row r="380" spans="1:11" ht="15.75" customHeight="1">
      <c r="A380" s="2"/>
      <c r="B380" s="1"/>
      <c r="C380" s="1"/>
      <c r="D380" s="1"/>
      <c r="E380" s="1"/>
      <c r="F380" s="1"/>
      <c r="G380" s="1"/>
      <c r="H380" s="1"/>
      <c r="I380" s="61"/>
      <c r="J380" s="1"/>
      <c r="K380" s="1"/>
    </row>
    <row r="381" spans="1:11" ht="15.75" customHeight="1">
      <c r="A381" s="2"/>
      <c r="B381" s="1"/>
      <c r="C381" s="1"/>
      <c r="D381" s="1"/>
      <c r="E381" s="1"/>
      <c r="F381" s="1"/>
      <c r="G381" s="1"/>
      <c r="H381" s="1"/>
      <c r="I381" s="61"/>
      <c r="J381" s="1"/>
      <c r="K381" s="1"/>
    </row>
    <row r="382" spans="1:11" ht="15.75" customHeight="1">
      <c r="A382" s="2"/>
      <c r="B382" s="1"/>
      <c r="C382" s="1"/>
      <c r="D382" s="1"/>
      <c r="E382" s="1"/>
      <c r="F382" s="1"/>
      <c r="G382" s="1"/>
      <c r="H382" s="1"/>
      <c r="I382" s="61"/>
      <c r="J382" s="1"/>
      <c r="K382" s="1"/>
    </row>
    <row r="383" spans="1:11" ht="15.75" customHeight="1">
      <c r="A383" s="2"/>
      <c r="B383" s="1"/>
      <c r="C383" s="1"/>
      <c r="D383" s="1"/>
      <c r="E383" s="1"/>
      <c r="F383" s="1"/>
      <c r="G383" s="1"/>
      <c r="H383" s="1"/>
      <c r="I383" s="61"/>
      <c r="J383" s="1"/>
      <c r="K383" s="1"/>
    </row>
    <row r="384" spans="1:11" ht="15.75" customHeight="1">
      <c r="A384" s="2"/>
      <c r="B384" s="1"/>
      <c r="C384" s="1"/>
      <c r="D384" s="1"/>
      <c r="E384" s="1"/>
      <c r="F384" s="1"/>
      <c r="G384" s="1"/>
      <c r="H384" s="1"/>
      <c r="I384" s="61"/>
      <c r="J384" s="1"/>
      <c r="K384" s="1"/>
    </row>
    <row r="385" spans="1:11" ht="15.75" customHeight="1">
      <c r="A385" s="2"/>
      <c r="B385" s="1"/>
      <c r="C385" s="1"/>
      <c r="D385" s="1"/>
      <c r="E385" s="1"/>
      <c r="F385" s="1"/>
      <c r="G385" s="1"/>
      <c r="H385" s="1"/>
      <c r="I385" s="61"/>
      <c r="J385" s="1"/>
      <c r="K385" s="1"/>
    </row>
    <row r="386" spans="1:11" ht="15.75" customHeight="1">
      <c r="A386" s="2"/>
      <c r="B386" s="1"/>
      <c r="C386" s="1"/>
      <c r="D386" s="1"/>
      <c r="E386" s="1"/>
      <c r="F386" s="1"/>
      <c r="G386" s="1"/>
      <c r="H386" s="1"/>
      <c r="I386" s="61"/>
      <c r="J386" s="1"/>
      <c r="K386" s="1"/>
    </row>
    <row r="387" spans="1:11" ht="15.75" customHeight="1">
      <c r="A387" s="2"/>
      <c r="B387" s="1"/>
      <c r="C387" s="1"/>
      <c r="D387" s="1"/>
      <c r="E387" s="1"/>
      <c r="F387" s="1"/>
      <c r="G387" s="1"/>
      <c r="H387" s="1"/>
      <c r="I387" s="61"/>
      <c r="J387" s="1"/>
      <c r="K387" s="1"/>
    </row>
    <row r="388" spans="1:11" ht="15.75" customHeight="1">
      <c r="A388" s="2"/>
      <c r="B388" s="1"/>
      <c r="C388" s="1"/>
      <c r="D388" s="1"/>
      <c r="E388" s="1"/>
      <c r="F388" s="1"/>
      <c r="G388" s="1"/>
      <c r="H388" s="1"/>
      <c r="I388" s="61"/>
      <c r="J388" s="1"/>
      <c r="K388" s="1"/>
    </row>
    <row r="389" spans="1:11" ht="15.75" customHeight="1">
      <c r="A389" s="2"/>
      <c r="B389" s="1"/>
      <c r="C389" s="1"/>
      <c r="D389" s="1"/>
      <c r="E389" s="1"/>
      <c r="F389" s="1"/>
      <c r="G389" s="1"/>
      <c r="H389" s="1"/>
      <c r="I389" s="61"/>
      <c r="J389" s="1"/>
      <c r="K389" s="1"/>
    </row>
    <row r="390" spans="1:11" ht="15.75" customHeight="1">
      <c r="A390" s="2"/>
      <c r="B390" s="1"/>
      <c r="C390" s="1"/>
      <c r="D390" s="1"/>
      <c r="E390" s="1"/>
      <c r="F390" s="1"/>
      <c r="G390" s="1"/>
      <c r="H390" s="1"/>
      <c r="I390" s="61"/>
      <c r="J390" s="1"/>
      <c r="K390" s="1"/>
    </row>
    <row r="391" spans="1:11" ht="15.75" customHeight="1">
      <c r="A391" s="2"/>
      <c r="B391" s="1"/>
      <c r="C391" s="1"/>
      <c r="D391" s="1"/>
      <c r="E391" s="1"/>
      <c r="F391" s="1"/>
      <c r="G391" s="1"/>
      <c r="H391" s="1"/>
      <c r="I391" s="61"/>
      <c r="J391" s="1"/>
      <c r="K391" s="1"/>
    </row>
    <row r="392" spans="1:11" ht="15.75" customHeight="1">
      <c r="A392" s="2"/>
      <c r="B392" s="1"/>
      <c r="C392" s="1"/>
      <c r="D392" s="1"/>
      <c r="E392" s="1"/>
      <c r="F392" s="1"/>
      <c r="G392" s="1"/>
      <c r="H392" s="1"/>
      <c r="I392" s="61"/>
      <c r="J392" s="1"/>
      <c r="K392" s="1"/>
    </row>
    <row r="393" spans="1:11" ht="15.75" customHeight="1">
      <c r="A393" s="2"/>
      <c r="B393" s="1"/>
      <c r="C393" s="1"/>
      <c r="D393" s="1"/>
      <c r="E393" s="1"/>
      <c r="F393" s="1"/>
      <c r="G393" s="1"/>
      <c r="H393" s="1"/>
      <c r="I393" s="61"/>
      <c r="J393" s="1"/>
      <c r="K393" s="1"/>
    </row>
    <row r="394" spans="1:11" ht="15.75" customHeight="1">
      <c r="A394" s="2"/>
      <c r="B394" s="1"/>
      <c r="C394" s="1"/>
      <c r="D394" s="1"/>
      <c r="E394" s="1"/>
      <c r="F394" s="1"/>
      <c r="G394" s="1"/>
      <c r="H394" s="1"/>
      <c r="I394" s="61"/>
      <c r="J394" s="1"/>
      <c r="K394" s="1"/>
    </row>
    <row r="395" spans="1:11" ht="15.75" customHeight="1">
      <c r="A395" s="2"/>
      <c r="B395" s="1"/>
      <c r="C395" s="1"/>
      <c r="D395" s="1"/>
      <c r="E395" s="1"/>
      <c r="F395" s="1"/>
      <c r="G395" s="1"/>
      <c r="H395" s="1"/>
      <c r="I395" s="61"/>
      <c r="J395" s="1"/>
      <c r="K395" s="1"/>
    </row>
    <row r="396" spans="1:11" ht="15.75" customHeight="1">
      <c r="A396" s="2"/>
      <c r="B396" s="1"/>
      <c r="C396" s="1"/>
      <c r="D396" s="1"/>
      <c r="E396" s="1"/>
      <c r="F396" s="1"/>
      <c r="G396" s="1"/>
      <c r="H396" s="1"/>
      <c r="I396" s="61"/>
      <c r="J396" s="1"/>
      <c r="K396" s="1"/>
    </row>
    <row r="397" spans="1:11" ht="15.75" customHeight="1">
      <c r="A397" s="2"/>
      <c r="B397" s="1"/>
      <c r="C397" s="1"/>
      <c r="D397" s="1"/>
      <c r="E397" s="1"/>
      <c r="F397" s="1"/>
      <c r="G397" s="1"/>
      <c r="H397" s="1"/>
      <c r="I397" s="61"/>
      <c r="J397" s="1"/>
      <c r="K397" s="1"/>
    </row>
    <row r="398" spans="1:11" ht="15.75" customHeight="1">
      <c r="A398" s="2"/>
      <c r="B398" s="1"/>
      <c r="C398" s="1"/>
      <c r="D398" s="1"/>
      <c r="E398" s="1"/>
      <c r="F398" s="1"/>
      <c r="G398" s="1"/>
      <c r="H398" s="1"/>
      <c r="I398" s="61"/>
      <c r="J398" s="1"/>
      <c r="K398" s="1"/>
    </row>
    <row r="399" spans="1:11" ht="15.75" customHeight="1">
      <c r="A399" s="2"/>
      <c r="B399" s="1"/>
      <c r="C399" s="1"/>
      <c r="D399" s="1"/>
      <c r="E399" s="1"/>
      <c r="F399" s="1"/>
      <c r="G399" s="1"/>
      <c r="H399" s="1"/>
      <c r="I399" s="61"/>
      <c r="J399" s="1"/>
      <c r="K399" s="1"/>
    </row>
    <row r="400" spans="1:11" ht="15.75" customHeight="1">
      <c r="A400" s="2"/>
      <c r="B400" s="1"/>
      <c r="C400" s="1"/>
      <c r="D400" s="1"/>
      <c r="E400" s="1"/>
      <c r="F400" s="1"/>
      <c r="G400" s="1"/>
      <c r="H400" s="1"/>
      <c r="I400" s="61"/>
      <c r="J400" s="1"/>
      <c r="K400" s="1"/>
    </row>
    <row r="401" spans="1:11" ht="15.75" customHeight="1">
      <c r="A401" s="2"/>
      <c r="B401" s="1"/>
      <c r="C401" s="1"/>
      <c r="D401" s="1"/>
      <c r="E401" s="1"/>
      <c r="F401" s="1"/>
      <c r="G401" s="1"/>
      <c r="H401" s="1"/>
      <c r="I401" s="61"/>
      <c r="J401" s="1"/>
      <c r="K401" s="1"/>
    </row>
    <row r="402" spans="1:11" ht="15.75" customHeight="1">
      <c r="A402" s="2"/>
      <c r="B402" s="1"/>
      <c r="C402" s="1"/>
      <c r="D402" s="1"/>
      <c r="E402" s="1"/>
      <c r="F402" s="1"/>
      <c r="G402" s="1"/>
      <c r="H402" s="1"/>
      <c r="I402" s="61"/>
      <c r="J402" s="1"/>
      <c r="K402" s="1"/>
    </row>
    <row r="403" spans="1:11" ht="15.75" customHeight="1">
      <c r="A403" s="2"/>
      <c r="B403" s="1"/>
      <c r="C403" s="1"/>
      <c r="D403" s="1"/>
      <c r="E403" s="1"/>
      <c r="F403" s="1"/>
      <c r="G403" s="1"/>
      <c r="H403" s="1"/>
      <c r="I403" s="61"/>
      <c r="J403" s="1"/>
      <c r="K403" s="1"/>
    </row>
    <row r="404" spans="1:11" ht="15.75" customHeight="1">
      <c r="A404" s="2"/>
      <c r="B404" s="1"/>
      <c r="C404" s="1"/>
      <c r="D404" s="1"/>
      <c r="E404" s="1"/>
      <c r="F404" s="1"/>
      <c r="G404" s="1"/>
      <c r="H404" s="1"/>
      <c r="I404" s="61"/>
      <c r="J404" s="1"/>
      <c r="K404" s="1"/>
    </row>
    <row r="405" spans="1:11" ht="15.75" customHeight="1">
      <c r="A405" s="2"/>
      <c r="B405" s="1"/>
      <c r="C405" s="1"/>
      <c r="D405" s="1"/>
      <c r="E405" s="1"/>
      <c r="F405" s="1"/>
      <c r="G405" s="1"/>
      <c r="H405" s="1"/>
      <c r="I405" s="61"/>
      <c r="J405" s="1"/>
      <c r="K405" s="1"/>
    </row>
    <row r="406" spans="1:11" ht="15.75" customHeight="1">
      <c r="A406" s="2"/>
      <c r="B406" s="1"/>
      <c r="C406" s="1"/>
      <c r="D406" s="1"/>
      <c r="E406" s="1"/>
      <c r="F406" s="1"/>
      <c r="G406" s="1"/>
      <c r="H406" s="1"/>
      <c r="I406" s="61"/>
      <c r="J406" s="1"/>
      <c r="K406" s="1"/>
    </row>
    <row r="407" spans="1:11" ht="15.75" customHeight="1">
      <c r="A407" s="2"/>
      <c r="B407" s="1"/>
      <c r="C407" s="1"/>
      <c r="D407" s="1"/>
      <c r="E407" s="1"/>
      <c r="F407" s="1"/>
      <c r="G407" s="1"/>
      <c r="H407" s="1"/>
      <c r="I407" s="61"/>
      <c r="J407" s="1"/>
      <c r="K407" s="1"/>
    </row>
    <row r="408" spans="1:11" ht="15.75" customHeight="1">
      <c r="A408" s="2"/>
      <c r="B408" s="1"/>
      <c r="C408" s="1"/>
      <c r="D408" s="1"/>
      <c r="E408" s="1"/>
      <c r="F408" s="1"/>
      <c r="G408" s="1"/>
      <c r="H408" s="1"/>
      <c r="I408" s="61"/>
      <c r="J408" s="1"/>
      <c r="K408" s="1"/>
    </row>
    <row r="409" spans="1:11" ht="15.75" customHeight="1">
      <c r="A409" s="2"/>
      <c r="B409" s="1"/>
      <c r="C409" s="1"/>
      <c r="D409" s="1"/>
      <c r="E409" s="1"/>
      <c r="F409" s="1"/>
      <c r="G409" s="1"/>
      <c r="H409" s="1"/>
      <c r="I409" s="61"/>
      <c r="J409" s="1"/>
      <c r="K409" s="1"/>
    </row>
    <row r="410" spans="1:11" ht="15.75" customHeight="1">
      <c r="A410" s="2"/>
      <c r="B410" s="1"/>
      <c r="C410" s="1"/>
      <c r="D410" s="1"/>
      <c r="E410" s="1"/>
      <c r="F410" s="1"/>
      <c r="G410" s="1"/>
      <c r="H410" s="1"/>
      <c r="I410" s="61"/>
      <c r="J410" s="1"/>
      <c r="K410" s="1"/>
    </row>
    <row r="411" spans="1:11" ht="15.75" customHeight="1">
      <c r="A411" s="2"/>
      <c r="B411" s="1"/>
      <c r="C411" s="1"/>
      <c r="D411" s="1"/>
      <c r="E411" s="1"/>
      <c r="F411" s="1"/>
      <c r="G411" s="1"/>
      <c r="H411" s="1"/>
      <c r="I411" s="61"/>
      <c r="J411" s="1"/>
      <c r="K411" s="1"/>
    </row>
    <row r="412" spans="1:11" ht="15.75" customHeight="1">
      <c r="A412" s="2"/>
      <c r="B412" s="1"/>
      <c r="C412" s="1"/>
      <c r="D412" s="1"/>
      <c r="E412" s="1"/>
      <c r="F412" s="1"/>
      <c r="G412" s="1"/>
      <c r="H412" s="1"/>
      <c r="I412" s="61"/>
      <c r="J412" s="1"/>
      <c r="K412" s="1"/>
    </row>
    <row r="413" spans="1:11" ht="15.75" customHeight="1">
      <c r="A413" s="2"/>
      <c r="B413" s="1"/>
      <c r="C413" s="1"/>
      <c r="D413" s="1"/>
      <c r="E413" s="1"/>
      <c r="F413" s="1"/>
      <c r="G413" s="1"/>
      <c r="H413" s="1"/>
      <c r="I413" s="61"/>
      <c r="J413" s="1"/>
      <c r="K413" s="1"/>
    </row>
    <row r="414" spans="1:11" ht="15.75" customHeight="1">
      <c r="A414" s="2"/>
      <c r="B414" s="1"/>
      <c r="C414" s="1"/>
      <c r="D414" s="1"/>
      <c r="E414" s="1"/>
      <c r="F414" s="1"/>
      <c r="G414" s="1"/>
      <c r="H414" s="1"/>
      <c r="I414" s="61"/>
      <c r="J414" s="1"/>
      <c r="K414" s="1"/>
    </row>
    <row r="415" spans="1:11" ht="15.75" customHeight="1">
      <c r="A415" s="2"/>
      <c r="B415" s="1"/>
      <c r="C415" s="1"/>
      <c r="D415" s="1"/>
      <c r="E415" s="1"/>
      <c r="F415" s="1"/>
      <c r="G415" s="1"/>
      <c r="H415" s="1"/>
      <c r="I415" s="61"/>
      <c r="J415" s="1"/>
      <c r="K415" s="1"/>
    </row>
    <row r="416" spans="1:11" ht="15.75" customHeight="1">
      <c r="A416" s="2"/>
      <c r="B416" s="1"/>
      <c r="C416" s="1"/>
      <c r="D416" s="1"/>
      <c r="E416" s="1"/>
      <c r="F416" s="1"/>
      <c r="G416" s="1"/>
      <c r="H416" s="1"/>
      <c r="I416" s="61"/>
      <c r="J416" s="1"/>
      <c r="K416" s="1"/>
    </row>
    <row r="417" spans="1:11" ht="15.75" customHeight="1">
      <c r="A417" s="2"/>
      <c r="B417" s="1"/>
      <c r="C417" s="1"/>
      <c r="D417" s="1"/>
      <c r="E417" s="1"/>
      <c r="F417" s="1"/>
      <c r="G417" s="1"/>
      <c r="H417" s="1"/>
      <c r="I417" s="61"/>
      <c r="J417" s="1"/>
      <c r="K417" s="1"/>
    </row>
    <row r="418" spans="1:11" ht="15.75" customHeight="1">
      <c r="A418" s="2"/>
      <c r="B418" s="1"/>
      <c r="C418" s="1"/>
      <c r="D418" s="1"/>
      <c r="E418" s="1"/>
      <c r="F418" s="1"/>
      <c r="G418" s="1"/>
      <c r="H418" s="1"/>
      <c r="I418" s="61"/>
      <c r="J418" s="1"/>
      <c r="K418" s="1"/>
    </row>
    <row r="419" spans="1:11" ht="15.75" customHeight="1">
      <c r="A419" s="2"/>
      <c r="B419" s="1"/>
      <c r="C419" s="1"/>
      <c r="D419" s="1"/>
      <c r="E419" s="1"/>
      <c r="F419" s="1"/>
      <c r="G419" s="1"/>
      <c r="H419" s="1"/>
      <c r="I419" s="61"/>
      <c r="J419" s="1"/>
      <c r="K419" s="1"/>
    </row>
    <row r="420" spans="1:11" ht="15.75" customHeight="1">
      <c r="A420" s="2"/>
      <c r="B420" s="1"/>
      <c r="C420" s="1"/>
      <c r="D420" s="1"/>
      <c r="E420" s="1"/>
      <c r="F420" s="1"/>
      <c r="G420" s="1"/>
      <c r="H420" s="1"/>
      <c r="I420" s="61"/>
      <c r="J420" s="1"/>
      <c r="K420" s="1"/>
    </row>
    <row r="421" spans="1:11" ht="15.75" customHeight="1">
      <c r="A421" s="2"/>
      <c r="B421" s="1"/>
      <c r="C421" s="1"/>
      <c r="D421" s="1"/>
      <c r="E421" s="1"/>
      <c r="F421" s="1"/>
      <c r="G421" s="1"/>
      <c r="H421" s="1"/>
      <c r="I421" s="61"/>
      <c r="J421" s="1"/>
      <c r="K421" s="1"/>
    </row>
    <row r="422" spans="1:11" ht="15.75" customHeight="1">
      <c r="A422" s="2"/>
      <c r="B422" s="1"/>
      <c r="C422" s="1"/>
      <c r="D422" s="1"/>
      <c r="E422" s="1"/>
      <c r="F422" s="1"/>
      <c r="G422" s="1"/>
      <c r="H422" s="1"/>
      <c r="I422" s="61"/>
      <c r="J422" s="1"/>
      <c r="K422" s="1"/>
    </row>
    <row r="423" spans="1:11" ht="15.75" customHeight="1">
      <c r="A423" s="2"/>
      <c r="B423" s="1"/>
      <c r="C423" s="1"/>
      <c r="D423" s="1"/>
      <c r="E423" s="1"/>
      <c r="F423" s="1"/>
      <c r="G423" s="1"/>
      <c r="H423" s="1"/>
      <c r="I423" s="61"/>
      <c r="J423" s="1"/>
      <c r="K423" s="1"/>
    </row>
    <row r="424" spans="1:11" ht="15.75" customHeight="1">
      <c r="A424" s="2"/>
      <c r="B424" s="1"/>
      <c r="C424" s="1"/>
      <c r="D424" s="1"/>
      <c r="E424" s="1"/>
      <c r="F424" s="1"/>
      <c r="G424" s="1"/>
      <c r="H424" s="1"/>
      <c r="I424" s="61"/>
      <c r="J424" s="1"/>
      <c r="K424" s="1"/>
    </row>
    <row r="425" spans="1:11" ht="15.75" customHeight="1">
      <c r="A425" s="2"/>
      <c r="B425" s="1"/>
      <c r="C425" s="1"/>
      <c r="D425" s="1"/>
      <c r="E425" s="1"/>
      <c r="F425" s="1"/>
      <c r="G425" s="1"/>
      <c r="H425" s="1"/>
      <c r="I425" s="61"/>
      <c r="J425" s="1"/>
      <c r="K425" s="1"/>
    </row>
    <row r="426" spans="1:11" ht="15.75" customHeight="1">
      <c r="A426" s="2"/>
      <c r="B426" s="1"/>
      <c r="C426" s="1"/>
      <c r="D426" s="1"/>
      <c r="E426" s="1"/>
      <c r="F426" s="1"/>
      <c r="G426" s="1"/>
      <c r="H426" s="1"/>
      <c r="I426" s="61"/>
      <c r="J426" s="1"/>
      <c r="K426" s="1"/>
    </row>
    <row r="427" spans="1:11" ht="15.75" customHeight="1">
      <c r="A427" s="2"/>
      <c r="B427" s="1"/>
      <c r="C427" s="1"/>
      <c r="D427" s="1"/>
      <c r="E427" s="1"/>
      <c r="F427" s="1"/>
      <c r="G427" s="1"/>
      <c r="H427" s="1"/>
      <c r="I427" s="61"/>
      <c r="J427" s="1"/>
      <c r="K427" s="1"/>
    </row>
    <row r="428" spans="1:11" ht="15.75" customHeight="1">
      <c r="A428" s="2"/>
      <c r="B428" s="1"/>
      <c r="C428" s="1"/>
      <c r="D428" s="1"/>
      <c r="E428" s="1"/>
      <c r="F428" s="1"/>
      <c r="G428" s="1"/>
      <c r="H428" s="1"/>
      <c r="I428" s="61"/>
      <c r="J428" s="1"/>
      <c r="K428" s="1"/>
    </row>
    <row r="429" spans="1:11" ht="15.75" customHeight="1">
      <c r="A429" s="2"/>
      <c r="B429" s="1"/>
      <c r="C429" s="1"/>
      <c r="D429" s="1"/>
      <c r="E429" s="1"/>
      <c r="F429" s="1"/>
      <c r="G429" s="1"/>
      <c r="H429" s="1"/>
      <c r="I429" s="61"/>
      <c r="J429" s="1"/>
      <c r="K429" s="1"/>
    </row>
    <row r="430" spans="1:11" ht="15.75" customHeight="1">
      <c r="A430" s="2"/>
      <c r="B430" s="1"/>
      <c r="C430" s="1"/>
      <c r="D430" s="1"/>
      <c r="E430" s="1"/>
      <c r="F430" s="1"/>
      <c r="G430" s="1"/>
      <c r="H430" s="1"/>
      <c r="I430" s="61"/>
      <c r="J430" s="1"/>
      <c r="K430" s="1"/>
    </row>
    <row r="431" spans="1:11" ht="15.75" customHeight="1">
      <c r="A431" s="2"/>
      <c r="B431" s="1"/>
      <c r="C431" s="1"/>
      <c r="D431" s="1"/>
      <c r="E431" s="1"/>
      <c r="F431" s="1"/>
      <c r="G431" s="1"/>
      <c r="H431" s="1"/>
      <c r="I431" s="61"/>
      <c r="J431" s="1"/>
      <c r="K431" s="1"/>
    </row>
    <row r="432" spans="1:11" ht="15.75" customHeight="1">
      <c r="A432" s="2"/>
      <c r="B432" s="1"/>
      <c r="C432" s="1"/>
      <c r="D432" s="1"/>
      <c r="E432" s="1"/>
      <c r="F432" s="1"/>
      <c r="G432" s="1"/>
      <c r="H432" s="1"/>
      <c r="I432" s="61"/>
      <c r="J432" s="1"/>
      <c r="K432" s="1"/>
    </row>
    <row r="433" spans="1:11" ht="15.75" customHeight="1">
      <c r="A433" s="2"/>
      <c r="B433" s="1"/>
      <c r="C433" s="1"/>
      <c r="D433" s="1"/>
      <c r="E433" s="1"/>
      <c r="F433" s="1"/>
      <c r="G433" s="1"/>
      <c r="H433" s="1"/>
      <c r="I433" s="61"/>
      <c r="J433" s="1"/>
      <c r="K433" s="1"/>
    </row>
    <row r="434" spans="1:11" ht="15.75" customHeight="1">
      <c r="A434" s="2"/>
      <c r="B434" s="1"/>
      <c r="C434" s="1"/>
      <c r="D434" s="1"/>
      <c r="E434" s="1"/>
      <c r="F434" s="1"/>
      <c r="G434" s="1"/>
      <c r="H434" s="1"/>
      <c r="I434" s="61"/>
      <c r="J434" s="1"/>
      <c r="K434" s="1"/>
    </row>
    <row r="435" spans="1:11" ht="15.75" customHeight="1">
      <c r="A435" s="2"/>
      <c r="B435" s="1"/>
      <c r="C435" s="1"/>
      <c r="D435" s="1"/>
      <c r="E435" s="1"/>
      <c r="F435" s="1"/>
      <c r="G435" s="1"/>
      <c r="H435" s="1"/>
      <c r="I435" s="61"/>
      <c r="J435" s="1"/>
      <c r="K435" s="1"/>
    </row>
    <row r="436" spans="1:11" ht="15.75" customHeight="1">
      <c r="A436" s="2"/>
      <c r="B436" s="1"/>
      <c r="C436" s="1"/>
      <c r="D436" s="1"/>
      <c r="E436" s="1"/>
      <c r="F436" s="1"/>
      <c r="G436" s="1"/>
      <c r="H436" s="1"/>
      <c r="I436" s="61"/>
      <c r="J436" s="1"/>
      <c r="K436" s="1"/>
    </row>
    <row r="437" spans="1:11" ht="15.75" customHeight="1">
      <c r="A437" s="2"/>
      <c r="B437" s="1"/>
      <c r="C437" s="1"/>
      <c r="D437" s="1"/>
      <c r="E437" s="1"/>
      <c r="F437" s="1"/>
      <c r="G437" s="1"/>
      <c r="H437" s="1"/>
      <c r="I437" s="61"/>
      <c r="J437" s="1"/>
      <c r="K437" s="1"/>
    </row>
    <row r="438" spans="1:11" ht="15.75" customHeight="1">
      <c r="A438" s="2"/>
      <c r="B438" s="1"/>
      <c r="C438" s="1"/>
      <c r="D438" s="1"/>
      <c r="E438" s="1"/>
      <c r="F438" s="1"/>
      <c r="G438" s="1"/>
      <c r="H438" s="1"/>
      <c r="I438" s="61"/>
      <c r="J438" s="1"/>
      <c r="K438" s="1"/>
    </row>
    <row r="439" spans="1:11" ht="15.75" customHeight="1">
      <c r="A439" s="2"/>
      <c r="B439" s="1"/>
      <c r="C439" s="1"/>
      <c r="D439" s="1"/>
      <c r="E439" s="1"/>
      <c r="F439" s="1"/>
      <c r="G439" s="1"/>
      <c r="H439" s="1"/>
      <c r="I439" s="61"/>
      <c r="J439" s="1"/>
      <c r="K439" s="1"/>
    </row>
    <row r="440" spans="1:11" ht="15.75" customHeight="1">
      <c r="A440" s="2"/>
      <c r="B440" s="1"/>
      <c r="C440" s="1"/>
      <c r="D440" s="1"/>
      <c r="E440" s="1"/>
      <c r="F440" s="1"/>
      <c r="G440" s="1"/>
      <c r="H440" s="1"/>
      <c r="I440" s="61"/>
      <c r="J440" s="1"/>
      <c r="K440" s="1"/>
    </row>
    <row r="441" spans="1:11" ht="15.75" customHeight="1">
      <c r="A441" s="2"/>
      <c r="B441" s="1"/>
      <c r="C441" s="1"/>
      <c r="D441" s="1"/>
      <c r="E441" s="1"/>
      <c r="F441" s="1"/>
      <c r="G441" s="1"/>
      <c r="H441" s="1"/>
      <c r="I441" s="61"/>
      <c r="J441" s="1"/>
      <c r="K441" s="1"/>
    </row>
    <row r="442" spans="1:11" ht="15.75" customHeight="1">
      <c r="A442" s="2"/>
      <c r="B442" s="1"/>
      <c r="C442" s="1"/>
      <c r="D442" s="1"/>
      <c r="E442" s="1"/>
      <c r="F442" s="1"/>
      <c r="G442" s="1"/>
      <c r="H442" s="1"/>
      <c r="I442" s="61"/>
      <c r="J442" s="1"/>
      <c r="K442" s="1"/>
    </row>
    <row r="443" spans="1:11" ht="15.75" customHeight="1">
      <c r="A443" s="2"/>
      <c r="B443" s="1"/>
      <c r="C443" s="1"/>
      <c r="D443" s="1"/>
      <c r="E443" s="1"/>
      <c r="F443" s="1"/>
      <c r="G443" s="1"/>
      <c r="H443" s="1"/>
      <c r="I443" s="61"/>
      <c r="J443" s="1"/>
      <c r="K443" s="1"/>
    </row>
    <row r="444" spans="1:11" ht="15.75" customHeight="1">
      <c r="A444" s="2"/>
      <c r="B444" s="1"/>
      <c r="C444" s="1"/>
      <c r="D444" s="1"/>
      <c r="E444" s="1"/>
      <c r="F444" s="1"/>
      <c r="G444" s="1"/>
      <c r="H444" s="1"/>
      <c r="I444" s="61"/>
      <c r="J444" s="1"/>
      <c r="K444" s="1"/>
    </row>
    <row r="445" spans="1:11" ht="15.75" customHeight="1">
      <c r="A445" s="2"/>
      <c r="B445" s="1"/>
      <c r="C445" s="1"/>
      <c r="D445" s="1"/>
      <c r="E445" s="1"/>
      <c r="F445" s="1"/>
      <c r="G445" s="1"/>
      <c r="H445" s="1"/>
      <c r="I445" s="61"/>
      <c r="J445" s="1"/>
      <c r="K445" s="1"/>
    </row>
    <row r="446" spans="1:11" ht="15.75" customHeight="1">
      <c r="A446" s="2"/>
      <c r="B446" s="1"/>
      <c r="C446" s="1"/>
      <c r="D446" s="1"/>
      <c r="E446" s="1"/>
      <c r="F446" s="1"/>
      <c r="G446" s="1"/>
      <c r="H446" s="1"/>
      <c r="I446" s="61"/>
      <c r="J446" s="1"/>
      <c r="K446" s="1"/>
    </row>
    <row r="447" spans="1:11" ht="15.75" customHeight="1">
      <c r="A447" s="2"/>
      <c r="B447" s="1"/>
      <c r="C447" s="1"/>
      <c r="D447" s="1"/>
      <c r="E447" s="1"/>
      <c r="F447" s="1"/>
      <c r="G447" s="1"/>
      <c r="H447" s="1"/>
      <c r="I447" s="61"/>
      <c r="J447" s="1"/>
      <c r="K447" s="1"/>
    </row>
    <row r="448" spans="1:11" ht="15.75" customHeight="1">
      <c r="A448" s="2"/>
      <c r="B448" s="1"/>
      <c r="C448" s="1"/>
      <c r="D448" s="1"/>
      <c r="E448" s="1"/>
      <c r="F448" s="1"/>
      <c r="G448" s="1"/>
      <c r="H448" s="1"/>
      <c r="I448" s="61"/>
      <c r="J448" s="1"/>
      <c r="K448" s="1"/>
    </row>
    <row r="449" spans="1:11" ht="15.75" customHeight="1">
      <c r="A449" s="2"/>
      <c r="B449" s="1"/>
      <c r="C449" s="1"/>
      <c r="D449" s="1"/>
      <c r="E449" s="1"/>
      <c r="F449" s="1"/>
      <c r="G449" s="1"/>
      <c r="H449" s="1"/>
      <c r="I449" s="61"/>
      <c r="J449" s="1"/>
      <c r="K449" s="1"/>
    </row>
    <row r="450" spans="1:11" ht="15.75" customHeight="1">
      <c r="A450" s="2"/>
      <c r="B450" s="1"/>
      <c r="C450" s="1"/>
      <c r="D450" s="1"/>
      <c r="E450" s="1"/>
      <c r="F450" s="1"/>
      <c r="G450" s="1"/>
      <c r="H450" s="1"/>
      <c r="I450" s="61"/>
      <c r="J450" s="1"/>
      <c r="K450" s="1"/>
    </row>
    <row r="451" spans="1:11" ht="15.75" customHeight="1">
      <c r="A451" s="2"/>
      <c r="B451" s="1"/>
      <c r="C451" s="1"/>
      <c r="D451" s="1"/>
      <c r="E451" s="1"/>
      <c r="F451" s="1"/>
      <c r="G451" s="1"/>
      <c r="H451" s="1"/>
      <c r="I451" s="61"/>
      <c r="J451" s="1"/>
      <c r="K451" s="1"/>
    </row>
    <row r="452" spans="1:11" ht="15.75" customHeight="1">
      <c r="A452" s="2"/>
      <c r="B452" s="1"/>
      <c r="C452" s="1"/>
      <c r="D452" s="1"/>
      <c r="E452" s="1"/>
      <c r="F452" s="1"/>
      <c r="G452" s="1"/>
      <c r="H452" s="1"/>
      <c r="I452" s="61"/>
      <c r="J452" s="1"/>
      <c r="K452" s="1"/>
    </row>
    <row r="453" spans="1:11" ht="15.75" customHeight="1">
      <c r="A453" s="2"/>
      <c r="B453" s="1"/>
      <c r="C453" s="1"/>
      <c r="D453" s="1"/>
      <c r="E453" s="1"/>
      <c r="F453" s="1"/>
      <c r="G453" s="1"/>
      <c r="H453" s="1"/>
      <c r="I453" s="61"/>
      <c r="J453" s="1"/>
      <c r="K453" s="1"/>
    </row>
    <row r="454" spans="1:11" ht="15.75" customHeight="1">
      <c r="A454" s="2"/>
      <c r="B454" s="1"/>
      <c r="C454" s="1"/>
      <c r="D454" s="1"/>
      <c r="E454" s="1"/>
      <c r="F454" s="1"/>
      <c r="G454" s="1"/>
      <c r="H454" s="1"/>
      <c r="I454" s="61"/>
      <c r="J454" s="1"/>
      <c r="K454" s="1"/>
    </row>
    <row r="455" spans="1:11" ht="15.75" customHeight="1">
      <c r="A455" s="2"/>
      <c r="B455" s="1"/>
      <c r="C455" s="1"/>
      <c r="D455" s="1"/>
      <c r="E455" s="1"/>
      <c r="F455" s="1"/>
      <c r="G455" s="1"/>
      <c r="H455" s="1"/>
      <c r="I455" s="61"/>
      <c r="J455" s="1"/>
      <c r="K455" s="1"/>
    </row>
    <row r="456" spans="1:11" ht="15.75" customHeight="1">
      <c r="A456" s="2"/>
      <c r="B456" s="1"/>
      <c r="C456" s="1"/>
      <c r="D456" s="1"/>
      <c r="E456" s="1"/>
      <c r="F456" s="1"/>
      <c r="G456" s="1"/>
      <c r="H456" s="1"/>
      <c r="I456" s="61"/>
      <c r="J456" s="1"/>
      <c r="K456" s="1"/>
    </row>
    <row r="457" spans="1:11" ht="15.75" customHeight="1">
      <c r="A457" s="2"/>
      <c r="B457" s="1"/>
      <c r="C457" s="1"/>
      <c r="D457" s="1"/>
      <c r="E457" s="1"/>
      <c r="F457" s="1"/>
      <c r="G457" s="1"/>
      <c r="H457" s="1"/>
      <c r="I457" s="61"/>
      <c r="J457" s="1"/>
      <c r="K457" s="1"/>
    </row>
    <row r="458" spans="1:11" ht="15.75" customHeight="1">
      <c r="A458" s="2"/>
      <c r="B458" s="1"/>
      <c r="C458" s="1"/>
      <c r="D458" s="1"/>
      <c r="E458" s="1"/>
      <c r="F458" s="1"/>
      <c r="G458" s="1"/>
      <c r="H458" s="1"/>
      <c r="I458" s="61"/>
      <c r="J458" s="1"/>
      <c r="K458" s="1"/>
    </row>
    <row r="459" spans="1:11" ht="15.75" customHeight="1">
      <c r="A459" s="2"/>
      <c r="B459" s="1"/>
      <c r="C459" s="1"/>
      <c r="D459" s="1"/>
      <c r="E459" s="1"/>
      <c r="F459" s="1"/>
      <c r="G459" s="1"/>
      <c r="H459" s="1"/>
      <c r="I459" s="61"/>
      <c r="J459" s="1"/>
      <c r="K459" s="1"/>
    </row>
    <row r="460" spans="1:11" ht="15.75" customHeight="1">
      <c r="A460" s="2"/>
      <c r="B460" s="1"/>
      <c r="C460" s="1"/>
      <c r="D460" s="1"/>
      <c r="E460" s="1"/>
      <c r="F460" s="1"/>
      <c r="G460" s="1"/>
      <c r="H460" s="1"/>
      <c r="I460" s="61"/>
      <c r="J460" s="1"/>
      <c r="K460" s="1"/>
    </row>
    <row r="461" spans="1:11" ht="15.75" customHeight="1">
      <c r="A461" s="2"/>
      <c r="B461" s="1"/>
      <c r="C461" s="1"/>
      <c r="D461" s="1"/>
      <c r="E461" s="1"/>
      <c r="F461" s="1"/>
      <c r="G461" s="1"/>
      <c r="H461" s="1"/>
      <c r="I461" s="61"/>
      <c r="J461" s="1"/>
      <c r="K461" s="1"/>
    </row>
    <row r="462" spans="1:11" ht="15.75" customHeight="1">
      <c r="A462" s="2"/>
      <c r="B462" s="1"/>
      <c r="C462" s="1"/>
      <c r="D462" s="1"/>
      <c r="E462" s="1"/>
      <c r="F462" s="1"/>
      <c r="G462" s="1"/>
      <c r="H462" s="1"/>
      <c r="I462" s="61"/>
      <c r="J462" s="1"/>
      <c r="K462" s="1"/>
    </row>
    <row r="463" spans="1:11" ht="15.75" customHeight="1">
      <c r="A463" s="2"/>
      <c r="B463" s="1"/>
      <c r="C463" s="1"/>
      <c r="D463" s="1"/>
      <c r="E463" s="1"/>
      <c r="F463" s="1"/>
      <c r="G463" s="1"/>
      <c r="H463" s="1"/>
      <c r="I463" s="61"/>
      <c r="J463" s="1"/>
      <c r="K463" s="1"/>
    </row>
    <row r="464" spans="1:11" ht="15.75" customHeight="1">
      <c r="A464" s="2"/>
      <c r="B464" s="1"/>
      <c r="C464" s="1"/>
      <c r="D464" s="1"/>
      <c r="E464" s="1"/>
      <c r="F464" s="1"/>
      <c r="G464" s="1"/>
      <c r="H464" s="1"/>
      <c r="I464" s="61"/>
      <c r="J464" s="1"/>
      <c r="K464" s="1"/>
    </row>
    <row r="465" spans="1:11" ht="15.75" customHeight="1">
      <c r="A465" s="2"/>
      <c r="B465" s="1"/>
      <c r="C465" s="1"/>
      <c r="D465" s="1"/>
      <c r="E465" s="1"/>
      <c r="F465" s="1"/>
      <c r="G465" s="1"/>
      <c r="H465" s="1"/>
      <c r="I465" s="61"/>
      <c r="J465" s="1"/>
      <c r="K465" s="1"/>
    </row>
    <row r="466" spans="1:11" ht="15.75" customHeight="1">
      <c r="A466" s="2"/>
      <c r="B466" s="1"/>
      <c r="C466" s="1"/>
      <c r="D466" s="1"/>
      <c r="E466" s="1"/>
      <c r="F466" s="1"/>
      <c r="G466" s="1"/>
      <c r="H466" s="1"/>
      <c r="I466" s="61"/>
      <c r="J466" s="1"/>
      <c r="K466" s="1"/>
    </row>
    <row r="467" spans="1:11" ht="15.75" customHeight="1">
      <c r="A467" s="2"/>
      <c r="B467" s="1"/>
      <c r="C467" s="1"/>
      <c r="D467" s="1"/>
      <c r="E467" s="1"/>
      <c r="F467" s="1"/>
      <c r="G467" s="1"/>
      <c r="H467" s="1"/>
      <c r="I467" s="61"/>
      <c r="J467" s="1"/>
      <c r="K467" s="1"/>
    </row>
    <row r="468" spans="1:11" ht="15.75" customHeight="1">
      <c r="A468" s="2"/>
      <c r="B468" s="1"/>
      <c r="C468" s="1"/>
      <c r="D468" s="1"/>
      <c r="E468" s="1"/>
      <c r="F468" s="1"/>
      <c r="G468" s="1"/>
      <c r="H468" s="1"/>
      <c r="I468" s="61"/>
      <c r="J468" s="1"/>
      <c r="K468" s="1"/>
    </row>
    <row r="469" spans="1:11" ht="15.75" customHeight="1">
      <c r="A469" s="2"/>
      <c r="B469" s="1"/>
      <c r="C469" s="1"/>
      <c r="D469" s="1"/>
      <c r="E469" s="1"/>
      <c r="F469" s="1"/>
      <c r="G469" s="1"/>
      <c r="H469" s="1"/>
      <c r="I469" s="61"/>
      <c r="J469" s="1"/>
      <c r="K469" s="1"/>
    </row>
    <row r="470" spans="1:11" ht="15.75" customHeight="1">
      <c r="A470" s="2"/>
      <c r="B470" s="1"/>
      <c r="C470" s="1"/>
      <c r="D470" s="1"/>
      <c r="E470" s="1"/>
      <c r="F470" s="1"/>
      <c r="G470" s="1"/>
      <c r="H470" s="1"/>
      <c r="I470" s="61"/>
      <c r="J470" s="1"/>
      <c r="K470" s="1"/>
    </row>
    <row r="471" spans="1:11" ht="15.75" customHeight="1">
      <c r="A471" s="2"/>
      <c r="B471" s="1"/>
      <c r="C471" s="1"/>
      <c r="D471" s="1"/>
      <c r="E471" s="1"/>
      <c r="F471" s="1"/>
      <c r="G471" s="1"/>
      <c r="H471" s="1"/>
      <c r="I471" s="61"/>
      <c r="J471" s="1"/>
      <c r="K471" s="1"/>
    </row>
    <row r="472" spans="1:11" ht="15.75" customHeight="1">
      <c r="A472" s="2"/>
      <c r="B472" s="1"/>
      <c r="C472" s="1"/>
      <c r="D472" s="1"/>
      <c r="E472" s="1"/>
      <c r="F472" s="1"/>
      <c r="G472" s="1"/>
      <c r="H472" s="1"/>
      <c r="I472" s="61"/>
      <c r="J472" s="1"/>
      <c r="K472" s="1"/>
    </row>
    <row r="473" spans="1:11" ht="15.75" customHeight="1">
      <c r="A473" s="2"/>
      <c r="B473" s="1"/>
      <c r="C473" s="1"/>
      <c r="D473" s="1"/>
      <c r="E473" s="1"/>
      <c r="F473" s="1"/>
      <c r="G473" s="1"/>
      <c r="H473" s="1"/>
      <c r="I473" s="61"/>
      <c r="J473" s="1"/>
      <c r="K473" s="1"/>
    </row>
    <row r="474" spans="1:11" ht="15.75" customHeight="1">
      <c r="A474" s="2"/>
      <c r="B474" s="1"/>
      <c r="C474" s="1"/>
      <c r="D474" s="1"/>
      <c r="E474" s="1"/>
      <c r="F474" s="1"/>
      <c r="G474" s="1"/>
      <c r="H474" s="1"/>
      <c r="I474" s="61"/>
      <c r="J474" s="1"/>
      <c r="K474" s="1"/>
    </row>
    <row r="475" spans="1:11" ht="15.75" customHeight="1">
      <c r="A475" s="2"/>
      <c r="B475" s="1"/>
      <c r="C475" s="1"/>
      <c r="D475" s="1"/>
      <c r="E475" s="1"/>
      <c r="F475" s="1"/>
      <c r="G475" s="1"/>
      <c r="H475" s="1"/>
      <c r="I475" s="61"/>
      <c r="J475" s="1"/>
      <c r="K475" s="1"/>
    </row>
    <row r="476" spans="1:11" ht="15.75" customHeight="1">
      <c r="A476" s="2"/>
      <c r="B476" s="1"/>
      <c r="C476" s="1"/>
      <c r="D476" s="1"/>
      <c r="E476" s="1"/>
      <c r="F476" s="1"/>
      <c r="G476" s="1"/>
      <c r="H476" s="1"/>
      <c r="I476" s="61"/>
      <c r="J476" s="1"/>
      <c r="K476" s="1"/>
    </row>
    <row r="477" spans="1:11" ht="15.75" customHeight="1">
      <c r="A477" s="2"/>
      <c r="B477" s="1"/>
      <c r="C477" s="1"/>
      <c r="D477" s="1"/>
      <c r="E477" s="1"/>
      <c r="F477" s="1"/>
      <c r="G477" s="1"/>
      <c r="H477" s="1"/>
      <c r="I477" s="61"/>
      <c r="J477" s="1"/>
      <c r="K477" s="1"/>
    </row>
    <row r="478" spans="1:11" ht="15.75" customHeight="1">
      <c r="A478" s="2"/>
      <c r="B478" s="1"/>
      <c r="C478" s="1"/>
      <c r="D478" s="1"/>
      <c r="E478" s="1"/>
      <c r="F478" s="1"/>
      <c r="G478" s="1"/>
      <c r="H478" s="1"/>
      <c r="I478" s="61"/>
      <c r="J478" s="1"/>
      <c r="K478" s="1"/>
    </row>
    <row r="479" spans="1:11" ht="15.75" customHeight="1">
      <c r="A479" s="2"/>
      <c r="B479" s="1"/>
      <c r="C479" s="1"/>
      <c r="D479" s="1"/>
      <c r="E479" s="1"/>
      <c r="F479" s="1"/>
      <c r="G479" s="1"/>
      <c r="H479" s="1"/>
      <c r="I479" s="61"/>
      <c r="J479" s="1"/>
      <c r="K479" s="1"/>
    </row>
    <row r="480" spans="1:11" ht="15.75" customHeight="1">
      <c r="A480" s="2"/>
      <c r="B480" s="1"/>
      <c r="C480" s="1"/>
      <c r="D480" s="1"/>
      <c r="E480" s="1"/>
      <c r="F480" s="1"/>
      <c r="G480" s="1"/>
      <c r="H480" s="1"/>
      <c r="I480" s="61"/>
      <c r="J480" s="1"/>
      <c r="K480" s="1"/>
    </row>
    <row r="481" spans="1:11" ht="15.75" customHeight="1">
      <c r="A481" s="2"/>
      <c r="B481" s="1"/>
      <c r="C481" s="1"/>
      <c r="D481" s="1"/>
      <c r="E481" s="1"/>
      <c r="F481" s="1"/>
      <c r="G481" s="1"/>
      <c r="H481" s="1"/>
      <c r="I481" s="61"/>
      <c r="J481" s="1"/>
      <c r="K481" s="1"/>
    </row>
    <row r="482" spans="1:11" ht="15.75" customHeight="1">
      <c r="A482" s="2"/>
      <c r="B482" s="1"/>
      <c r="C482" s="1"/>
      <c r="D482" s="1"/>
      <c r="E482" s="1"/>
      <c r="F482" s="1"/>
      <c r="G482" s="1"/>
      <c r="H482" s="1"/>
      <c r="I482" s="61"/>
      <c r="J482" s="1"/>
      <c r="K482" s="1"/>
    </row>
    <row r="483" spans="1:11" ht="15.75" customHeight="1">
      <c r="A483" s="2"/>
      <c r="B483" s="1"/>
      <c r="C483" s="1"/>
      <c r="D483" s="1"/>
      <c r="E483" s="1"/>
      <c r="F483" s="1"/>
      <c r="G483" s="1"/>
      <c r="H483" s="1"/>
      <c r="I483" s="61"/>
      <c r="J483" s="1"/>
      <c r="K483" s="1"/>
    </row>
    <row r="484" spans="1:11" ht="15.75" customHeight="1">
      <c r="A484" s="2"/>
      <c r="B484" s="1"/>
      <c r="C484" s="1"/>
      <c r="D484" s="1"/>
      <c r="E484" s="1"/>
      <c r="F484" s="1"/>
      <c r="G484" s="1"/>
      <c r="H484" s="1"/>
      <c r="I484" s="61"/>
      <c r="J484" s="1"/>
      <c r="K484" s="1"/>
    </row>
    <row r="485" spans="1:11" ht="15.75" customHeight="1">
      <c r="A485" s="2"/>
      <c r="B485" s="1"/>
      <c r="C485" s="1"/>
      <c r="D485" s="1"/>
      <c r="E485" s="1"/>
      <c r="F485" s="1"/>
      <c r="G485" s="1"/>
      <c r="H485" s="1"/>
      <c r="I485" s="61"/>
      <c r="J485" s="1"/>
      <c r="K485" s="1"/>
    </row>
    <row r="486" spans="1:11" ht="15.75" customHeight="1">
      <c r="A486" s="2"/>
      <c r="B486" s="1"/>
      <c r="C486" s="1"/>
      <c r="D486" s="1"/>
      <c r="E486" s="1"/>
      <c r="F486" s="1"/>
      <c r="G486" s="1"/>
      <c r="H486" s="1"/>
      <c r="I486" s="61"/>
      <c r="J486" s="1"/>
      <c r="K486" s="1"/>
    </row>
    <row r="487" spans="1:11" ht="15.75" customHeight="1">
      <c r="A487" s="2"/>
      <c r="B487" s="1"/>
      <c r="C487" s="1"/>
      <c r="D487" s="1"/>
      <c r="E487" s="1"/>
      <c r="F487" s="1"/>
      <c r="G487" s="1"/>
      <c r="H487" s="1"/>
      <c r="I487" s="61"/>
      <c r="J487" s="1"/>
      <c r="K487" s="1"/>
    </row>
    <row r="488" spans="1:11" ht="15.75" customHeight="1">
      <c r="A488" s="2"/>
      <c r="B488" s="1"/>
      <c r="C488" s="1"/>
      <c r="D488" s="1"/>
      <c r="E488" s="1"/>
      <c r="F488" s="1"/>
      <c r="G488" s="1"/>
      <c r="H488" s="1"/>
      <c r="I488" s="61"/>
      <c r="J488" s="1"/>
      <c r="K488" s="1"/>
    </row>
    <row r="489" spans="1:11" ht="15.75" customHeight="1">
      <c r="A489" s="2"/>
      <c r="B489" s="1"/>
      <c r="C489" s="1"/>
      <c r="D489" s="1"/>
      <c r="E489" s="1"/>
      <c r="F489" s="1"/>
      <c r="G489" s="1"/>
      <c r="H489" s="1"/>
      <c r="I489" s="61"/>
      <c r="J489" s="1"/>
      <c r="K489" s="1"/>
    </row>
    <row r="490" spans="1:11" ht="15.75" customHeight="1">
      <c r="A490" s="2"/>
      <c r="B490" s="1"/>
      <c r="C490" s="1"/>
      <c r="D490" s="1"/>
      <c r="E490" s="1"/>
      <c r="F490" s="1"/>
      <c r="G490" s="1"/>
      <c r="H490" s="1"/>
      <c r="I490" s="61"/>
      <c r="J490" s="1"/>
      <c r="K490" s="1"/>
    </row>
    <row r="491" spans="1:11" ht="15.75" customHeight="1">
      <c r="A491" s="2"/>
      <c r="B491" s="1"/>
      <c r="C491" s="1"/>
      <c r="D491" s="1"/>
      <c r="E491" s="1"/>
      <c r="F491" s="1"/>
      <c r="G491" s="1"/>
      <c r="H491" s="1"/>
      <c r="I491" s="61"/>
      <c r="J491" s="1"/>
      <c r="K491" s="1"/>
    </row>
    <row r="492" spans="1:11" ht="15.75" customHeight="1">
      <c r="A492" s="2"/>
      <c r="B492" s="1"/>
      <c r="C492" s="1"/>
      <c r="D492" s="1"/>
      <c r="E492" s="1"/>
      <c r="F492" s="1"/>
      <c r="G492" s="1"/>
      <c r="H492" s="1"/>
      <c r="I492" s="61"/>
      <c r="J492" s="1"/>
      <c r="K492" s="1"/>
    </row>
    <row r="493" spans="1:11" ht="15.75" customHeight="1">
      <c r="A493" s="2"/>
      <c r="B493" s="1"/>
      <c r="C493" s="1"/>
      <c r="D493" s="1"/>
      <c r="E493" s="1"/>
      <c r="F493" s="1"/>
      <c r="G493" s="1"/>
      <c r="H493" s="1"/>
      <c r="I493" s="61"/>
      <c r="J493" s="1"/>
      <c r="K493" s="1"/>
    </row>
    <row r="494" spans="1:11" ht="15.75" customHeight="1">
      <c r="A494" s="2"/>
      <c r="B494" s="1"/>
      <c r="C494" s="1"/>
      <c r="D494" s="1"/>
      <c r="E494" s="1"/>
      <c r="F494" s="1"/>
      <c r="G494" s="1"/>
      <c r="H494" s="1"/>
      <c r="I494" s="61"/>
      <c r="J494" s="1"/>
      <c r="K494" s="1"/>
    </row>
    <row r="495" spans="1:11" ht="15.75" customHeight="1">
      <c r="A495" s="2"/>
      <c r="B495" s="1"/>
      <c r="C495" s="1"/>
      <c r="D495" s="1"/>
      <c r="E495" s="1"/>
      <c r="F495" s="1"/>
      <c r="G495" s="1"/>
      <c r="H495" s="1"/>
      <c r="I495" s="61"/>
      <c r="J495" s="1"/>
      <c r="K495" s="1"/>
    </row>
    <row r="496" spans="1:11" ht="15.75" customHeight="1">
      <c r="A496" s="2"/>
      <c r="B496" s="1"/>
      <c r="C496" s="1"/>
      <c r="D496" s="1"/>
      <c r="E496" s="1"/>
      <c r="F496" s="1"/>
      <c r="G496" s="1"/>
      <c r="H496" s="1"/>
      <c r="I496" s="61"/>
      <c r="J496" s="1"/>
      <c r="K496" s="1"/>
    </row>
    <row r="497" spans="1:11" ht="15.75" customHeight="1">
      <c r="A497" s="2"/>
      <c r="B497" s="1"/>
      <c r="C497" s="1"/>
      <c r="D497" s="1"/>
      <c r="E497" s="1"/>
      <c r="F497" s="1"/>
      <c r="G497" s="1"/>
      <c r="H497" s="1"/>
      <c r="I497" s="61"/>
      <c r="J497" s="1"/>
      <c r="K497" s="1"/>
    </row>
    <row r="498" spans="1:11" ht="15.75" customHeight="1">
      <c r="A498" s="2"/>
      <c r="B498" s="1"/>
      <c r="C498" s="1"/>
      <c r="D498" s="1"/>
      <c r="E498" s="1"/>
      <c r="F498" s="1"/>
      <c r="G498" s="1"/>
      <c r="H498" s="1"/>
      <c r="I498" s="61"/>
      <c r="J498" s="1"/>
      <c r="K498" s="1"/>
    </row>
    <row r="499" spans="1:11" ht="15.75" customHeight="1">
      <c r="A499" s="2"/>
      <c r="B499" s="1"/>
      <c r="C499" s="1"/>
      <c r="D499" s="1"/>
      <c r="E499" s="1"/>
      <c r="F499" s="1"/>
      <c r="G499" s="1"/>
      <c r="H499" s="1"/>
      <c r="I499" s="61"/>
      <c r="J499" s="1"/>
      <c r="K499" s="1"/>
    </row>
    <row r="500" spans="1:11" ht="15.75" customHeight="1">
      <c r="A500" s="2"/>
      <c r="B500" s="1"/>
      <c r="C500" s="1"/>
      <c r="D500" s="1"/>
      <c r="E500" s="1"/>
      <c r="F500" s="1"/>
      <c r="G500" s="1"/>
      <c r="H500" s="1"/>
      <c r="I500" s="61"/>
      <c r="J500" s="1"/>
      <c r="K500" s="1"/>
    </row>
    <row r="501" spans="1:11" ht="15.75" customHeight="1">
      <c r="A501" s="2"/>
      <c r="B501" s="1"/>
      <c r="C501" s="1"/>
      <c r="D501" s="1"/>
      <c r="E501" s="1"/>
      <c r="F501" s="1"/>
      <c r="G501" s="1"/>
      <c r="H501" s="1"/>
      <c r="I501" s="61"/>
      <c r="J501" s="1"/>
      <c r="K501" s="1"/>
    </row>
    <row r="502" spans="1:11" ht="15.75" customHeight="1">
      <c r="A502" s="2"/>
      <c r="B502" s="1"/>
      <c r="C502" s="1"/>
      <c r="D502" s="1"/>
      <c r="E502" s="1"/>
      <c r="F502" s="1"/>
      <c r="G502" s="1"/>
      <c r="H502" s="1"/>
      <c r="I502" s="61"/>
      <c r="J502" s="1"/>
      <c r="K502" s="1"/>
    </row>
    <row r="503" spans="1:11" ht="15.75" customHeight="1">
      <c r="A503" s="2"/>
      <c r="B503" s="1"/>
      <c r="C503" s="1"/>
      <c r="D503" s="1"/>
      <c r="E503" s="1"/>
      <c r="F503" s="1"/>
      <c r="G503" s="1"/>
      <c r="H503" s="1"/>
      <c r="I503" s="61"/>
      <c r="J503" s="1"/>
      <c r="K503" s="1"/>
    </row>
    <row r="504" spans="1:11" ht="15.75" customHeight="1">
      <c r="A504" s="2"/>
      <c r="B504" s="1"/>
      <c r="C504" s="1"/>
      <c r="D504" s="1"/>
      <c r="E504" s="1"/>
      <c r="F504" s="1"/>
      <c r="G504" s="1"/>
      <c r="H504" s="1"/>
      <c r="I504" s="61"/>
      <c r="J504" s="1"/>
      <c r="K504" s="1"/>
    </row>
    <row r="505" spans="1:11" ht="15.75" customHeight="1">
      <c r="A505" s="2"/>
      <c r="B505" s="1"/>
      <c r="C505" s="1"/>
      <c r="D505" s="1"/>
      <c r="E505" s="1"/>
      <c r="F505" s="1"/>
      <c r="G505" s="1"/>
      <c r="H505" s="1"/>
      <c r="I505" s="61"/>
      <c r="J505" s="1"/>
      <c r="K505" s="1"/>
    </row>
    <row r="506" spans="1:11" ht="15.75" customHeight="1">
      <c r="A506" s="2"/>
      <c r="B506" s="1"/>
      <c r="C506" s="1"/>
      <c r="D506" s="1"/>
      <c r="E506" s="1"/>
      <c r="F506" s="1"/>
      <c r="G506" s="1"/>
      <c r="H506" s="1"/>
      <c r="I506" s="61"/>
      <c r="J506" s="1"/>
      <c r="K506" s="1"/>
    </row>
    <row r="507" spans="1:11" ht="15.75" customHeight="1">
      <c r="A507" s="2"/>
      <c r="B507" s="1"/>
      <c r="C507" s="1"/>
      <c r="D507" s="1"/>
      <c r="E507" s="1"/>
      <c r="F507" s="1"/>
      <c r="G507" s="1"/>
      <c r="H507" s="1"/>
      <c r="I507" s="61"/>
      <c r="J507" s="1"/>
      <c r="K507" s="1"/>
    </row>
    <row r="508" spans="1:11" ht="15.75" customHeight="1">
      <c r="A508" s="2"/>
      <c r="B508" s="1"/>
      <c r="C508" s="1"/>
      <c r="D508" s="1"/>
      <c r="E508" s="1"/>
      <c r="F508" s="1"/>
      <c r="G508" s="1"/>
      <c r="H508" s="1"/>
      <c r="I508" s="61"/>
      <c r="J508" s="1"/>
      <c r="K508" s="1"/>
    </row>
    <row r="509" spans="1:11" ht="15.75" customHeight="1">
      <c r="A509" s="2"/>
      <c r="B509" s="1"/>
      <c r="C509" s="1"/>
      <c r="D509" s="1"/>
      <c r="E509" s="1"/>
      <c r="F509" s="1"/>
      <c r="G509" s="1"/>
      <c r="H509" s="1"/>
      <c r="I509" s="61"/>
      <c r="J509" s="1"/>
      <c r="K509" s="1"/>
    </row>
    <row r="510" spans="1:11" ht="15.75" customHeight="1">
      <c r="A510" s="2"/>
      <c r="B510" s="1"/>
      <c r="C510" s="1"/>
      <c r="D510" s="1"/>
      <c r="E510" s="1"/>
      <c r="F510" s="1"/>
      <c r="G510" s="1"/>
      <c r="H510" s="1"/>
      <c r="I510" s="61"/>
      <c r="J510" s="1"/>
      <c r="K510" s="1"/>
    </row>
    <row r="511" spans="1:11" ht="15.75" customHeight="1">
      <c r="A511" s="2"/>
      <c r="B511" s="1"/>
      <c r="C511" s="1"/>
      <c r="D511" s="1"/>
      <c r="E511" s="1"/>
      <c r="F511" s="1"/>
      <c r="G511" s="1"/>
      <c r="H511" s="1"/>
      <c r="I511" s="61"/>
      <c r="J511" s="1"/>
      <c r="K511" s="1"/>
    </row>
    <row r="512" spans="1:11" ht="15.75" customHeight="1">
      <c r="A512" s="2"/>
      <c r="B512" s="1"/>
      <c r="C512" s="1"/>
      <c r="D512" s="1"/>
      <c r="E512" s="1"/>
      <c r="F512" s="1"/>
      <c r="G512" s="1"/>
      <c r="H512" s="1"/>
      <c r="I512" s="61"/>
      <c r="J512" s="1"/>
      <c r="K512" s="1"/>
    </row>
    <row r="513" spans="1:11" ht="15.75" customHeight="1">
      <c r="A513" s="2"/>
      <c r="B513" s="1"/>
      <c r="C513" s="1"/>
      <c r="D513" s="1"/>
      <c r="E513" s="1"/>
      <c r="F513" s="1"/>
      <c r="G513" s="1"/>
      <c r="H513" s="1"/>
      <c r="I513" s="61"/>
      <c r="J513" s="1"/>
      <c r="K513" s="1"/>
    </row>
    <row r="514" spans="1:11" ht="15.75" customHeight="1">
      <c r="A514" s="2"/>
      <c r="B514" s="1"/>
      <c r="C514" s="1"/>
      <c r="D514" s="1"/>
      <c r="E514" s="1"/>
      <c r="F514" s="1"/>
      <c r="G514" s="1"/>
      <c r="H514" s="1"/>
      <c r="I514" s="61"/>
      <c r="J514" s="1"/>
      <c r="K514" s="1"/>
    </row>
    <row r="515" spans="1:11" ht="15.75" customHeight="1">
      <c r="A515" s="2"/>
      <c r="B515" s="1"/>
      <c r="C515" s="1"/>
      <c r="D515" s="1"/>
      <c r="E515" s="1"/>
      <c r="F515" s="1"/>
      <c r="G515" s="1"/>
      <c r="H515" s="1"/>
      <c r="I515" s="61"/>
      <c r="J515" s="1"/>
      <c r="K515" s="1"/>
    </row>
    <row r="516" spans="1:11" ht="15.75" customHeight="1">
      <c r="A516" s="2"/>
      <c r="B516" s="1"/>
      <c r="C516" s="1"/>
      <c r="D516" s="1"/>
      <c r="E516" s="1"/>
      <c r="F516" s="1"/>
      <c r="G516" s="1"/>
      <c r="H516" s="1"/>
      <c r="I516" s="61"/>
      <c r="J516" s="1"/>
      <c r="K516" s="1"/>
    </row>
    <row r="517" spans="1:11" ht="15.75" customHeight="1">
      <c r="A517" s="2"/>
      <c r="B517" s="1"/>
      <c r="C517" s="1"/>
      <c r="D517" s="1"/>
      <c r="E517" s="1"/>
      <c r="F517" s="1"/>
      <c r="G517" s="1"/>
      <c r="H517" s="1"/>
      <c r="I517" s="61"/>
      <c r="J517" s="1"/>
      <c r="K517" s="1"/>
    </row>
    <row r="518" spans="1:11" ht="15.75" customHeight="1">
      <c r="A518" s="2"/>
      <c r="B518" s="1"/>
      <c r="C518" s="1"/>
      <c r="D518" s="1"/>
      <c r="E518" s="1"/>
      <c r="F518" s="1"/>
      <c r="G518" s="1"/>
      <c r="H518" s="1"/>
      <c r="I518" s="61"/>
      <c r="J518" s="1"/>
      <c r="K518" s="1"/>
    </row>
    <row r="519" spans="1:11" ht="15.75" customHeight="1">
      <c r="A519" s="2"/>
      <c r="B519" s="1"/>
      <c r="C519" s="1"/>
      <c r="D519" s="1"/>
      <c r="E519" s="1"/>
      <c r="F519" s="1"/>
      <c r="G519" s="1"/>
      <c r="H519" s="1"/>
      <c r="I519" s="61"/>
      <c r="J519" s="1"/>
      <c r="K519" s="1"/>
    </row>
    <row r="520" spans="1:11" ht="15.75" customHeight="1">
      <c r="A520" s="2"/>
      <c r="B520" s="1"/>
      <c r="C520" s="1"/>
      <c r="D520" s="1"/>
      <c r="E520" s="1"/>
      <c r="F520" s="1"/>
      <c r="G520" s="1"/>
      <c r="H520" s="1"/>
      <c r="I520" s="61"/>
      <c r="J520" s="1"/>
      <c r="K520" s="1"/>
    </row>
    <row r="521" spans="1:11" ht="15.75" customHeight="1">
      <c r="A521" s="2"/>
      <c r="B521" s="1"/>
      <c r="C521" s="1"/>
      <c r="D521" s="1"/>
      <c r="E521" s="1"/>
      <c r="F521" s="1"/>
      <c r="G521" s="1"/>
      <c r="H521" s="1"/>
      <c r="I521" s="61"/>
      <c r="J521" s="1"/>
      <c r="K521" s="1"/>
    </row>
    <row r="522" spans="1:11" ht="15.75" customHeight="1">
      <c r="A522" s="2"/>
      <c r="B522" s="1"/>
      <c r="C522" s="1"/>
      <c r="D522" s="1"/>
      <c r="E522" s="1"/>
      <c r="F522" s="1"/>
      <c r="G522" s="1"/>
      <c r="H522" s="1"/>
      <c r="I522" s="61"/>
      <c r="J522" s="1"/>
      <c r="K522" s="1"/>
    </row>
    <row r="523" spans="1:11" ht="15.75" customHeight="1">
      <c r="A523" s="2"/>
      <c r="B523" s="1"/>
      <c r="C523" s="1"/>
      <c r="D523" s="1"/>
      <c r="E523" s="1"/>
      <c r="F523" s="1"/>
      <c r="G523" s="1"/>
      <c r="H523" s="1"/>
      <c r="I523" s="61"/>
      <c r="J523" s="1"/>
      <c r="K523" s="1"/>
    </row>
    <row r="524" spans="1:11" ht="15.75" customHeight="1">
      <c r="A524" s="2"/>
      <c r="B524" s="1"/>
      <c r="C524" s="1"/>
      <c r="D524" s="1"/>
      <c r="E524" s="1"/>
      <c r="F524" s="1"/>
      <c r="G524" s="1"/>
      <c r="H524" s="1"/>
      <c r="I524" s="61"/>
      <c r="J524" s="1"/>
      <c r="K524" s="1"/>
    </row>
    <row r="525" spans="1:11" ht="15.75" customHeight="1">
      <c r="A525" s="2"/>
      <c r="B525" s="1"/>
      <c r="C525" s="1"/>
      <c r="D525" s="1"/>
      <c r="E525" s="1"/>
      <c r="F525" s="1"/>
      <c r="G525" s="1"/>
      <c r="H525" s="1"/>
      <c r="I525" s="61"/>
      <c r="J525" s="1"/>
      <c r="K525" s="1"/>
    </row>
    <row r="526" spans="1:11" ht="15.75" customHeight="1">
      <c r="A526" s="2"/>
      <c r="B526" s="1"/>
      <c r="C526" s="1"/>
      <c r="D526" s="1"/>
      <c r="E526" s="1"/>
      <c r="F526" s="1"/>
      <c r="G526" s="1"/>
      <c r="H526" s="1"/>
      <c r="I526" s="61"/>
      <c r="J526" s="1"/>
      <c r="K526" s="1"/>
    </row>
    <row r="527" spans="1:11" ht="15.75" customHeight="1">
      <c r="A527" s="2"/>
      <c r="B527" s="1"/>
      <c r="C527" s="1"/>
      <c r="D527" s="1"/>
      <c r="E527" s="1"/>
      <c r="F527" s="1"/>
      <c r="G527" s="1"/>
      <c r="H527" s="1"/>
      <c r="I527" s="61"/>
      <c r="J527" s="1"/>
      <c r="K527" s="1"/>
    </row>
    <row r="528" spans="1:11" ht="15.75" customHeight="1">
      <c r="A528" s="2"/>
      <c r="B528" s="1"/>
      <c r="C528" s="1"/>
      <c r="D528" s="1"/>
      <c r="E528" s="1"/>
      <c r="F528" s="1"/>
      <c r="G528" s="1"/>
      <c r="H528" s="1"/>
      <c r="I528" s="61"/>
      <c r="J528" s="1"/>
      <c r="K528" s="1"/>
    </row>
    <row r="529" spans="1:11" ht="15.75" customHeight="1">
      <c r="A529" s="2"/>
      <c r="B529" s="1"/>
      <c r="C529" s="1"/>
      <c r="D529" s="1"/>
      <c r="E529" s="1"/>
      <c r="F529" s="1"/>
      <c r="G529" s="1"/>
      <c r="H529" s="1"/>
      <c r="I529" s="61"/>
      <c r="J529" s="1"/>
      <c r="K529" s="1"/>
    </row>
    <row r="530" spans="1:11" ht="15.75" customHeight="1">
      <c r="A530" s="2"/>
      <c r="B530" s="1"/>
      <c r="C530" s="1"/>
      <c r="D530" s="1"/>
      <c r="E530" s="1"/>
      <c r="F530" s="1"/>
      <c r="G530" s="1"/>
      <c r="H530" s="1"/>
      <c r="I530" s="61"/>
      <c r="J530" s="1"/>
      <c r="K530" s="1"/>
    </row>
    <row r="531" spans="1:11" ht="15.75" customHeight="1">
      <c r="A531" s="2"/>
      <c r="B531" s="1"/>
      <c r="C531" s="1"/>
      <c r="D531" s="1"/>
      <c r="E531" s="1"/>
      <c r="F531" s="1"/>
      <c r="G531" s="1"/>
      <c r="H531" s="1"/>
      <c r="I531" s="61"/>
      <c r="J531" s="1"/>
      <c r="K531" s="1"/>
    </row>
    <row r="532" spans="1:11" ht="15.75" customHeight="1">
      <c r="A532" s="2"/>
      <c r="B532" s="1"/>
      <c r="C532" s="1"/>
      <c r="D532" s="1"/>
      <c r="E532" s="1"/>
      <c r="F532" s="1"/>
      <c r="G532" s="1"/>
      <c r="H532" s="1"/>
      <c r="I532" s="61"/>
      <c r="J532" s="1"/>
      <c r="K532" s="1"/>
    </row>
    <row r="533" spans="1:11" ht="15.75" customHeight="1">
      <c r="A533" s="2"/>
      <c r="B533" s="1"/>
      <c r="C533" s="1"/>
      <c r="D533" s="1"/>
      <c r="E533" s="1"/>
      <c r="F533" s="1"/>
      <c r="G533" s="1"/>
      <c r="H533" s="1"/>
      <c r="I533" s="61"/>
      <c r="J533" s="1"/>
      <c r="K533" s="1"/>
    </row>
    <row r="534" spans="1:11" ht="15.75" customHeight="1">
      <c r="A534" s="2"/>
      <c r="B534" s="1"/>
      <c r="C534" s="1"/>
      <c r="D534" s="1"/>
      <c r="E534" s="1"/>
      <c r="F534" s="1"/>
      <c r="G534" s="1"/>
      <c r="H534" s="1"/>
      <c r="I534" s="61"/>
      <c r="J534" s="1"/>
      <c r="K534" s="1"/>
    </row>
    <row r="535" spans="1:11" ht="15.75" customHeight="1">
      <c r="A535" s="2"/>
      <c r="B535" s="1"/>
      <c r="C535" s="1"/>
      <c r="D535" s="1"/>
      <c r="E535" s="1"/>
      <c r="F535" s="1"/>
      <c r="G535" s="1"/>
      <c r="H535" s="1"/>
      <c r="I535" s="61"/>
      <c r="J535" s="1"/>
      <c r="K535" s="1"/>
    </row>
    <row r="536" spans="1:11" ht="15.75" customHeight="1">
      <c r="A536" s="2"/>
      <c r="B536" s="1"/>
      <c r="C536" s="1"/>
      <c r="D536" s="1"/>
      <c r="E536" s="1"/>
      <c r="F536" s="1"/>
      <c r="G536" s="1"/>
      <c r="H536" s="1"/>
      <c r="I536" s="61"/>
      <c r="J536" s="1"/>
      <c r="K536" s="1"/>
    </row>
    <row r="537" spans="1:11" ht="15.75" customHeight="1">
      <c r="A537" s="2"/>
      <c r="B537" s="1"/>
      <c r="C537" s="1"/>
      <c r="D537" s="1"/>
      <c r="E537" s="1"/>
      <c r="F537" s="1"/>
      <c r="G537" s="1"/>
      <c r="H537" s="1"/>
      <c r="I537" s="61"/>
      <c r="J537" s="1"/>
      <c r="K537" s="1"/>
    </row>
    <row r="538" spans="1:11" ht="15.75" customHeight="1">
      <c r="A538" s="2"/>
      <c r="B538" s="1"/>
      <c r="C538" s="1"/>
      <c r="D538" s="1"/>
      <c r="E538" s="1"/>
      <c r="F538" s="1"/>
      <c r="G538" s="1"/>
      <c r="H538" s="1"/>
      <c r="I538" s="61"/>
      <c r="J538" s="1"/>
      <c r="K538" s="1"/>
    </row>
    <row r="539" spans="1:11" ht="15.75" customHeight="1">
      <c r="A539" s="2"/>
      <c r="B539" s="1"/>
      <c r="C539" s="1"/>
      <c r="D539" s="1"/>
      <c r="E539" s="1"/>
      <c r="F539" s="1"/>
      <c r="G539" s="1"/>
      <c r="H539" s="1"/>
      <c r="I539" s="61"/>
      <c r="J539" s="1"/>
      <c r="K539" s="1"/>
    </row>
    <row r="540" spans="1:11" ht="15.75" customHeight="1">
      <c r="A540" s="2"/>
      <c r="B540" s="1"/>
      <c r="C540" s="1"/>
      <c r="D540" s="1"/>
      <c r="E540" s="1"/>
      <c r="F540" s="1"/>
      <c r="G540" s="1"/>
      <c r="H540" s="1"/>
      <c r="I540" s="61"/>
      <c r="J540" s="1"/>
      <c r="K540" s="1"/>
    </row>
    <row r="541" spans="1:11" ht="15.75" customHeight="1">
      <c r="A541" s="2"/>
      <c r="B541" s="1"/>
      <c r="C541" s="1"/>
      <c r="D541" s="1"/>
      <c r="E541" s="1"/>
      <c r="F541" s="1"/>
      <c r="G541" s="1"/>
      <c r="H541" s="1"/>
      <c r="I541" s="61"/>
      <c r="J541" s="1"/>
      <c r="K541" s="1"/>
    </row>
    <row r="542" spans="1:11" ht="15.75" customHeight="1">
      <c r="A542" s="2"/>
      <c r="B542" s="1"/>
      <c r="C542" s="1"/>
      <c r="D542" s="1"/>
      <c r="E542" s="1"/>
      <c r="F542" s="1"/>
      <c r="G542" s="1"/>
      <c r="H542" s="1"/>
      <c r="I542" s="61"/>
      <c r="J542" s="1"/>
      <c r="K542" s="1"/>
    </row>
    <row r="543" spans="1:11" ht="15.75" customHeight="1">
      <c r="A543" s="2"/>
      <c r="B543" s="1"/>
      <c r="C543" s="1"/>
      <c r="D543" s="1"/>
      <c r="E543" s="1"/>
      <c r="F543" s="1"/>
      <c r="G543" s="1"/>
      <c r="H543" s="1"/>
      <c r="I543" s="61"/>
      <c r="J543" s="1"/>
      <c r="K543" s="1"/>
    </row>
    <row r="544" spans="1:11" ht="15.75" customHeight="1">
      <c r="A544" s="2"/>
      <c r="B544" s="1"/>
      <c r="C544" s="1"/>
      <c r="D544" s="1"/>
      <c r="E544" s="1"/>
      <c r="F544" s="1"/>
      <c r="G544" s="1"/>
      <c r="H544" s="1"/>
      <c r="I544" s="61"/>
      <c r="J544" s="1"/>
      <c r="K544" s="1"/>
    </row>
    <row r="545" spans="1:11" ht="15.75" customHeight="1">
      <c r="A545" s="2"/>
      <c r="B545" s="1"/>
      <c r="C545" s="1"/>
      <c r="D545" s="1"/>
      <c r="E545" s="1"/>
      <c r="F545" s="1"/>
      <c r="G545" s="1"/>
      <c r="H545" s="1"/>
      <c r="I545" s="61"/>
      <c r="J545" s="1"/>
      <c r="K545" s="1"/>
    </row>
    <row r="546" spans="1:11" ht="15.75" customHeight="1">
      <c r="A546" s="2"/>
      <c r="B546" s="1"/>
      <c r="C546" s="1"/>
      <c r="D546" s="1"/>
      <c r="E546" s="1"/>
      <c r="F546" s="1"/>
      <c r="G546" s="1"/>
      <c r="H546" s="1"/>
      <c r="I546" s="61"/>
      <c r="J546" s="1"/>
      <c r="K546" s="1"/>
    </row>
    <row r="547" spans="1:11" ht="15.75" customHeight="1">
      <c r="A547" s="2"/>
      <c r="B547" s="1"/>
      <c r="C547" s="1"/>
      <c r="D547" s="1"/>
      <c r="E547" s="1"/>
      <c r="F547" s="1"/>
      <c r="G547" s="1"/>
      <c r="H547" s="1"/>
      <c r="I547" s="61"/>
      <c r="J547" s="1"/>
      <c r="K547" s="1"/>
    </row>
    <row r="548" spans="1:11" ht="15.75" customHeight="1">
      <c r="A548" s="2"/>
      <c r="B548" s="1"/>
      <c r="C548" s="1"/>
      <c r="D548" s="1"/>
      <c r="E548" s="1"/>
      <c r="F548" s="1"/>
      <c r="G548" s="1"/>
      <c r="H548" s="1"/>
      <c r="I548" s="61"/>
      <c r="J548" s="1"/>
      <c r="K548" s="1"/>
    </row>
    <row r="549" spans="1:11" ht="15.75" customHeight="1">
      <c r="A549" s="2"/>
      <c r="B549" s="1"/>
      <c r="C549" s="1"/>
      <c r="D549" s="1"/>
      <c r="E549" s="1"/>
      <c r="F549" s="1"/>
      <c r="G549" s="1"/>
      <c r="H549" s="1"/>
      <c r="I549" s="61"/>
      <c r="J549" s="1"/>
      <c r="K549" s="1"/>
    </row>
    <row r="550" spans="1:11" ht="15.75" customHeight="1">
      <c r="A550" s="2"/>
      <c r="B550" s="1"/>
      <c r="C550" s="1"/>
      <c r="D550" s="1"/>
      <c r="E550" s="1"/>
      <c r="F550" s="1"/>
      <c r="G550" s="1"/>
      <c r="H550" s="1"/>
      <c r="I550" s="61"/>
      <c r="J550" s="1"/>
      <c r="K550" s="1"/>
    </row>
    <row r="551" spans="1:11" ht="15.75" customHeight="1">
      <c r="A551" s="2"/>
      <c r="B551" s="1"/>
      <c r="C551" s="1"/>
      <c r="D551" s="1"/>
      <c r="E551" s="1"/>
      <c r="F551" s="1"/>
      <c r="G551" s="1"/>
      <c r="H551" s="1"/>
      <c r="I551" s="61"/>
      <c r="J551" s="1"/>
      <c r="K551" s="1"/>
    </row>
    <row r="552" spans="1:11" ht="15.75" customHeight="1">
      <c r="A552" s="2"/>
      <c r="B552" s="1"/>
      <c r="C552" s="1"/>
      <c r="D552" s="1"/>
      <c r="E552" s="1"/>
      <c r="F552" s="1"/>
      <c r="G552" s="1"/>
      <c r="H552" s="1"/>
      <c r="I552" s="61"/>
      <c r="J552" s="1"/>
      <c r="K552" s="1"/>
    </row>
    <row r="553" spans="1:11" ht="15.75" customHeight="1">
      <c r="A553" s="2"/>
      <c r="B553" s="1"/>
      <c r="C553" s="1"/>
      <c r="D553" s="1"/>
      <c r="E553" s="1"/>
      <c r="F553" s="1"/>
      <c r="G553" s="1"/>
      <c r="H553" s="1"/>
      <c r="I553" s="61"/>
      <c r="J553" s="1"/>
      <c r="K553" s="1"/>
    </row>
    <row r="554" spans="1:11" ht="15.75" customHeight="1">
      <c r="A554" s="2"/>
      <c r="B554" s="1"/>
      <c r="C554" s="1"/>
      <c r="D554" s="1"/>
      <c r="E554" s="1"/>
      <c r="F554" s="1"/>
      <c r="G554" s="1"/>
      <c r="H554" s="1"/>
      <c r="I554" s="61"/>
      <c r="J554" s="1"/>
      <c r="K554" s="1"/>
    </row>
    <row r="555" spans="1:11" ht="15.75" customHeight="1">
      <c r="A555" s="2"/>
      <c r="B555" s="1"/>
      <c r="C555" s="1"/>
      <c r="D555" s="1"/>
      <c r="E555" s="1"/>
      <c r="F555" s="1"/>
      <c r="G555" s="1"/>
      <c r="H555" s="1"/>
      <c r="I555" s="61"/>
      <c r="J555" s="1"/>
      <c r="K555" s="1"/>
    </row>
    <row r="556" spans="1:11" ht="15.75" customHeight="1">
      <c r="A556" s="2"/>
      <c r="B556" s="1"/>
      <c r="C556" s="1"/>
      <c r="D556" s="1"/>
      <c r="E556" s="1"/>
      <c r="F556" s="1"/>
      <c r="G556" s="1"/>
      <c r="H556" s="1"/>
      <c r="I556" s="61"/>
      <c r="J556" s="1"/>
      <c r="K556" s="1"/>
    </row>
    <row r="557" spans="1:11" ht="15.75" customHeight="1">
      <c r="A557" s="2"/>
      <c r="B557" s="1"/>
      <c r="C557" s="1"/>
      <c r="D557" s="1"/>
      <c r="E557" s="1"/>
      <c r="F557" s="1"/>
      <c r="G557" s="1"/>
      <c r="H557" s="1"/>
      <c r="I557" s="61"/>
      <c r="J557" s="1"/>
      <c r="K557" s="1"/>
    </row>
    <row r="558" spans="1:11" ht="15.75" customHeight="1">
      <c r="A558" s="2"/>
      <c r="B558" s="1"/>
      <c r="C558" s="1"/>
      <c r="D558" s="1"/>
      <c r="E558" s="1"/>
      <c r="F558" s="1"/>
      <c r="G558" s="1"/>
      <c r="H558" s="1"/>
      <c r="I558" s="61"/>
      <c r="J558" s="1"/>
      <c r="K558" s="1"/>
    </row>
    <row r="559" spans="1:11" ht="15.75" customHeight="1">
      <c r="A559" s="2"/>
      <c r="B559" s="1"/>
      <c r="C559" s="1"/>
      <c r="D559" s="1"/>
      <c r="E559" s="1"/>
      <c r="F559" s="1"/>
      <c r="G559" s="1"/>
      <c r="H559" s="1"/>
      <c r="I559" s="61"/>
      <c r="J559" s="1"/>
      <c r="K559" s="1"/>
    </row>
    <row r="560" spans="1:11" ht="15.75" customHeight="1">
      <c r="A560" s="2"/>
      <c r="B560" s="1"/>
      <c r="C560" s="1"/>
      <c r="D560" s="1"/>
      <c r="E560" s="1"/>
      <c r="F560" s="1"/>
      <c r="G560" s="1"/>
      <c r="H560" s="1"/>
      <c r="I560" s="61"/>
      <c r="J560" s="1"/>
      <c r="K560" s="1"/>
    </row>
    <row r="561" spans="1:11" ht="15.75" customHeight="1">
      <c r="A561" s="2"/>
      <c r="B561" s="1"/>
      <c r="C561" s="1"/>
      <c r="D561" s="1"/>
      <c r="E561" s="1"/>
      <c r="F561" s="1"/>
      <c r="G561" s="1"/>
      <c r="H561" s="1"/>
      <c r="I561" s="61"/>
      <c r="J561" s="1"/>
      <c r="K561" s="1"/>
    </row>
    <row r="562" spans="1:11" ht="15.75" customHeight="1">
      <c r="A562" s="2"/>
      <c r="B562" s="1"/>
      <c r="C562" s="1"/>
      <c r="D562" s="1"/>
      <c r="E562" s="1"/>
      <c r="F562" s="1"/>
      <c r="G562" s="1"/>
      <c r="H562" s="1"/>
      <c r="I562" s="61"/>
      <c r="J562" s="1"/>
      <c r="K562" s="1"/>
    </row>
    <row r="563" spans="1:11" ht="15.75" customHeight="1">
      <c r="A563" s="2"/>
      <c r="B563" s="1"/>
      <c r="C563" s="1"/>
      <c r="D563" s="1"/>
      <c r="E563" s="1"/>
      <c r="F563" s="1"/>
      <c r="G563" s="1"/>
      <c r="H563" s="1"/>
      <c r="I563" s="61"/>
      <c r="J563" s="1"/>
      <c r="K563" s="1"/>
    </row>
    <row r="564" spans="1:11" ht="15.75" customHeight="1">
      <c r="A564" s="2"/>
      <c r="B564" s="1"/>
      <c r="C564" s="1"/>
      <c r="D564" s="1"/>
      <c r="E564" s="1"/>
      <c r="F564" s="1"/>
      <c r="G564" s="1"/>
      <c r="H564" s="1"/>
      <c r="I564" s="61"/>
      <c r="J564" s="1"/>
      <c r="K564" s="1"/>
    </row>
    <row r="565" spans="1:11" ht="15.75" customHeight="1">
      <c r="A565" s="2"/>
      <c r="B565" s="1"/>
      <c r="C565" s="1"/>
      <c r="D565" s="1"/>
      <c r="E565" s="1"/>
      <c r="F565" s="1"/>
      <c r="G565" s="1"/>
      <c r="H565" s="1"/>
      <c r="I565" s="61"/>
      <c r="J565" s="1"/>
      <c r="K565" s="1"/>
    </row>
    <row r="566" spans="1:11" ht="15.75" customHeight="1">
      <c r="A566" s="2"/>
      <c r="B566" s="1"/>
      <c r="C566" s="1"/>
      <c r="D566" s="1"/>
      <c r="E566" s="1"/>
      <c r="F566" s="1"/>
      <c r="G566" s="1"/>
      <c r="H566" s="1"/>
      <c r="I566" s="61"/>
      <c r="J566" s="1"/>
      <c r="K566" s="1"/>
    </row>
    <row r="567" spans="1:11" ht="15.75" customHeight="1">
      <c r="A567" s="2"/>
      <c r="B567" s="1"/>
      <c r="C567" s="1"/>
      <c r="D567" s="1"/>
      <c r="E567" s="1"/>
      <c r="F567" s="1"/>
      <c r="G567" s="1"/>
      <c r="H567" s="1"/>
      <c r="I567" s="61"/>
      <c r="J567" s="1"/>
      <c r="K567" s="1"/>
    </row>
    <row r="568" spans="1:11" ht="15.75" customHeight="1">
      <c r="A568" s="2"/>
      <c r="B568" s="1"/>
      <c r="C568" s="1"/>
      <c r="D568" s="1"/>
      <c r="E568" s="1"/>
      <c r="F568" s="1"/>
      <c r="G568" s="1"/>
      <c r="H568" s="1"/>
      <c r="I568" s="61"/>
      <c r="J568" s="1"/>
      <c r="K568" s="1"/>
    </row>
    <row r="569" spans="1:11" ht="15.75" customHeight="1">
      <c r="A569" s="2"/>
      <c r="B569" s="1"/>
      <c r="C569" s="1"/>
      <c r="D569" s="1"/>
      <c r="E569" s="1"/>
      <c r="F569" s="1"/>
      <c r="G569" s="1"/>
      <c r="H569" s="1"/>
      <c r="I569" s="61"/>
      <c r="J569" s="1"/>
      <c r="K569" s="1"/>
    </row>
    <row r="570" spans="1:11" ht="15.75" customHeight="1">
      <c r="A570" s="2"/>
      <c r="B570" s="1"/>
      <c r="C570" s="1"/>
      <c r="D570" s="1"/>
      <c r="E570" s="1"/>
      <c r="F570" s="1"/>
      <c r="G570" s="1"/>
      <c r="H570" s="1"/>
      <c r="I570" s="61"/>
      <c r="J570" s="1"/>
      <c r="K570" s="1"/>
    </row>
    <row r="571" spans="1:11" ht="15.75" customHeight="1">
      <c r="A571" s="2"/>
      <c r="B571" s="1"/>
      <c r="C571" s="1"/>
      <c r="D571" s="1"/>
      <c r="E571" s="1"/>
      <c r="F571" s="1"/>
      <c r="G571" s="1"/>
      <c r="H571" s="1"/>
      <c r="I571" s="61"/>
      <c r="J571" s="1"/>
      <c r="K571" s="1"/>
    </row>
    <row r="572" spans="1:11" ht="15.75" customHeight="1">
      <c r="A572" s="2"/>
      <c r="B572" s="1"/>
      <c r="C572" s="1"/>
      <c r="D572" s="1"/>
      <c r="E572" s="1"/>
      <c r="F572" s="1"/>
      <c r="G572" s="1"/>
      <c r="H572" s="1"/>
      <c r="I572" s="61"/>
      <c r="J572" s="1"/>
      <c r="K572" s="1"/>
    </row>
    <row r="573" spans="1:11" ht="15.75" customHeight="1">
      <c r="A573" s="2"/>
      <c r="B573" s="1"/>
      <c r="C573" s="1"/>
      <c r="D573" s="1"/>
      <c r="E573" s="1"/>
      <c r="F573" s="1"/>
      <c r="G573" s="1"/>
      <c r="H573" s="1"/>
      <c r="I573" s="61"/>
      <c r="J573" s="1"/>
      <c r="K573" s="1"/>
    </row>
    <row r="574" spans="1:11" ht="15.75" customHeight="1">
      <c r="A574" s="2"/>
      <c r="B574" s="1"/>
      <c r="C574" s="1"/>
      <c r="D574" s="1"/>
      <c r="E574" s="1"/>
      <c r="F574" s="1"/>
      <c r="G574" s="1"/>
      <c r="H574" s="1"/>
      <c r="I574" s="61"/>
      <c r="J574" s="1"/>
      <c r="K574" s="1"/>
    </row>
    <row r="575" spans="1:11" ht="15.75" customHeight="1">
      <c r="A575" s="2"/>
      <c r="B575" s="1"/>
      <c r="C575" s="1"/>
      <c r="D575" s="1"/>
      <c r="E575" s="1"/>
      <c r="F575" s="1"/>
      <c r="G575" s="1"/>
      <c r="H575" s="1"/>
      <c r="I575" s="61"/>
      <c r="J575" s="1"/>
      <c r="K575" s="1"/>
    </row>
    <row r="576" spans="1:11" ht="15.75" customHeight="1">
      <c r="A576" s="2"/>
      <c r="B576" s="1"/>
      <c r="C576" s="1"/>
      <c r="D576" s="1"/>
      <c r="E576" s="1"/>
      <c r="F576" s="1"/>
      <c r="G576" s="1"/>
      <c r="H576" s="1"/>
      <c r="I576" s="61"/>
      <c r="J576" s="1"/>
      <c r="K576" s="1"/>
    </row>
    <row r="577" spans="1:11" ht="15.75" customHeight="1">
      <c r="A577" s="2"/>
      <c r="B577" s="1"/>
      <c r="C577" s="1"/>
      <c r="D577" s="1"/>
      <c r="E577" s="1"/>
      <c r="F577" s="1"/>
      <c r="G577" s="1"/>
      <c r="H577" s="1"/>
      <c r="I577" s="61"/>
      <c r="J577" s="1"/>
      <c r="K577" s="1"/>
    </row>
    <row r="578" spans="1:11" ht="15.75" customHeight="1">
      <c r="A578" s="2"/>
      <c r="B578" s="1"/>
      <c r="C578" s="1"/>
      <c r="D578" s="1"/>
      <c r="E578" s="1"/>
      <c r="F578" s="1"/>
      <c r="G578" s="1"/>
      <c r="H578" s="1"/>
      <c r="I578" s="61"/>
      <c r="J578" s="1"/>
      <c r="K578" s="1"/>
    </row>
    <row r="579" spans="1:11" ht="15.75" customHeight="1">
      <c r="A579" s="2"/>
      <c r="B579" s="1"/>
      <c r="C579" s="1"/>
      <c r="D579" s="1"/>
      <c r="E579" s="1"/>
      <c r="F579" s="1"/>
      <c r="G579" s="1"/>
      <c r="H579" s="1"/>
      <c r="I579" s="61"/>
      <c r="J579" s="1"/>
      <c r="K579" s="1"/>
    </row>
    <row r="580" spans="1:11" ht="15.75" customHeight="1">
      <c r="A580" s="2"/>
      <c r="B580" s="1"/>
      <c r="C580" s="1"/>
      <c r="D580" s="1"/>
      <c r="E580" s="1"/>
      <c r="F580" s="1"/>
      <c r="G580" s="1"/>
      <c r="H580" s="1"/>
      <c r="I580" s="61"/>
      <c r="J580" s="1"/>
      <c r="K580" s="1"/>
    </row>
    <row r="581" spans="1:11" ht="15.75" customHeight="1">
      <c r="A581" s="2"/>
      <c r="B581" s="1"/>
      <c r="C581" s="1"/>
      <c r="D581" s="1"/>
      <c r="E581" s="1"/>
      <c r="F581" s="1"/>
      <c r="G581" s="1"/>
      <c r="H581" s="1"/>
      <c r="I581" s="61"/>
      <c r="J581" s="1"/>
      <c r="K581" s="1"/>
    </row>
    <row r="582" spans="1:11" ht="15.75" customHeight="1">
      <c r="A582" s="2"/>
      <c r="B582" s="1"/>
      <c r="C582" s="1"/>
      <c r="D582" s="1"/>
      <c r="E582" s="1"/>
      <c r="F582" s="1"/>
      <c r="G582" s="1"/>
      <c r="H582" s="1"/>
      <c r="I582" s="61"/>
      <c r="J582" s="1"/>
      <c r="K582" s="1"/>
    </row>
    <row r="583" spans="1:11" ht="15.75" customHeight="1">
      <c r="A583" s="2"/>
      <c r="B583" s="1"/>
      <c r="C583" s="1"/>
      <c r="D583" s="1"/>
      <c r="E583" s="1"/>
      <c r="F583" s="1"/>
      <c r="G583" s="1"/>
      <c r="H583" s="1"/>
      <c r="I583" s="61"/>
      <c r="J583" s="1"/>
      <c r="K583" s="1"/>
    </row>
    <row r="584" spans="1:11" ht="15.75" customHeight="1">
      <c r="A584" s="2"/>
      <c r="B584" s="1"/>
      <c r="C584" s="1"/>
      <c r="D584" s="1"/>
      <c r="E584" s="1"/>
      <c r="F584" s="1"/>
      <c r="G584" s="1"/>
      <c r="H584" s="1"/>
      <c r="I584" s="61"/>
      <c r="J584" s="1"/>
      <c r="K584" s="1"/>
    </row>
    <row r="585" spans="1:11" ht="15.75" customHeight="1">
      <c r="A585" s="2"/>
      <c r="B585" s="1"/>
      <c r="C585" s="1"/>
      <c r="D585" s="1"/>
      <c r="E585" s="1"/>
      <c r="F585" s="1"/>
      <c r="G585" s="1"/>
      <c r="H585" s="1"/>
      <c r="I585" s="61"/>
      <c r="J585" s="1"/>
      <c r="K585" s="1"/>
    </row>
    <row r="586" spans="1:11" ht="15.75" customHeight="1">
      <c r="A586" s="2"/>
      <c r="B586" s="1"/>
      <c r="C586" s="1"/>
      <c r="D586" s="1"/>
      <c r="E586" s="1"/>
      <c r="F586" s="1"/>
      <c r="G586" s="1"/>
      <c r="H586" s="1"/>
      <c r="I586" s="61"/>
      <c r="J586" s="1"/>
      <c r="K586" s="1"/>
    </row>
    <row r="587" spans="1:11" ht="15.75" customHeight="1">
      <c r="A587" s="2"/>
      <c r="B587" s="1"/>
      <c r="C587" s="1"/>
      <c r="D587" s="1"/>
      <c r="E587" s="1"/>
      <c r="F587" s="1"/>
      <c r="G587" s="1"/>
      <c r="H587" s="1"/>
      <c r="I587" s="61"/>
      <c r="J587" s="1"/>
      <c r="K587" s="1"/>
    </row>
    <row r="588" spans="1:11" ht="15.75" customHeight="1">
      <c r="A588" s="2"/>
      <c r="B588" s="1"/>
      <c r="C588" s="1"/>
      <c r="D588" s="1"/>
      <c r="E588" s="1"/>
      <c r="F588" s="1"/>
      <c r="G588" s="1"/>
      <c r="H588" s="1"/>
      <c r="I588" s="61"/>
      <c r="J588" s="1"/>
      <c r="K588" s="1"/>
    </row>
    <row r="589" spans="1:11" ht="15.75" customHeight="1">
      <c r="A589" s="2"/>
      <c r="B589" s="1"/>
      <c r="C589" s="1"/>
      <c r="D589" s="1"/>
      <c r="E589" s="1"/>
      <c r="F589" s="1"/>
      <c r="G589" s="1"/>
      <c r="H589" s="1"/>
      <c r="I589" s="61"/>
      <c r="J589" s="1"/>
      <c r="K589" s="1"/>
    </row>
    <row r="590" spans="1:11" ht="15.75" customHeight="1">
      <c r="A590" s="2"/>
      <c r="B590" s="1"/>
      <c r="C590" s="1"/>
      <c r="D590" s="1"/>
      <c r="E590" s="1"/>
      <c r="F590" s="1"/>
      <c r="G590" s="1"/>
      <c r="H590" s="1"/>
      <c r="I590" s="61"/>
      <c r="J590" s="1"/>
      <c r="K590" s="1"/>
    </row>
    <row r="591" spans="1:11" ht="15.75" customHeight="1">
      <c r="A591" s="2"/>
      <c r="B591" s="1"/>
      <c r="C591" s="1"/>
      <c r="D591" s="1"/>
      <c r="E591" s="1"/>
      <c r="F591" s="1"/>
      <c r="G591" s="1"/>
      <c r="H591" s="1"/>
      <c r="I591" s="61"/>
      <c r="J591" s="1"/>
      <c r="K591" s="1"/>
    </row>
    <row r="592" spans="1:11" ht="15.75" customHeight="1">
      <c r="A592" s="2"/>
      <c r="B592" s="1"/>
      <c r="C592" s="1"/>
      <c r="D592" s="1"/>
      <c r="E592" s="1"/>
      <c r="F592" s="1"/>
      <c r="G592" s="1"/>
      <c r="H592" s="1"/>
      <c r="I592" s="61"/>
      <c r="J592" s="1"/>
      <c r="K592" s="1"/>
    </row>
    <row r="593" spans="1:11" ht="15.75" customHeight="1">
      <c r="A593" s="2"/>
      <c r="B593" s="1"/>
      <c r="C593" s="1"/>
      <c r="D593" s="1"/>
      <c r="E593" s="1"/>
      <c r="F593" s="1"/>
      <c r="G593" s="1"/>
      <c r="H593" s="1"/>
      <c r="I593" s="61"/>
      <c r="J593" s="1"/>
      <c r="K593" s="1"/>
    </row>
    <row r="594" spans="1:11" ht="15.75" customHeight="1">
      <c r="A594" s="2"/>
      <c r="B594" s="1"/>
      <c r="C594" s="1"/>
      <c r="D594" s="1"/>
      <c r="E594" s="1"/>
      <c r="F594" s="1"/>
      <c r="G594" s="1"/>
      <c r="H594" s="1"/>
      <c r="I594" s="61"/>
      <c r="J594" s="1"/>
      <c r="K594" s="1"/>
    </row>
    <row r="595" spans="1:11" ht="15.75" customHeight="1">
      <c r="A595" s="2"/>
      <c r="B595" s="1"/>
      <c r="C595" s="1"/>
      <c r="D595" s="1"/>
      <c r="E595" s="1"/>
      <c r="F595" s="1"/>
      <c r="G595" s="1"/>
      <c r="H595" s="1"/>
      <c r="I595" s="61"/>
      <c r="J595" s="1"/>
      <c r="K595" s="1"/>
    </row>
    <row r="596" spans="1:11" ht="15.75" customHeight="1">
      <c r="A596" s="2"/>
      <c r="B596" s="1"/>
      <c r="C596" s="1"/>
      <c r="D596" s="1"/>
      <c r="E596" s="1"/>
      <c r="F596" s="1"/>
      <c r="G596" s="1"/>
      <c r="H596" s="1"/>
      <c r="I596" s="61"/>
      <c r="J596" s="1"/>
      <c r="K596" s="1"/>
    </row>
    <row r="597" spans="1:11" ht="15.75" customHeight="1">
      <c r="A597" s="2"/>
      <c r="B597" s="1"/>
      <c r="C597" s="1"/>
      <c r="D597" s="1"/>
      <c r="E597" s="1"/>
      <c r="F597" s="1"/>
      <c r="G597" s="1"/>
      <c r="H597" s="1"/>
      <c r="I597" s="61"/>
      <c r="J597" s="1"/>
      <c r="K597" s="1"/>
    </row>
    <row r="598" spans="1:11" ht="15.75" customHeight="1">
      <c r="A598" s="2"/>
      <c r="B598" s="1"/>
      <c r="C598" s="1"/>
      <c r="D598" s="1"/>
      <c r="E598" s="1"/>
      <c r="F598" s="1"/>
      <c r="G598" s="1"/>
      <c r="H598" s="1"/>
      <c r="I598" s="61"/>
      <c r="J598" s="1"/>
      <c r="K598" s="1"/>
    </row>
    <row r="599" spans="1:11" ht="15.75" customHeight="1">
      <c r="A599" s="2"/>
      <c r="B599" s="1"/>
      <c r="C599" s="1"/>
      <c r="D599" s="1"/>
      <c r="E599" s="1"/>
      <c r="F599" s="1"/>
      <c r="G599" s="1"/>
      <c r="H599" s="1"/>
      <c r="I599" s="61"/>
      <c r="J599" s="1"/>
      <c r="K599" s="1"/>
    </row>
    <row r="600" spans="1:11" ht="15.75" customHeight="1">
      <c r="A600" s="2"/>
      <c r="B600" s="1"/>
      <c r="C600" s="1"/>
      <c r="D600" s="1"/>
      <c r="E600" s="1"/>
      <c r="F600" s="1"/>
      <c r="G600" s="1"/>
      <c r="H600" s="1"/>
      <c r="I600" s="61"/>
      <c r="J600" s="1"/>
      <c r="K600" s="1"/>
    </row>
    <row r="601" spans="1:11" ht="15.75" customHeight="1">
      <c r="A601" s="2"/>
      <c r="B601" s="1"/>
      <c r="C601" s="1"/>
      <c r="D601" s="1"/>
      <c r="E601" s="1"/>
      <c r="F601" s="1"/>
      <c r="G601" s="1"/>
      <c r="H601" s="1"/>
      <c r="I601" s="61"/>
      <c r="J601" s="1"/>
      <c r="K601" s="1"/>
    </row>
    <row r="602" spans="1:11" ht="15.75" customHeight="1">
      <c r="A602" s="2"/>
      <c r="B602" s="1"/>
      <c r="C602" s="1"/>
      <c r="D602" s="1"/>
      <c r="E602" s="1"/>
      <c r="F602" s="1"/>
      <c r="G602" s="1"/>
      <c r="H602" s="1"/>
      <c r="I602" s="61"/>
      <c r="J602" s="1"/>
      <c r="K602" s="1"/>
    </row>
    <row r="603" spans="1:11" ht="15.75" customHeight="1">
      <c r="A603" s="2"/>
      <c r="B603" s="1"/>
      <c r="C603" s="1"/>
      <c r="D603" s="1"/>
      <c r="E603" s="1"/>
      <c r="F603" s="1"/>
      <c r="G603" s="1"/>
      <c r="H603" s="1"/>
      <c r="I603" s="61"/>
      <c r="J603" s="1"/>
      <c r="K603" s="1"/>
    </row>
    <row r="604" spans="1:11" ht="15.75" customHeight="1">
      <c r="A604" s="2"/>
      <c r="B604" s="1"/>
      <c r="C604" s="1"/>
      <c r="D604" s="1"/>
      <c r="E604" s="1"/>
      <c r="F604" s="1"/>
      <c r="G604" s="1"/>
      <c r="H604" s="1"/>
      <c r="I604" s="61"/>
      <c r="J604" s="1"/>
      <c r="K604" s="1"/>
    </row>
    <row r="605" spans="1:11" ht="15.75" customHeight="1">
      <c r="A605" s="2"/>
      <c r="B605" s="1"/>
      <c r="C605" s="1"/>
      <c r="D605" s="1"/>
      <c r="E605" s="1"/>
      <c r="F605" s="1"/>
      <c r="G605" s="1"/>
      <c r="H605" s="1"/>
      <c r="I605" s="61"/>
      <c r="J605" s="1"/>
      <c r="K605" s="1"/>
    </row>
    <row r="606" spans="1:11" ht="15.75" customHeight="1">
      <c r="A606" s="2"/>
      <c r="B606" s="1"/>
      <c r="C606" s="1"/>
      <c r="D606" s="1"/>
      <c r="E606" s="1"/>
      <c r="F606" s="1"/>
      <c r="G606" s="1"/>
      <c r="H606" s="1"/>
      <c r="I606" s="61"/>
      <c r="J606" s="1"/>
      <c r="K606" s="1"/>
    </row>
    <row r="607" spans="1:11" ht="15.75" customHeight="1">
      <c r="A607" s="2"/>
      <c r="B607" s="1"/>
      <c r="C607" s="1"/>
      <c r="D607" s="1"/>
      <c r="E607" s="1"/>
      <c r="F607" s="1"/>
      <c r="G607" s="1"/>
      <c r="H607" s="1"/>
      <c r="I607" s="61"/>
      <c r="J607" s="1"/>
      <c r="K607" s="1"/>
    </row>
    <row r="608" spans="1:11" ht="15.75" customHeight="1">
      <c r="A608" s="2"/>
      <c r="B608" s="1"/>
      <c r="C608" s="1"/>
      <c r="D608" s="1"/>
      <c r="E608" s="1"/>
      <c r="F608" s="1"/>
      <c r="G608" s="1"/>
      <c r="H608" s="1"/>
      <c r="I608" s="61"/>
      <c r="J608" s="1"/>
      <c r="K608" s="1"/>
    </row>
    <row r="609" spans="1:11" ht="15.75" customHeight="1">
      <c r="A609" s="2"/>
      <c r="B609" s="1"/>
      <c r="C609" s="1"/>
      <c r="D609" s="1"/>
      <c r="E609" s="1"/>
      <c r="F609" s="1"/>
      <c r="G609" s="1"/>
      <c r="H609" s="1"/>
      <c r="I609" s="61"/>
      <c r="J609" s="1"/>
      <c r="K609" s="1"/>
    </row>
    <row r="610" spans="1:11" ht="15.75" customHeight="1">
      <c r="A610" s="2"/>
      <c r="B610" s="1"/>
      <c r="C610" s="1"/>
      <c r="D610" s="1"/>
      <c r="E610" s="1"/>
      <c r="F610" s="1"/>
      <c r="G610" s="1"/>
      <c r="H610" s="1"/>
      <c r="I610" s="61"/>
      <c r="J610" s="1"/>
      <c r="K610" s="1"/>
    </row>
    <row r="611" spans="1:11" ht="15.75" customHeight="1">
      <c r="A611" s="2"/>
      <c r="B611" s="1"/>
      <c r="C611" s="1"/>
      <c r="D611" s="1"/>
      <c r="E611" s="1"/>
      <c r="F611" s="1"/>
      <c r="G611" s="1"/>
      <c r="H611" s="1"/>
      <c r="I611" s="61"/>
      <c r="J611" s="1"/>
      <c r="K611" s="1"/>
    </row>
    <row r="612" spans="1:11" ht="15.75" customHeight="1">
      <c r="A612" s="2"/>
      <c r="B612" s="1"/>
      <c r="C612" s="1"/>
      <c r="D612" s="1"/>
      <c r="E612" s="1"/>
      <c r="F612" s="1"/>
      <c r="G612" s="1"/>
      <c r="H612" s="1"/>
      <c r="I612" s="61"/>
      <c r="J612" s="1"/>
      <c r="K612" s="1"/>
    </row>
    <row r="613" spans="1:11" ht="15.75" customHeight="1">
      <c r="A613" s="2"/>
      <c r="B613" s="1"/>
      <c r="C613" s="1"/>
      <c r="D613" s="1"/>
      <c r="E613" s="1"/>
      <c r="F613" s="1"/>
      <c r="G613" s="1"/>
      <c r="H613" s="1"/>
      <c r="I613" s="61"/>
      <c r="J613" s="1"/>
      <c r="K613" s="1"/>
    </row>
    <row r="614" spans="1:11" ht="15.75" customHeight="1">
      <c r="A614" s="2"/>
      <c r="B614" s="1"/>
      <c r="C614" s="1"/>
      <c r="D614" s="1"/>
      <c r="E614" s="1"/>
      <c r="F614" s="1"/>
      <c r="G614" s="1"/>
      <c r="H614" s="1"/>
      <c r="I614" s="61"/>
      <c r="J614" s="1"/>
      <c r="K614" s="1"/>
    </row>
    <row r="615" spans="1:11" ht="15.75" customHeight="1">
      <c r="A615" s="2"/>
      <c r="B615" s="1"/>
      <c r="C615" s="1"/>
      <c r="D615" s="1"/>
      <c r="E615" s="1"/>
      <c r="F615" s="1"/>
      <c r="G615" s="1"/>
      <c r="H615" s="1"/>
      <c r="I615" s="61"/>
      <c r="J615" s="1"/>
      <c r="K615" s="1"/>
    </row>
    <row r="616" spans="1:11" ht="15.75" customHeight="1">
      <c r="A616" s="2"/>
      <c r="B616" s="1"/>
      <c r="C616" s="1"/>
      <c r="D616" s="1"/>
      <c r="E616" s="1"/>
      <c r="F616" s="1"/>
      <c r="G616" s="1"/>
      <c r="H616" s="1"/>
      <c r="I616" s="61"/>
      <c r="J616" s="1"/>
      <c r="K616" s="1"/>
    </row>
    <row r="617" spans="1:11" ht="15.75" customHeight="1">
      <c r="A617" s="2"/>
      <c r="B617" s="1"/>
      <c r="C617" s="1"/>
      <c r="D617" s="1"/>
      <c r="E617" s="1"/>
      <c r="F617" s="1"/>
      <c r="G617" s="1"/>
      <c r="H617" s="1"/>
      <c r="I617" s="61"/>
      <c r="J617" s="1"/>
      <c r="K617" s="1"/>
    </row>
    <row r="618" spans="1:11" ht="15.75" customHeight="1">
      <c r="A618" s="2"/>
      <c r="B618" s="1"/>
      <c r="C618" s="1"/>
      <c r="D618" s="1"/>
      <c r="E618" s="1"/>
      <c r="F618" s="1"/>
      <c r="G618" s="1"/>
      <c r="H618" s="1"/>
      <c r="I618" s="61"/>
      <c r="J618" s="1"/>
      <c r="K618" s="1"/>
    </row>
    <row r="619" spans="1:11" ht="15.75" customHeight="1">
      <c r="A619" s="2"/>
      <c r="B619" s="1"/>
      <c r="C619" s="1"/>
      <c r="D619" s="1"/>
      <c r="E619" s="1"/>
      <c r="F619" s="1"/>
      <c r="G619" s="1"/>
      <c r="H619" s="1"/>
      <c r="I619" s="61"/>
      <c r="J619" s="1"/>
      <c r="K619" s="1"/>
    </row>
    <row r="620" spans="1:11" ht="15.75" customHeight="1">
      <c r="A620" s="2"/>
      <c r="B620" s="1"/>
      <c r="C620" s="1"/>
      <c r="D620" s="1"/>
      <c r="E620" s="1"/>
      <c r="F620" s="1"/>
      <c r="G620" s="1"/>
      <c r="H620" s="1"/>
      <c r="I620" s="61"/>
      <c r="J620" s="1"/>
      <c r="K620" s="1"/>
    </row>
    <row r="621" spans="1:11" ht="15.75" customHeight="1">
      <c r="A621" s="2"/>
      <c r="B621" s="1"/>
      <c r="C621" s="1"/>
      <c r="D621" s="1"/>
      <c r="E621" s="1"/>
      <c r="F621" s="1"/>
      <c r="G621" s="1"/>
      <c r="H621" s="1"/>
      <c r="I621" s="61"/>
      <c r="J621" s="1"/>
      <c r="K621" s="1"/>
    </row>
    <row r="622" spans="1:11" ht="15.75" customHeight="1">
      <c r="A622" s="2"/>
      <c r="B622" s="1"/>
      <c r="C622" s="1"/>
      <c r="D622" s="1"/>
      <c r="E622" s="1"/>
      <c r="F622" s="1"/>
      <c r="G622" s="1"/>
      <c r="H622" s="1"/>
      <c r="I622" s="61"/>
      <c r="J622" s="1"/>
      <c r="K622" s="1"/>
    </row>
    <row r="623" spans="1:11" ht="15.75" customHeight="1">
      <c r="A623" s="2"/>
      <c r="B623" s="1"/>
      <c r="C623" s="1"/>
      <c r="D623" s="1"/>
      <c r="E623" s="1"/>
      <c r="F623" s="1"/>
      <c r="G623" s="1"/>
      <c r="H623" s="1"/>
      <c r="I623" s="61"/>
      <c r="J623" s="1"/>
      <c r="K623" s="1"/>
    </row>
    <row r="624" spans="1:11" ht="15.75" customHeight="1">
      <c r="A624" s="2"/>
      <c r="B624" s="1"/>
      <c r="C624" s="1"/>
      <c r="D624" s="1"/>
      <c r="E624" s="1"/>
      <c r="F624" s="1"/>
      <c r="G624" s="1"/>
      <c r="H624" s="1"/>
      <c r="I624" s="61"/>
      <c r="J624" s="1"/>
      <c r="K624" s="1"/>
    </row>
    <row r="625" spans="1:11" ht="15.75" customHeight="1">
      <c r="A625" s="2"/>
      <c r="B625" s="1"/>
      <c r="C625" s="1"/>
      <c r="D625" s="1"/>
      <c r="E625" s="1"/>
      <c r="F625" s="1"/>
      <c r="G625" s="1"/>
      <c r="H625" s="1"/>
      <c r="I625" s="61"/>
      <c r="J625" s="1"/>
      <c r="K625" s="1"/>
    </row>
    <row r="626" spans="1:11" ht="15.75" customHeight="1">
      <c r="A626" s="2"/>
      <c r="B626" s="1"/>
      <c r="C626" s="1"/>
      <c r="D626" s="1"/>
      <c r="E626" s="1"/>
      <c r="F626" s="1"/>
      <c r="G626" s="1"/>
      <c r="H626" s="1"/>
      <c r="I626" s="61"/>
      <c r="J626" s="1"/>
      <c r="K626" s="1"/>
    </row>
    <row r="627" spans="1:11" ht="15.75" customHeight="1">
      <c r="A627" s="2"/>
      <c r="B627" s="1"/>
      <c r="C627" s="1"/>
      <c r="D627" s="1"/>
      <c r="E627" s="1"/>
      <c r="F627" s="1"/>
      <c r="G627" s="1"/>
      <c r="H627" s="1"/>
      <c r="I627" s="61"/>
      <c r="J627" s="1"/>
      <c r="K627" s="1"/>
    </row>
    <row r="628" spans="1:11" ht="15.75" customHeight="1">
      <c r="A628" s="2"/>
      <c r="B628" s="1"/>
      <c r="C628" s="1"/>
      <c r="D628" s="1"/>
      <c r="E628" s="1"/>
      <c r="F628" s="1"/>
      <c r="G628" s="1"/>
      <c r="H628" s="1"/>
      <c r="I628" s="61"/>
      <c r="J628" s="1"/>
      <c r="K628" s="1"/>
    </row>
    <row r="629" spans="1:11" ht="15.75" customHeight="1">
      <c r="A629" s="2"/>
      <c r="B629" s="1"/>
      <c r="C629" s="1"/>
      <c r="D629" s="1"/>
      <c r="E629" s="1"/>
      <c r="F629" s="1"/>
      <c r="G629" s="1"/>
      <c r="H629" s="1"/>
      <c r="I629" s="61"/>
      <c r="J629" s="1"/>
      <c r="K629" s="1"/>
    </row>
    <row r="630" spans="1:11" ht="15.75" customHeight="1">
      <c r="A630" s="2"/>
      <c r="B630" s="1"/>
      <c r="C630" s="1"/>
      <c r="D630" s="1"/>
      <c r="E630" s="1"/>
      <c r="F630" s="1"/>
      <c r="G630" s="1"/>
      <c r="H630" s="1"/>
      <c r="I630" s="61"/>
      <c r="J630" s="1"/>
      <c r="K630" s="1"/>
    </row>
    <row r="631" spans="1:11" ht="15.75" customHeight="1">
      <c r="A631" s="2"/>
      <c r="B631" s="1"/>
      <c r="C631" s="1"/>
      <c r="D631" s="1"/>
      <c r="E631" s="1"/>
      <c r="F631" s="1"/>
      <c r="G631" s="1"/>
      <c r="H631" s="1"/>
      <c r="I631" s="61"/>
      <c r="J631" s="1"/>
      <c r="K631" s="1"/>
    </row>
    <row r="632" spans="1:11" ht="15.75" customHeight="1">
      <c r="A632" s="2"/>
      <c r="B632" s="1"/>
      <c r="C632" s="1"/>
      <c r="D632" s="1"/>
      <c r="E632" s="1"/>
      <c r="F632" s="1"/>
      <c r="G632" s="1"/>
      <c r="H632" s="1"/>
      <c r="I632" s="61"/>
      <c r="J632" s="1"/>
      <c r="K632" s="1"/>
    </row>
    <row r="633" spans="1:11" ht="15.75" customHeight="1">
      <c r="A633" s="2"/>
      <c r="B633" s="1"/>
      <c r="C633" s="1"/>
      <c r="D633" s="1"/>
      <c r="E633" s="1"/>
      <c r="F633" s="1"/>
      <c r="G633" s="1"/>
      <c r="H633" s="1"/>
      <c r="I633" s="61"/>
      <c r="J633" s="1"/>
      <c r="K633" s="1"/>
    </row>
    <row r="634" spans="1:11" ht="15.75" customHeight="1">
      <c r="A634" s="2"/>
      <c r="B634" s="1"/>
      <c r="C634" s="1"/>
      <c r="D634" s="1"/>
      <c r="E634" s="1"/>
      <c r="F634" s="1"/>
      <c r="G634" s="1"/>
      <c r="H634" s="1"/>
      <c r="I634" s="61"/>
      <c r="J634" s="1"/>
      <c r="K634" s="1"/>
    </row>
    <row r="635" spans="1:11" ht="15.75" customHeight="1">
      <c r="A635" s="2"/>
      <c r="B635" s="1"/>
      <c r="C635" s="1"/>
      <c r="D635" s="1"/>
      <c r="E635" s="1"/>
      <c r="F635" s="1"/>
      <c r="G635" s="1"/>
      <c r="H635" s="1"/>
      <c r="I635" s="61"/>
      <c r="J635" s="1"/>
      <c r="K635" s="1"/>
    </row>
    <row r="636" spans="1:11" ht="15.75" customHeight="1">
      <c r="A636" s="2"/>
      <c r="B636" s="1"/>
      <c r="C636" s="1"/>
      <c r="D636" s="1"/>
      <c r="E636" s="1"/>
      <c r="F636" s="1"/>
      <c r="G636" s="1"/>
      <c r="H636" s="1"/>
      <c r="I636" s="61"/>
      <c r="J636" s="1"/>
      <c r="K636" s="1"/>
    </row>
    <row r="637" spans="1:11" ht="15.75" customHeight="1">
      <c r="A637" s="2"/>
      <c r="B637" s="1"/>
      <c r="C637" s="1"/>
      <c r="D637" s="1"/>
      <c r="E637" s="1"/>
      <c r="F637" s="1"/>
      <c r="G637" s="1"/>
      <c r="H637" s="1"/>
      <c r="I637" s="61"/>
      <c r="J637" s="1"/>
      <c r="K637" s="1"/>
    </row>
    <row r="638" spans="1:11" ht="15.75" customHeight="1">
      <c r="A638" s="2"/>
      <c r="B638" s="1"/>
      <c r="C638" s="1"/>
      <c r="D638" s="1"/>
      <c r="E638" s="1"/>
      <c r="F638" s="1"/>
      <c r="G638" s="1"/>
      <c r="H638" s="1"/>
      <c r="I638" s="61"/>
      <c r="J638" s="1"/>
      <c r="K638" s="1"/>
    </row>
    <row r="639" spans="1:11" ht="15.75" customHeight="1">
      <c r="A639" s="2"/>
      <c r="B639" s="1"/>
      <c r="C639" s="1"/>
      <c r="D639" s="1"/>
      <c r="E639" s="1"/>
      <c r="F639" s="1"/>
      <c r="G639" s="1"/>
      <c r="H639" s="1"/>
      <c r="I639" s="61"/>
      <c r="J639" s="1"/>
      <c r="K639" s="1"/>
    </row>
    <row r="640" spans="1:11" ht="15.75" customHeight="1">
      <c r="A640" s="2"/>
      <c r="B640" s="1"/>
      <c r="C640" s="1"/>
      <c r="D640" s="1"/>
      <c r="E640" s="1"/>
      <c r="F640" s="1"/>
      <c r="G640" s="1"/>
      <c r="H640" s="1"/>
      <c r="I640" s="61"/>
      <c r="J640" s="1"/>
      <c r="K640" s="1"/>
    </row>
    <row r="641" spans="1:11" ht="15.75" customHeight="1">
      <c r="A641" s="2"/>
      <c r="B641" s="1"/>
      <c r="C641" s="1"/>
      <c r="D641" s="1"/>
      <c r="E641" s="1"/>
      <c r="F641" s="1"/>
      <c r="G641" s="1"/>
      <c r="H641" s="1"/>
      <c r="I641" s="61"/>
      <c r="J641" s="1"/>
      <c r="K641" s="1"/>
    </row>
    <row r="642" spans="1:11" ht="15.75" customHeight="1">
      <c r="A642" s="2"/>
      <c r="B642" s="1"/>
      <c r="C642" s="1"/>
      <c r="D642" s="1"/>
      <c r="E642" s="1"/>
      <c r="F642" s="1"/>
      <c r="G642" s="1"/>
      <c r="H642" s="1"/>
      <c r="I642" s="61"/>
      <c r="J642" s="1"/>
      <c r="K642" s="1"/>
    </row>
    <row r="643" spans="1:11" ht="15.75" customHeight="1">
      <c r="A643" s="2"/>
      <c r="B643" s="1"/>
      <c r="C643" s="1"/>
      <c r="D643" s="1"/>
      <c r="E643" s="1"/>
      <c r="F643" s="1"/>
      <c r="G643" s="1"/>
      <c r="H643" s="1"/>
      <c r="I643" s="61"/>
      <c r="J643" s="1"/>
      <c r="K643" s="1"/>
    </row>
    <row r="644" spans="1:11" ht="15.75" customHeight="1">
      <c r="A644" s="2"/>
      <c r="B644" s="1"/>
      <c r="C644" s="1"/>
      <c r="D644" s="1"/>
      <c r="E644" s="1"/>
      <c r="F644" s="1"/>
      <c r="G644" s="1"/>
      <c r="H644" s="1"/>
      <c r="I644" s="61"/>
      <c r="J644" s="1"/>
      <c r="K644" s="1"/>
    </row>
    <row r="645" spans="1:11" ht="15.75" customHeight="1">
      <c r="A645" s="2"/>
      <c r="B645" s="1"/>
      <c r="C645" s="1"/>
      <c r="D645" s="1"/>
      <c r="E645" s="1"/>
      <c r="F645" s="1"/>
      <c r="G645" s="1"/>
      <c r="H645" s="1"/>
      <c r="I645" s="61"/>
      <c r="J645" s="1"/>
      <c r="K645" s="1"/>
    </row>
    <row r="646" spans="1:11" ht="15.75" customHeight="1">
      <c r="A646" s="2"/>
      <c r="B646" s="1"/>
      <c r="C646" s="1"/>
      <c r="D646" s="1"/>
      <c r="E646" s="1"/>
      <c r="F646" s="1"/>
      <c r="G646" s="1"/>
      <c r="H646" s="1"/>
      <c r="I646" s="61"/>
      <c r="J646" s="1"/>
      <c r="K646" s="1"/>
    </row>
    <row r="647" spans="1:11" ht="15.75" customHeight="1">
      <c r="A647" s="2"/>
      <c r="B647" s="1"/>
      <c r="C647" s="1"/>
      <c r="D647" s="1"/>
      <c r="E647" s="1"/>
      <c r="F647" s="1"/>
      <c r="G647" s="1"/>
      <c r="H647" s="1"/>
      <c r="I647" s="61"/>
      <c r="J647" s="1"/>
      <c r="K647" s="1"/>
    </row>
    <row r="648" spans="1:11" ht="15.75" customHeight="1">
      <c r="A648" s="2"/>
      <c r="B648" s="1"/>
      <c r="C648" s="1"/>
      <c r="D648" s="1"/>
      <c r="E648" s="1"/>
      <c r="F648" s="1"/>
      <c r="G648" s="1"/>
      <c r="H648" s="1"/>
      <c r="I648" s="61"/>
      <c r="J648" s="1"/>
      <c r="K648" s="1"/>
    </row>
    <row r="649" spans="1:11" ht="15.75" customHeight="1">
      <c r="A649" s="2"/>
      <c r="B649" s="1"/>
      <c r="C649" s="1"/>
      <c r="D649" s="1"/>
      <c r="E649" s="1"/>
      <c r="F649" s="1"/>
      <c r="G649" s="1"/>
      <c r="H649" s="1"/>
      <c r="I649" s="61"/>
      <c r="J649" s="1"/>
      <c r="K649" s="1"/>
    </row>
    <row r="650" spans="1:11" ht="15.75" customHeight="1">
      <c r="A650" s="2"/>
      <c r="B650" s="1"/>
      <c r="C650" s="1"/>
      <c r="D650" s="1"/>
      <c r="E650" s="1"/>
      <c r="F650" s="1"/>
      <c r="G650" s="1"/>
      <c r="H650" s="1"/>
      <c r="I650" s="61"/>
      <c r="J650" s="1"/>
      <c r="K650" s="1"/>
    </row>
    <row r="651" spans="1:11" ht="15.75" customHeight="1">
      <c r="A651" s="2"/>
      <c r="B651" s="1"/>
      <c r="C651" s="1"/>
      <c r="D651" s="1"/>
      <c r="E651" s="1"/>
      <c r="F651" s="1"/>
      <c r="G651" s="1"/>
      <c r="H651" s="1"/>
      <c r="I651" s="61"/>
      <c r="J651" s="1"/>
      <c r="K651" s="1"/>
    </row>
    <row r="652" spans="1:11" ht="15.75" customHeight="1">
      <c r="A652" s="2"/>
      <c r="B652" s="1"/>
      <c r="C652" s="1"/>
      <c r="D652" s="1"/>
      <c r="E652" s="1"/>
      <c r="F652" s="1"/>
      <c r="G652" s="1"/>
      <c r="H652" s="1"/>
      <c r="I652" s="61"/>
      <c r="J652" s="1"/>
      <c r="K652" s="1"/>
    </row>
    <row r="653" spans="1:11" ht="15.75" customHeight="1">
      <c r="A653" s="2"/>
      <c r="B653" s="1"/>
      <c r="C653" s="1"/>
      <c r="D653" s="1"/>
      <c r="E653" s="1"/>
      <c r="F653" s="1"/>
      <c r="G653" s="1"/>
      <c r="H653" s="1"/>
      <c r="I653" s="61"/>
      <c r="J653" s="1"/>
      <c r="K653" s="1"/>
    </row>
    <row r="654" spans="1:11" ht="15.75" customHeight="1">
      <c r="A654" s="2"/>
      <c r="B654" s="1"/>
      <c r="C654" s="1"/>
      <c r="D654" s="1"/>
      <c r="E654" s="1"/>
      <c r="F654" s="1"/>
      <c r="G654" s="1"/>
      <c r="H654" s="1"/>
      <c r="I654" s="61"/>
      <c r="J654" s="1"/>
      <c r="K654" s="1"/>
    </row>
    <row r="655" spans="1:11" ht="15.75" customHeight="1">
      <c r="A655" s="2"/>
      <c r="B655" s="1"/>
      <c r="C655" s="1"/>
      <c r="D655" s="1"/>
      <c r="E655" s="1"/>
      <c r="F655" s="1"/>
      <c r="G655" s="1"/>
      <c r="H655" s="1"/>
      <c r="I655" s="61"/>
      <c r="J655" s="1"/>
      <c r="K655" s="1"/>
    </row>
    <row r="656" spans="1:11" ht="15.75" customHeight="1">
      <c r="A656" s="2"/>
      <c r="B656" s="1"/>
      <c r="C656" s="1"/>
      <c r="D656" s="1"/>
      <c r="E656" s="1"/>
      <c r="F656" s="1"/>
      <c r="G656" s="1"/>
      <c r="H656" s="1"/>
      <c r="I656" s="61"/>
      <c r="J656" s="1"/>
      <c r="K656" s="1"/>
    </row>
    <row r="657" spans="1:11" ht="15.75" customHeight="1">
      <c r="A657" s="2"/>
      <c r="B657" s="1"/>
      <c r="C657" s="1"/>
      <c r="D657" s="1"/>
      <c r="E657" s="1"/>
      <c r="F657" s="1"/>
      <c r="G657" s="1"/>
      <c r="H657" s="1"/>
      <c r="I657" s="61"/>
      <c r="J657" s="1"/>
      <c r="K657" s="1"/>
    </row>
    <row r="658" spans="1:11" ht="15.75" customHeight="1">
      <c r="A658" s="2"/>
      <c r="B658" s="1"/>
      <c r="C658" s="1"/>
      <c r="D658" s="1"/>
      <c r="E658" s="1"/>
      <c r="F658" s="1"/>
      <c r="G658" s="1"/>
      <c r="H658" s="1"/>
      <c r="I658" s="61"/>
      <c r="J658" s="1"/>
      <c r="K658" s="1"/>
    </row>
    <row r="659" spans="1:11" ht="15.75" customHeight="1">
      <c r="A659" s="2"/>
      <c r="B659" s="1"/>
      <c r="C659" s="1"/>
      <c r="D659" s="1"/>
      <c r="E659" s="1"/>
      <c r="F659" s="1"/>
      <c r="G659" s="1"/>
      <c r="H659" s="1"/>
      <c r="I659" s="61"/>
      <c r="J659" s="1"/>
      <c r="K659" s="1"/>
    </row>
    <row r="660" spans="1:11" ht="15.75" customHeight="1">
      <c r="A660" s="2"/>
      <c r="B660" s="1"/>
      <c r="C660" s="1"/>
      <c r="D660" s="1"/>
      <c r="E660" s="1"/>
      <c r="F660" s="1"/>
      <c r="G660" s="1"/>
      <c r="H660" s="1"/>
      <c r="I660" s="61"/>
      <c r="J660" s="1"/>
      <c r="K660" s="1"/>
    </row>
    <row r="661" spans="1:11" ht="15.75" customHeight="1">
      <c r="A661" s="2"/>
      <c r="B661" s="1"/>
      <c r="C661" s="1"/>
      <c r="D661" s="1"/>
      <c r="E661" s="1"/>
      <c r="F661" s="1"/>
      <c r="G661" s="1"/>
      <c r="H661" s="1"/>
      <c r="I661" s="61"/>
      <c r="J661" s="1"/>
      <c r="K661" s="1"/>
    </row>
    <row r="662" spans="1:11" ht="15.75" customHeight="1">
      <c r="A662" s="2"/>
      <c r="B662" s="1"/>
      <c r="C662" s="1"/>
      <c r="D662" s="1"/>
      <c r="E662" s="1"/>
      <c r="F662" s="1"/>
      <c r="G662" s="1"/>
      <c r="H662" s="1"/>
      <c r="I662" s="61"/>
      <c r="J662" s="1"/>
      <c r="K662" s="1"/>
    </row>
    <row r="663" spans="1:11" ht="15.75" customHeight="1">
      <c r="A663" s="2"/>
      <c r="B663" s="1"/>
      <c r="C663" s="1"/>
      <c r="D663" s="1"/>
      <c r="E663" s="1"/>
      <c r="F663" s="1"/>
      <c r="G663" s="1"/>
      <c r="H663" s="1"/>
      <c r="I663" s="61"/>
      <c r="J663" s="1"/>
      <c r="K663" s="1"/>
    </row>
    <row r="664" spans="1:11" ht="15.75" customHeight="1">
      <c r="A664" s="2"/>
      <c r="B664" s="1"/>
      <c r="C664" s="1"/>
      <c r="D664" s="1"/>
      <c r="E664" s="1"/>
      <c r="F664" s="1"/>
      <c r="G664" s="1"/>
      <c r="H664" s="1"/>
      <c r="I664" s="61"/>
      <c r="J664" s="1"/>
      <c r="K664" s="1"/>
    </row>
    <row r="665" spans="1:11" ht="15.75" customHeight="1">
      <c r="A665" s="2"/>
      <c r="B665" s="1"/>
      <c r="C665" s="1"/>
      <c r="D665" s="1"/>
      <c r="E665" s="1"/>
      <c r="F665" s="1"/>
      <c r="G665" s="1"/>
      <c r="H665" s="1"/>
      <c r="I665" s="61"/>
      <c r="J665" s="1"/>
      <c r="K665" s="1"/>
    </row>
    <row r="666" spans="1:11" ht="15.75" customHeight="1">
      <c r="A666" s="2"/>
      <c r="B666" s="1"/>
      <c r="C666" s="1"/>
      <c r="D666" s="1"/>
      <c r="E666" s="1"/>
      <c r="F666" s="1"/>
      <c r="G666" s="1"/>
      <c r="H666" s="1"/>
      <c r="I666" s="61"/>
      <c r="J666" s="1"/>
      <c r="K666" s="1"/>
    </row>
    <row r="667" spans="1:11" ht="15.75" customHeight="1">
      <c r="A667" s="2"/>
      <c r="B667" s="1"/>
      <c r="C667" s="1"/>
      <c r="D667" s="1"/>
      <c r="E667" s="1"/>
      <c r="F667" s="1"/>
      <c r="G667" s="1"/>
      <c r="H667" s="1"/>
      <c r="I667" s="61"/>
      <c r="J667" s="1"/>
      <c r="K667" s="1"/>
    </row>
    <row r="668" spans="1:11" ht="15.75" customHeight="1">
      <c r="A668" s="2"/>
      <c r="B668" s="1"/>
      <c r="C668" s="1"/>
      <c r="D668" s="1"/>
      <c r="E668" s="1"/>
      <c r="F668" s="1"/>
      <c r="G668" s="1"/>
      <c r="H668" s="1"/>
      <c r="I668" s="61"/>
      <c r="J668" s="1"/>
      <c r="K668" s="1"/>
    </row>
    <row r="669" spans="1:11" ht="15.75" customHeight="1">
      <c r="A669" s="2"/>
      <c r="B669" s="1"/>
      <c r="C669" s="1"/>
      <c r="D669" s="1"/>
      <c r="E669" s="1"/>
      <c r="F669" s="1"/>
      <c r="G669" s="1"/>
      <c r="H669" s="1"/>
      <c r="I669" s="61"/>
      <c r="J669" s="1"/>
      <c r="K669" s="1"/>
    </row>
    <row r="670" spans="1:11" ht="15.75" customHeight="1">
      <c r="A670" s="2"/>
      <c r="B670" s="1"/>
      <c r="C670" s="1"/>
      <c r="D670" s="1"/>
      <c r="E670" s="1"/>
      <c r="F670" s="1"/>
      <c r="G670" s="1"/>
      <c r="H670" s="1"/>
      <c r="I670" s="61"/>
      <c r="J670" s="1"/>
      <c r="K670" s="1"/>
    </row>
    <row r="671" spans="1:11" ht="15.75" customHeight="1">
      <c r="A671" s="2"/>
      <c r="B671" s="1"/>
      <c r="C671" s="1"/>
      <c r="D671" s="1"/>
      <c r="E671" s="1"/>
      <c r="F671" s="1"/>
      <c r="G671" s="1"/>
      <c r="H671" s="1"/>
      <c r="I671" s="61"/>
      <c r="J671" s="1"/>
      <c r="K671" s="1"/>
    </row>
    <row r="672" spans="1:11" ht="15.75" customHeight="1">
      <c r="A672" s="2"/>
      <c r="B672" s="1"/>
      <c r="C672" s="1"/>
      <c r="D672" s="1"/>
      <c r="E672" s="1"/>
      <c r="F672" s="1"/>
      <c r="G672" s="1"/>
      <c r="H672" s="1"/>
      <c r="I672" s="61"/>
      <c r="J672" s="1"/>
      <c r="K672" s="1"/>
    </row>
    <row r="673" spans="1:11" ht="15.75" customHeight="1">
      <c r="A673" s="2"/>
      <c r="B673" s="1"/>
      <c r="C673" s="1"/>
      <c r="D673" s="1"/>
      <c r="E673" s="1"/>
      <c r="F673" s="1"/>
      <c r="G673" s="1"/>
      <c r="H673" s="1"/>
      <c r="I673" s="61"/>
      <c r="J673" s="1"/>
      <c r="K673" s="1"/>
    </row>
    <row r="674" spans="1:11" ht="15.75" customHeight="1">
      <c r="A674" s="2"/>
      <c r="B674" s="1"/>
      <c r="C674" s="1"/>
      <c r="D674" s="1"/>
      <c r="E674" s="1"/>
      <c r="F674" s="1"/>
      <c r="G674" s="1"/>
      <c r="H674" s="1"/>
      <c r="I674" s="61"/>
      <c r="J674" s="1"/>
      <c r="K674" s="1"/>
    </row>
    <row r="675" spans="1:11" ht="15.75" customHeight="1">
      <c r="A675" s="2"/>
      <c r="B675" s="1"/>
      <c r="C675" s="1"/>
      <c r="D675" s="1"/>
      <c r="E675" s="1"/>
      <c r="F675" s="1"/>
      <c r="G675" s="1"/>
      <c r="H675" s="1"/>
      <c r="I675" s="61"/>
      <c r="J675" s="1"/>
      <c r="K675" s="1"/>
    </row>
    <row r="676" spans="1:11" ht="15.75" customHeight="1">
      <c r="A676" s="2"/>
      <c r="B676" s="1"/>
      <c r="C676" s="1"/>
      <c r="D676" s="1"/>
      <c r="E676" s="1"/>
      <c r="F676" s="1"/>
      <c r="G676" s="1"/>
      <c r="H676" s="1"/>
      <c r="I676" s="61"/>
      <c r="J676" s="1"/>
      <c r="K676" s="1"/>
    </row>
    <row r="677" spans="1:11" ht="15.75" customHeight="1">
      <c r="A677" s="2"/>
      <c r="B677" s="1"/>
      <c r="C677" s="1"/>
      <c r="D677" s="1"/>
      <c r="E677" s="1"/>
      <c r="F677" s="1"/>
      <c r="G677" s="1"/>
      <c r="H677" s="1"/>
      <c r="I677" s="61"/>
      <c r="J677" s="1"/>
      <c r="K677" s="1"/>
    </row>
    <row r="678" spans="1:11" ht="15.75" customHeight="1">
      <c r="A678" s="2"/>
      <c r="B678" s="1"/>
      <c r="C678" s="1"/>
      <c r="D678" s="1"/>
      <c r="E678" s="1"/>
      <c r="F678" s="1"/>
      <c r="G678" s="1"/>
      <c r="H678" s="1"/>
      <c r="I678" s="61"/>
      <c r="J678" s="1"/>
      <c r="K678" s="1"/>
    </row>
    <row r="679" spans="1:11" ht="15.75" customHeight="1">
      <c r="A679" s="2"/>
      <c r="B679" s="1"/>
      <c r="C679" s="1"/>
      <c r="D679" s="1"/>
      <c r="E679" s="1"/>
      <c r="F679" s="1"/>
      <c r="G679" s="1"/>
      <c r="H679" s="1"/>
      <c r="I679" s="61"/>
      <c r="J679" s="1"/>
      <c r="K679" s="1"/>
    </row>
    <row r="680" spans="1:11" ht="15.75" customHeight="1">
      <c r="A680" s="2"/>
      <c r="B680" s="1"/>
      <c r="C680" s="1"/>
      <c r="D680" s="1"/>
      <c r="E680" s="1"/>
      <c r="F680" s="1"/>
      <c r="G680" s="1"/>
      <c r="H680" s="1"/>
      <c r="I680" s="61"/>
      <c r="J680" s="1"/>
      <c r="K680" s="1"/>
    </row>
    <row r="681" spans="1:11" ht="15.75" customHeight="1">
      <c r="A681" s="2"/>
      <c r="B681" s="1"/>
      <c r="C681" s="1"/>
      <c r="D681" s="1"/>
      <c r="E681" s="1"/>
      <c r="F681" s="1"/>
      <c r="G681" s="1"/>
      <c r="H681" s="1"/>
      <c r="I681" s="61"/>
      <c r="J681" s="1"/>
      <c r="K681" s="1"/>
    </row>
    <row r="682" spans="1:11" ht="15.75" customHeight="1">
      <c r="A682" s="2"/>
      <c r="B682" s="1"/>
      <c r="C682" s="1"/>
      <c r="D682" s="1"/>
      <c r="E682" s="1"/>
      <c r="F682" s="1"/>
      <c r="G682" s="1"/>
      <c r="H682" s="1"/>
      <c r="I682" s="61"/>
      <c r="J682" s="1"/>
      <c r="K682" s="1"/>
    </row>
    <row r="683" spans="1:11" ht="15.75" customHeight="1">
      <c r="A683" s="2"/>
      <c r="B683" s="1"/>
      <c r="C683" s="1"/>
      <c r="D683" s="1"/>
      <c r="E683" s="1"/>
      <c r="F683" s="1"/>
      <c r="G683" s="1"/>
      <c r="H683" s="1"/>
      <c r="I683" s="61"/>
      <c r="J683" s="1"/>
      <c r="K683" s="1"/>
    </row>
    <row r="684" spans="1:11" ht="15.75" customHeight="1">
      <c r="A684" s="2"/>
      <c r="B684" s="1"/>
      <c r="C684" s="1"/>
      <c r="D684" s="1"/>
      <c r="E684" s="1"/>
      <c r="F684" s="1"/>
      <c r="G684" s="1"/>
      <c r="H684" s="1"/>
      <c r="I684" s="61"/>
      <c r="J684" s="1"/>
      <c r="K684" s="1"/>
    </row>
    <row r="685" spans="1:11" ht="15.75" customHeight="1">
      <c r="A685" s="2"/>
      <c r="B685" s="1"/>
      <c r="C685" s="1"/>
      <c r="D685" s="1"/>
      <c r="E685" s="1"/>
      <c r="F685" s="1"/>
      <c r="G685" s="1"/>
      <c r="H685" s="1"/>
      <c r="I685" s="61"/>
      <c r="J685" s="1"/>
      <c r="K685" s="1"/>
    </row>
    <row r="686" spans="1:11" ht="15.75" customHeight="1">
      <c r="A686" s="2"/>
      <c r="B686" s="1"/>
      <c r="C686" s="1"/>
      <c r="D686" s="1"/>
      <c r="E686" s="1"/>
      <c r="F686" s="1"/>
      <c r="G686" s="1"/>
      <c r="H686" s="1"/>
      <c r="I686" s="61"/>
      <c r="J686" s="1"/>
      <c r="K686" s="1"/>
    </row>
    <row r="687" spans="1:11" ht="15.75" customHeight="1">
      <c r="A687" s="2"/>
      <c r="B687" s="1"/>
      <c r="C687" s="1"/>
      <c r="D687" s="1"/>
      <c r="E687" s="1"/>
      <c r="F687" s="1"/>
      <c r="G687" s="1"/>
      <c r="H687" s="1"/>
      <c r="I687" s="61"/>
      <c r="J687" s="1"/>
      <c r="K687" s="1"/>
    </row>
    <row r="688" spans="1:11" ht="15.75" customHeight="1">
      <c r="A688" s="2"/>
      <c r="B688" s="1"/>
      <c r="C688" s="1"/>
      <c r="D688" s="1"/>
      <c r="E688" s="1"/>
      <c r="F688" s="1"/>
      <c r="G688" s="1"/>
      <c r="H688" s="1"/>
      <c r="I688" s="61"/>
      <c r="J688" s="1"/>
      <c r="K688" s="1"/>
    </row>
    <row r="689" spans="1:11" ht="15.75" customHeight="1">
      <c r="A689" s="2"/>
      <c r="B689" s="1"/>
      <c r="C689" s="1"/>
      <c r="D689" s="1"/>
      <c r="E689" s="1"/>
      <c r="F689" s="1"/>
      <c r="G689" s="1"/>
      <c r="H689" s="1"/>
      <c r="I689" s="61"/>
      <c r="J689" s="1"/>
      <c r="K689" s="1"/>
    </row>
    <row r="690" spans="1:11" ht="15.75" customHeight="1">
      <c r="A690" s="2"/>
      <c r="B690" s="1"/>
      <c r="C690" s="1"/>
      <c r="D690" s="1"/>
      <c r="E690" s="1"/>
      <c r="F690" s="1"/>
      <c r="G690" s="1"/>
      <c r="H690" s="1"/>
      <c r="I690" s="61"/>
      <c r="J690" s="1"/>
      <c r="K690" s="1"/>
    </row>
    <row r="691" spans="1:11" ht="15.75" customHeight="1">
      <c r="A691" s="2"/>
      <c r="B691" s="1"/>
      <c r="C691" s="1"/>
      <c r="D691" s="1"/>
      <c r="E691" s="1"/>
      <c r="F691" s="1"/>
      <c r="G691" s="1"/>
      <c r="H691" s="1"/>
      <c r="I691" s="61"/>
      <c r="J691" s="1"/>
      <c r="K691" s="1"/>
    </row>
    <row r="692" spans="1:11" ht="15.75" customHeight="1">
      <c r="A692" s="2"/>
      <c r="B692" s="1"/>
      <c r="C692" s="1"/>
      <c r="D692" s="1"/>
      <c r="E692" s="1"/>
      <c r="F692" s="1"/>
      <c r="G692" s="1"/>
      <c r="H692" s="1"/>
      <c r="I692" s="61"/>
      <c r="J692" s="1"/>
      <c r="K692" s="1"/>
    </row>
    <row r="693" spans="1:11" ht="15.75" customHeight="1">
      <c r="A693" s="2"/>
      <c r="B693" s="1"/>
      <c r="C693" s="1"/>
      <c r="D693" s="1"/>
      <c r="E693" s="1"/>
      <c r="F693" s="1"/>
      <c r="G693" s="1"/>
      <c r="H693" s="1"/>
      <c r="I693" s="61"/>
      <c r="J693" s="1"/>
      <c r="K693" s="1"/>
    </row>
    <row r="694" spans="1:11" ht="15.75" customHeight="1">
      <c r="A694" s="2"/>
      <c r="B694" s="1"/>
      <c r="C694" s="1"/>
      <c r="D694" s="1"/>
      <c r="E694" s="1"/>
      <c r="F694" s="1"/>
      <c r="G694" s="1"/>
      <c r="H694" s="1"/>
      <c r="I694" s="61"/>
      <c r="J694" s="1"/>
      <c r="K694" s="1"/>
    </row>
    <row r="695" spans="1:11" ht="15.75" customHeight="1">
      <c r="A695" s="2"/>
      <c r="B695" s="1"/>
      <c r="C695" s="1"/>
      <c r="D695" s="1"/>
      <c r="E695" s="1"/>
      <c r="F695" s="1"/>
      <c r="G695" s="1"/>
      <c r="H695" s="1"/>
      <c r="I695" s="61"/>
      <c r="J695" s="1"/>
      <c r="K695" s="1"/>
    </row>
    <row r="696" spans="1:11" ht="15.75" customHeight="1">
      <c r="A696" s="2"/>
      <c r="B696" s="1"/>
      <c r="C696" s="1"/>
      <c r="D696" s="1"/>
      <c r="E696" s="1"/>
      <c r="F696" s="1"/>
      <c r="G696" s="1"/>
      <c r="H696" s="1"/>
      <c r="I696" s="61"/>
      <c r="J696" s="1"/>
      <c r="K696" s="1"/>
    </row>
    <row r="697" spans="1:11" ht="15.75" customHeight="1">
      <c r="A697" s="2"/>
      <c r="B697" s="1"/>
      <c r="C697" s="1"/>
      <c r="D697" s="1"/>
      <c r="E697" s="1"/>
      <c r="F697" s="1"/>
      <c r="G697" s="1"/>
      <c r="H697" s="1"/>
      <c r="I697" s="61"/>
      <c r="J697" s="1"/>
      <c r="K697" s="1"/>
    </row>
    <row r="698" spans="1:11" ht="15.75" customHeight="1">
      <c r="A698" s="2"/>
      <c r="B698" s="1"/>
      <c r="C698" s="1"/>
      <c r="D698" s="1"/>
      <c r="E698" s="1"/>
      <c r="F698" s="1"/>
      <c r="G698" s="1"/>
      <c r="H698" s="1"/>
      <c r="I698" s="61"/>
      <c r="J698" s="1"/>
      <c r="K698" s="1"/>
    </row>
    <row r="699" spans="1:11" ht="15.75" customHeight="1">
      <c r="A699" s="2"/>
      <c r="B699" s="1"/>
      <c r="C699" s="1"/>
      <c r="D699" s="1"/>
      <c r="E699" s="1"/>
      <c r="F699" s="1"/>
      <c r="G699" s="1"/>
      <c r="H699" s="1"/>
      <c r="I699" s="61"/>
      <c r="J699" s="1"/>
      <c r="K699" s="1"/>
    </row>
    <row r="700" spans="1:11" ht="15.75" customHeight="1">
      <c r="A700" s="2"/>
      <c r="B700" s="1"/>
      <c r="C700" s="1"/>
      <c r="D700" s="1"/>
      <c r="E700" s="1"/>
      <c r="F700" s="1"/>
      <c r="G700" s="1"/>
      <c r="H700" s="1"/>
      <c r="I700" s="61"/>
      <c r="J700" s="1"/>
      <c r="K700" s="1"/>
    </row>
    <row r="701" spans="1:11" ht="15.75" customHeight="1">
      <c r="A701" s="2"/>
      <c r="B701" s="1"/>
      <c r="C701" s="1"/>
      <c r="D701" s="1"/>
      <c r="E701" s="1"/>
      <c r="F701" s="1"/>
      <c r="G701" s="1"/>
      <c r="H701" s="1"/>
      <c r="I701" s="61"/>
      <c r="J701" s="1"/>
      <c r="K701" s="1"/>
    </row>
    <row r="702" spans="1:11" ht="15.75" customHeight="1">
      <c r="A702" s="2"/>
      <c r="B702" s="1"/>
      <c r="C702" s="1"/>
      <c r="D702" s="1"/>
      <c r="E702" s="1"/>
      <c r="F702" s="1"/>
      <c r="G702" s="1"/>
      <c r="H702" s="1"/>
      <c r="I702" s="61"/>
      <c r="J702" s="1"/>
      <c r="K702" s="1"/>
    </row>
    <row r="703" spans="1:11" ht="15.75" customHeight="1">
      <c r="A703" s="2"/>
      <c r="B703" s="1"/>
      <c r="C703" s="1"/>
      <c r="D703" s="1"/>
      <c r="E703" s="1"/>
      <c r="F703" s="1"/>
      <c r="G703" s="1"/>
      <c r="H703" s="1"/>
      <c r="I703" s="61"/>
      <c r="J703" s="1"/>
      <c r="K703" s="1"/>
    </row>
    <row r="704" spans="1:11" ht="15.75" customHeight="1">
      <c r="A704" s="2"/>
      <c r="B704" s="1"/>
      <c r="C704" s="1"/>
      <c r="D704" s="1"/>
      <c r="E704" s="1"/>
      <c r="F704" s="1"/>
      <c r="G704" s="1"/>
      <c r="H704" s="1"/>
      <c r="I704" s="61"/>
      <c r="J704" s="1"/>
      <c r="K704" s="1"/>
    </row>
    <row r="705" spans="1:11" ht="15.75" customHeight="1">
      <c r="A705" s="2"/>
      <c r="B705" s="1"/>
      <c r="C705" s="1"/>
      <c r="D705" s="1"/>
      <c r="E705" s="1"/>
      <c r="F705" s="1"/>
      <c r="G705" s="1"/>
      <c r="H705" s="1"/>
      <c r="I705" s="61"/>
      <c r="J705" s="1"/>
      <c r="K705" s="1"/>
    </row>
    <row r="706" spans="1:11" ht="15.75" customHeight="1">
      <c r="A706" s="2"/>
      <c r="B706" s="1"/>
      <c r="C706" s="1"/>
      <c r="D706" s="1"/>
      <c r="E706" s="1"/>
      <c r="F706" s="1"/>
      <c r="G706" s="1"/>
      <c r="H706" s="1"/>
      <c r="I706" s="61"/>
      <c r="J706" s="1"/>
      <c r="K706" s="1"/>
    </row>
    <row r="707" spans="1:11" ht="15.75" customHeight="1">
      <c r="A707" s="2"/>
      <c r="B707" s="1"/>
      <c r="C707" s="1"/>
      <c r="D707" s="1"/>
      <c r="E707" s="1"/>
      <c r="F707" s="1"/>
      <c r="G707" s="1"/>
      <c r="H707" s="1"/>
      <c r="I707" s="61"/>
      <c r="J707" s="1"/>
      <c r="K707" s="1"/>
    </row>
    <row r="708" spans="1:11" ht="15.75" customHeight="1">
      <c r="A708" s="2"/>
      <c r="B708" s="1"/>
      <c r="C708" s="1"/>
      <c r="D708" s="1"/>
      <c r="E708" s="1"/>
      <c r="F708" s="1"/>
      <c r="G708" s="1"/>
      <c r="H708" s="1"/>
      <c r="I708" s="61"/>
      <c r="J708" s="1"/>
      <c r="K708" s="1"/>
    </row>
    <row r="709" spans="1:11" ht="15.75" customHeight="1">
      <c r="A709" s="2"/>
      <c r="B709" s="1"/>
      <c r="C709" s="1"/>
      <c r="D709" s="1"/>
      <c r="E709" s="1"/>
      <c r="F709" s="1"/>
      <c r="G709" s="1"/>
      <c r="H709" s="1"/>
      <c r="I709" s="61"/>
      <c r="J709" s="1"/>
      <c r="K709" s="1"/>
    </row>
    <row r="710" spans="1:11" ht="15.75" customHeight="1">
      <c r="A710" s="2"/>
      <c r="B710" s="1"/>
      <c r="C710" s="1"/>
      <c r="D710" s="1"/>
      <c r="E710" s="1"/>
      <c r="F710" s="1"/>
      <c r="G710" s="1"/>
      <c r="H710" s="1"/>
      <c r="I710" s="61"/>
      <c r="J710" s="1"/>
      <c r="K710" s="1"/>
    </row>
    <row r="711" spans="1:11" ht="15.75" customHeight="1">
      <c r="A711" s="2"/>
      <c r="B711" s="1"/>
      <c r="C711" s="1"/>
      <c r="D711" s="1"/>
      <c r="E711" s="1"/>
      <c r="F711" s="1"/>
      <c r="G711" s="1"/>
      <c r="H711" s="1"/>
      <c r="I711" s="61"/>
      <c r="J711" s="1"/>
      <c r="K711" s="1"/>
    </row>
    <row r="712" spans="1:11" ht="15.75" customHeight="1">
      <c r="A712" s="2"/>
      <c r="B712" s="1"/>
      <c r="C712" s="1"/>
      <c r="D712" s="1"/>
      <c r="E712" s="1"/>
      <c r="F712" s="1"/>
      <c r="G712" s="1"/>
      <c r="H712" s="1"/>
      <c r="I712" s="61"/>
      <c r="J712" s="1"/>
      <c r="K712" s="1"/>
    </row>
    <row r="713" spans="1:11" ht="15.75" customHeight="1">
      <c r="A713" s="2"/>
      <c r="B713" s="1"/>
      <c r="C713" s="1"/>
      <c r="D713" s="1"/>
      <c r="E713" s="1"/>
      <c r="F713" s="1"/>
      <c r="G713" s="1"/>
      <c r="H713" s="1"/>
      <c r="I713" s="61"/>
      <c r="J713" s="1"/>
      <c r="K713" s="1"/>
    </row>
    <row r="714" spans="1:11" ht="15.75" customHeight="1">
      <c r="A714" s="2"/>
      <c r="B714" s="1"/>
      <c r="C714" s="1"/>
      <c r="D714" s="1"/>
      <c r="E714" s="1"/>
      <c r="F714" s="1"/>
      <c r="G714" s="1"/>
      <c r="H714" s="1"/>
      <c r="I714" s="61"/>
      <c r="J714" s="1"/>
      <c r="K714" s="1"/>
    </row>
    <row r="715" spans="1:11" ht="15.75" customHeight="1">
      <c r="A715" s="2"/>
      <c r="B715" s="1"/>
      <c r="C715" s="1"/>
      <c r="D715" s="1"/>
      <c r="E715" s="1"/>
      <c r="F715" s="1"/>
      <c r="G715" s="1"/>
      <c r="H715" s="1"/>
      <c r="I715" s="61"/>
      <c r="J715" s="1"/>
      <c r="K715" s="1"/>
    </row>
    <row r="716" spans="1:11" ht="15.75" customHeight="1">
      <c r="A716" s="2"/>
      <c r="B716" s="1"/>
      <c r="C716" s="1"/>
      <c r="D716" s="1"/>
      <c r="E716" s="1"/>
      <c r="F716" s="1"/>
      <c r="G716" s="1"/>
      <c r="H716" s="1"/>
      <c r="I716" s="61"/>
      <c r="J716" s="1"/>
      <c r="K716" s="1"/>
    </row>
    <row r="717" spans="1:11" ht="15.75" customHeight="1">
      <c r="A717" s="2"/>
      <c r="B717" s="1"/>
      <c r="C717" s="1"/>
      <c r="D717" s="1"/>
      <c r="E717" s="1"/>
      <c r="F717" s="1"/>
      <c r="G717" s="1"/>
      <c r="H717" s="1"/>
      <c r="I717" s="61"/>
      <c r="J717" s="1"/>
      <c r="K717" s="1"/>
    </row>
    <row r="718" spans="1:11" ht="15.75" customHeight="1">
      <c r="A718" s="2"/>
      <c r="B718" s="1"/>
      <c r="C718" s="1"/>
      <c r="D718" s="1"/>
      <c r="E718" s="1"/>
      <c r="F718" s="1"/>
      <c r="G718" s="1"/>
      <c r="H718" s="1"/>
      <c r="I718" s="61"/>
      <c r="J718" s="1"/>
      <c r="K718" s="1"/>
    </row>
    <row r="719" spans="1:11" ht="15.75" customHeight="1">
      <c r="A719" s="2"/>
      <c r="B719" s="1"/>
      <c r="C719" s="1"/>
      <c r="D719" s="1"/>
      <c r="E719" s="1"/>
      <c r="F719" s="1"/>
      <c r="G719" s="1"/>
      <c r="H719" s="1"/>
      <c r="I719" s="61"/>
      <c r="J719" s="1"/>
      <c r="K719" s="1"/>
    </row>
    <row r="720" spans="1:11" ht="15.75" customHeight="1">
      <c r="A720" s="2"/>
      <c r="B720" s="1"/>
      <c r="C720" s="1"/>
      <c r="D720" s="1"/>
      <c r="E720" s="1"/>
      <c r="F720" s="1"/>
      <c r="G720" s="1"/>
      <c r="H720" s="1"/>
      <c r="I720" s="61"/>
      <c r="J720" s="1"/>
      <c r="K720" s="1"/>
    </row>
    <row r="721" spans="1:11" ht="15.75" customHeight="1">
      <c r="A721" s="2"/>
      <c r="B721" s="1"/>
      <c r="C721" s="1"/>
      <c r="D721" s="1"/>
      <c r="E721" s="1"/>
      <c r="F721" s="1"/>
      <c r="G721" s="1"/>
      <c r="H721" s="1"/>
      <c r="I721" s="61"/>
      <c r="J721" s="1"/>
      <c r="K721" s="1"/>
    </row>
    <row r="722" spans="1:11" ht="15.75" customHeight="1">
      <c r="A722" s="2"/>
      <c r="B722" s="1"/>
      <c r="C722" s="1"/>
      <c r="D722" s="1"/>
      <c r="E722" s="1"/>
      <c r="F722" s="1"/>
      <c r="G722" s="1"/>
      <c r="H722" s="1"/>
      <c r="I722" s="61"/>
      <c r="J722" s="1"/>
      <c r="K722" s="1"/>
    </row>
    <row r="723" spans="1:11" ht="15.75" customHeight="1">
      <c r="A723" s="2"/>
      <c r="B723" s="1"/>
      <c r="C723" s="1"/>
      <c r="D723" s="1"/>
      <c r="E723" s="1"/>
      <c r="F723" s="1"/>
      <c r="G723" s="1"/>
      <c r="H723" s="1"/>
      <c r="I723" s="61"/>
      <c r="J723" s="1"/>
      <c r="K723" s="1"/>
    </row>
    <row r="724" spans="1:11" ht="15.75" customHeight="1">
      <c r="A724" s="2"/>
      <c r="B724" s="1"/>
      <c r="C724" s="1"/>
      <c r="D724" s="1"/>
      <c r="E724" s="1"/>
      <c r="F724" s="1"/>
      <c r="G724" s="1"/>
      <c r="H724" s="1"/>
      <c r="I724" s="61"/>
      <c r="J724" s="1"/>
      <c r="K724" s="1"/>
    </row>
    <row r="725" spans="1:11" ht="15.75" customHeight="1">
      <c r="A725" s="2"/>
      <c r="B725" s="1"/>
      <c r="C725" s="1"/>
      <c r="D725" s="1"/>
      <c r="E725" s="1"/>
      <c r="F725" s="1"/>
      <c r="G725" s="1"/>
      <c r="H725" s="1"/>
      <c r="I725" s="61"/>
      <c r="J725" s="1"/>
      <c r="K725" s="1"/>
    </row>
    <row r="726" spans="1:11" ht="15.75" customHeight="1">
      <c r="A726" s="2"/>
      <c r="B726" s="1"/>
      <c r="C726" s="1"/>
      <c r="D726" s="1"/>
      <c r="E726" s="1"/>
      <c r="F726" s="1"/>
      <c r="G726" s="1"/>
      <c r="H726" s="1"/>
      <c r="I726" s="61"/>
      <c r="J726" s="1"/>
      <c r="K726" s="1"/>
    </row>
    <row r="727" spans="1:11" ht="15.75" customHeight="1">
      <c r="A727" s="2"/>
      <c r="B727" s="1"/>
      <c r="C727" s="1"/>
      <c r="D727" s="1"/>
      <c r="E727" s="1"/>
      <c r="F727" s="1"/>
      <c r="G727" s="1"/>
      <c r="H727" s="1"/>
      <c r="I727" s="61"/>
      <c r="J727" s="1"/>
      <c r="K727" s="1"/>
    </row>
    <row r="728" spans="1:11" ht="15.75" customHeight="1">
      <c r="A728" s="2"/>
      <c r="B728" s="1"/>
      <c r="C728" s="1"/>
      <c r="D728" s="1"/>
      <c r="E728" s="1"/>
      <c r="F728" s="1"/>
      <c r="G728" s="1"/>
      <c r="H728" s="1"/>
      <c r="I728" s="61"/>
      <c r="J728" s="1"/>
      <c r="K728" s="1"/>
    </row>
    <row r="729" spans="1:11" ht="15.75" customHeight="1">
      <c r="A729" s="2"/>
      <c r="B729" s="1"/>
      <c r="C729" s="1"/>
      <c r="D729" s="1"/>
      <c r="E729" s="1"/>
      <c r="F729" s="1"/>
      <c r="G729" s="1"/>
      <c r="H729" s="1"/>
      <c r="I729" s="61"/>
      <c r="J729" s="1"/>
      <c r="K729" s="1"/>
    </row>
    <row r="730" spans="1:11" ht="15.75" customHeight="1">
      <c r="A730" s="2"/>
      <c r="B730" s="1"/>
      <c r="C730" s="1"/>
      <c r="D730" s="1"/>
      <c r="E730" s="1"/>
      <c r="F730" s="1"/>
      <c r="G730" s="1"/>
      <c r="H730" s="1"/>
      <c r="I730" s="61"/>
      <c r="J730" s="1"/>
      <c r="K730" s="1"/>
    </row>
    <row r="731" spans="1:11" ht="15.75" customHeight="1">
      <c r="A731" s="2"/>
      <c r="B731" s="1"/>
      <c r="C731" s="1"/>
      <c r="D731" s="1"/>
      <c r="E731" s="1"/>
      <c r="F731" s="1"/>
      <c r="G731" s="1"/>
      <c r="H731" s="1"/>
      <c r="I731" s="61"/>
      <c r="J731" s="1"/>
      <c r="K731" s="1"/>
    </row>
    <row r="732" spans="1:11" ht="15.75" customHeight="1">
      <c r="A732" s="2"/>
      <c r="B732" s="1"/>
      <c r="C732" s="1"/>
      <c r="D732" s="1"/>
      <c r="E732" s="1"/>
      <c r="F732" s="1"/>
      <c r="G732" s="1"/>
      <c r="H732" s="1"/>
      <c r="I732" s="61"/>
      <c r="J732" s="1"/>
      <c r="K732" s="1"/>
    </row>
    <row r="733" spans="1:11" ht="15.75" customHeight="1">
      <c r="A733" s="2"/>
      <c r="B733" s="1"/>
      <c r="C733" s="1"/>
      <c r="D733" s="1"/>
      <c r="E733" s="1"/>
      <c r="F733" s="1"/>
      <c r="G733" s="1"/>
      <c r="H733" s="1"/>
      <c r="I733" s="61"/>
      <c r="J733" s="1"/>
      <c r="K733" s="1"/>
    </row>
    <row r="734" spans="1:11" ht="15.75" customHeight="1">
      <c r="A734" s="2"/>
      <c r="B734" s="1"/>
      <c r="C734" s="1"/>
      <c r="D734" s="1"/>
      <c r="E734" s="1"/>
      <c r="F734" s="1"/>
      <c r="G734" s="1"/>
      <c r="H734" s="1"/>
      <c r="I734" s="61"/>
      <c r="J734" s="1"/>
      <c r="K734" s="1"/>
    </row>
    <row r="735" spans="1:11" ht="15.75" customHeight="1">
      <c r="A735" s="2"/>
      <c r="B735" s="1"/>
      <c r="C735" s="1"/>
      <c r="D735" s="1"/>
      <c r="E735" s="1"/>
      <c r="F735" s="1"/>
      <c r="G735" s="1"/>
      <c r="H735" s="1"/>
      <c r="I735" s="61"/>
      <c r="J735" s="1"/>
      <c r="K735" s="1"/>
    </row>
    <row r="736" spans="1:11" ht="15.75" customHeight="1">
      <c r="A736" s="2"/>
      <c r="B736" s="1"/>
      <c r="C736" s="1"/>
      <c r="D736" s="1"/>
      <c r="E736" s="1"/>
      <c r="F736" s="1"/>
      <c r="G736" s="1"/>
      <c r="H736" s="1"/>
      <c r="I736" s="61"/>
      <c r="J736" s="1"/>
      <c r="K736" s="1"/>
    </row>
    <row r="737" spans="1:11" ht="15.75" customHeight="1">
      <c r="A737" s="2"/>
      <c r="B737" s="1"/>
      <c r="C737" s="1"/>
      <c r="D737" s="1"/>
      <c r="E737" s="1"/>
      <c r="F737" s="1"/>
      <c r="G737" s="1"/>
      <c r="H737" s="1"/>
      <c r="I737" s="61"/>
      <c r="J737" s="1"/>
      <c r="K737" s="1"/>
    </row>
    <row r="738" spans="1:11" ht="15.75" customHeight="1">
      <c r="A738" s="2"/>
      <c r="B738" s="1"/>
      <c r="C738" s="1"/>
      <c r="D738" s="1"/>
      <c r="E738" s="1"/>
      <c r="F738" s="1"/>
      <c r="G738" s="1"/>
      <c r="H738" s="1"/>
      <c r="I738" s="61"/>
      <c r="J738" s="1"/>
      <c r="K738" s="1"/>
    </row>
    <row r="739" spans="1:11" ht="15.75" customHeight="1">
      <c r="A739" s="2"/>
      <c r="B739" s="1"/>
      <c r="C739" s="1"/>
      <c r="D739" s="1"/>
      <c r="E739" s="1"/>
      <c r="F739" s="1"/>
      <c r="G739" s="1"/>
      <c r="H739" s="1"/>
      <c r="I739" s="61"/>
      <c r="J739" s="1"/>
      <c r="K739" s="1"/>
    </row>
    <row r="740" spans="1:11" ht="15.75" customHeight="1">
      <c r="A740" s="2"/>
      <c r="B740" s="1"/>
      <c r="C740" s="1"/>
      <c r="D740" s="1"/>
      <c r="E740" s="1"/>
      <c r="F740" s="1"/>
      <c r="G740" s="1"/>
      <c r="H740" s="1"/>
      <c r="I740" s="61"/>
      <c r="J740" s="1"/>
      <c r="K740" s="1"/>
    </row>
    <row r="741" spans="1:11" ht="15.75" customHeight="1">
      <c r="A741" s="2"/>
      <c r="B741" s="1"/>
      <c r="C741" s="1"/>
      <c r="D741" s="1"/>
      <c r="E741" s="1"/>
      <c r="F741" s="1"/>
      <c r="G741" s="1"/>
      <c r="H741" s="1"/>
      <c r="I741" s="61"/>
      <c r="J741" s="1"/>
      <c r="K741" s="1"/>
    </row>
    <row r="742" spans="1:11" ht="15.75" customHeight="1">
      <c r="A742" s="2"/>
      <c r="B742" s="1"/>
      <c r="C742" s="1"/>
      <c r="D742" s="1"/>
      <c r="E742" s="1"/>
      <c r="F742" s="1"/>
      <c r="G742" s="1"/>
      <c r="H742" s="1"/>
      <c r="I742" s="61"/>
      <c r="J742" s="1"/>
      <c r="K742" s="1"/>
    </row>
    <row r="743" spans="1:11" ht="15.75" customHeight="1">
      <c r="A743" s="2"/>
      <c r="B743" s="1"/>
      <c r="C743" s="1"/>
      <c r="D743" s="1"/>
      <c r="E743" s="1"/>
      <c r="F743" s="1"/>
      <c r="G743" s="1"/>
      <c r="H743" s="1"/>
      <c r="I743" s="61"/>
      <c r="J743" s="1"/>
      <c r="K743" s="1"/>
    </row>
    <row r="744" spans="1:11" ht="15.75" customHeight="1">
      <c r="A744" s="2"/>
      <c r="B744" s="1"/>
      <c r="C744" s="1"/>
      <c r="D744" s="1"/>
      <c r="E744" s="1"/>
      <c r="F744" s="1"/>
      <c r="G744" s="1"/>
      <c r="H744" s="1"/>
      <c r="I744" s="61"/>
      <c r="J744" s="1"/>
      <c r="K744" s="1"/>
    </row>
    <row r="745" spans="1:11" ht="15.75" customHeight="1">
      <c r="A745" s="2"/>
      <c r="B745" s="1"/>
      <c r="C745" s="1"/>
      <c r="D745" s="1"/>
      <c r="E745" s="1"/>
      <c r="F745" s="1"/>
      <c r="G745" s="1"/>
      <c r="H745" s="1"/>
      <c r="I745" s="61"/>
      <c r="J745" s="1"/>
      <c r="K745" s="1"/>
    </row>
    <row r="746" spans="1:11" ht="15.75" customHeight="1">
      <c r="A746" s="2"/>
      <c r="B746" s="1"/>
      <c r="C746" s="1"/>
      <c r="D746" s="1"/>
      <c r="E746" s="1"/>
      <c r="F746" s="1"/>
      <c r="G746" s="1"/>
      <c r="H746" s="1"/>
      <c r="I746" s="61"/>
      <c r="J746" s="1"/>
      <c r="K746" s="1"/>
    </row>
    <row r="747" spans="1:11" ht="15.75" customHeight="1">
      <c r="A747" s="2"/>
      <c r="B747" s="1"/>
      <c r="C747" s="1"/>
      <c r="D747" s="1"/>
      <c r="E747" s="1"/>
      <c r="F747" s="1"/>
      <c r="G747" s="1"/>
      <c r="H747" s="1"/>
      <c r="I747" s="61"/>
      <c r="J747" s="1"/>
      <c r="K747" s="1"/>
    </row>
    <row r="748" spans="1:11" ht="15.75" customHeight="1">
      <c r="A748" s="2"/>
      <c r="B748" s="1"/>
      <c r="C748" s="1"/>
      <c r="D748" s="1"/>
      <c r="E748" s="1"/>
      <c r="F748" s="1"/>
      <c r="G748" s="1"/>
      <c r="H748" s="1"/>
      <c r="I748" s="61"/>
      <c r="J748" s="1"/>
      <c r="K748" s="1"/>
    </row>
    <row r="749" spans="1:11" ht="15.75" customHeight="1">
      <c r="A749" s="2"/>
      <c r="B749" s="1"/>
      <c r="C749" s="1"/>
      <c r="D749" s="1"/>
      <c r="E749" s="1"/>
      <c r="F749" s="1"/>
      <c r="G749" s="1"/>
      <c r="H749" s="1"/>
      <c r="I749" s="61"/>
      <c r="J749" s="1"/>
      <c r="K749" s="1"/>
    </row>
    <row r="750" spans="1:11" ht="15.75" customHeight="1">
      <c r="A750" s="2"/>
      <c r="B750" s="1"/>
      <c r="C750" s="1"/>
      <c r="D750" s="1"/>
      <c r="E750" s="1"/>
      <c r="F750" s="1"/>
      <c r="G750" s="1"/>
      <c r="H750" s="1"/>
      <c r="I750" s="61"/>
      <c r="J750" s="1"/>
      <c r="K750" s="1"/>
    </row>
    <row r="751" spans="1:11" ht="15.75" customHeight="1">
      <c r="A751" s="2"/>
      <c r="B751" s="1"/>
      <c r="C751" s="1"/>
      <c r="D751" s="1"/>
      <c r="E751" s="1"/>
      <c r="F751" s="1"/>
      <c r="G751" s="1"/>
      <c r="H751" s="1"/>
      <c r="I751" s="61"/>
      <c r="J751" s="1"/>
      <c r="K751" s="1"/>
    </row>
    <row r="752" spans="1:11" ht="15.75" customHeight="1">
      <c r="A752" s="2"/>
      <c r="B752" s="1"/>
      <c r="C752" s="1"/>
      <c r="D752" s="1"/>
      <c r="E752" s="1"/>
      <c r="F752" s="1"/>
      <c r="G752" s="1"/>
      <c r="H752" s="1"/>
      <c r="I752" s="61"/>
      <c r="J752" s="1"/>
      <c r="K752" s="1"/>
    </row>
    <row r="753" spans="1:11" ht="15.75" customHeight="1">
      <c r="A753" s="2"/>
      <c r="B753" s="1"/>
      <c r="C753" s="1"/>
      <c r="D753" s="1"/>
      <c r="E753" s="1"/>
      <c r="F753" s="1"/>
      <c r="G753" s="1"/>
      <c r="H753" s="1"/>
      <c r="I753" s="61"/>
      <c r="J753" s="1"/>
      <c r="K753" s="1"/>
    </row>
    <row r="754" spans="1:11" ht="15.75" customHeight="1">
      <c r="A754" s="2"/>
      <c r="B754" s="1"/>
      <c r="C754" s="1"/>
      <c r="D754" s="1"/>
      <c r="E754" s="1"/>
      <c r="F754" s="1"/>
      <c r="G754" s="1"/>
      <c r="H754" s="1"/>
      <c r="I754" s="61"/>
      <c r="J754" s="1"/>
      <c r="K754" s="1"/>
    </row>
    <row r="755" spans="1:11" ht="15.75" customHeight="1">
      <c r="A755" s="2"/>
      <c r="B755" s="1"/>
      <c r="C755" s="1"/>
      <c r="D755" s="1"/>
      <c r="E755" s="1"/>
      <c r="F755" s="1"/>
      <c r="G755" s="1"/>
      <c r="H755" s="1"/>
      <c r="I755" s="61"/>
      <c r="J755" s="1"/>
      <c r="K755" s="1"/>
    </row>
    <row r="756" spans="1:11" ht="15.75" customHeight="1">
      <c r="A756" s="2"/>
      <c r="B756" s="1"/>
      <c r="C756" s="1"/>
      <c r="D756" s="1"/>
      <c r="E756" s="1"/>
      <c r="F756" s="1"/>
      <c r="G756" s="1"/>
      <c r="H756" s="1"/>
      <c r="I756" s="61"/>
      <c r="J756" s="1"/>
      <c r="K756" s="1"/>
    </row>
    <row r="757" spans="1:11" ht="15.75" customHeight="1">
      <c r="A757" s="2"/>
      <c r="B757" s="1"/>
      <c r="C757" s="1"/>
      <c r="D757" s="1"/>
      <c r="E757" s="1"/>
      <c r="F757" s="1"/>
      <c r="G757" s="1"/>
      <c r="H757" s="1"/>
      <c r="I757" s="61"/>
      <c r="J757" s="1"/>
      <c r="K757" s="1"/>
    </row>
    <row r="758" spans="1:11" ht="15.75" customHeight="1">
      <c r="A758" s="2"/>
      <c r="B758" s="1"/>
      <c r="C758" s="1"/>
      <c r="D758" s="1"/>
      <c r="E758" s="1"/>
      <c r="F758" s="1"/>
      <c r="G758" s="1"/>
      <c r="H758" s="1"/>
      <c r="I758" s="61"/>
      <c r="J758" s="1"/>
      <c r="K758" s="1"/>
    </row>
    <row r="759" spans="1:11" ht="15.75" customHeight="1">
      <c r="A759" s="2"/>
      <c r="B759" s="1"/>
      <c r="C759" s="1"/>
      <c r="D759" s="1"/>
      <c r="E759" s="1"/>
      <c r="F759" s="1"/>
      <c r="G759" s="1"/>
      <c r="H759" s="1"/>
      <c r="I759" s="61"/>
      <c r="J759" s="1"/>
      <c r="K759" s="1"/>
    </row>
    <row r="760" spans="1:11" ht="15.75" customHeight="1">
      <c r="A760" s="2"/>
      <c r="B760" s="1"/>
      <c r="C760" s="1"/>
      <c r="D760" s="1"/>
      <c r="E760" s="1"/>
      <c r="F760" s="1"/>
      <c r="G760" s="1"/>
      <c r="H760" s="1"/>
      <c r="I760" s="61"/>
      <c r="J760" s="1"/>
      <c r="K760" s="1"/>
    </row>
    <row r="761" spans="1:11" ht="15.75" customHeight="1">
      <c r="A761" s="2"/>
      <c r="B761" s="1"/>
      <c r="C761" s="1"/>
      <c r="D761" s="1"/>
      <c r="E761" s="1"/>
      <c r="F761" s="1"/>
      <c r="G761" s="1"/>
      <c r="H761" s="1"/>
      <c r="I761" s="61"/>
      <c r="J761" s="1"/>
      <c r="K761" s="1"/>
    </row>
    <row r="762" spans="1:11" ht="15.75" customHeight="1">
      <c r="A762" s="2"/>
      <c r="B762" s="1"/>
      <c r="C762" s="1"/>
      <c r="D762" s="1"/>
      <c r="E762" s="1"/>
      <c r="F762" s="1"/>
      <c r="G762" s="1"/>
      <c r="H762" s="1"/>
      <c r="I762" s="61"/>
      <c r="J762" s="1"/>
      <c r="K762" s="1"/>
    </row>
    <row r="763" spans="1:11" ht="15.75" customHeight="1">
      <c r="A763" s="2"/>
      <c r="B763" s="1"/>
      <c r="C763" s="1"/>
      <c r="D763" s="1"/>
      <c r="E763" s="1"/>
      <c r="F763" s="1"/>
      <c r="G763" s="1"/>
      <c r="H763" s="1"/>
      <c r="I763" s="61"/>
      <c r="J763" s="1"/>
      <c r="K763" s="1"/>
    </row>
    <row r="764" spans="1:11" ht="15.75" customHeight="1">
      <c r="A764" s="2"/>
      <c r="B764" s="1"/>
      <c r="C764" s="1"/>
      <c r="D764" s="1"/>
      <c r="E764" s="1"/>
      <c r="F764" s="1"/>
      <c r="G764" s="1"/>
      <c r="H764" s="1"/>
      <c r="I764" s="61"/>
      <c r="J764" s="1"/>
      <c r="K764" s="1"/>
    </row>
    <row r="765" spans="1:11" ht="15.75" customHeight="1">
      <c r="A765" s="2"/>
      <c r="B765" s="1"/>
      <c r="C765" s="1"/>
      <c r="D765" s="1"/>
      <c r="E765" s="1"/>
      <c r="F765" s="1"/>
      <c r="G765" s="1"/>
      <c r="H765" s="1"/>
      <c r="I765" s="61"/>
      <c r="J765" s="1"/>
      <c r="K765" s="1"/>
    </row>
    <row r="766" spans="1:11" ht="15.75" customHeight="1">
      <c r="A766" s="2"/>
      <c r="B766" s="1"/>
      <c r="C766" s="1"/>
      <c r="D766" s="1"/>
      <c r="E766" s="1"/>
      <c r="F766" s="1"/>
      <c r="G766" s="1"/>
      <c r="H766" s="1"/>
      <c r="I766" s="61"/>
      <c r="J766" s="1"/>
      <c r="K766" s="1"/>
    </row>
    <row r="767" spans="1:11" ht="15.75" customHeight="1">
      <c r="A767" s="2"/>
      <c r="B767" s="1"/>
      <c r="C767" s="1"/>
      <c r="D767" s="1"/>
      <c r="E767" s="1"/>
      <c r="F767" s="1"/>
      <c r="G767" s="1"/>
      <c r="H767" s="1"/>
      <c r="I767" s="61"/>
      <c r="J767" s="1"/>
      <c r="K767" s="1"/>
    </row>
    <row r="768" spans="1:11" ht="15.75" customHeight="1">
      <c r="A768" s="2"/>
      <c r="B768" s="1"/>
      <c r="C768" s="1"/>
      <c r="D768" s="1"/>
      <c r="E768" s="1"/>
      <c r="F768" s="1"/>
      <c r="G768" s="1"/>
      <c r="H768" s="1"/>
      <c r="I768" s="61"/>
      <c r="J768" s="1"/>
      <c r="K768" s="1"/>
    </row>
    <row r="769" spans="1:11" ht="15.75" customHeight="1">
      <c r="A769" s="2"/>
      <c r="B769" s="1"/>
      <c r="C769" s="1"/>
      <c r="D769" s="1"/>
      <c r="E769" s="1"/>
      <c r="F769" s="1"/>
      <c r="G769" s="1"/>
      <c r="H769" s="1"/>
      <c r="I769" s="61"/>
      <c r="J769" s="1"/>
      <c r="K769" s="1"/>
    </row>
    <row r="770" spans="1:11" ht="15.75" customHeight="1">
      <c r="A770" s="2"/>
      <c r="B770" s="1"/>
      <c r="C770" s="1"/>
      <c r="D770" s="1"/>
      <c r="E770" s="1"/>
      <c r="F770" s="1"/>
      <c r="G770" s="1"/>
      <c r="H770" s="1"/>
      <c r="I770" s="61"/>
      <c r="J770" s="1"/>
      <c r="K770" s="1"/>
    </row>
    <row r="771" spans="1:11" ht="15.75" customHeight="1">
      <c r="A771" s="2"/>
      <c r="B771" s="1"/>
      <c r="C771" s="1"/>
      <c r="D771" s="1"/>
      <c r="E771" s="1"/>
      <c r="F771" s="1"/>
      <c r="G771" s="1"/>
      <c r="H771" s="1"/>
      <c r="I771" s="61"/>
      <c r="J771" s="1"/>
      <c r="K771" s="1"/>
    </row>
    <row r="772" spans="1:11" ht="15.75" customHeight="1">
      <c r="A772" s="2"/>
      <c r="B772" s="1"/>
      <c r="C772" s="1"/>
      <c r="D772" s="1"/>
      <c r="E772" s="1"/>
      <c r="F772" s="1"/>
      <c r="G772" s="1"/>
      <c r="H772" s="1"/>
      <c r="I772" s="61"/>
      <c r="J772" s="1"/>
      <c r="K772" s="1"/>
    </row>
    <row r="773" spans="1:11" ht="15.75" customHeight="1">
      <c r="A773" s="2"/>
      <c r="B773" s="1"/>
      <c r="C773" s="1"/>
      <c r="D773" s="1"/>
      <c r="E773" s="1"/>
      <c r="F773" s="1"/>
      <c r="G773" s="1"/>
      <c r="H773" s="1"/>
      <c r="I773" s="61"/>
      <c r="J773" s="1"/>
      <c r="K773" s="1"/>
    </row>
    <row r="774" spans="1:11" ht="15.75" customHeight="1">
      <c r="A774" s="2"/>
      <c r="B774" s="1"/>
      <c r="C774" s="1"/>
      <c r="D774" s="1"/>
      <c r="E774" s="1"/>
      <c r="F774" s="1"/>
      <c r="G774" s="1"/>
      <c r="H774" s="1"/>
      <c r="I774" s="61"/>
      <c r="J774" s="1"/>
      <c r="K774" s="1"/>
    </row>
    <row r="775" spans="1:11" ht="15.75" customHeight="1">
      <c r="A775" s="2"/>
      <c r="B775" s="1"/>
      <c r="C775" s="1"/>
      <c r="D775" s="1"/>
      <c r="E775" s="1"/>
      <c r="F775" s="1"/>
      <c r="G775" s="1"/>
      <c r="H775" s="1"/>
      <c r="I775" s="61"/>
      <c r="J775" s="1"/>
      <c r="K775" s="1"/>
    </row>
    <row r="776" spans="1:11" ht="15.75" customHeight="1">
      <c r="A776" s="2"/>
      <c r="B776" s="1"/>
      <c r="C776" s="1"/>
      <c r="D776" s="1"/>
      <c r="E776" s="1"/>
      <c r="F776" s="1"/>
      <c r="G776" s="1"/>
      <c r="H776" s="1"/>
      <c r="I776" s="61"/>
      <c r="J776" s="1"/>
      <c r="K776" s="1"/>
    </row>
    <row r="777" spans="1:11" ht="15.75" customHeight="1">
      <c r="A777" s="2"/>
      <c r="B777" s="1"/>
      <c r="C777" s="1"/>
      <c r="D777" s="1"/>
      <c r="E777" s="1"/>
      <c r="F777" s="1"/>
      <c r="G777" s="1"/>
      <c r="H777" s="1"/>
      <c r="I777" s="61"/>
      <c r="J777" s="1"/>
      <c r="K777" s="1"/>
    </row>
    <row r="778" spans="1:11" ht="15.75" customHeight="1">
      <c r="A778" s="2"/>
      <c r="B778" s="1"/>
      <c r="C778" s="1"/>
      <c r="D778" s="1"/>
      <c r="E778" s="1"/>
      <c r="F778" s="1"/>
      <c r="G778" s="1"/>
      <c r="H778" s="1"/>
      <c r="I778" s="61"/>
      <c r="J778" s="1"/>
      <c r="K778" s="1"/>
    </row>
    <row r="779" spans="1:11" ht="15.75" customHeight="1">
      <c r="A779" s="2"/>
      <c r="B779" s="1"/>
      <c r="C779" s="1"/>
      <c r="D779" s="1"/>
      <c r="E779" s="1"/>
      <c r="F779" s="1"/>
      <c r="G779" s="1"/>
      <c r="H779" s="1"/>
      <c r="I779" s="61"/>
      <c r="J779" s="1"/>
      <c r="K779" s="1"/>
    </row>
    <row r="780" spans="1:11" ht="15.75" customHeight="1">
      <c r="A780" s="2"/>
      <c r="B780" s="1"/>
      <c r="C780" s="1"/>
      <c r="D780" s="1"/>
      <c r="E780" s="1"/>
      <c r="F780" s="1"/>
      <c r="G780" s="1"/>
      <c r="H780" s="1"/>
      <c r="I780" s="61"/>
      <c r="J780" s="1"/>
      <c r="K780" s="1"/>
    </row>
    <row r="781" spans="1:11" ht="15.75" customHeight="1">
      <c r="A781" s="2"/>
      <c r="B781" s="1"/>
      <c r="C781" s="1"/>
      <c r="D781" s="1"/>
      <c r="E781" s="1"/>
      <c r="F781" s="1"/>
      <c r="G781" s="1"/>
      <c r="H781" s="1"/>
      <c r="I781" s="61"/>
      <c r="J781" s="1"/>
      <c r="K781" s="1"/>
    </row>
    <row r="782" spans="1:11" ht="15.75" customHeight="1">
      <c r="A782" s="2"/>
      <c r="B782" s="1"/>
      <c r="C782" s="1"/>
      <c r="D782" s="1"/>
      <c r="E782" s="1"/>
      <c r="F782" s="1"/>
      <c r="G782" s="1"/>
      <c r="H782" s="1"/>
      <c r="I782" s="61"/>
      <c r="J782" s="1"/>
      <c r="K782" s="1"/>
    </row>
    <row r="783" spans="1:11" ht="15.75" customHeight="1">
      <c r="A783" s="2"/>
      <c r="B783" s="1"/>
      <c r="C783" s="1"/>
      <c r="D783" s="1"/>
      <c r="E783" s="1"/>
      <c r="F783" s="1"/>
      <c r="G783" s="1"/>
      <c r="H783" s="1"/>
      <c r="I783" s="61"/>
      <c r="J783" s="1"/>
      <c r="K783" s="1"/>
    </row>
    <row r="784" spans="1:11" ht="15.75" customHeight="1">
      <c r="A784" s="2"/>
      <c r="B784" s="1"/>
      <c r="C784" s="1"/>
      <c r="D784" s="1"/>
      <c r="E784" s="1"/>
      <c r="F784" s="1"/>
      <c r="G784" s="1"/>
      <c r="H784" s="1"/>
      <c r="I784" s="61"/>
      <c r="J784" s="1"/>
      <c r="K784" s="1"/>
    </row>
    <row r="785" spans="1:11" ht="15.75" customHeight="1">
      <c r="A785" s="2"/>
      <c r="B785" s="1"/>
      <c r="C785" s="1"/>
      <c r="D785" s="1"/>
      <c r="E785" s="1"/>
      <c r="F785" s="1"/>
      <c r="G785" s="1"/>
      <c r="H785" s="1"/>
      <c r="I785" s="61"/>
      <c r="J785" s="1"/>
      <c r="K785" s="1"/>
    </row>
    <row r="786" spans="1:11" ht="15.75" customHeight="1">
      <c r="A786" s="2"/>
      <c r="B786" s="1"/>
      <c r="C786" s="1"/>
      <c r="D786" s="1"/>
      <c r="E786" s="1"/>
      <c r="F786" s="1"/>
      <c r="G786" s="1"/>
      <c r="H786" s="1"/>
      <c r="I786" s="61"/>
      <c r="J786" s="1"/>
      <c r="K786" s="1"/>
    </row>
    <row r="787" spans="1:11" ht="15.75" customHeight="1">
      <c r="A787" s="2"/>
      <c r="B787" s="1"/>
      <c r="C787" s="1"/>
      <c r="D787" s="1"/>
      <c r="E787" s="1"/>
      <c r="F787" s="1"/>
      <c r="G787" s="1"/>
      <c r="H787" s="1"/>
      <c r="I787" s="61"/>
      <c r="J787" s="1"/>
      <c r="K787" s="1"/>
    </row>
    <row r="788" spans="1:11" ht="15.75" customHeight="1">
      <c r="A788" s="2"/>
      <c r="B788" s="1"/>
      <c r="C788" s="1"/>
      <c r="D788" s="1"/>
      <c r="E788" s="1"/>
      <c r="F788" s="1"/>
      <c r="G788" s="1"/>
      <c r="H788" s="1"/>
      <c r="I788" s="61"/>
      <c r="J788" s="1"/>
      <c r="K788" s="1"/>
    </row>
    <row r="789" spans="1:11" ht="15.75" customHeight="1">
      <c r="A789" s="2"/>
      <c r="B789" s="1"/>
      <c r="C789" s="1"/>
      <c r="D789" s="1"/>
      <c r="E789" s="1"/>
      <c r="F789" s="1"/>
      <c r="G789" s="1"/>
      <c r="H789" s="1"/>
      <c r="I789" s="61"/>
      <c r="J789" s="1"/>
      <c r="K789" s="1"/>
    </row>
    <row r="790" spans="1:11" ht="15.75" customHeight="1">
      <c r="A790" s="2"/>
      <c r="B790" s="1"/>
      <c r="C790" s="1"/>
      <c r="D790" s="1"/>
      <c r="E790" s="1"/>
      <c r="F790" s="1"/>
      <c r="G790" s="1"/>
      <c r="H790" s="1"/>
      <c r="I790" s="61"/>
      <c r="J790" s="1"/>
      <c r="K790" s="1"/>
    </row>
    <row r="791" spans="1:11" ht="15.75" customHeight="1">
      <c r="A791" s="2"/>
      <c r="B791" s="1"/>
      <c r="C791" s="1"/>
      <c r="D791" s="1"/>
      <c r="E791" s="1"/>
      <c r="F791" s="1"/>
      <c r="G791" s="1"/>
      <c r="H791" s="1"/>
      <c r="I791" s="61"/>
      <c r="J791" s="1"/>
      <c r="K791" s="1"/>
    </row>
    <row r="792" spans="1:11" ht="15.75" customHeight="1">
      <c r="A792" s="2"/>
      <c r="B792" s="1"/>
      <c r="C792" s="1"/>
      <c r="D792" s="1"/>
      <c r="E792" s="1"/>
      <c r="F792" s="1"/>
      <c r="G792" s="1"/>
      <c r="H792" s="1"/>
      <c r="I792" s="61"/>
      <c r="J792" s="1"/>
      <c r="K792" s="1"/>
    </row>
    <row r="793" spans="1:11" ht="15.75" customHeight="1">
      <c r="A793" s="2"/>
      <c r="B793" s="1"/>
      <c r="C793" s="1"/>
      <c r="D793" s="1"/>
      <c r="E793" s="1"/>
      <c r="F793" s="1"/>
      <c r="G793" s="1"/>
      <c r="H793" s="1"/>
      <c r="I793" s="61"/>
      <c r="J793" s="1"/>
      <c r="K793" s="1"/>
    </row>
    <row r="794" spans="1:11" ht="15.75" customHeight="1">
      <c r="A794" s="2"/>
      <c r="B794" s="1"/>
      <c r="C794" s="1"/>
      <c r="D794" s="1"/>
      <c r="E794" s="1"/>
      <c r="F794" s="1"/>
      <c r="G794" s="1"/>
      <c r="H794" s="1"/>
      <c r="I794" s="61"/>
      <c r="J794" s="1"/>
      <c r="K794" s="1"/>
    </row>
    <row r="795" spans="1:11" ht="15.75" customHeight="1">
      <c r="A795" s="2"/>
      <c r="B795" s="1"/>
      <c r="C795" s="1"/>
      <c r="D795" s="1"/>
      <c r="E795" s="1"/>
      <c r="F795" s="1"/>
      <c r="G795" s="1"/>
      <c r="H795" s="1"/>
      <c r="I795" s="61"/>
      <c r="J795" s="1"/>
      <c r="K795" s="1"/>
    </row>
    <row r="796" spans="1:11" ht="15.75" customHeight="1">
      <c r="A796" s="2"/>
      <c r="B796" s="1"/>
      <c r="C796" s="1"/>
      <c r="D796" s="1"/>
      <c r="E796" s="1"/>
      <c r="F796" s="1"/>
      <c r="G796" s="1"/>
      <c r="H796" s="1"/>
      <c r="I796" s="61"/>
      <c r="J796" s="1"/>
      <c r="K796" s="1"/>
    </row>
    <row r="797" spans="1:11" ht="15.75" customHeight="1">
      <c r="A797" s="2"/>
      <c r="B797" s="1"/>
      <c r="C797" s="1"/>
      <c r="D797" s="1"/>
      <c r="E797" s="1"/>
      <c r="F797" s="1"/>
      <c r="G797" s="1"/>
      <c r="H797" s="1"/>
      <c r="I797" s="61"/>
      <c r="J797" s="1"/>
      <c r="K797" s="1"/>
    </row>
    <row r="798" spans="1:11" ht="15.75" customHeight="1">
      <c r="A798" s="2"/>
      <c r="B798" s="1"/>
      <c r="C798" s="1"/>
      <c r="D798" s="1"/>
      <c r="E798" s="1"/>
      <c r="F798" s="1"/>
      <c r="G798" s="1"/>
      <c r="H798" s="1"/>
      <c r="I798" s="61"/>
      <c r="J798" s="1"/>
      <c r="K798" s="1"/>
    </row>
    <row r="799" spans="1:11" ht="15.75" customHeight="1">
      <c r="A799" s="2"/>
      <c r="B799" s="1"/>
      <c r="C799" s="1"/>
      <c r="D799" s="1"/>
      <c r="E799" s="1"/>
      <c r="F799" s="1"/>
      <c r="G799" s="1"/>
      <c r="H799" s="1"/>
      <c r="I799" s="61"/>
      <c r="J799" s="1"/>
      <c r="K799" s="1"/>
    </row>
    <row r="800" spans="1:11" ht="15.75" customHeight="1">
      <c r="A800" s="2"/>
      <c r="B800" s="1"/>
      <c r="C800" s="1"/>
      <c r="D800" s="1"/>
      <c r="E800" s="1"/>
      <c r="F800" s="1"/>
      <c r="G800" s="1"/>
      <c r="H800" s="1"/>
      <c r="I800" s="61"/>
      <c r="J800" s="1"/>
      <c r="K800" s="1"/>
    </row>
    <row r="801" spans="1:11" ht="15.75" customHeight="1">
      <c r="A801" s="2"/>
      <c r="B801" s="1"/>
      <c r="C801" s="1"/>
      <c r="D801" s="1"/>
      <c r="E801" s="1"/>
      <c r="F801" s="1"/>
      <c r="G801" s="1"/>
      <c r="H801" s="1"/>
      <c r="I801" s="61"/>
      <c r="J801" s="1"/>
      <c r="K801" s="1"/>
    </row>
    <row r="802" spans="1:11" ht="15.75" customHeight="1">
      <c r="A802" s="2"/>
      <c r="B802" s="1"/>
      <c r="C802" s="1"/>
      <c r="D802" s="1"/>
      <c r="E802" s="1"/>
      <c r="F802" s="1"/>
      <c r="G802" s="1"/>
      <c r="H802" s="1"/>
      <c r="I802" s="61"/>
      <c r="J802" s="1"/>
      <c r="K802" s="1"/>
    </row>
    <row r="803" spans="1:11" ht="15.75" customHeight="1">
      <c r="A803" s="2"/>
      <c r="B803" s="1"/>
      <c r="C803" s="1"/>
      <c r="D803" s="1"/>
      <c r="E803" s="1"/>
      <c r="F803" s="1"/>
      <c r="G803" s="1"/>
      <c r="H803" s="1"/>
      <c r="I803" s="61"/>
      <c r="J803" s="1"/>
      <c r="K803" s="1"/>
    </row>
    <row r="804" spans="1:11" ht="15.75" customHeight="1">
      <c r="A804" s="2"/>
      <c r="B804" s="1"/>
      <c r="C804" s="1"/>
      <c r="D804" s="1"/>
      <c r="E804" s="1"/>
      <c r="F804" s="1"/>
      <c r="G804" s="1"/>
      <c r="H804" s="1"/>
      <c r="I804" s="61"/>
      <c r="J804" s="1"/>
      <c r="K804" s="1"/>
    </row>
    <row r="805" spans="1:11" ht="15.75" customHeight="1">
      <c r="A805" s="2"/>
      <c r="B805" s="1"/>
      <c r="C805" s="1"/>
      <c r="D805" s="1"/>
      <c r="E805" s="1"/>
      <c r="F805" s="1"/>
      <c r="G805" s="1"/>
      <c r="H805" s="1"/>
      <c r="I805" s="61"/>
      <c r="J805" s="1"/>
      <c r="K805" s="1"/>
    </row>
    <row r="806" spans="1:11" ht="15.75" customHeight="1">
      <c r="A806" s="2"/>
      <c r="B806" s="1"/>
      <c r="C806" s="1"/>
      <c r="D806" s="1"/>
      <c r="E806" s="1"/>
      <c r="F806" s="1"/>
      <c r="G806" s="1"/>
      <c r="H806" s="1"/>
      <c r="I806" s="61"/>
      <c r="J806" s="1"/>
      <c r="K806" s="1"/>
    </row>
    <row r="807" spans="1:11" ht="15.75" customHeight="1">
      <c r="A807" s="2"/>
      <c r="B807" s="1"/>
      <c r="C807" s="1"/>
      <c r="D807" s="1"/>
      <c r="E807" s="1"/>
      <c r="F807" s="1"/>
      <c r="G807" s="1"/>
      <c r="H807" s="1"/>
      <c r="I807" s="61"/>
      <c r="J807" s="1"/>
      <c r="K807" s="1"/>
    </row>
    <row r="808" spans="1:11" ht="15.75" customHeight="1">
      <c r="A808" s="2"/>
      <c r="B808" s="1"/>
      <c r="C808" s="1"/>
      <c r="D808" s="1"/>
      <c r="E808" s="1"/>
      <c r="F808" s="1"/>
      <c r="G808" s="1"/>
      <c r="H808" s="1"/>
      <c r="I808" s="61"/>
      <c r="J808" s="1"/>
      <c r="K808" s="1"/>
    </row>
    <row r="809" spans="1:11" ht="15.75" customHeight="1">
      <c r="A809" s="2"/>
      <c r="B809" s="1"/>
      <c r="C809" s="1"/>
      <c r="D809" s="1"/>
      <c r="E809" s="1"/>
      <c r="F809" s="1"/>
      <c r="G809" s="1"/>
      <c r="H809" s="1"/>
      <c r="I809" s="61"/>
      <c r="J809" s="1"/>
      <c r="K809" s="1"/>
    </row>
    <row r="810" spans="1:11" ht="15.75" customHeight="1">
      <c r="A810" s="2"/>
      <c r="B810" s="1"/>
      <c r="C810" s="1"/>
      <c r="D810" s="1"/>
      <c r="E810" s="1"/>
      <c r="F810" s="1"/>
      <c r="G810" s="1"/>
      <c r="H810" s="1"/>
      <c r="I810" s="61"/>
      <c r="J810" s="1"/>
      <c r="K810" s="1"/>
    </row>
    <row r="811" spans="1:11" ht="15.75" customHeight="1">
      <c r="A811" s="2"/>
      <c r="B811" s="1"/>
      <c r="C811" s="1"/>
      <c r="D811" s="1"/>
      <c r="E811" s="1"/>
      <c r="F811" s="1"/>
      <c r="G811" s="1"/>
      <c r="H811" s="1"/>
      <c r="I811" s="61"/>
      <c r="J811" s="1"/>
      <c r="K811" s="1"/>
    </row>
    <row r="812" spans="1:11" ht="15.75" customHeight="1">
      <c r="A812" s="2"/>
      <c r="B812" s="1"/>
      <c r="C812" s="1"/>
      <c r="D812" s="1"/>
      <c r="E812" s="1"/>
      <c r="F812" s="1"/>
      <c r="G812" s="1"/>
      <c r="H812" s="1"/>
      <c r="I812" s="61"/>
      <c r="J812" s="1"/>
      <c r="K812" s="1"/>
    </row>
    <row r="813" spans="1:11" ht="15.75" customHeight="1">
      <c r="A813" s="2"/>
      <c r="B813" s="1"/>
      <c r="C813" s="1"/>
      <c r="D813" s="1"/>
      <c r="E813" s="1"/>
      <c r="F813" s="1"/>
      <c r="G813" s="1"/>
      <c r="H813" s="1"/>
      <c r="I813" s="61"/>
      <c r="J813" s="1"/>
      <c r="K813" s="1"/>
    </row>
    <row r="814" spans="1:11" ht="15.75" customHeight="1">
      <c r="A814" s="2"/>
      <c r="B814" s="1"/>
      <c r="C814" s="1"/>
      <c r="D814" s="1"/>
      <c r="E814" s="1"/>
      <c r="F814" s="1"/>
      <c r="G814" s="1"/>
      <c r="H814" s="1"/>
      <c r="I814" s="61"/>
      <c r="J814" s="1"/>
      <c r="K814" s="1"/>
    </row>
    <row r="815" spans="1:11" ht="15.75" customHeight="1">
      <c r="A815" s="2"/>
      <c r="B815" s="1"/>
      <c r="C815" s="1"/>
      <c r="D815" s="1"/>
      <c r="E815" s="1"/>
      <c r="F815" s="1"/>
      <c r="G815" s="1"/>
      <c r="H815" s="1"/>
      <c r="I815" s="61"/>
      <c r="J815" s="1"/>
      <c r="K815" s="1"/>
    </row>
    <row r="816" spans="1:11" ht="15.75" customHeight="1">
      <c r="A816" s="2"/>
      <c r="B816" s="1"/>
      <c r="C816" s="1"/>
      <c r="D816" s="1"/>
      <c r="E816" s="1"/>
      <c r="F816" s="1"/>
      <c r="G816" s="1"/>
      <c r="H816" s="1"/>
      <c r="I816" s="61"/>
      <c r="J816" s="1"/>
      <c r="K816" s="1"/>
    </row>
    <row r="817" spans="1:11" ht="15.75" customHeight="1">
      <c r="A817" s="2"/>
      <c r="B817" s="1"/>
      <c r="C817" s="1"/>
      <c r="D817" s="1"/>
      <c r="E817" s="1"/>
      <c r="F817" s="1"/>
      <c r="G817" s="1"/>
      <c r="H817" s="1"/>
      <c r="I817" s="61"/>
      <c r="J817" s="1"/>
      <c r="K817" s="1"/>
    </row>
    <row r="818" spans="1:11" ht="15.75" customHeight="1">
      <c r="A818" s="2"/>
      <c r="B818" s="1"/>
      <c r="C818" s="1"/>
      <c r="D818" s="1"/>
      <c r="E818" s="1"/>
      <c r="F818" s="1"/>
      <c r="G818" s="1"/>
      <c r="H818" s="1"/>
      <c r="I818" s="61"/>
      <c r="J818" s="1"/>
      <c r="K818" s="1"/>
    </row>
    <row r="819" spans="1:11" ht="15.75" customHeight="1">
      <c r="A819" s="2"/>
      <c r="B819" s="1"/>
      <c r="C819" s="1"/>
      <c r="D819" s="1"/>
      <c r="E819" s="1"/>
      <c r="F819" s="1"/>
      <c r="G819" s="1"/>
      <c r="H819" s="1"/>
      <c r="I819" s="61"/>
      <c r="J819" s="1"/>
      <c r="K819" s="1"/>
    </row>
    <row r="820" spans="1:11" ht="15.75" customHeight="1">
      <c r="A820" s="2"/>
      <c r="B820" s="1"/>
      <c r="C820" s="1"/>
      <c r="D820" s="1"/>
      <c r="E820" s="1"/>
      <c r="F820" s="1"/>
      <c r="G820" s="1"/>
      <c r="H820" s="1"/>
      <c r="I820" s="61"/>
      <c r="J820" s="1"/>
      <c r="K820" s="1"/>
    </row>
    <row r="821" spans="1:11" ht="15.75" customHeight="1">
      <c r="A821" s="2"/>
      <c r="B821" s="1"/>
      <c r="C821" s="1"/>
      <c r="D821" s="1"/>
      <c r="E821" s="1"/>
      <c r="F821" s="1"/>
      <c r="G821" s="1"/>
      <c r="H821" s="1"/>
      <c r="I821" s="61"/>
      <c r="J821" s="1"/>
      <c r="K821" s="1"/>
    </row>
    <row r="822" spans="1:11" ht="15.75" customHeight="1">
      <c r="A822" s="2"/>
      <c r="B822" s="1"/>
      <c r="C822" s="1"/>
      <c r="D822" s="1"/>
      <c r="E822" s="1"/>
      <c r="F822" s="1"/>
      <c r="G822" s="1"/>
      <c r="H822" s="1"/>
      <c r="I822" s="61"/>
      <c r="J822" s="1"/>
      <c r="K822" s="1"/>
    </row>
    <row r="823" spans="1:11" ht="15.75" customHeight="1">
      <c r="A823" s="2"/>
      <c r="B823" s="1"/>
      <c r="C823" s="1"/>
      <c r="D823" s="1"/>
      <c r="E823" s="1"/>
      <c r="F823" s="1"/>
      <c r="G823" s="1"/>
      <c r="H823" s="1"/>
      <c r="I823" s="61"/>
      <c r="J823" s="1"/>
      <c r="K823" s="1"/>
    </row>
    <row r="824" spans="1:11" ht="15.75" customHeight="1">
      <c r="A824" s="2"/>
      <c r="B824" s="1"/>
      <c r="C824" s="1"/>
      <c r="D824" s="1"/>
      <c r="E824" s="1"/>
      <c r="F824" s="1"/>
      <c r="G824" s="1"/>
      <c r="H824" s="1"/>
      <c r="I824" s="61"/>
      <c r="J824" s="1"/>
      <c r="K824" s="1"/>
    </row>
    <row r="825" spans="1:11" ht="15.75" customHeight="1">
      <c r="A825" s="2"/>
      <c r="B825" s="1"/>
      <c r="C825" s="1"/>
      <c r="D825" s="1"/>
      <c r="E825" s="1"/>
      <c r="F825" s="1"/>
      <c r="G825" s="1"/>
      <c r="H825" s="1"/>
      <c r="I825" s="61"/>
      <c r="J825" s="1"/>
      <c r="K825" s="1"/>
    </row>
    <row r="826" spans="1:11" ht="15.75" customHeight="1">
      <c r="A826" s="2"/>
      <c r="B826" s="1"/>
      <c r="C826" s="1"/>
      <c r="D826" s="1"/>
      <c r="E826" s="1"/>
      <c r="F826" s="1"/>
      <c r="G826" s="1"/>
      <c r="H826" s="1"/>
      <c r="I826" s="61"/>
      <c r="J826" s="1"/>
      <c r="K826" s="1"/>
    </row>
    <row r="827" spans="1:11" ht="15.75" customHeight="1">
      <c r="A827" s="2"/>
      <c r="B827" s="1"/>
      <c r="C827" s="1"/>
      <c r="D827" s="1"/>
      <c r="E827" s="1"/>
      <c r="F827" s="1"/>
      <c r="G827" s="1"/>
      <c r="H827" s="1"/>
      <c r="I827" s="61"/>
      <c r="J827" s="1"/>
      <c r="K827" s="1"/>
    </row>
    <row r="828" spans="1:11" ht="15.75" customHeight="1">
      <c r="A828" s="2"/>
      <c r="B828" s="1"/>
      <c r="C828" s="1"/>
      <c r="D828" s="1"/>
      <c r="E828" s="1"/>
      <c r="F828" s="1"/>
      <c r="G828" s="1"/>
      <c r="H828" s="1"/>
      <c r="I828" s="61"/>
      <c r="J828" s="1"/>
      <c r="K828" s="1"/>
    </row>
    <row r="829" spans="1:11" ht="15.75" customHeight="1">
      <c r="A829" s="2"/>
      <c r="B829" s="1"/>
      <c r="C829" s="1"/>
      <c r="D829" s="1"/>
      <c r="E829" s="1"/>
      <c r="F829" s="1"/>
      <c r="G829" s="1"/>
      <c r="H829" s="1"/>
      <c r="I829" s="61"/>
      <c r="J829" s="1"/>
      <c r="K829" s="1"/>
    </row>
    <row r="830" spans="1:11" ht="15.75" customHeight="1">
      <c r="A830" s="2"/>
      <c r="B830" s="1"/>
      <c r="C830" s="1"/>
      <c r="D830" s="1"/>
      <c r="E830" s="1"/>
      <c r="F830" s="1"/>
      <c r="G830" s="1"/>
      <c r="H830" s="1"/>
      <c r="I830" s="61"/>
      <c r="J830" s="1"/>
      <c r="K830" s="1"/>
    </row>
    <row r="831" spans="1:11" ht="15.75" customHeight="1">
      <c r="A831" s="2"/>
      <c r="B831" s="1"/>
      <c r="C831" s="1"/>
      <c r="D831" s="1"/>
      <c r="E831" s="1"/>
      <c r="F831" s="1"/>
      <c r="G831" s="1"/>
      <c r="H831" s="1"/>
      <c r="I831" s="61"/>
      <c r="J831" s="1"/>
      <c r="K831" s="1"/>
    </row>
    <row r="832" spans="1:11" ht="15.75" customHeight="1">
      <c r="A832" s="2"/>
      <c r="B832" s="1"/>
      <c r="C832" s="1"/>
      <c r="D832" s="1"/>
      <c r="E832" s="1"/>
      <c r="F832" s="1"/>
      <c r="G832" s="1"/>
      <c r="H832" s="1"/>
      <c r="I832" s="61"/>
      <c r="J832" s="1"/>
      <c r="K832" s="1"/>
    </row>
    <row r="833" spans="1:11" ht="15.75" customHeight="1">
      <c r="A833" s="2"/>
      <c r="B833" s="1"/>
      <c r="C833" s="1"/>
      <c r="D833" s="1"/>
      <c r="E833" s="1"/>
      <c r="F833" s="1"/>
      <c r="G833" s="1"/>
      <c r="H833" s="1"/>
      <c r="I833" s="61"/>
      <c r="J833" s="1"/>
      <c r="K833" s="1"/>
    </row>
    <row r="834" spans="1:11" ht="15.75" customHeight="1">
      <c r="A834" s="2"/>
      <c r="B834" s="1"/>
      <c r="C834" s="1"/>
      <c r="D834" s="1"/>
      <c r="E834" s="1"/>
      <c r="F834" s="1"/>
      <c r="G834" s="1"/>
      <c r="H834" s="1"/>
      <c r="I834" s="61"/>
      <c r="J834" s="1"/>
      <c r="K834" s="1"/>
    </row>
    <row r="835" spans="1:11" ht="15.75" customHeight="1">
      <c r="A835" s="2"/>
      <c r="B835" s="1"/>
      <c r="C835" s="1"/>
      <c r="D835" s="1"/>
      <c r="E835" s="1"/>
      <c r="F835" s="1"/>
      <c r="G835" s="1"/>
      <c r="H835" s="1"/>
      <c r="I835" s="61"/>
      <c r="J835" s="1"/>
      <c r="K835" s="1"/>
    </row>
    <row r="836" spans="1:11" ht="15.75" customHeight="1">
      <c r="A836" s="2"/>
      <c r="B836" s="1"/>
      <c r="C836" s="1"/>
      <c r="D836" s="1"/>
      <c r="E836" s="1"/>
      <c r="F836" s="1"/>
      <c r="G836" s="1"/>
      <c r="H836" s="1"/>
      <c r="I836" s="61"/>
      <c r="J836" s="1"/>
      <c r="K836" s="1"/>
    </row>
    <row r="837" spans="1:11" ht="15.75" customHeight="1">
      <c r="A837" s="2"/>
      <c r="B837" s="1"/>
      <c r="C837" s="1"/>
      <c r="D837" s="1"/>
      <c r="E837" s="1"/>
      <c r="F837" s="1"/>
      <c r="G837" s="1"/>
      <c r="H837" s="1"/>
      <c r="I837" s="61"/>
      <c r="J837" s="1"/>
      <c r="K837" s="1"/>
    </row>
    <row r="838" spans="1:11" ht="15.75" customHeight="1">
      <c r="A838" s="2"/>
      <c r="B838" s="1"/>
      <c r="C838" s="1"/>
      <c r="D838" s="1"/>
      <c r="E838" s="1"/>
      <c r="F838" s="1"/>
      <c r="G838" s="1"/>
      <c r="H838" s="1"/>
      <c r="I838" s="61"/>
      <c r="J838" s="1"/>
      <c r="K838" s="1"/>
    </row>
    <row r="839" spans="1:11" ht="15.75" customHeight="1">
      <c r="A839" s="2"/>
      <c r="B839" s="1"/>
      <c r="C839" s="1"/>
      <c r="D839" s="1"/>
      <c r="E839" s="1"/>
      <c r="F839" s="1"/>
      <c r="G839" s="1"/>
      <c r="H839" s="1"/>
      <c r="I839" s="61"/>
      <c r="J839" s="1"/>
      <c r="K839" s="1"/>
    </row>
    <row r="840" spans="1:11" ht="15.75" customHeight="1">
      <c r="A840" s="2"/>
      <c r="B840" s="1"/>
      <c r="C840" s="1"/>
      <c r="D840" s="1"/>
      <c r="E840" s="1"/>
      <c r="F840" s="1"/>
      <c r="G840" s="1"/>
      <c r="H840" s="1"/>
      <c r="I840" s="61"/>
      <c r="J840" s="1"/>
      <c r="K840" s="1"/>
    </row>
    <row r="841" spans="1:11" ht="15.75" customHeight="1">
      <c r="A841" s="2"/>
      <c r="B841" s="1"/>
      <c r="C841" s="1"/>
      <c r="D841" s="1"/>
      <c r="E841" s="1"/>
      <c r="F841" s="1"/>
      <c r="G841" s="1"/>
      <c r="H841" s="1"/>
      <c r="I841" s="61"/>
      <c r="J841" s="1"/>
      <c r="K841" s="1"/>
    </row>
    <row r="842" spans="1:11" ht="15.75" customHeight="1">
      <c r="A842" s="2"/>
      <c r="B842" s="1"/>
      <c r="C842" s="1"/>
      <c r="D842" s="1"/>
      <c r="E842" s="1"/>
      <c r="F842" s="1"/>
      <c r="G842" s="1"/>
      <c r="H842" s="1"/>
      <c r="I842" s="61"/>
      <c r="J842" s="1"/>
      <c r="K842" s="1"/>
    </row>
    <row r="843" spans="1:11" ht="15.75" customHeight="1">
      <c r="A843" s="2"/>
      <c r="B843" s="1"/>
      <c r="C843" s="1"/>
      <c r="D843" s="1"/>
      <c r="E843" s="1"/>
      <c r="F843" s="1"/>
      <c r="G843" s="1"/>
      <c r="H843" s="1"/>
      <c r="I843" s="61"/>
      <c r="J843" s="1"/>
      <c r="K843" s="1"/>
    </row>
    <row r="844" spans="1:11" ht="15.75" customHeight="1">
      <c r="A844" s="2"/>
      <c r="B844" s="1"/>
      <c r="C844" s="1"/>
      <c r="D844" s="1"/>
      <c r="E844" s="1"/>
      <c r="F844" s="1"/>
      <c r="G844" s="1"/>
      <c r="H844" s="1"/>
      <c r="I844" s="61"/>
      <c r="J844" s="1"/>
      <c r="K844" s="1"/>
    </row>
    <row r="845" spans="1:11" ht="15.75" customHeight="1">
      <c r="A845" s="2"/>
      <c r="B845" s="1"/>
      <c r="C845" s="1"/>
      <c r="D845" s="1"/>
      <c r="E845" s="1"/>
      <c r="F845" s="1"/>
      <c r="G845" s="1"/>
      <c r="H845" s="1"/>
      <c r="I845" s="61"/>
      <c r="J845" s="1"/>
      <c r="K845" s="1"/>
    </row>
    <row r="846" spans="1:11" ht="15.75" customHeight="1">
      <c r="A846" s="2"/>
      <c r="B846" s="1"/>
      <c r="C846" s="1"/>
      <c r="D846" s="1"/>
      <c r="E846" s="1"/>
      <c r="F846" s="1"/>
      <c r="G846" s="1"/>
      <c r="H846" s="1"/>
      <c r="I846" s="61"/>
      <c r="J846" s="1"/>
      <c r="K846" s="1"/>
    </row>
    <row r="847" spans="1:11" ht="15.75" customHeight="1">
      <c r="A847" s="2"/>
      <c r="B847" s="1"/>
      <c r="C847" s="1"/>
      <c r="D847" s="1"/>
      <c r="E847" s="1"/>
      <c r="F847" s="1"/>
      <c r="G847" s="1"/>
      <c r="H847" s="1"/>
      <c r="I847" s="61"/>
      <c r="J847" s="1"/>
      <c r="K847" s="1"/>
    </row>
    <row r="848" spans="1:11" ht="15.75" customHeight="1">
      <c r="A848" s="2"/>
      <c r="B848" s="1"/>
      <c r="C848" s="1"/>
      <c r="D848" s="1"/>
      <c r="E848" s="1"/>
      <c r="F848" s="1"/>
      <c r="G848" s="1"/>
      <c r="H848" s="1"/>
      <c r="I848" s="61"/>
      <c r="J848" s="1"/>
      <c r="K848" s="1"/>
    </row>
    <row r="849" spans="1:11" ht="15.75" customHeight="1">
      <c r="A849" s="2"/>
      <c r="B849" s="1"/>
      <c r="C849" s="1"/>
      <c r="D849" s="1"/>
      <c r="E849" s="1"/>
      <c r="F849" s="1"/>
      <c r="G849" s="1"/>
      <c r="H849" s="1"/>
      <c r="I849" s="61"/>
      <c r="J849" s="1"/>
      <c r="K849" s="1"/>
    </row>
    <row r="850" spans="1:11" ht="15.75" customHeight="1">
      <c r="A850" s="2"/>
      <c r="B850" s="1"/>
      <c r="C850" s="1"/>
      <c r="D850" s="1"/>
      <c r="E850" s="1"/>
      <c r="F850" s="1"/>
      <c r="G850" s="1"/>
      <c r="H850" s="1"/>
      <c r="I850" s="61"/>
      <c r="J850" s="1"/>
      <c r="K850" s="1"/>
    </row>
    <row r="851" spans="1:11" ht="15.75" customHeight="1">
      <c r="A851" s="2"/>
      <c r="B851" s="1"/>
      <c r="C851" s="1"/>
      <c r="D851" s="1"/>
      <c r="E851" s="1"/>
      <c r="F851" s="1"/>
      <c r="G851" s="1"/>
      <c r="H851" s="1"/>
      <c r="I851" s="61"/>
      <c r="J851" s="1"/>
      <c r="K851" s="1"/>
    </row>
    <row r="852" spans="1:11" ht="15.75" customHeight="1">
      <c r="A852" s="2"/>
      <c r="B852" s="1"/>
      <c r="C852" s="1"/>
      <c r="D852" s="1"/>
      <c r="E852" s="1"/>
      <c r="F852" s="1"/>
      <c r="G852" s="1"/>
      <c r="H852" s="1"/>
      <c r="I852" s="61"/>
      <c r="J852" s="1"/>
      <c r="K852" s="1"/>
    </row>
    <row r="853" spans="1:11" ht="15.75" customHeight="1">
      <c r="A853" s="2"/>
      <c r="B853" s="1"/>
      <c r="C853" s="1"/>
      <c r="D853" s="1"/>
      <c r="E853" s="1"/>
      <c r="F853" s="1"/>
      <c r="G853" s="1"/>
      <c r="H853" s="1"/>
      <c r="I853" s="61"/>
      <c r="J853" s="1"/>
      <c r="K853" s="1"/>
    </row>
    <row r="854" spans="1:11" ht="15.75" customHeight="1">
      <c r="A854" s="2"/>
      <c r="B854" s="1"/>
      <c r="C854" s="1"/>
      <c r="D854" s="1"/>
      <c r="E854" s="1"/>
      <c r="F854" s="1"/>
      <c r="G854" s="1"/>
      <c r="H854" s="1"/>
      <c r="I854" s="61"/>
      <c r="J854" s="1"/>
      <c r="K854" s="1"/>
    </row>
    <row r="855" spans="1:11" ht="15.75" customHeight="1">
      <c r="A855" s="2"/>
      <c r="B855" s="1"/>
      <c r="C855" s="1"/>
      <c r="D855" s="1"/>
      <c r="E855" s="1"/>
      <c r="F855" s="1"/>
      <c r="G855" s="1"/>
      <c r="H855" s="1"/>
      <c r="I855" s="61"/>
      <c r="J855" s="1"/>
      <c r="K855" s="1"/>
    </row>
    <row r="856" spans="1:11" ht="15.75" customHeight="1">
      <c r="A856" s="2"/>
      <c r="B856" s="1"/>
      <c r="C856" s="1"/>
      <c r="D856" s="1"/>
      <c r="E856" s="1"/>
      <c r="F856" s="1"/>
      <c r="G856" s="1"/>
      <c r="H856" s="1"/>
      <c r="I856" s="61"/>
      <c r="J856" s="1"/>
      <c r="K856" s="1"/>
    </row>
    <row r="857" spans="1:11" ht="15.75" customHeight="1">
      <c r="A857" s="2"/>
      <c r="B857" s="1"/>
      <c r="C857" s="1"/>
      <c r="D857" s="1"/>
      <c r="E857" s="1"/>
      <c r="F857" s="1"/>
      <c r="G857" s="1"/>
      <c r="H857" s="1"/>
      <c r="I857" s="61"/>
      <c r="J857" s="1"/>
      <c r="K857" s="1"/>
    </row>
    <row r="858" spans="1:11" ht="15.75" customHeight="1">
      <c r="A858" s="2"/>
      <c r="B858" s="1"/>
      <c r="C858" s="1"/>
      <c r="D858" s="1"/>
      <c r="E858" s="1"/>
      <c r="F858" s="1"/>
      <c r="G858" s="1"/>
      <c r="H858" s="1"/>
      <c r="I858" s="61"/>
      <c r="J858" s="1"/>
      <c r="K858" s="1"/>
    </row>
    <row r="859" spans="1:11" ht="15.75" customHeight="1">
      <c r="A859" s="2"/>
      <c r="B859" s="1"/>
      <c r="C859" s="1"/>
      <c r="D859" s="1"/>
      <c r="E859" s="1"/>
      <c r="F859" s="1"/>
      <c r="G859" s="1"/>
      <c r="H859" s="1"/>
      <c r="I859" s="61"/>
      <c r="J859" s="1"/>
      <c r="K859" s="1"/>
    </row>
    <row r="860" spans="1:11" ht="15.75" customHeight="1">
      <c r="A860" s="2"/>
      <c r="B860" s="1"/>
      <c r="C860" s="1"/>
      <c r="D860" s="1"/>
      <c r="E860" s="1"/>
      <c r="F860" s="1"/>
      <c r="G860" s="1"/>
      <c r="H860" s="1"/>
      <c r="I860" s="61"/>
      <c r="J860" s="1"/>
      <c r="K860" s="1"/>
    </row>
    <row r="861" spans="1:11" ht="15.75" customHeight="1">
      <c r="A861" s="2"/>
      <c r="B861" s="1"/>
      <c r="C861" s="1"/>
      <c r="D861" s="1"/>
      <c r="E861" s="1"/>
      <c r="F861" s="1"/>
      <c r="G861" s="1"/>
      <c r="H861" s="1"/>
      <c r="I861" s="61"/>
      <c r="J861" s="1"/>
      <c r="K861" s="1"/>
    </row>
    <row r="862" spans="1:11" ht="15.75" customHeight="1">
      <c r="A862" s="2"/>
      <c r="B862" s="1"/>
      <c r="C862" s="1"/>
      <c r="D862" s="1"/>
      <c r="E862" s="1"/>
      <c r="F862" s="1"/>
      <c r="G862" s="1"/>
      <c r="H862" s="1"/>
      <c r="I862" s="61"/>
      <c r="J862" s="1"/>
      <c r="K862" s="1"/>
    </row>
    <row r="863" spans="1:11" ht="15.75" customHeight="1">
      <c r="A863" s="2"/>
      <c r="B863" s="1"/>
      <c r="C863" s="1"/>
      <c r="D863" s="1"/>
      <c r="E863" s="1"/>
      <c r="F863" s="1"/>
      <c r="G863" s="1"/>
      <c r="H863" s="1"/>
      <c r="I863" s="61"/>
      <c r="J863" s="1"/>
      <c r="K863" s="1"/>
    </row>
    <row r="864" spans="1:11" ht="15.75" customHeight="1">
      <c r="A864" s="2"/>
      <c r="B864" s="1"/>
      <c r="C864" s="1"/>
      <c r="D864" s="1"/>
      <c r="E864" s="1"/>
      <c r="F864" s="1"/>
      <c r="G864" s="1"/>
      <c r="H864" s="1"/>
      <c r="I864" s="61"/>
      <c r="J864" s="1"/>
      <c r="K864" s="1"/>
    </row>
    <row r="865" spans="1:11" ht="15.75" customHeight="1">
      <c r="A865" s="2"/>
      <c r="B865" s="1"/>
      <c r="C865" s="1"/>
      <c r="D865" s="1"/>
      <c r="E865" s="1"/>
      <c r="F865" s="1"/>
      <c r="G865" s="1"/>
      <c r="H865" s="1"/>
      <c r="I865" s="61"/>
      <c r="J865" s="1"/>
      <c r="K865" s="1"/>
    </row>
    <row r="866" spans="1:11" ht="15.75" customHeight="1">
      <c r="A866" s="2"/>
      <c r="B866" s="1"/>
      <c r="C866" s="1"/>
      <c r="D866" s="1"/>
      <c r="E866" s="1"/>
      <c r="F866" s="1"/>
      <c r="G866" s="1"/>
      <c r="H866" s="1"/>
      <c r="I866" s="61"/>
      <c r="J866" s="1"/>
      <c r="K866" s="1"/>
    </row>
    <row r="867" spans="1:11" ht="15.75" customHeight="1">
      <c r="A867" s="2"/>
      <c r="B867" s="1"/>
      <c r="C867" s="1"/>
      <c r="D867" s="1"/>
      <c r="E867" s="1"/>
      <c r="F867" s="1"/>
      <c r="G867" s="1"/>
      <c r="H867" s="1"/>
      <c r="I867" s="61"/>
      <c r="J867" s="1"/>
      <c r="K867" s="1"/>
    </row>
    <row r="868" spans="1:11" ht="15.75" customHeight="1">
      <c r="A868" s="2"/>
      <c r="B868" s="1"/>
      <c r="C868" s="1"/>
      <c r="D868" s="1"/>
      <c r="E868" s="1"/>
      <c r="F868" s="1"/>
      <c r="G868" s="1"/>
      <c r="H868" s="1"/>
      <c r="I868" s="61"/>
      <c r="J868" s="1"/>
      <c r="K868" s="1"/>
    </row>
    <row r="869" spans="1:11" ht="15.75" customHeight="1">
      <c r="A869" s="2"/>
      <c r="B869" s="1"/>
      <c r="C869" s="1"/>
      <c r="D869" s="1"/>
      <c r="E869" s="1"/>
      <c r="F869" s="1"/>
      <c r="G869" s="1"/>
      <c r="H869" s="1"/>
      <c r="I869" s="61"/>
      <c r="J869" s="1"/>
      <c r="K869" s="1"/>
    </row>
    <row r="870" spans="1:11" ht="15.75" customHeight="1">
      <c r="A870" s="2"/>
      <c r="B870" s="1"/>
      <c r="C870" s="1"/>
      <c r="D870" s="1"/>
      <c r="E870" s="1"/>
      <c r="F870" s="1"/>
      <c r="G870" s="1"/>
      <c r="H870" s="1"/>
      <c r="I870" s="61"/>
      <c r="J870" s="1"/>
      <c r="K870" s="1"/>
    </row>
    <row r="871" spans="1:11" ht="15.75" customHeight="1">
      <c r="A871" s="2"/>
      <c r="B871" s="1"/>
      <c r="C871" s="1"/>
      <c r="D871" s="1"/>
      <c r="E871" s="1"/>
      <c r="F871" s="1"/>
      <c r="G871" s="1"/>
      <c r="H871" s="1"/>
      <c r="I871" s="61"/>
      <c r="J871" s="1"/>
      <c r="K871" s="1"/>
    </row>
    <row r="872" spans="1:11" ht="15.75" customHeight="1">
      <c r="A872" s="2"/>
      <c r="B872" s="1"/>
      <c r="C872" s="1"/>
      <c r="D872" s="1"/>
      <c r="E872" s="1"/>
      <c r="F872" s="1"/>
      <c r="G872" s="1"/>
      <c r="H872" s="1"/>
      <c r="I872" s="61"/>
      <c r="J872" s="1"/>
      <c r="K872" s="1"/>
    </row>
    <row r="873" spans="1:11" ht="15.75" customHeight="1">
      <c r="A873" s="2"/>
      <c r="B873" s="1"/>
      <c r="C873" s="1"/>
      <c r="D873" s="1"/>
      <c r="E873" s="1"/>
      <c r="F873" s="1"/>
      <c r="G873" s="1"/>
      <c r="H873" s="1"/>
      <c r="I873" s="61"/>
      <c r="J873" s="1"/>
      <c r="K873" s="1"/>
    </row>
    <row r="874" spans="1:11" ht="15.75" customHeight="1">
      <c r="A874" s="2"/>
      <c r="B874" s="1"/>
      <c r="C874" s="1"/>
      <c r="D874" s="1"/>
      <c r="E874" s="1"/>
      <c r="F874" s="1"/>
      <c r="G874" s="1"/>
      <c r="H874" s="1"/>
      <c r="I874" s="61"/>
      <c r="J874" s="1"/>
      <c r="K874" s="1"/>
    </row>
    <row r="875" spans="1:11" ht="15.75" customHeight="1">
      <c r="A875" s="2"/>
      <c r="B875" s="1"/>
      <c r="C875" s="1"/>
      <c r="D875" s="1"/>
      <c r="E875" s="1"/>
      <c r="F875" s="1"/>
      <c r="G875" s="1"/>
      <c r="H875" s="1"/>
      <c r="I875" s="61"/>
      <c r="J875" s="1"/>
      <c r="K875" s="1"/>
    </row>
    <row r="876" spans="1:11" ht="15.75" customHeight="1">
      <c r="A876" s="2"/>
      <c r="B876" s="1"/>
      <c r="C876" s="1"/>
      <c r="D876" s="1"/>
      <c r="E876" s="1"/>
      <c r="F876" s="1"/>
      <c r="G876" s="1"/>
      <c r="H876" s="1"/>
      <c r="I876" s="61"/>
      <c r="J876" s="1"/>
      <c r="K876" s="1"/>
    </row>
    <row r="877" spans="1:11" ht="15.75" customHeight="1">
      <c r="A877" s="2"/>
      <c r="B877" s="1"/>
      <c r="C877" s="1"/>
      <c r="D877" s="1"/>
      <c r="E877" s="1"/>
      <c r="F877" s="1"/>
      <c r="G877" s="1"/>
      <c r="H877" s="1"/>
      <c r="I877" s="61"/>
      <c r="J877" s="1"/>
      <c r="K877" s="1"/>
    </row>
    <row r="878" spans="1:11" ht="15.75" customHeight="1">
      <c r="A878" s="2"/>
      <c r="B878" s="1"/>
      <c r="C878" s="1"/>
      <c r="D878" s="1"/>
      <c r="E878" s="1"/>
      <c r="F878" s="1"/>
      <c r="G878" s="1"/>
      <c r="H878" s="1"/>
      <c r="I878" s="61"/>
      <c r="J878" s="1"/>
      <c r="K878" s="1"/>
    </row>
    <row r="879" spans="1:11" ht="15.75" customHeight="1">
      <c r="A879" s="2"/>
      <c r="B879" s="1"/>
      <c r="C879" s="1"/>
      <c r="D879" s="1"/>
      <c r="E879" s="1"/>
      <c r="F879" s="1"/>
      <c r="G879" s="1"/>
      <c r="H879" s="1"/>
      <c r="I879" s="61"/>
      <c r="J879" s="1"/>
      <c r="K879" s="1"/>
    </row>
    <row r="880" spans="1:11" ht="15.75" customHeight="1">
      <c r="A880" s="2"/>
      <c r="B880" s="1"/>
      <c r="C880" s="1"/>
      <c r="D880" s="1"/>
      <c r="E880" s="1"/>
      <c r="F880" s="1"/>
      <c r="G880" s="1"/>
      <c r="H880" s="1"/>
      <c r="I880" s="61"/>
      <c r="J880" s="1"/>
      <c r="K880" s="1"/>
    </row>
    <row r="881" spans="1:11" ht="15.75" customHeight="1">
      <c r="A881" s="2"/>
      <c r="B881" s="1"/>
      <c r="C881" s="1"/>
      <c r="D881" s="1"/>
      <c r="E881" s="1"/>
      <c r="F881" s="1"/>
      <c r="G881" s="1"/>
      <c r="H881" s="1"/>
      <c r="I881" s="61"/>
      <c r="J881" s="1"/>
      <c r="K881" s="1"/>
    </row>
    <row r="882" spans="1:11" ht="15.75" customHeight="1">
      <c r="A882" s="2"/>
      <c r="B882" s="1"/>
      <c r="C882" s="1"/>
      <c r="D882" s="1"/>
      <c r="E882" s="1"/>
      <c r="F882" s="1"/>
      <c r="G882" s="1"/>
      <c r="H882" s="1"/>
      <c r="I882" s="61"/>
      <c r="J882" s="1"/>
      <c r="K882" s="1"/>
    </row>
    <row r="883" spans="1:11" ht="15.75" customHeight="1">
      <c r="A883" s="2"/>
      <c r="B883" s="1"/>
      <c r="C883" s="1"/>
      <c r="D883" s="1"/>
      <c r="E883" s="1"/>
      <c r="F883" s="1"/>
      <c r="G883" s="1"/>
      <c r="H883" s="1"/>
      <c r="I883" s="61"/>
      <c r="J883" s="1"/>
      <c r="K883" s="1"/>
    </row>
    <row r="884" spans="1:11" ht="15.75" customHeight="1">
      <c r="A884" s="2"/>
      <c r="B884" s="1"/>
      <c r="C884" s="1"/>
      <c r="D884" s="1"/>
      <c r="E884" s="1"/>
      <c r="F884" s="1"/>
      <c r="G884" s="1"/>
      <c r="H884" s="1"/>
      <c r="I884" s="61"/>
      <c r="J884" s="1"/>
      <c r="K884" s="1"/>
    </row>
    <row r="885" spans="1:11" ht="15.75" customHeight="1">
      <c r="A885" s="2"/>
      <c r="B885" s="1"/>
      <c r="C885" s="1"/>
      <c r="D885" s="1"/>
      <c r="E885" s="1"/>
      <c r="F885" s="1"/>
      <c r="G885" s="1"/>
      <c r="H885" s="1"/>
      <c r="I885" s="61"/>
      <c r="J885" s="1"/>
      <c r="K885" s="1"/>
    </row>
    <row r="886" spans="1:11" ht="15.75" customHeight="1">
      <c r="A886" s="2"/>
      <c r="B886" s="1"/>
      <c r="C886" s="1"/>
      <c r="D886" s="1"/>
      <c r="E886" s="1"/>
      <c r="F886" s="1"/>
      <c r="G886" s="1"/>
      <c r="H886" s="1"/>
      <c r="I886" s="61"/>
      <c r="J886" s="1"/>
      <c r="K886" s="1"/>
    </row>
    <row r="887" spans="1:11" ht="15.75" customHeight="1">
      <c r="A887" s="2"/>
      <c r="B887" s="1"/>
      <c r="C887" s="1"/>
      <c r="D887" s="1"/>
      <c r="E887" s="1"/>
      <c r="F887" s="1"/>
      <c r="G887" s="1"/>
      <c r="H887" s="1"/>
      <c r="I887" s="61"/>
      <c r="J887" s="1"/>
      <c r="K887" s="1"/>
    </row>
    <row r="888" spans="1:11" ht="15.75" customHeight="1">
      <c r="A888" s="2"/>
      <c r="B888" s="1"/>
      <c r="C888" s="1"/>
      <c r="D888" s="1"/>
      <c r="E888" s="1"/>
      <c r="F888" s="1"/>
      <c r="G888" s="1"/>
      <c r="H888" s="1"/>
      <c r="I888" s="61"/>
      <c r="J888" s="1"/>
      <c r="K888" s="1"/>
    </row>
    <row r="889" spans="1:11" ht="15.75" customHeight="1">
      <c r="A889" s="2"/>
      <c r="B889" s="1"/>
      <c r="C889" s="1"/>
      <c r="D889" s="1"/>
      <c r="E889" s="1"/>
      <c r="F889" s="1"/>
      <c r="G889" s="1"/>
      <c r="H889" s="1"/>
      <c r="I889" s="61"/>
      <c r="J889" s="1"/>
      <c r="K889" s="1"/>
    </row>
    <row r="890" spans="1:11" ht="15.75" customHeight="1">
      <c r="A890" s="2"/>
      <c r="B890" s="1"/>
      <c r="C890" s="1"/>
      <c r="D890" s="1"/>
      <c r="E890" s="1"/>
      <c r="F890" s="1"/>
      <c r="G890" s="1"/>
      <c r="H890" s="1"/>
      <c r="I890" s="61"/>
      <c r="J890" s="1"/>
      <c r="K890" s="1"/>
    </row>
    <row r="891" spans="1:11" ht="15.75" customHeight="1">
      <c r="A891" s="2"/>
      <c r="B891" s="1"/>
      <c r="C891" s="1"/>
      <c r="D891" s="1"/>
      <c r="E891" s="1"/>
      <c r="F891" s="1"/>
      <c r="G891" s="1"/>
      <c r="H891" s="1"/>
      <c r="I891" s="61"/>
      <c r="J891" s="1"/>
      <c r="K891" s="1"/>
    </row>
    <row r="892" spans="1:11" ht="15.75" customHeight="1">
      <c r="A892" s="2"/>
      <c r="B892" s="1"/>
      <c r="C892" s="1"/>
      <c r="D892" s="1"/>
      <c r="E892" s="1"/>
      <c r="F892" s="1"/>
      <c r="G892" s="1"/>
      <c r="H892" s="1"/>
      <c r="I892" s="61"/>
      <c r="J892" s="1"/>
      <c r="K892" s="1"/>
    </row>
    <row r="893" spans="1:11" ht="15.75" customHeight="1">
      <c r="A893" s="2"/>
      <c r="B893" s="1"/>
      <c r="C893" s="1"/>
      <c r="D893" s="1"/>
      <c r="E893" s="1"/>
      <c r="F893" s="1"/>
      <c r="G893" s="1"/>
      <c r="H893" s="1"/>
      <c r="I893" s="61"/>
      <c r="J893" s="1"/>
      <c r="K893" s="1"/>
    </row>
    <row r="894" spans="1:11" ht="15.75" customHeight="1">
      <c r="A894" s="2"/>
      <c r="B894" s="1"/>
      <c r="C894" s="1"/>
      <c r="D894" s="1"/>
      <c r="E894" s="1"/>
      <c r="F894" s="1"/>
      <c r="G894" s="1"/>
      <c r="H894" s="1"/>
      <c r="I894" s="61"/>
      <c r="J894" s="1"/>
      <c r="K894" s="1"/>
    </row>
    <row r="895" spans="1:11" ht="15.75" customHeight="1">
      <c r="A895" s="2"/>
      <c r="B895" s="1"/>
      <c r="C895" s="1"/>
      <c r="D895" s="1"/>
      <c r="E895" s="1"/>
      <c r="F895" s="1"/>
      <c r="G895" s="1"/>
      <c r="H895" s="1"/>
      <c r="I895" s="61"/>
      <c r="J895" s="1"/>
      <c r="K895" s="1"/>
    </row>
    <row r="896" spans="1:11" ht="15.75" customHeight="1">
      <c r="A896" s="2"/>
      <c r="B896" s="1"/>
      <c r="C896" s="1"/>
      <c r="D896" s="1"/>
      <c r="E896" s="1"/>
      <c r="F896" s="1"/>
      <c r="G896" s="1"/>
      <c r="H896" s="1"/>
      <c r="I896" s="61"/>
      <c r="J896" s="1"/>
      <c r="K896" s="1"/>
    </row>
    <row r="897" spans="1:11" ht="15.75" customHeight="1">
      <c r="A897" s="2"/>
      <c r="B897" s="1"/>
      <c r="C897" s="1"/>
      <c r="D897" s="1"/>
      <c r="E897" s="1"/>
      <c r="F897" s="1"/>
      <c r="G897" s="1"/>
      <c r="H897" s="1"/>
      <c r="I897" s="61"/>
      <c r="J897" s="1"/>
      <c r="K897" s="1"/>
    </row>
    <row r="898" spans="1:11" ht="15.75" customHeight="1">
      <c r="A898" s="2"/>
      <c r="B898" s="1"/>
      <c r="C898" s="1"/>
      <c r="D898" s="1"/>
      <c r="E898" s="1"/>
      <c r="F898" s="1"/>
      <c r="G898" s="1"/>
      <c r="H898" s="1"/>
      <c r="I898" s="61"/>
      <c r="J898" s="1"/>
      <c r="K898" s="1"/>
    </row>
    <row r="899" spans="1:11" ht="15.75" customHeight="1">
      <c r="A899" s="2"/>
      <c r="B899" s="1"/>
      <c r="C899" s="1"/>
      <c r="D899" s="1"/>
      <c r="E899" s="1"/>
      <c r="F899" s="1"/>
      <c r="G899" s="1"/>
      <c r="H899" s="1"/>
      <c r="I899" s="61"/>
      <c r="J899" s="1"/>
      <c r="K899" s="1"/>
    </row>
    <row r="900" spans="1:11" ht="15.75" customHeight="1">
      <c r="A900" s="2"/>
      <c r="B900" s="1"/>
      <c r="C900" s="1"/>
      <c r="D900" s="1"/>
      <c r="E900" s="1"/>
      <c r="F900" s="1"/>
      <c r="G900" s="1"/>
      <c r="H900" s="1"/>
      <c r="I900" s="61"/>
      <c r="J900" s="1"/>
      <c r="K900" s="1"/>
    </row>
    <row r="901" spans="1:11" ht="15.75" customHeight="1">
      <c r="A901" s="2"/>
      <c r="B901" s="1"/>
      <c r="C901" s="1"/>
      <c r="D901" s="1"/>
      <c r="E901" s="1"/>
      <c r="F901" s="1"/>
      <c r="G901" s="1"/>
      <c r="H901" s="1"/>
      <c r="I901" s="61"/>
      <c r="J901" s="1"/>
      <c r="K901" s="1"/>
    </row>
    <row r="902" spans="1:11" ht="15.75" customHeight="1">
      <c r="A902" s="2"/>
      <c r="B902" s="1"/>
      <c r="C902" s="1"/>
      <c r="D902" s="1"/>
      <c r="E902" s="1"/>
      <c r="F902" s="1"/>
      <c r="G902" s="1"/>
      <c r="H902" s="1"/>
      <c r="I902" s="61"/>
      <c r="J902" s="1"/>
      <c r="K902" s="1"/>
    </row>
    <row r="903" spans="1:11" ht="15.75" customHeight="1">
      <c r="A903" s="2"/>
      <c r="B903" s="1"/>
      <c r="C903" s="1"/>
      <c r="D903" s="1"/>
      <c r="E903" s="1"/>
      <c r="F903" s="1"/>
      <c r="G903" s="1"/>
      <c r="H903" s="1"/>
      <c r="I903" s="61"/>
      <c r="J903" s="1"/>
      <c r="K903" s="1"/>
    </row>
    <row r="904" spans="1:11" ht="15.75" customHeight="1">
      <c r="A904" s="2"/>
      <c r="B904" s="1"/>
      <c r="C904" s="1"/>
      <c r="D904" s="1"/>
      <c r="E904" s="1"/>
      <c r="F904" s="1"/>
      <c r="G904" s="1"/>
      <c r="H904" s="1"/>
      <c r="I904" s="61"/>
      <c r="J904" s="1"/>
      <c r="K904" s="1"/>
    </row>
    <row r="905" spans="1:11" ht="15.75" customHeight="1">
      <c r="A905" s="2"/>
      <c r="B905" s="1"/>
      <c r="C905" s="1"/>
      <c r="D905" s="1"/>
      <c r="E905" s="1"/>
      <c r="F905" s="1"/>
      <c r="G905" s="1"/>
      <c r="H905" s="1"/>
      <c r="I905" s="61"/>
      <c r="J905" s="1"/>
      <c r="K905" s="1"/>
    </row>
    <row r="906" spans="1:11" ht="15.75" customHeight="1">
      <c r="A906" s="2"/>
      <c r="B906" s="1"/>
      <c r="C906" s="1"/>
      <c r="D906" s="1"/>
      <c r="E906" s="1"/>
      <c r="F906" s="1"/>
      <c r="G906" s="1"/>
      <c r="H906" s="1"/>
      <c r="I906" s="61"/>
      <c r="J906" s="1"/>
      <c r="K906" s="1"/>
    </row>
    <row r="907" spans="1:11" ht="15.75" customHeight="1">
      <c r="A907" s="2"/>
      <c r="B907" s="1"/>
      <c r="C907" s="1"/>
      <c r="D907" s="1"/>
      <c r="E907" s="1"/>
      <c r="F907" s="1"/>
      <c r="G907" s="1"/>
      <c r="H907" s="1"/>
      <c r="I907" s="61"/>
      <c r="J907" s="1"/>
      <c r="K907" s="1"/>
    </row>
    <row r="908" spans="1:11" ht="15.75" customHeight="1">
      <c r="A908" s="2"/>
      <c r="B908" s="1"/>
      <c r="C908" s="1"/>
      <c r="D908" s="1"/>
      <c r="E908" s="1"/>
      <c r="F908" s="1"/>
      <c r="G908" s="1"/>
      <c r="H908" s="1"/>
      <c r="I908" s="61"/>
      <c r="J908" s="1"/>
      <c r="K908" s="1"/>
    </row>
    <row r="909" spans="1:11" ht="15.75" customHeight="1">
      <c r="A909" s="2"/>
      <c r="B909" s="1"/>
      <c r="C909" s="1"/>
      <c r="D909" s="1"/>
      <c r="E909" s="1"/>
      <c r="F909" s="1"/>
      <c r="G909" s="1"/>
      <c r="H909" s="1"/>
      <c r="I909" s="61"/>
      <c r="J909" s="1"/>
      <c r="K909" s="1"/>
    </row>
    <row r="910" spans="1:11" ht="15.75" customHeight="1">
      <c r="A910" s="2"/>
      <c r="B910" s="1"/>
      <c r="C910" s="1"/>
      <c r="D910" s="1"/>
      <c r="E910" s="1"/>
      <c r="F910" s="1"/>
      <c r="G910" s="1"/>
      <c r="H910" s="1"/>
      <c r="I910" s="61"/>
      <c r="J910" s="1"/>
      <c r="K910" s="1"/>
    </row>
    <row r="911" spans="1:11" ht="15.75" customHeight="1">
      <c r="A911" s="2"/>
      <c r="B911" s="1"/>
      <c r="C911" s="1"/>
      <c r="D911" s="1"/>
      <c r="E911" s="1"/>
      <c r="F911" s="1"/>
      <c r="G911" s="1"/>
      <c r="H911" s="1"/>
      <c r="I911" s="61"/>
      <c r="J911" s="1"/>
      <c r="K911" s="1"/>
    </row>
    <row r="912" spans="1:11" ht="15.75" customHeight="1">
      <c r="A912" s="2"/>
      <c r="B912" s="1"/>
      <c r="C912" s="1"/>
      <c r="D912" s="1"/>
      <c r="E912" s="1"/>
      <c r="F912" s="1"/>
      <c r="G912" s="1"/>
      <c r="H912" s="1"/>
      <c r="I912" s="61"/>
      <c r="J912" s="1"/>
      <c r="K912" s="1"/>
    </row>
    <row r="913" spans="1:11" ht="15.75" customHeight="1">
      <c r="A913" s="2"/>
      <c r="B913" s="1"/>
      <c r="C913" s="1"/>
      <c r="D913" s="1"/>
      <c r="E913" s="1"/>
      <c r="F913" s="1"/>
      <c r="G913" s="1"/>
      <c r="H913" s="1"/>
      <c r="I913" s="61"/>
      <c r="J913" s="1"/>
      <c r="K913" s="1"/>
    </row>
    <row r="914" spans="1:11" ht="15.75" customHeight="1">
      <c r="A914" s="2"/>
      <c r="B914" s="1"/>
      <c r="C914" s="1"/>
      <c r="D914" s="1"/>
      <c r="E914" s="1"/>
      <c r="F914" s="1"/>
      <c r="G914" s="1"/>
      <c r="H914" s="1"/>
      <c r="I914" s="61"/>
      <c r="J914" s="1"/>
      <c r="K914" s="1"/>
    </row>
    <row r="915" spans="1:11" ht="15.75" customHeight="1">
      <c r="A915" s="2"/>
      <c r="B915" s="1"/>
      <c r="C915" s="1"/>
      <c r="D915" s="1"/>
      <c r="E915" s="1"/>
      <c r="F915" s="1"/>
      <c r="G915" s="1"/>
      <c r="H915" s="1"/>
      <c r="I915" s="61"/>
      <c r="J915" s="1"/>
      <c r="K915" s="1"/>
    </row>
    <row r="916" spans="1:11" ht="15.75" customHeight="1">
      <c r="A916" s="2"/>
      <c r="B916" s="1"/>
      <c r="C916" s="1"/>
      <c r="D916" s="1"/>
      <c r="E916" s="1"/>
      <c r="F916" s="1"/>
      <c r="G916" s="1"/>
      <c r="H916" s="1"/>
      <c r="I916" s="61"/>
      <c r="J916" s="1"/>
      <c r="K916" s="1"/>
    </row>
    <row r="917" spans="1:11" ht="15.75" customHeight="1">
      <c r="A917" s="2"/>
      <c r="B917" s="1"/>
      <c r="C917" s="1"/>
      <c r="D917" s="1"/>
      <c r="E917" s="1"/>
      <c r="F917" s="1"/>
      <c r="G917" s="1"/>
      <c r="H917" s="1"/>
      <c r="I917" s="61"/>
      <c r="J917" s="1"/>
      <c r="K917" s="1"/>
    </row>
    <row r="918" spans="1:11" ht="15.75" customHeight="1">
      <c r="A918" s="2"/>
      <c r="B918" s="1"/>
      <c r="C918" s="1"/>
      <c r="D918" s="1"/>
      <c r="E918" s="1"/>
      <c r="F918" s="1"/>
      <c r="G918" s="1"/>
      <c r="H918" s="1"/>
      <c r="I918" s="61"/>
      <c r="J918" s="1"/>
      <c r="K918" s="1"/>
    </row>
    <row r="919" spans="1:11" ht="15.75" customHeight="1">
      <c r="A919" s="2"/>
      <c r="B919" s="1"/>
      <c r="C919" s="1"/>
      <c r="D919" s="1"/>
      <c r="E919" s="1"/>
      <c r="F919" s="1"/>
      <c r="G919" s="1"/>
      <c r="H919" s="1"/>
      <c r="I919" s="61"/>
      <c r="J919" s="1"/>
      <c r="K919" s="1"/>
    </row>
    <row r="920" spans="1:11" ht="15.75" customHeight="1">
      <c r="A920" s="2"/>
      <c r="B920" s="1"/>
      <c r="C920" s="1"/>
      <c r="D920" s="1"/>
      <c r="E920" s="1"/>
      <c r="F920" s="1"/>
      <c r="G920" s="1"/>
      <c r="H920" s="1"/>
      <c r="I920" s="61"/>
      <c r="J920" s="1"/>
      <c r="K920" s="1"/>
    </row>
    <row r="921" spans="1:11" ht="15.75" customHeight="1">
      <c r="A921" s="2"/>
      <c r="B921" s="1"/>
      <c r="C921" s="1"/>
      <c r="D921" s="1"/>
      <c r="E921" s="1"/>
      <c r="F921" s="1"/>
      <c r="G921" s="1"/>
      <c r="H921" s="1"/>
      <c r="I921" s="61"/>
      <c r="J921" s="1"/>
      <c r="K921" s="1"/>
    </row>
    <row r="922" spans="1:11" ht="15.75" customHeight="1">
      <c r="A922" s="2"/>
      <c r="B922" s="1"/>
      <c r="C922" s="1"/>
      <c r="D922" s="1"/>
      <c r="E922" s="1"/>
      <c r="F922" s="1"/>
      <c r="G922" s="1"/>
      <c r="H922" s="1"/>
      <c r="I922" s="61"/>
      <c r="J922" s="1"/>
      <c r="K922" s="1"/>
    </row>
    <row r="923" spans="1:11" ht="15.75" customHeight="1">
      <c r="A923" s="2"/>
      <c r="B923" s="1"/>
      <c r="C923" s="1"/>
      <c r="D923" s="1"/>
      <c r="E923" s="1"/>
      <c r="F923" s="1"/>
      <c r="G923" s="1"/>
      <c r="H923" s="1"/>
      <c r="I923" s="61"/>
      <c r="J923" s="1"/>
      <c r="K923" s="1"/>
    </row>
    <row r="924" spans="1:11" ht="15.75" customHeight="1">
      <c r="A924" s="2"/>
      <c r="B924" s="1"/>
      <c r="C924" s="1"/>
      <c r="D924" s="1"/>
      <c r="E924" s="1"/>
      <c r="F924" s="1"/>
      <c r="G924" s="1"/>
      <c r="H924" s="1"/>
      <c r="I924" s="61"/>
      <c r="J924" s="1"/>
      <c r="K924" s="1"/>
    </row>
    <row r="925" spans="1:11" ht="15.75" customHeight="1">
      <c r="A925" s="2"/>
      <c r="B925" s="1"/>
      <c r="C925" s="1"/>
      <c r="D925" s="1"/>
      <c r="E925" s="1"/>
      <c r="F925" s="1"/>
      <c r="G925" s="1"/>
      <c r="H925" s="1"/>
      <c r="I925" s="61"/>
      <c r="J925" s="1"/>
      <c r="K925" s="1"/>
    </row>
    <row r="926" spans="1:11" ht="15.75" customHeight="1">
      <c r="A926" s="2"/>
      <c r="B926" s="1"/>
      <c r="C926" s="1"/>
      <c r="D926" s="1"/>
      <c r="E926" s="1"/>
      <c r="F926" s="1"/>
      <c r="G926" s="1"/>
      <c r="H926" s="1"/>
      <c r="I926" s="61"/>
      <c r="J926" s="1"/>
      <c r="K926" s="1"/>
    </row>
    <row r="927" spans="1:11" ht="15.75" customHeight="1">
      <c r="A927" s="2"/>
      <c r="B927" s="1"/>
      <c r="C927" s="1"/>
      <c r="D927" s="1"/>
      <c r="E927" s="1"/>
      <c r="F927" s="1"/>
      <c r="G927" s="1"/>
      <c r="H927" s="1"/>
      <c r="I927" s="61"/>
      <c r="J927" s="1"/>
      <c r="K927" s="1"/>
    </row>
    <row r="928" spans="1:11" ht="15.75" customHeight="1">
      <c r="A928" s="2"/>
      <c r="B928" s="1"/>
      <c r="C928" s="1"/>
      <c r="D928" s="1"/>
      <c r="E928" s="1"/>
      <c r="F928" s="1"/>
      <c r="G928" s="1"/>
      <c r="H928" s="1"/>
      <c r="I928" s="61"/>
      <c r="J928" s="1"/>
      <c r="K928" s="1"/>
    </row>
    <row r="929" spans="1:11" ht="15.75" customHeight="1">
      <c r="A929" s="2"/>
      <c r="B929" s="1"/>
      <c r="C929" s="1"/>
      <c r="D929" s="1"/>
      <c r="E929" s="1"/>
      <c r="F929" s="1"/>
      <c r="G929" s="1"/>
      <c r="H929" s="1"/>
      <c r="I929" s="61"/>
      <c r="J929" s="1"/>
      <c r="K929" s="1"/>
    </row>
    <row r="930" spans="1:11" ht="15.75" customHeight="1">
      <c r="A930" s="2"/>
      <c r="B930" s="1"/>
      <c r="C930" s="1"/>
      <c r="D930" s="1"/>
      <c r="E930" s="1"/>
      <c r="F930" s="1"/>
      <c r="G930" s="1"/>
      <c r="H930" s="1"/>
      <c r="I930" s="61"/>
      <c r="J930" s="1"/>
      <c r="K930" s="1"/>
    </row>
    <row r="931" spans="1:11" ht="15.75" customHeight="1">
      <c r="A931" s="2"/>
      <c r="B931" s="1"/>
      <c r="C931" s="1"/>
      <c r="D931" s="1"/>
      <c r="E931" s="1"/>
      <c r="F931" s="1"/>
      <c r="G931" s="1"/>
      <c r="H931" s="1"/>
      <c r="I931" s="61"/>
      <c r="J931" s="1"/>
      <c r="K931" s="1"/>
    </row>
    <row r="932" spans="1:11" ht="15.75" customHeight="1">
      <c r="A932" s="2"/>
      <c r="B932" s="1"/>
      <c r="C932" s="1"/>
      <c r="D932" s="1"/>
      <c r="E932" s="1"/>
      <c r="F932" s="1"/>
      <c r="G932" s="1"/>
      <c r="H932" s="1"/>
      <c r="I932" s="61"/>
      <c r="J932" s="1"/>
      <c r="K932" s="1"/>
    </row>
    <row r="933" spans="1:11" ht="15.75" customHeight="1">
      <c r="A933" s="2"/>
      <c r="B933" s="1"/>
      <c r="C933" s="1"/>
      <c r="D933" s="1"/>
      <c r="E933" s="1"/>
      <c r="F933" s="1"/>
      <c r="G933" s="1"/>
      <c r="H933" s="1"/>
      <c r="I933" s="61"/>
      <c r="J933" s="1"/>
      <c r="K933" s="1"/>
    </row>
    <row r="934" spans="1:11" ht="15.75" customHeight="1">
      <c r="A934" s="2"/>
      <c r="B934" s="1"/>
      <c r="C934" s="1"/>
      <c r="D934" s="1"/>
      <c r="E934" s="1"/>
      <c r="F934" s="1"/>
      <c r="G934" s="1"/>
      <c r="H934" s="1"/>
      <c r="I934" s="61"/>
      <c r="J934" s="1"/>
      <c r="K934" s="1"/>
    </row>
    <row r="935" spans="1:11" ht="15.75" customHeight="1">
      <c r="A935" s="2"/>
      <c r="B935" s="1"/>
      <c r="C935" s="1"/>
      <c r="D935" s="1"/>
      <c r="E935" s="1"/>
      <c r="F935" s="1"/>
      <c r="G935" s="1"/>
      <c r="H935" s="1"/>
      <c r="I935" s="61"/>
      <c r="J935" s="1"/>
      <c r="K935" s="1"/>
    </row>
    <row r="936" spans="1:11" ht="15.75" customHeight="1">
      <c r="A936" s="2"/>
      <c r="B936" s="1"/>
      <c r="C936" s="1"/>
      <c r="D936" s="1"/>
      <c r="E936" s="1"/>
      <c r="F936" s="1"/>
      <c r="G936" s="1"/>
      <c r="H936" s="1"/>
      <c r="I936" s="61"/>
      <c r="J936" s="1"/>
      <c r="K936" s="1"/>
    </row>
    <row r="937" spans="1:11" ht="15.75" customHeight="1">
      <c r="A937" s="2"/>
      <c r="B937" s="1"/>
      <c r="C937" s="1"/>
      <c r="D937" s="1"/>
      <c r="E937" s="1"/>
      <c r="F937" s="1"/>
      <c r="G937" s="1"/>
      <c r="H937" s="1"/>
      <c r="I937" s="61"/>
      <c r="J937" s="1"/>
      <c r="K937" s="1"/>
    </row>
    <row r="938" spans="1:11" ht="15.75" customHeight="1">
      <c r="A938" s="2"/>
      <c r="B938" s="1"/>
      <c r="C938" s="1"/>
      <c r="D938" s="1"/>
      <c r="E938" s="1"/>
      <c r="F938" s="1"/>
      <c r="G938" s="1"/>
      <c r="H938" s="1"/>
      <c r="I938" s="61"/>
      <c r="J938" s="1"/>
      <c r="K938" s="1"/>
    </row>
    <row r="939" spans="1:11" ht="15.75" customHeight="1">
      <c r="A939" s="2"/>
      <c r="B939" s="1"/>
      <c r="C939" s="1"/>
      <c r="D939" s="1"/>
      <c r="E939" s="1"/>
      <c r="F939" s="1"/>
      <c r="G939" s="1"/>
      <c r="H939" s="1"/>
      <c r="I939" s="61"/>
      <c r="J939" s="1"/>
      <c r="K939" s="1"/>
    </row>
    <row r="940" spans="1:11" ht="15.75" customHeight="1">
      <c r="A940" s="2"/>
      <c r="B940" s="1"/>
      <c r="C940" s="1"/>
      <c r="D940" s="1"/>
      <c r="E940" s="1"/>
      <c r="F940" s="1"/>
      <c r="G940" s="1"/>
      <c r="H940" s="1"/>
      <c r="I940" s="61"/>
      <c r="J940" s="1"/>
      <c r="K940" s="1"/>
    </row>
    <row r="941" spans="1:11" ht="15.75" customHeight="1">
      <c r="A941" s="2"/>
      <c r="B941" s="1"/>
      <c r="C941" s="1"/>
      <c r="D941" s="1"/>
      <c r="E941" s="1"/>
      <c r="F941" s="1"/>
      <c r="G941" s="1"/>
      <c r="H941" s="1"/>
      <c r="I941" s="61"/>
      <c r="J941" s="1"/>
      <c r="K941" s="1"/>
    </row>
    <row r="942" spans="1:11" ht="15.75" customHeight="1">
      <c r="A942" s="2"/>
      <c r="B942" s="1"/>
      <c r="C942" s="1"/>
      <c r="D942" s="1"/>
      <c r="E942" s="1"/>
      <c r="F942" s="1"/>
      <c r="G942" s="1"/>
      <c r="H942" s="1"/>
      <c r="I942" s="61"/>
      <c r="J942" s="1"/>
      <c r="K942" s="1"/>
    </row>
    <row r="943" spans="1:11" ht="15.75" customHeight="1">
      <c r="A943" s="2"/>
      <c r="B943" s="1"/>
      <c r="C943" s="1"/>
      <c r="D943" s="1"/>
      <c r="E943" s="1"/>
      <c r="F943" s="1"/>
      <c r="G943" s="1"/>
      <c r="H943" s="1"/>
      <c r="I943" s="61"/>
      <c r="J943" s="1"/>
      <c r="K943" s="1"/>
    </row>
    <row r="944" spans="1:11" ht="15.75" customHeight="1">
      <c r="A944" s="2"/>
      <c r="B944" s="1"/>
      <c r="C944" s="1"/>
      <c r="D944" s="1"/>
      <c r="E944" s="1"/>
      <c r="F944" s="1"/>
      <c r="G944" s="1"/>
      <c r="H944" s="1"/>
      <c r="I944" s="61"/>
      <c r="J944" s="1"/>
      <c r="K944" s="1"/>
    </row>
    <row r="945" spans="1:11" ht="15.75" customHeight="1">
      <c r="A945" s="2"/>
      <c r="B945" s="1"/>
      <c r="C945" s="1"/>
      <c r="D945" s="1"/>
      <c r="E945" s="1"/>
      <c r="F945" s="1"/>
      <c r="G945" s="1"/>
      <c r="H945" s="1"/>
      <c r="I945" s="61"/>
      <c r="J945" s="1"/>
      <c r="K945" s="1"/>
    </row>
    <row r="946" spans="1:11" ht="15.75" customHeight="1">
      <c r="A946" s="2"/>
      <c r="B946" s="1"/>
      <c r="C946" s="1"/>
      <c r="D946" s="1"/>
      <c r="E946" s="1"/>
      <c r="F946" s="1"/>
      <c r="G946" s="1"/>
      <c r="H946" s="1"/>
      <c r="I946" s="61"/>
      <c r="J946" s="1"/>
      <c r="K946" s="1"/>
    </row>
    <row r="947" spans="1:11" ht="15.75" customHeight="1">
      <c r="A947" s="2"/>
      <c r="B947" s="1"/>
      <c r="C947" s="1"/>
      <c r="D947" s="1"/>
      <c r="E947" s="1"/>
      <c r="F947" s="1"/>
      <c r="G947" s="1"/>
      <c r="H947" s="1"/>
      <c r="I947" s="61"/>
      <c r="J947" s="1"/>
      <c r="K947" s="1"/>
    </row>
    <row r="948" spans="1:11" ht="15.75" customHeight="1">
      <c r="A948" s="2"/>
      <c r="B948" s="1"/>
      <c r="C948" s="1"/>
      <c r="D948" s="1"/>
      <c r="E948" s="1"/>
      <c r="F948" s="1"/>
      <c r="G948" s="1"/>
      <c r="H948" s="1"/>
      <c r="I948" s="61"/>
      <c r="J948" s="1"/>
      <c r="K948" s="1"/>
    </row>
    <row r="949" spans="1:11" ht="15.75" customHeight="1">
      <c r="A949" s="2"/>
      <c r="B949" s="1"/>
      <c r="C949" s="1"/>
      <c r="D949" s="1"/>
      <c r="E949" s="1"/>
      <c r="F949" s="1"/>
      <c r="G949" s="1"/>
      <c r="H949" s="1"/>
      <c r="I949" s="61"/>
      <c r="J949" s="1"/>
      <c r="K949" s="1"/>
    </row>
    <row r="950" spans="1:11" ht="15.75" customHeight="1">
      <c r="A950" s="2"/>
      <c r="B950" s="1"/>
      <c r="C950" s="1"/>
      <c r="D950" s="1"/>
      <c r="E950" s="1"/>
      <c r="F950" s="1"/>
      <c r="G950" s="1"/>
      <c r="H950" s="1"/>
      <c r="I950" s="61"/>
      <c r="J950" s="1"/>
      <c r="K950" s="1"/>
    </row>
    <row r="951" spans="1:11" ht="15.75" customHeight="1">
      <c r="A951" s="2"/>
      <c r="B951" s="1"/>
      <c r="C951" s="1"/>
      <c r="D951" s="1"/>
      <c r="E951" s="1"/>
      <c r="F951" s="1"/>
      <c r="G951" s="1"/>
      <c r="H951" s="1"/>
      <c r="I951" s="61"/>
      <c r="J951" s="1"/>
      <c r="K951" s="1"/>
    </row>
    <row r="952" spans="1:11" ht="15.75" customHeight="1">
      <c r="A952" s="2"/>
      <c r="B952" s="1"/>
      <c r="C952" s="1"/>
      <c r="D952" s="1"/>
      <c r="E952" s="1"/>
      <c r="F952" s="1"/>
      <c r="G952" s="1"/>
      <c r="H952" s="1"/>
      <c r="I952" s="61"/>
      <c r="J952" s="1"/>
      <c r="K952" s="1"/>
    </row>
    <row r="953" spans="1:11" ht="15.75" customHeight="1">
      <c r="A953" s="2"/>
      <c r="B953" s="1"/>
      <c r="C953" s="1"/>
      <c r="D953" s="1"/>
      <c r="E953" s="1"/>
      <c r="F953" s="1"/>
      <c r="G953" s="1"/>
      <c r="H953" s="1"/>
      <c r="I953" s="61"/>
      <c r="J953" s="1"/>
      <c r="K953" s="1"/>
    </row>
    <row r="954" spans="1:11" ht="15.75" customHeight="1">
      <c r="A954" s="2"/>
      <c r="B954" s="1"/>
      <c r="C954" s="1"/>
      <c r="D954" s="1"/>
      <c r="E954" s="1"/>
      <c r="F954" s="1"/>
      <c r="G954" s="1"/>
      <c r="H954" s="1"/>
      <c r="I954" s="61"/>
      <c r="J954" s="1"/>
      <c r="K954" s="1"/>
    </row>
    <row r="955" spans="1:11" ht="15.75" customHeight="1">
      <c r="A955" s="2"/>
      <c r="B955" s="1"/>
      <c r="C955" s="1"/>
      <c r="D955" s="1"/>
      <c r="E955" s="1"/>
      <c r="F955" s="1"/>
      <c r="G955" s="1"/>
      <c r="H955" s="1"/>
      <c r="I955" s="61"/>
      <c r="J955" s="1"/>
      <c r="K955" s="1"/>
    </row>
    <row r="956" spans="1:11" ht="15.75" customHeight="1">
      <c r="A956" s="2"/>
      <c r="B956" s="1"/>
      <c r="C956" s="1"/>
      <c r="D956" s="1"/>
      <c r="E956" s="1"/>
      <c r="F956" s="1"/>
      <c r="G956" s="1"/>
      <c r="H956" s="1"/>
      <c r="I956" s="61"/>
      <c r="J956" s="1"/>
      <c r="K956" s="1"/>
    </row>
    <row r="957" spans="1:11" ht="15.75" customHeight="1">
      <c r="A957" s="2"/>
      <c r="B957" s="1"/>
      <c r="C957" s="1"/>
      <c r="D957" s="1"/>
      <c r="E957" s="1"/>
      <c r="F957" s="1"/>
      <c r="G957" s="1"/>
      <c r="H957" s="1"/>
      <c r="I957" s="61"/>
      <c r="J957" s="1"/>
      <c r="K957" s="1"/>
    </row>
    <row r="958" spans="1:11" ht="15.75" customHeight="1">
      <c r="A958" s="2"/>
      <c r="B958" s="1"/>
      <c r="C958" s="1"/>
      <c r="D958" s="1"/>
      <c r="E958" s="1"/>
      <c r="F958" s="1"/>
      <c r="G958" s="1"/>
      <c r="H958" s="1"/>
      <c r="I958" s="61"/>
      <c r="J958" s="1"/>
      <c r="K958" s="1"/>
    </row>
    <row r="959" spans="1:11" ht="15.75" customHeight="1">
      <c r="A959" s="2"/>
      <c r="B959" s="1"/>
      <c r="C959" s="1"/>
      <c r="D959" s="1"/>
      <c r="E959" s="1"/>
      <c r="F959" s="1"/>
      <c r="G959" s="1"/>
      <c r="H959" s="1"/>
      <c r="I959" s="61"/>
      <c r="J959" s="1"/>
      <c r="K959" s="1"/>
    </row>
    <row r="960" spans="1:11" ht="15.75" customHeight="1">
      <c r="A960" s="2"/>
      <c r="B960" s="1"/>
      <c r="C960" s="1"/>
      <c r="D960" s="1"/>
      <c r="E960" s="1"/>
      <c r="F960" s="1"/>
      <c r="G960" s="1"/>
      <c r="H960" s="1"/>
      <c r="I960" s="61"/>
      <c r="J960" s="1"/>
      <c r="K960" s="1"/>
    </row>
    <row r="961" spans="1:11" ht="15.75" customHeight="1">
      <c r="A961" s="2"/>
      <c r="B961" s="1"/>
      <c r="C961" s="1"/>
      <c r="D961" s="1"/>
      <c r="E961" s="1"/>
      <c r="F961" s="1"/>
      <c r="G961" s="1"/>
      <c r="H961" s="1"/>
      <c r="I961" s="61"/>
      <c r="J961" s="1"/>
      <c r="K961" s="1"/>
    </row>
    <row r="962" spans="1:11" ht="15.75" customHeight="1">
      <c r="A962" s="2"/>
      <c r="B962" s="1"/>
      <c r="C962" s="1"/>
      <c r="D962" s="1"/>
      <c r="E962" s="1"/>
      <c r="F962" s="1"/>
      <c r="G962" s="1"/>
      <c r="H962" s="1"/>
      <c r="I962" s="61"/>
      <c r="J962" s="1"/>
      <c r="K962" s="1"/>
    </row>
    <row r="963" spans="1:11" ht="15.75" customHeight="1">
      <c r="A963" s="2"/>
      <c r="B963" s="1"/>
      <c r="C963" s="1"/>
      <c r="D963" s="1"/>
      <c r="E963" s="1"/>
      <c r="F963" s="1"/>
      <c r="G963" s="1"/>
      <c r="H963" s="1"/>
      <c r="I963" s="61"/>
      <c r="J963" s="1"/>
      <c r="K963" s="1"/>
    </row>
    <row r="964" spans="1:11" ht="15.75" customHeight="1">
      <c r="A964" s="2"/>
      <c r="B964" s="1"/>
      <c r="C964" s="1"/>
      <c r="D964" s="1"/>
      <c r="E964" s="1"/>
      <c r="F964" s="1"/>
      <c r="G964" s="1"/>
      <c r="H964" s="1"/>
      <c r="I964" s="61"/>
      <c r="J964" s="1"/>
      <c r="K964" s="1"/>
    </row>
    <row r="965" spans="1:11" ht="15.75" customHeight="1">
      <c r="A965" s="2"/>
      <c r="B965" s="1"/>
      <c r="C965" s="1"/>
      <c r="D965" s="1"/>
      <c r="E965" s="1"/>
      <c r="F965" s="1"/>
      <c r="G965" s="1"/>
      <c r="H965" s="1"/>
      <c r="I965" s="61"/>
      <c r="J965" s="1"/>
      <c r="K965" s="1"/>
    </row>
    <row r="966" spans="1:11" ht="15.75" customHeight="1">
      <c r="A966" s="2"/>
      <c r="B966" s="1"/>
      <c r="C966" s="1"/>
      <c r="D966" s="1"/>
      <c r="E966" s="1"/>
      <c r="F966" s="1"/>
      <c r="G966" s="1"/>
      <c r="H966" s="1"/>
      <c r="I966" s="61"/>
      <c r="J966" s="1"/>
      <c r="K966" s="1"/>
    </row>
    <row r="967" spans="1:11" ht="15.75" customHeight="1">
      <c r="A967" s="2"/>
      <c r="B967" s="1"/>
      <c r="C967" s="1"/>
      <c r="D967" s="1"/>
      <c r="E967" s="1"/>
      <c r="F967" s="1"/>
      <c r="G967" s="1"/>
      <c r="H967" s="1"/>
      <c r="I967" s="61"/>
      <c r="J967" s="1"/>
      <c r="K967" s="1"/>
    </row>
    <row r="968" spans="1:11" ht="15.75" customHeight="1">
      <c r="A968" s="2"/>
      <c r="B968" s="1"/>
      <c r="C968" s="1"/>
      <c r="D968" s="1"/>
      <c r="E968" s="1"/>
      <c r="F968" s="1"/>
      <c r="G968" s="1"/>
      <c r="H968" s="1"/>
      <c r="I968" s="61"/>
      <c r="J968" s="1"/>
      <c r="K968" s="1"/>
    </row>
    <row r="969" spans="1:11" ht="15.75" customHeight="1">
      <c r="A969" s="2"/>
      <c r="B969" s="1"/>
      <c r="C969" s="1"/>
      <c r="D969" s="1"/>
      <c r="E969" s="1"/>
      <c r="F969" s="1"/>
      <c r="G969" s="1"/>
      <c r="H969" s="1"/>
      <c r="I969" s="61"/>
      <c r="J969" s="1"/>
      <c r="K969" s="1"/>
    </row>
    <row r="970" spans="1:11" ht="15.75" customHeight="1">
      <c r="A970" s="2"/>
      <c r="B970" s="1"/>
      <c r="C970" s="1"/>
      <c r="D970" s="1"/>
      <c r="E970" s="1"/>
      <c r="F970" s="1"/>
      <c r="G970" s="1"/>
      <c r="H970" s="1"/>
      <c r="I970" s="61"/>
      <c r="J970" s="1"/>
      <c r="K970" s="1"/>
    </row>
    <row r="971" spans="1:11" ht="15.75" customHeight="1">
      <c r="A971" s="2"/>
      <c r="B971" s="1"/>
      <c r="C971" s="1"/>
      <c r="D971" s="1"/>
      <c r="E971" s="1"/>
      <c r="F971" s="1"/>
      <c r="G971" s="1"/>
      <c r="H971" s="1"/>
      <c r="I971" s="61"/>
      <c r="J971" s="1"/>
      <c r="K971" s="1"/>
    </row>
    <row r="972" spans="1:11" ht="15.75" customHeight="1">
      <c r="A972" s="2"/>
      <c r="B972" s="1"/>
      <c r="C972" s="1"/>
      <c r="D972" s="1"/>
      <c r="E972" s="1"/>
      <c r="F972" s="1"/>
      <c r="G972" s="1"/>
      <c r="H972" s="1"/>
      <c r="I972" s="61"/>
      <c r="J972" s="1"/>
      <c r="K972" s="1"/>
    </row>
    <row r="973" spans="1:11" ht="15.75" customHeight="1">
      <c r="A973" s="2"/>
      <c r="B973" s="1"/>
      <c r="C973" s="1"/>
      <c r="D973" s="1"/>
      <c r="E973" s="1"/>
      <c r="F973" s="1"/>
      <c r="G973" s="1"/>
      <c r="H973" s="1"/>
      <c r="I973" s="61"/>
      <c r="J973" s="1"/>
      <c r="K973" s="1"/>
    </row>
    <row r="974" spans="1:11" ht="15.75" customHeight="1">
      <c r="A974" s="2"/>
      <c r="B974" s="1"/>
      <c r="C974" s="1"/>
      <c r="D974" s="1"/>
      <c r="E974" s="1"/>
      <c r="F974" s="1"/>
      <c r="G974" s="1"/>
      <c r="H974" s="1"/>
      <c r="I974" s="61"/>
      <c r="J974" s="1"/>
      <c r="K974" s="1"/>
    </row>
    <row r="975" spans="1:11" ht="15.75" customHeight="1">
      <c r="A975" s="2"/>
      <c r="B975" s="1"/>
      <c r="C975" s="1"/>
      <c r="D975" s="1"/>
      <c r="E975" s="1"/>
      <c r="F975" s="1"/>
      <c r="G975" s="1"/>
      <c r="H975" s="1"/>
      <c r="I975" s="61"/>
      <c r="J975" s="1"/>
      <c r="K975" s="1"/>
    </row>
    <row r="976" spans="1:11" ht="15.75" customHeight="1">
      <c r="A976" s="2"/>
      <c r="B976" s="1"/>
      <c r="C976" s="1"/>
      <c r="D976" s="1"/>
      <c r="E976" s="1"/>
      <c r="F976" s="1"/>
      <c r="G976" s="1"/>
      <c r="H976" s="1"/>
      <c r="I976" s="61"/>
      <c r="J976" s="1"/>
      <c r="K976" s="1"/>
    </row>
    <row r="977" spans="1:11" ht="15.75" customHeight="1">
      <c r="A977" s="2"/>
      <c r="B977" s="1"/>
      <c r="C977" s="1"/>
      <c r="D977" s="1"/>
      <c r="E977" s="1"/>
      <c r="F977" s="1"/>
      <c r="G977" s="1"/>
      <c r="H977" s="1"/>
      <c r="I977" s="61"/>
      <c r="J977" s="1"/>
      <c r="K977" s="1"/>
    </row>
    <row r="978" spans="1:11" ht="15.75" customHeight="1">
      <c r="A978" s="2"/>
      <c r="B978" s="1"/>
      <c r="C978" s="1"/>
      <c r="D978" s="1"/>
      <c r="E978" s="1"/>
      <c r="F978" s="1"/>
      <c r="G978" s="1"/>
      <c r="H978" s="1"/>
      <c r="I978" s="61"/>
      <c r="J978" s="1"/>
      <c r="K978" s="1"/>
    </row>
    <row r="979" spans="1:11" ht="15.75" customHeight="1">
      <c r="A979" s="2"/>
      <c r="B979" s="1"/>
      <c r="C979" s="1"/>
      <c r="D979" s="1"/>
      <c r="E979" s="1"/>
      <c r="F979" s="1"/>
      <c r="G979" s="1"/>
      <c r="H979" s="1"/>
      <c r="I979" s="61"/>
      <c r="J979" s="1"/>
      <c r="K979" s="1"/>
    </row>
    <row r="980" spans="1:11" ht="15.75" customHeight="1">
      <c r="A980" s="2"/>
      <c r="B980" s="1"/>
      <c r="C980" s="1"/>
      <c r="D980" s="1"/>
      <c r="E980" s="1"/>
      <c r="F980" s="1"/>
      <c r="G980" s="1"/>
      <c r="H980" s="1"/>
      <c r="I980" s="61"/>
      <c r="J980" s="1"/>
      <c r="K980" s="1"/>
    </row>
    <row r="981" spans="1:11" ht="15.75" customHeight="1">
      <c r="A981" s="2"/>
      <c r="B981" s="1"/>
      <c r="C981" s="1"/>
      <c r="D981" s="1"/>
      <c r="E981" s="1"/>
      <c r="F981" s="1"/>
      <c r="G981" s="1"/>
      <c r="H981" s="1"/>
      <c r="I981" s="61"/>
      <c r="J981" s="1"/>
      <c r="K981" s="1"/>
    </row>
    <row r="982" spans="1:11" ht="15.75" customHeight="1">
      <c r="A982" s="2"/>
      <c r="B982" s="1"/>
      <c r="C982" s="1"/>
      <c r="D982" s="1"/>
      <c r="E982" s="1"/>
      <c r="F982" s="1"/>
      <c r="G982" s="1"/>
      <c r="H982" s="1"/>
      <c r="I982" s="61"/>
      <c r="J982" s="1"/>
      <c r="K982" s="1"/>
    </row>
    <row r="983" spans="1:11" ht="15.75" customHeight="1">
      <c r="A983" s="2"/>
      <c r="B983" s="1"/>
      <c r="C983" s="1"/>
      <c r="D983" s="1"/>
      <c r="E983" s="1"/>
      <c r="F983" s="1"/>
      <c r="G983" s="1"/>
      <c r="H983" s="1"/>
      <c r="I983" s="61"/>
      <c r="J983" s="1"/>
      <c r="K983" s="1"/>
    </row>
    <row r="984" spans="1:11" ht="15.75" customHeight="1">
      <c r="A984" s="2"/>
      <c r="B984" s="1"/>
      <c r="C984" s="1"/>
      <c r="D984" s="1"/>
      <c r="E984" s="1"/>
      <c r="F984" s="1"/>
      <c r="G984" s="1"/>
      <c r="H984" s="1"/>
      <c r="I984" s="61"/>
      <c r="J984" s="1"/>
      <c r="K984" s="1"/>
    </row>
    <row r="985" spans="1:11" ht="15.75" customHeight="1">
      <c r="A985" s="2"/>
      <c r="B985" s="1"/>
      <c r="C985" s="1"/>
      <c r="D985" s="1"/>
      <c r="E985" s="1"/>
      <c r="F985" s="1"/>
      <c r="G985" s="1"/>
      <c r="H985" s="1"/>
      <c r="I985" s="61"/>
      <c r="J985" s="1"/>
      <c r="K985" s="1"/>
    </row>
    <row r="986" spans="1:11" ht="15.75" customHeight="1">
      <c r="A986" s="2"/>
      <c r="B986" s="1"/>
      <c r="C986" s="1"/>
      <c r="D986" s="1"/>
      <c r="E986" s="1"/>
      <c r="F986" s="1"/>
      <c r="G986" s="1"/>
      <c r="H986" s="1"/>
      <c r="I986" s="61"/>
      <c r="J986" s="1"/>
      <c r="K986" s="1"/>
    </row>
    <row r="987" spans="1:11" ht="15.75" customHeight="1">
      <c r="A987" s="2"/>
      <c r="B987" s="1"/>
      <c r="C987" s="1"/>
      <c r="D987" s="1"/>
      <c r="E987" s="1"/>
      <c r="F987" s="1"/>
      <c r="G987" s="1"/>
      <c r="H987" s="1"/>
      <c r="I987" s="61"/>
      <c r="J987" s="1"/>
      <c r="K987" s="1"/>
    </row>
    <row r="988" spans="1:11" ht="15.75" customHeight="1">
      <c r="A988" s="2"/>
      <c r="B988" s="1"/>
      <c r="C988" s="1"/>
      <c r="D988" s="1"/>
      <c r="E988" s="1"/>
      <c r="F988" s="1"/>
      <c r="G988" s="1"/>
      <c r="H988" s="1"/>
      <c r="I988" s="61"/>
      <c r="J988" s="1"/>
      <c r="K988" s="1"/>
    </row>
    <row r="989" spans="1:11" ht="15.75" customHeight="1">
      <c r="A989" s="2"/>
      <c r="B989" s="1"/>
      <c r="C989" s="1"/>
      <c r="D989" s="1"/>
      <c r="E989" s="1"/>
      <c r="F989" s="1"/>
      <c r="G989" s="1"/>
      <c r="H989" s="1"/>
      <c r="I989" s="61"/>
      <c r="J989" s="1"/>
      <c r="K989" s="1"/>
    </row>
    <row r="990" spans="1:11" ht="15.75" customHeight="1">
      <c r="A990" s="2"/>
      <c r="B990" s="1"/>
      <c r="C990" s="1"/>
      <c r="D990" s="1"/>
      <c r="E990" s="1"/>
      <c r="F990" s="1"/>
      <c r="G990" s="1"/>
      <c r="H990" s="1"/>
      <c r="I990" s="61"/>
      <c r="J990" s="1"/>
      <c r="K990" s="1"/>
    </row>
    <row r="991" spans="1:11" ht="15.75" customHeight="1">
      <c r="A991" s="2"/>
      <c r="B991" s="1"/>
      <c r="C991" s="1"/>
      <c r="D991" s="1"/>
      <c r="E991" s="1"/>
      <c r="F991" s="1"/>
      <c r="G991" s="1"/>
      <c r="H991" s="1"/>
      <c r="I991" s="61"/>
      <c r="J991" s="1"/>
      <c r="K991" s="1"/>
    </row>
    <row r="992" spans="1:11" ht="15.75" customHeight="1">
      <c r="A992" s="2"/>
      <c r="B992" s="1"/>
      <c r="C992" s="1"/>
      <c r="D992" s="1"/>
      <c r="E992" s="1"/>
      <c r="F992" s="1"/>
      <c r="G992" s="1"/>
      <c r="H992" s="1"/>
      <c r="I992" s="61"/>
      <c r="J992" s="1"/>
      <c r="K992" s="1"/>
    </row>
    <row r="993" spans="1:11" ht="15.75" customHeight="1">
      <c r="A993" s="2"/>
      <c r="B993" s="1"/>
      <c r="C993" s="1"/>
      <c r="D993" s="1"/>
      <c r="E993" s="1"/>
      <c r="F993" s="1"/>
      <c r="G993" s="1"/>
      <c r="H993" s="1"/>
      <c r="I993" s="61"/>
      <c r="J993" s="1"/>
      <c r="K993" s="1"/>
    </row>
    <row r="994" spans="1:11" ht="15.75" customHeight="1">
      <c r="A994" s="2"/>
      <c r="B994" s="1"/>
      <c r="C994" s="1"/>
      <c r="D994" s="1"/>
      <c r="E994" s="1"/>
      <c r="F994" s="1"/>
      <c r="G994" s="1"/>
      <c r="H994" s="1"/>
      <c r="I994" s="61"/>
      <c r="J994" s="1"/>
      <c r="K994" s="1"/>
    </row>
    <row r="995" spans="1:11" ht="15.75" customHeight="1">
      <c r="A995" s="2"/>
      <c r="B995" s="1"/>
      <c r="C995" s="1"/>
      <c r="D995" s="1"/>
      <c r="E995" s="1"/>
      <c r="F995" s="1"/>
      <c r="G995" s="1"/>
      <c r="H995" s="1"/>
      <c r="I995" s="61"/>
      <c r="J995" s="1"/>
      <c r="K995" s="1"/>
    </row>
    <row r="996" spans="1:11" ht="15.75" customHeight="1">
      <c r="A996" s="2"/>
      <c r="B996" s="1"/>
      <c r="C996" s="1"/>
      <c r="D996" s="1"/>
      <c r="E996" s="1"/>
      <c r="F996" s="1"/>
      <c r="G996" s="1"/>
      <c r="H996" s="1"/>
      <c r="I996" s="61"/>
      <c r="J996" s="1"/>
      <c r="K996" s="1"/>
    </row>
    <row r="997" spans="1:11" ht="15.75" customHeight="1">
      <c r="A997" s="2"/>
      <c r="B997" s="1"/>
      <c r="C997" s="1"/>
      <c r="D997" s="1"/>
      <c r="E997" s="1"/>
      <c r="F997" s="1"/>
      <c r="G997" s="1"/>
      <c r="H997" s="1"/>
      <c r="I997" s="61"/>
      <c r="J997" s="1"/>
      <c r="K997" s="1"/>
    </row>
    <row r="998" spans="1:11" ht="15.75" customHeight="1">
      <c r="A998" s="2"/>
      <c r="B998" s="1"/>
      <c r="C998" s="1"/>
      <c r="D998" s="1"/>
      <c r="E998" s="1"/>
      <c r="F998" s="1"/>
      <c r="G998" s="1"/>
      <c r="H998" s="1"/>
      <c r="I998" s="61"/>
      <c r="J998" s="1"/>
      <c r="K998" s="1"/>
    </row>
    <row r="999" spans="1:11" ht="15.75" customHeight="1">
      <c r="A999" s="2"/>
      <c r="B999" s="1"/>
      <c r="C999" s="1"/>
      <c r="D999" s="1"/>
      <c r="E999" s="1"/>
      <c r="F999" s="1"/>
      <c r="G999" s="1"/>
      <c r="H999" s="1"/>
      <c r="I999" s="61"/>
      <c r="J999" s="1"/>
      <c r="K999" s="1"/>
    </row>
    <row r="1000" spans="1:11" ht="15.75" customHeight="1">
      <c r="A1000" s="2"/>
      <c r="B1000" s="1"/>
      <c r="C1000" s="1"/>
      <c r="D1000" s="1"/>
      <c r="E1000" s="1"/>
      <c r="F1000" s="1"/>
      <c r="G1000" s="1"/>
      <c r="H1000" s="1"/>
      <c r="I1000" s="61"/>
      <c r="J1000" s="1"/>
      <c r="K1000" s="1"/>
    </row>
  </sheetData>
  <mergeCells count="8">
    <mergeCell ref="A8:B8"/>
    <mergeCell ref="E305:H305"/>
    <mergeCell ref="E306:H306"/>
    <mergeCell ref="A1:K1"/>
    <mergeCell ref="A2:K2"/>
    <mergeCell ref="A6:B6"/>
    <mergeCell ref="F7:H7"/>
    <mergeCell ref="J7:K7"/>
  </mergeCells>
  <printOptions horizontalCentered="1"/>
  <pageMargins left="0.5" right="0.5" top="0.75" bottom="0.75" header="0" footer="0"/>
  <pageSetup paperSize="5" orientation="landscape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70C0"/>
  </sheetPr>
  <dimension ref="A1:O1000"/>
  <sheetViews>
    <sheetView topLeftCell="A11" workbookViewId="0">
      <selection sqref="A1:L1"/>
    </sheetView>
  </sheetViews>
  <sheetFormatPr defaultColWidth="14.42578125" defaultRowHeight="15" customHeight="1"/>
  <cols>
    <col min="1" max="1" width="4.7109375" customWidth="1"/>
    <col min="2" max="2" width="23.42578125" customWidth="1"/>
    <col min="3" max="3" width="8.140625" customWidth="1"/>
    <col min="4" max="4" width="14" customWidth="1"/>
    <col min="5" max="5" width="15.7109375" customWidth="1"/>
    <col min="6" max="6" width="9.7109375" customWidth="1"/>
    <col min="7" max="7" width="19.42578125" customWidth="1"/>
    <col min="8" max="8" width="14.42578125" customWidth="1"/>
    <col min="9" max="9" width="15.5703125" customWidth="1"/>
    <col min="10" max="10" width="13.7109375" customWidth="1"/>
    <col min="11" max="11" width="8.28515625" customWidth="1"/>
    <col min="12" max="12" width="18.140625" customWidth="1"/>
    <col min="13" max="26" width="8.7109375" customWidth="1"/>
  </cols>
  <sheetData>
    <row r="1" spans="1:15" ht="23.25">
      <c r="A1" s="555" t="s">
        <v>0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</row>
    <row r="2" spans="1:15" ht="18">
      <c r="A2" s="604" t="s">
        <v>4050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</row>
    <row r="3" spans="1:15">
      <c r="A3" s="2"/>
      <c r="B3" s="3"/>
      <c r="C3" s="71"/>
      <c r="D3" s="3"/>
      <c r="E3" s="3"/>
      <c r="F3" s="1"/>
      <c r="G3" s="3"/>
      <c r="H3" s="71"/>
      <c r="I3" s="45"/>
      <c r="J3" s="72"/>
      <c r="K3" s="557" t="s">
        <v>4051</v>
      </c>
      <c r="L3" s="558"/>
    </row>
    <row r="4" spans="1:15">
      <c r="A4" s="2"/>
      <c r="B4" s="3"/>
      <c r="C4" s="71"/>
      <c r="D4" s="3"/>
      <c r="E4" s="3"/>
      <c r="F4" s="1"/>
      <c r="G4" s="3"/>
      <c r="H4" s="71"/>
      <c r="I4" s="45"/>
      <c r="J4" s="72"/>
      <c r="K4" s="73" t="s">
        <v>4052</v>
      </c>
      <c r="L4" s="294">
        <v>2</v>
      </c>
    </row>
    <row r="5" spans="1:15">
      <c r="A5" s="2"/>
      <c r="B5" s="3"/>
      <c r="C5" s="71"/>
      <c r="D5" s="3"/>
      <c r="E5" s="3"/>
      <c r="F5" s="1"/>
      <c r="G5" s="3"/>
      <c r="H5" s="71"/>
      <c r="I5" s="45"/>
      <c r="J5" s="72"/>
      <c r="K5" s="73" t="s">
        <v>4053</v>
      </c>
      <c r="L5" s="294">
        <v>1</v>
      </c>
    </row>
    <row r="6" spans="1:15" ht="18">
      <c r="A6" s="567" t="s">
        <v>360</v>
      </c>
      <c r="B6" s="560"/>
      <c r="C6" s="75"/>
      <c r="D6" s="3"/>
      <c r="E6" s="10"/>
      <c r="F6" s="76"/>
      <c r="G6" s="3"/>
      <c r="H6" s="71"/>
      <c r="I6" s="45"/>
      <c r="J6" s="72"/>
      <c r="K6" s="77" t="s">
        <v>4054</v>
      </c>
      <c r="L6" s="53"/>
    </row>
    <row r="7" spans="1:15">
      <c r="A7" s="11"/>
      <c r="B7" s="12"/>
      <c r="C7" s="78" t="s">
        <v>362</v>
      </c>
      <c r="D7" s="14"/>
      <c r="E7" s="14"/>
      <c r="F7" s="79" t="s">
        <v>363</v>
      </c>
      <c r="G7" s="78" t="s">
        <v>364</v>
      </c>
      <c r="H7" s="563" t="s">
        <v>365</v>
      </c>
      <c r="I7" s="558"/>
      <c r="J7" s="80"/>
      <c r="K7" s="550" t="s">
        <v>8</v>
      </c>
      <c r="L7" s="551"/>
    </row>
    <row r="8" spans="1:15">
      <c r="A8" s="565" t="s">
        <v>366</v>
      </c>
      <c r="B8" s="566"/>
      <c r="C8" s="79" t="s">
        <v>367</v>
      </c>
      <c r="D8" s="17" t="s">
        <v>11</v>
      </c>
      <c r="E8" s="18" t="s">
        <v>12</v>
      </c>
      <c r="F8" s="79" t="s">
        <v>368</v>
      </c>
      <c r="G8" s="81" t="s">
        <v>369</v>
      </c>
      <c r="H8" s="82"/>
      <c r="I8" s="83" t="s">
        <v>14</v>
      </c>
      <c r="J8" s="84" t="s">
        <v>15</v>
      </c>
      <c r="K8" s="24"/>
      <c r="L8" s="85"/>
    </row>
    <row r="9" spans="1:15">
      <c r="A9" s="25"/>
      <c r="B9" s="26"/>
      <c r="C9" s="79" t="s">
        <v>370</v>
      </c>
      <c r="D9" s="27"/>
      <c r="E9" s="26"/>
      <c r="F9" s="79" t="s">
        <v>371</v>
      </c>
      <c r="G9" s="81" t="s">
        <v>372</v>
      </c>
      <c r="H9" s="86" t="s">
        <v>17</v>
      </c>
      <c r="I9" s="83" t="s">
        <v>18</v>
      </c>
      <c r="J9" s="87"/>
      <c r="K9" s="17" t="s">
        <v>19</v>
      </c>
      <c r="L9" s="17" t="s">
        <v>20</v>
      </c>
    </row>
    <row r="10" spans="1:15">
      <c r="A10" s="30"/>
      <c r="B10" s="31"/>
      <c r="C10" s="88"/>
      <c r="D10" s="33"/>
      <c r="E10" s="33"/>
      <c r="F10" s="89" t="s">
        <v>373</v>
      </c>
      <c r="G10" s="38"/>
      <c r="H10" s="90"/>
      <c r="I10" s="91" t="s">
        <v>374</v>
      </c>
      <c r="J10" s="92"/>
      <c r="K10" s="34"/>
      <c r="L10" s="38" t="s">
        <v>22</v>
      </c>
    </row>
    <row r="11" spans="1:15">
      <c r="A11" s="39" t="s">
        <v>23</v>
      </c>
      <c r="B11" s="57"/>
      <c r="C11" s="93"/>
      <c r="D11" s="57"/>
      <c r="E11" s="57"/>
      <c r="F11" s="40"/>
      <c r="G11" s="57"/>
      <c r="H11" s="93"/>
      <c r="I11" s="44"/>
      <c r="J11" s="94"/>
      <c r="K11" s="40"/>
      <c r="L11" s="40"/>
    </row>
    <row r="12" spans="1:15">
      <c r="A12" s="95">
        <v>1</v>
      </c>
      <c r="B12" s="97" t="s">
        <v>3232</v>
      </c>
      <c r="C12" s="97"/>
      <c r="D12" s="97" t="s">
        <v>171</v>
      </c>
      <c r="E12" s="97" t="s">
        <v>60</v>
      </c>
      <c r="F12" s="97"/>
      <c r="G12" s="97" t="s">
        <v>3234</v>
      </c>
      <c r="H12" s="469" t="s">
        <v>29</v>
      </c>
      <c r="I12" s="101">
        <v>50000</v>
      </c>
      <c r="J12" s="470" t="s">
        <v>101</v>
      </c>
      <c r="K12" s="97" t="s">
        <v>30</v>
      </c>
      <c r="L12" s="97" t="s">
        <v>31</v>
      </c>
    </row>
    <row r="13" spans="1:15">
      <c r="A13" s="95">
        <v>3</v>
      </c>
      <c r="B13" s="97" t="s">
        <v>378</v>
      </c>
      <c r="C13" s="97"/>
      <c r="D13" s="97"/>
      <c r="E13" s="97" t="s">
        <v>216</v>
      </c>
      <c r="F13" s="97"/>
      <c r="G13" s="97" t="s">
        <v>387</v>
      </c>
      <c r="H13" s="469" t="s">
        <v>29</v>
      </c>
      <c r="I13" s="101">
        <v>10000</v>
      </c>
      <c r="J13" s="97" t="s">
        <v>101</v>
      </c>
      <c r="K13" s="97"/>
      <c r="L13" s="97" t="s">
        <v>31</v>
      </c>
      <c r="O13" s="65"/>
    </row>
    <row r="14" spans="1:15">
      <c r="A14" s="95">
        <v>4</v>
      </c>
      <c r="B14" s="315" t="s">
        <v>381</v>
      </c>
      <c r="C14" s="315"/>
      <c r="D14" s="315"/>
      <c r="E14" s="315" t="s">
        <v>150</v>
      </c>
      <c r="F14" s="315"/>
      <c r="G14" s="315" t="s">
        <v>383</v>
      </c>
      <c r="H14" s="476" t="s">
        <v>29</v>
      </c>
      <c r="I14" s="307">
        <v>40500</v>
      </c>
      <c r="J14" s="477" t="s">
        <v>101</v>
      </c>
      <c r="K14" s="315"/>
      <c r="L14" s="315" t="s">
        <v>31</v>
      </c>
      <c r="M14" s="208" t="s">
        <v>161</v>
      </c>
      <c r="O14" s="65"/>
    </row>
    <row r="15" spans="1:15">
      <c r="A15" s="95">
        <v>4</v>
      </c>
      <c r="B15" s="97" t="s">
        <v>4055</v>
      </c>
      <c r="C15" s="97"/>
      <c r="D15" s="97"/>
      <c r="E15" s="97" t="s">
        <v>130</v>
      </c>
      <c r="F15" s="97"/>
      <c r="G15" s="97" t="s">
        <v>4056</v>
      </c>
      <c r="H15" s="110" t="s">
        <v>29</v>
      </c>
      <c r="I15" s="101">
        <v>127000</v>
      </c>
      <c r="J15" s="97" t="s">
        <v>101</v>
      </c>
      <c r="K15" s="97"/>
      <c r="L15" s="97" t="s">
        <v>31</v>
      </c>
      <c r="O15" s="65"/>
    </row>
    <row r="16" spans="1:15">
      <c r="A16" s="95">
        <v>5</v>
      </c>
      <c r="B16" s="97" t="s">
        <v>4057</v>
      </c>
      <c r="C16" s="97"/>
      <c r="D16" s="97"/>
      <c r="E16" s="97" t="s">
        <v>561</v>
      </c>
      <c r="F16" s="97"/>
      <c r="G16" s="97" t="s">
        <v>4058</v>
      </c>
      <c r="H16" s="110" t="s">
        <v>29</v>
      </c>
      <c r="I16" s="101">
        <v>10000</v>
      </c>
      <c r="J16" s="97" t="s">
        <v>101</v>
      </c>
      <c r="K16" s="97"/>
      <c r="L16" s="97" t="s">
        <v>31</v>
      </c>
      <c r="N16" s="65">
        <f>SUM(I12:I20,I22:I24,I26:I29)</f>
        <v>479600</v>
      </c>
      <c r="O16" s="65"/>
    </row>
    <row r="17" spans="1:15">
      <c r="A17" s="95">
        <v>9</v>
      </c>
      <c r="B17" s="97" t="s">
        <v>4055</v>
      </c>
      <c r="C17" s="97"/>
      <c r="D17" s="97" t="s">
        <v>1432</v>
      </c>
      <c r="E17" s="97" t="s">
        <v>130</v>
      </c>
      <c r="F17" s="97"/>
      <c r="G17" s="97" t="s">
        <v>4059</v>
      </c>
      <c r="H17" s="110" t="s">
        <v>29</v>
      </c>
      <c r="I17" s="101">
        <v>3000</v>
      </c>
      <c r="J17" s="97" t="s">
        <v>101</v>
      </c>
      <c r="K17" s="97"/>
      <c r="L17" s="97" t="s">
        <v>31</v>
      </c>
      <c r="N17" s="65">
        <v>2000</v>
      </c>
      <c r="O17" s="65"/>
    </row>
    <row r="18" spans="1:15">
      <c r="A18" s="95">
        <v>9</v>
      </c>
      <c r="B18" s="97" t="s">
        <v>1983</v>
      </c>
      <c r="C18" s="97"/>
      <c r="D18" s="97" t="s">
        <v>2881</v>
      </c>
      <c r="E18" s="97" t="s">
        <v>78</v>
      </c>
      <c r="F18" s="97"/>
      <c r="G18" s="97" t="s">
        <v>1984</v>
      </c>
      <c r="H18" s="110" t="s">
        <v>29</v>
      </c>
      <c r="I18" s="101">
        <v>12500</v>
      </c>
      <c r="J18" s="97" t="s">
        <v>101</v>
      </c>
      <c r="K18" s="97"/>
      <c r="L18" s="97" t="s">
        <v>31</v>
      </c>
      <c r="N18" s="65">
        <f>SUM(N16:N17)</f>
        <v>481600</v>
      </c>
      <c r="O18" s="65"/>
    </row>
    <row r="19" spans="1:15">
      <c r="A19" s="95">
        <v>10</v>
      </c>
      <c r="B19" s="97" t="s">
        <v>4060</v>
      </c>
      <c r="C19" s="97"/>
      <c r="D19" s="97" t="s">
        <v>1961</v>
      </c>
      <c r="E19" s="97" t="s">
        <v>34</v>
      </c>
      <c r="F19" s="97"/>
      <c r="G19" s="97" t="s">
        <v>4061</v>
      </c>
      <c r="H19" s="110" t="s">
        <v>29</v>
      </c>
      <c r="I19" s="101">
        <v>10000</v>
      </c>
      <c r="J19" s="97" t="s">
        <v>101</v>
      </c>
      <c r="K19" s="97"/>
      <c r="L19" s="97" t="s">
        <v>31</v>
      </c>
      <c r="O19" s="65"/>
    </row>
    <row r="20" spans="1:15">
      <c r="A20" s="95">
        <v>10</v>
      </c>
      <c r="B20" s="97" t="s">
        <v>4062</v>
      </c>
      <c r="C20" s="97"/>
      <c r="D20" s="97" t="s">
        <v>3604</v>
      </c>
      <c r="E20" s="97" t="s">
        <v>801</v>
      </c>
      <c r="F20" s="97"/>
      <c r="G20" s="97" t="s">
        <v>4063</v>
      </c>
      <c r="H20" s="110" t="s">
        <v>29</v>
      </c>
      <c r="I20" s="101">
        <v>5000</v>
      </c>
      <c r="J20" s="97" t="s">
        <v>101</v>
      </c>
      <c r="K20" s="97"/>
      <c r="L20" s="97" t="s">
        <v>31</v>
      </c>
      <c r="O20" s="65"/>
    </row>
    <row r="21" spans="1:15" ht="15.75" customHeight="1">
      <c r="A21" s="95">
        <v>10</v>
      </c>
      <c r="B21" s="97" t="s">
        <v>4064</v>
      </c>
      <c r="C21" s="97"/>
      <c r="D21" s="97" t="s">
        <v>60</v>
      </c>
      <c r="E21" s="97" t="s">
        <v>801</v>
      </c>
      <c r="F21" s="97"/>
      <c r="G21" s="97" t="s">
        <v>4065</v>
      </c>
      <c r="H21" s="110" t="s">
        <v>29</v>
      </c>
      <c r="I21" s="101">
        <v>2000</v>
      </c>
      <c r="J21" s="478">
        <v>400</v>
      </c>
      <c r="K21" s="97"/>
      <c r="L21" s="97" t="s">
        <v>31</v>
      </c>
      <c r="O21" s="65"/>
    </row>
    <row r="22" spans="1:15" ht="15.75" customHeight="1">
      <c r="A22" s="95">
        <v>19</v>
      </c>
      <c r="B22" s="97" t="s">
        <v>1537</v>
      </c>
      <c r="C22" s="97"/>
      <c r="D22" s="97"/>
      <c r="E22" s="97" t="s">
        <v>1934</v>
      </c>
      <c r="F22" s="97"/>
      <c r="G22" s="97" t="s">
        <v>4066</v>
      </c>
      <c r="H22" s="110" t="s">
        <v>29</v>
      </c>
      <c r="I22" s="101">
        <v>10000</v>
      </c>
      <c r="J22" s="97" t="s">
        <v>101</v>
      </c>
      <c r="K22" s="97"/>
      <c r="L22" s="97" t="s">
        <v>31</v>
      </c>
      <c r="O22" s="65"/>
    </row>
    <row r="23" spans="1:15" ht="15.75" customHeight="1">
      <c r="A23" s="334">
        <v>22</v>
      </c>
      <c r="B23" s="313" t="s">
        <v>392</v>
      </c>
      <c r="C23" s="313"/>
      <c r="D23" s="313"/>
      <c r="E23" s="313" t="s">
        <v>394</v>
      </c>
      <c r="F23" s="313"/>
      <c r="G23" s="313" t="s">
        <v>4067</v>
      </c>
      <c r="H23" s="479" t="s">
        <v>29</v>
      </c>
      <c r="I23" s="480">
        <v>10000</v>
      </c>
      <c r="J23" s="313" t="s">
        <v>101</v>
      </c>
      <c r="K23" s="313"/>
      <c r="L23" s="313" t="s">
        <v>31</v>
      </c>
      <c r="O23" s="65"/>
    </row>
    <row r="24" spans="1:15" ht="15.75" customHeight="1">
      <c r="A24" s="389">
        <v>24</v>
      </c>
      <c r="B24" s="392" t="s">
        <v>3232</v>
      </c>
      <c r="C24" s="392"/>
      <c r="D24" s="392"/>
      <c r="E24" s="392"/>
      <c r="F24" s="392"/>
      <c r="G24" s="392" t="s">
        <v>3234</v>
      </c>
      <c r="H24" s="481" t="s">
        <v>29</v>
      </c>
      <c r="I24" s="395">
        <v>50000</v>
      </c>
      <c r="J24" s="392" t="s">
        <v>101</v>
      </c>
      <c r="K24" s="392"/>
      <c r="L24" s="392" t="s">
        <v>31</v>
      </c>
      <c r="O24" s="65"/>
    </row>
    <row r="25" spans="1:15" ht="28.5" customHeight="1">
      <c r="A25" s="106">
        <v>25</v>
      </c>
      <c r="B25" s="482" t="s">
        <v>4068</v>
      </c>
      <c r="C25" s="398"/>
      <c r="D25" s="400" t="s">
        <v>4069</v>
      </c>
      <c r="E25" s="483" t="s">
        <v>4070</v>
      </c>
      <c r="F25" s="398"/>
      <c r="G25" s="400" t="s">
        <v>4071</v>
      </c>
      <c r="H25" s="484" t="s">
        <v>1972</v>
      </c>
      <c r="I25" s="485">
        <v>12000</v>
      </c>
      <c r="J25" s="486">
        <v>24000</v>
      </c>
      <c r="K25" s="400"/>
      <c r="L25" s="400" t="s">
        <v>31</v>
      </c>
      <c r="N25" s="65"/>
      <c r="O25" s="65"/>
    </row>
    <row r="26" spans="1:15" ht="15.75" customHeight="1">
      <c r="A26" s="95">
        <v>25</v>
      </c>
      <c r="B26" s="97" t="s">
        <v>4072</v>
      </c>
      <c r="C26" s="97"/>
      <c r="D26" s="97" t="s">
        <v>26</v>
      </c>
      <c r="E26" s="97" t="s">
        <v>333</v>
      </c>
      <c r="F26" s="97"/>
      <c r="G26" s="97" t="s">
        <v>4073</v>
      </c>
      <c r="H26" s="110" t="s">
        <v>29</v>
      </c>
      <c r="I26" s="101">
        <v>15000</v>
      </c>
      <c r="J26" s="97" t="s">
        <v>101</v>
      </c>
      <c r="K26" s="97"/>
      <c r="L26" s="97" t="s">
        <v>31</v>
      </c>
      <c r="O26" s="65"/>
    </row>
    <row r="27" spans="1:15" ht="15.75" customHeight="1">
      <c r="A27" s="95">
        <v>25</v>
      </c>
      <c r="B27" s="97" t="s">
        <v>378</v>
      </c>
      <c r="C27" s="97"/>
      <c r="D27" s="97"/>
      <c r="E27" s="97" t="s">
        <v>216</v>
      </c>
      <c r="F27" s="97"/>
      <c r="G27" s="97" t="s">
        <v>4074</v>
      </c>
      <c r="H27" s="110" t="s">
        <v>29</v>
      </c>
      <c r="I27" s="101">
        <v>1100</v>
      </c>
      <c r="J27" s="97" t="s">
        <v>101</v>
      </c>
      <c r="K27" s="97"/>
      <c r="L27" s="97" t="s">
        <v>31</v>
      </c>
      <c r="O27" s="65"/>
    </row>
    <row r="28" spans="1:15" ht="15.75" customHeight="1">
      <c r="A28" s="95">
        <v>26</v>
      </c>
      <c r="B28" s="97" t="s">
        <v>4075</v>
      </c>
      <c r="C28" s="97"/>
      <c r="D28" s="97" t="s">
        <v>4076</v>
      </c>
      <c r="E28" s="97" t="s">
        <v>1743</v>
      </c>
      <c r="F28" s="97"/>
      <c r="G28" s="97" t="s">
        <v>4077</v>
      </c>
      <c r="H28" s="110" t="s">
        <v>29</v>
      </c>
      <c r="I28" s="101">
        <v>121000</v>
      </c>
      <c r="J28" s="97" t="s">
        <v>101</v>
      </c>
      <c r="K28" s="97"/>
      <c r="L28" s="97" t="s">
        <v>31</v>
      </c>
      <c r="O28" s="65"/>
    </row>
    <row r="29" spans="1:15" ht="15.75" customHeight="1">
      <c r="A29" s="98">
        <v>26</v>
      </c>
      <c r="B29" s="97" t="s">
        <v>4078</v>
      </c>
      <c r="C29" s="97"/>
      <c r="D29" s="97" t="s">
        <v>63</v>
      </c>
      <c r="E29" s="97" t="s">
        <v>96</v>
      </c>
      <c r="F29" s="97"/>
      <c r="G29" s="97" t="s">
        <v>4079</v>
      </c>
      <c r="H29" s="110" t="s">
        <v>29</v>
      </c>
      <c r="I29" s="101">
        <v>4500</v>
      </c>
      <c r="J29" s="97" t="s">
        <v>101</v>
      </c>
      <c r="K29" s="97"/>
      <c r="L29" s="97" t="s">
        <v>31</v>
      </c>
      <c r="O29" s="65"/>
    </row>
    <row r="30" spans="1:15" ht="15.75" customHeight="1">
      <c r="A30" s="98">
        <v>26</v>
      </c>
      <c r="B30" s="97" t="s">
        <v>4078</v>
      </c>
      <c r="C30" s="97"/>
      <c r="D30" s="97" t="s">
        <v>63</v>
      </c>
      <c r="E30" s="97" t="s">
        <v>96</v>
      </c>
      <c r="F30" s="97"/>
      <c r="G30" s="97" t="s">
        <v>4079</v>
      </c>
      <c r="H30" s="110" t="s">
        <v>142</v>
      </c>
      <c r="I30" s="97">
        <v>180</v>
      </c>
      <c r="J30" s="97" t="s">
        <v>101</v>
      </c>
      <c r="K30" s="97"/>
      <c r="L30" s="97" t="s">
        <v>31</v>
      </c>
    </row>
    <row r="31" spans="1:15" ht="15.75" customHeight="1">
      <c r="A31" s="1"/>
      <c r="B31" s="1"/>
      <c r="C31" s="1"/>
      <c r="D31" s="1"/>
      <c r="E31" s="1"/>
      <c r="F31" s="1"/>
      <c r="G31" s="1"/>
      <c r="H31" s="1"/>
      <c r="I31" s="111" t="s">
        <v>335</v>
      </c>
      <c r="J31" s="63"/>
      <c r="K31" s="1"/>
      <c r="L31" s="1"/>
    </row>
    <row r="32" spans="1:15" ht="15.75" customHeight="1">
      <c r="A32" s="1"/>
      <c r="B32" s="1"/>
      <c r="C32" s="1"/>
      <c r="D32" s="1"/>
      <c r="E32" s="1"/>
      <c r="F32" s="1"/>
      <c r="G32" s="1"/>
      <c r="H32" s="1"/>
      <c r="I32" s="63" t="s">
        <v>338</v>
      </c>
      <c r="J32" s="63"/>
      <c r="K32" s="1"/>
      <c r="L32" s="1"/>
    </row>
    <row r="33" spans="1:12" ht="15.75" customHeight="1">
      <c r="A33" s="1"/>
      <c r="B33" s="1"/>
      <c r="C33" s="1"/>
      <c r="D33" s="1"/>
      <c r="E33" s="1"/>
      <c r="F33" s="1"/>
      <c r="G33" s="1"/>
      <c r="H33" s="1"/>
      <c r="I33" s="63" t="s">
        <v>340</v>
      </c>
      <c r="J33" s="291" t="s">
        <v>4080</v>
      </c>
      <c r="K33" s="1"/>
      <c r="L33" s="1"/>
    </row>
    <row r="34" spans="1:12" ht="15.75" customHeight="1">
      <c r="A34" s="1"/>
      <c r="B34" s="1" t="s">
        <v>336</v>
      </c>
      <c r="C34" s="1"/>
      <c r="D34" s="1"/>
      <c r="E34" s="1" t="s">
        <v>337</v>
      </c>
      <c r="F34" s="1"/>
      <c r="G34" s="1"/>
      <c r="H34" s="1"/>
      <c r="I34" s="63"/>
      <c r="J34" s="291" t="s">
        <v>4081</v>
      </c>
      <c r="K34" s="1"/>
      <c r="L34" s="1"/>
    </row>
    <row r="35" spans="1:12" ht="15.75" customHeight="1">
      <c r="A35" s="1"/>
      <c r="B35" s="1"/>
      <c r="C35" s="1"/>
      <c r="D35" s="1"/>
      <c r="E35" s="1"/>
      <c r="F35" s="1"/>
      <c r="G35" s="1"/>
      <c r="H35" s="1"/>
      <c r="I35" s="63" t="s">
        <v>342</v>
      </c>
      <c r="J35" s="292">
        <v>0</v>
      </c>
      <c r="K35" s="1"/>
      <c r="L35" s="1"/>
    </row>
    <row r="36" spans="1:12" ht="15.75" customHeight="1">
      <c r="A36" s="1"/>
      <c r="B36" s="1"/>
      <c r="C36" s="1"/>
      <c r="D36" s="1"/>
      <c r="E36" s="1"/>
      <c r="F36" s="1"/>
      <c r="G36" s="1"/>
      <c r="H36" s="1"/>
      <c r="I36" s="63" t="s">
        <v>4082</v>
      </c>
      <c r="J36" s="292" t="s">
        <v>3784</v>
      </c>
      <c r="K36" s="1"/>
      <c r="L36" s="1"/>
    </row>
    <row r="37" spans="1:12" ht="15.75" customHeight="1">
      <c r="A37" s="1"/>
      <c r="B37" s="70" t="s">
        <v>343</v>
      </c>
      <c r="C37" s="1"/>
      <c r="D37" s="1"/>
      <c r="E37" s="568" t="s">
        <v>344</v>
      </c>
      <c r="F37" s="553"/>
      <c r="G37" s="553"/>
      <c r="H37" s="553"/>
      <c r="I37" s="63" t="s">
        <v>349</v>
      </c>
      <c r="J37" s="292">
        <v>0</v>
      </c>
      <c r="K37" s="1"/>
      <c r="L37" s="1"/>
    </row>
    <row r="38" spans="1:12" ht="15.75" customHeight="1">
      <c r="A38" s="1"/>
      <c r="B38" s="1" t="s">
        <v>347</v>
      </c>
      <c r="C38" s="1"/>
      <c r="D38" s="1"/>
      <c r="E38" s="552" t="s">
        <v>348</v>
      </c>
      <c r="F38" s="553"/>
      <c r="G38" s="553"/>
      <c r="H38" s="553"/>
      <c r="I38" s="63" t="s">
        <v>406</v>
      </c>
      <c r="J38" s="292">
        <v>0</v>
      </c>
      <c r="K38" s="1"/>
      <c r="L38" s="1"/>
    </row>
    <row r="39" spans="1:12" ht="15.75" customHeight="1">
      <c r="A39" s="1"/>
      <c r="B39" s="1"/>
      <c r="C39" s="1"/>
      <c r="D39" s="1"/>
      <c r="E39" s="1"/>
      <c r="F39" s="1"/>
      <c r="G39" s="1"/>
      <c r="H39" s="1"/>
      <c r="I39" s="63" t="s">
        <v>353</v>
      </c>
      <c r="J39" s="293"/>
      <c r="K39" s="1"/>
      <c r="L39" s="1"/>
    </row>
    <row r="40" spans="1:12" ht="15.75" customHeight="1">
      <c r="A40" s="1"/>
      <c r="B40" s="1"/>
      <c r="C40" s="1"/>
      <c r="D40" s="1"/>
      <c r="E40" s="1"/>
      <c r="F40" s="1"/>
      <c r="G40" s="1"/>
      <c r="H40" s="1"/>
      <c r="I40" s="4" t="s">
        <v>407</v>
      </c>
      <c r="J40" s="291"/>
      <c r="K40" s="1"/>
      <c r="L40" s="1"/>
    </row>
    <row r="41" spans="1:12" ht="15.75" customHeight="1">
      <c r="A41" s="1"/>
      <c r="B41" s="1"/>
      <c r="C41" s="1"/>
      <c r="D41" s="1"/>
      <c r="E41" s="1"/>
      <c r="F41" s="1"/>
      <c r="G41" s="1"/>
      <c r="H41" s="1"/>
      <c r="I41" s="4" t="s">
        <v>4083</v>
      </c>
      <c r="J41" s="291"/>
      <c r="K41" s="1"/>
      <c r="L41" s="1"/>
    </row>
    <row r="42" spans="1:1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spans="1:1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spans="1:1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spans="1:1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spans="1:1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spans="1:1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spans="1:1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mergeCells count="9">
    <mergeCell ref="E37:H37"/>
    <mergeCell ref="E38:H38"/>
    <mergeCell ref="A1:L1"/>
    <mergeCell ref="A2:L2"/>
    <mergeCell ref="K3:L3"/>
    <mergeCell ref="A6:B6"/>
    <mergeCell ref="H7:I7"/>
    <mergeCell ref="K7:L7"/>
    <mergeCell ref="A8:B8"/>
  </mergeCells>
  <printOptions horizontalCentered="1"/>
  <pageMargins left="0.25" right="0.25" top="0.75" bottom="0.75" header="0" footer="0"/>
  <pageSetup scale="90" orientation="landscape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70C0"/>
  </sheetPr>
  <dimension ref="A1:Z1000"/>
  <sheetViews>
    <sheetView topLeftCell="A11" workbookViewId="0">
      <selection sqref="A1:K1"/>
    </sheetView>
  </sheetViews>
  <sheetFormatPr defaultColWidth="14.42578125" defaultRowHeight="15" customHeight="1"/>
  <cols>
    <col min="1" max="1" width="4.7109375" customWidth="1"/>
    <col min="2" max="2" width="26.5703125" customWidth="1"/>
    <col min="3" max="3" width="7.28515625" customWidth="1"/>
    <col min="4" max="4" width="16.140625" customWidth="1"/>
    <col min="5" max="5" width="14.5703125" customWidth="1"/>
    <col min="6" max="6" width="14.28515625" customWidth="1"/>
    <col min="7" max="7" width="14" customWidth="1"/>
    <col min="8" max="8" width="16.42578125" customWidth="1"/>
    <col min="9" max="9" width="16.85546875" customWidth="1"/>
    <col min="10" max="10" width="9.5703125" customWidth="1"/>
    <col min="11" max="11" width="17.85546875" customWidth="1"/>
    <col min="12" max="26" width="8.7109375" customWidth="1"/>
  </cols>
  <sheetData>
    <row r="1" spans="1:13" ht="23.25">
      <c r="A1" s="555" t="s">
        <v>0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</row>
    <row r="2" spans="1:13" ht="18">
      <c r="A2" s="604" t="s">
        <v>4084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</row>
    <row r="3" spans="1:13">
      <c r="A3" s="2"/>
      <c r="B3" s="3"/>
      <c r="C3" s="4"/>
      <c r="D3" s="3"/>
      <c r="E3" s="3"/>
      <c r="F3" s="1"/>
      <c r="G3" s="4"/>
      <c r="H3" s="5"/>
      <c r="I3" s="6"/>
      <c r="J3" s="442" t="s">
        <v>4085</v>
      </c>
      <c r="K3" s="472"/>
    </row>
    <row r="4" spans="1:13">
      <c r="A4" s="2"/>
      <c r="B4" s="3"/>
      <c r="C4" s="4"/>
      <c r="D4" s="3"/>
      <c r="E4" s="3"/>
      <c r="F4" s="1"/>
      <c r="G4" s="4"/>
      <c r="H4" s="5"/>
      <c r="I4" s="7"/>
      <c r="J4" s="8" t="s">
        <v>3</v>
      </c>
      <c r="K4" s="248">
        <v>255</v>
      </c>
    </row>
    <row r="5" spans="1:13">
      <c r="A5" s="2"/>
      <c r="B5" s="3"/>
      <c r="C5" s="4"/>
      <c r="D5" s="3"/>
      <c r="E5" s="3"/>
      <c r="F5" s="1"/>
      <c r="G5" s="4"/>
      <c r="H5" s="5"/>
      <c r="I5" s="7"/>
      <c r="J5" s="8" t="s">
        <v>4</v>
      </c>
      <c r="K5" s="248">
        <v>32</v>
      </c>
    </row>
    <row r="6" spans="1:13">
      <c r="A6" s="559" t="s">
        <v>5</v>
      </c>
      <c r="B6" s="560"/>
      <c r="C6" s="4"/>
      <c r="D6" s="3"/>
      <c r="E6" s="10"/>
      <c r="F6" s="1"/>
      <c r="G6" s="4"/>
      <c r="H6" s="5"/>
      <c r="I6" s="6"/>
      <c r="J6" s="77" t="s">
        <v>4086</v>
      </c>
      <c r="K6" s="473"/>
    </row>
    <row r="7" spans="1:13">
      <c r="A7" s="11"/>
      <c r="B7" s="12"/>
      <c r="C7" s="13"/>
      <c r="D7" s="14"/>
      <c r="E7" s="14"/>
      <c r="F7" s="563" t="s">
        <v>7</v>
      </c>
      <c r="G7" s="564"/>
      <c r="H7" s="558"/>
      <c r="I7" s="15"/>
      <c r="J7" s="550" t="s">
        <v>8</v>
      </c>
      <c r="K7" s="551"/>
    </row>
    <row r="8" spans="1:13">
      <c r="A8" s="565" t="s">
        <v>9</v>
      </c>
      <c r="B8" s="566"/>
      <c r="C8" s="16" t="s">
        <v>10</v>
      </c>
      <c r="D8" s="17" t="s">
        <v>11</v>
      </c>
      <c r="E8" s="18" t="s">
        <v>12</v>
      </c>
      <c r="F8" s="19" t="s">
        <v>13</v>
      </c>
      <c r="G8" s="20"/>
      <c r="H8" s="21" t="s">
        <v>14</v>
      </c>
      <c r="I8" s="22" t="s">
        <v>15</v>
      </c>
      <c r="J8" s="23"/>
      <c r="K8" s="24"/>
    </row>
    <row r="9" spans="1:13">
      <c r="A9" s="25"/>
      <c r="B9" s="26"/>
      <c r="C9" s="20"/>
      <c r="D9" s="27"/>
      <c r="E9" s="26"/>
      <c r="F9" s="28" t="s">
        <v>16</v>
      </c>
      <c r="G9" s="16" t="s">
        <v>17</v>
      </c>
      <c r="H9" s="21" t="s">
        <v>18</v>
      </c>
      <c r="I9" s="29"/>
      <c r="J9" s="17" t="s">
        <v>19</v>
      </c>
      <c r="K9" s="17" t="s">
        <v>20</v>
      </c>
    </row>
    <row r="10" spans="1:13">
      <c r="A10" s="30"/>
      <c r="B10" s="31"/>
      <c r="C10" s="32"/>
      <c r="D10" s="33"/>
      <c r="E10" s="33"/>
      <c r="F10" s="34"/>
      <c r="G10" s="35"/>
      <c r="H10" s="36" t="s">
        <v>21</v>
      </c>
      <c r="I10" s="37"/>
      <c r="J10" s="34"/>
      <c r="K10" s="38" t="s">
        <v>22</v>
      </c>
    </row>
    <row r="11" spans="1:13">
      <c r="A11" s="39" t="s">
        <v>23</v>
      </c>
      <c r="B11" s="40"/>
      <c r="C11" s="40"/>
      <c r="D11" s="40"/>
      <c r="E11" s="40"/>
      <c r="F11" s="40"/>
      <c r="G11" s="40"/>
      <c r="H11" s="40"/>
      <c r="I11" s="41"/>
      <c r="J11" s="40"/>
      <c r="K11" s="40"/>
    </row>
    <row r="12" spans="1:13">
      <c r="A12" s="42">
        <v>1</v>
      </c>
      <c r="B12" s="40" t="s">
        <v>4087</v>
      </c>
      <c r="C12" s="40" t="s">
        <v>25</v>
      </c>
      <c r="D12" s="40" t="s">
        <v>171</v>
      </c>
      <c r="E12" s="40" t="s">
        <v>60</v>
      </c>
      <c r="F12" s="43" t="s">
        <v>4088</v>
      </c>
      <c r="G12" s="171" t="s">
        <v>29</v>
      </c>
      <c r="H12" s="260">
        <v>4000</v>
      </c>
      <c r="I12" s="41">
        <v>800</v>
      </c>
      <c r="J12" s="40" t="s">
        <v>30</v>
      </c>
      <c r="K12" s="40" t="s">
        <v>31</v>
      </c>
      <c r="M12" s="157">
        <v>450</v>
      </c>
    </row>
    <row r="13" spans="1:13">
      <c r="A13" s="42">
        <v>1</v>
      </c>
      <c r="B13" s="40" t="s">
        <v>4089</v>
      </c>
      <c r="C13" s="40" t="s">
        <v>25</v>
      </c>
      <c r="D13" s="40" t="s">
        <v>185</v>
      </c>
      <c r="E13" s="40" t="s">
        <v>42</v>
      </c>
      <c r="F13" s="43" t="s">
        <v>4090</v>
      </c>
      <c r="G13" s="171" t="s">
        <v>29</v>
      </c>
      <c r="H13" s="260">
        <v>600</v>
      </c>
      <c r="I13" s="41">
        <v>180</v>
      </c>
      <c r="J13" s="40" t="s">
        <v>30</v>
      </c>
      <c r="K13" s="40" t="s">
        <v>31</v>
      </c>
    </row>
    <row r="14" spans="1:13">
      <c r="A14" s="42">
        <v>1</v>
      </c>
      <c r="B14" s="40" t="s">
        <v>2623</v>
      </c>
      <c r="C14" s="40" t="s">
        <v>25</v>
      </c>
      <c r="D14" s="40" t="s">
        <v>2624</v>
      </c>
      <c r="E14" s="40" t="s">
        <v>1461</v>
      </c>
      <c r="F14" s="43" t="s">
        <v>2625</v>
      </c>
      <c r="G14" s="171" t="s">
        <v>29</v>
      </c>
      <c r="H14" s="260">
        <v>500</v>
      </c>
      <c r="I14" s="41">
        <v>100</v>
      </c>
      <c r="J14" s="40" t="s">
        <v>30</v>
      </c>
      <c r="K14" s="40" t="s">
        <v>31</v>
      </c>
    </row>
    <row r="15" spans="1:13">
      <c r="A15" s="42">
        <v>1</v>
      </c>
      <c r="B15" s="40" t="s">
        <v>4091</v>
      </c>
      <c r="C15" s="40" t="s">
        <v>25</v>
      </c>
      <c r="D15" s="40" t="s">
        <v>2277</v>
      </c>
      <c r="E15" s="40" t="s">
        <v>2278</v>
      </c>
      <c r="F15" s="43" t="s">
        <v>4092</v>
      </c>
      <c r="G15" s="171" t="s">
        <v>29</v>
      </c>
      <c r="H15" s="260">
        <v>500</v>
      </c>
      <c r="I15" s="41">
        <v>100</v>
      </c>
      <c r="J15" s="40" t="s">
        <v>30</v>
      </c>
      <c r="K15" s="40" t="s">
        <v>31</v>
      </c>
    </row>
    <row r="16" spans="1:13">
      <c r="A16" s="42">
        <v>1</v>
      </c>
      <c r="B16" s="40" t="s">
        <v>4093</v>
      </c>
      <c r="C16" s="40" t="s">
        <v>25</v>
      </c>
      <c r="D16" s="40" t="s">
        <v>4094</v>
      </c>
      <c r="E16" s="40" t="s">
        <v>166</v>
      </c>
      <c r="F16" s="43" t="s">
        <v>4095</v>
      </c>
      <c r="G16" s="171" t="s">
        <v>29</v>
      </c>
      <c r="H16" s="260">
        <v>500</v>
      </c>
      <c r="I16" s="41">
        <v>100</v>
      </c>
      <c r="J16" s="40" t="s">
        <v>30</v>
      </c>
      <c r="K16" s="40" t="s">
        <v>31</v>
      </c>
      <c r="M16" s="157">
        <v>100</v>
      </c>
    </row>
    <row r="17" spans="1:13">
      <c r="A17" s="42">
        <v>1</v>
      </c>
      <c r="B17" s="40" t="s">
        <v>4096</v>
      </c>
      <c r="C17" s="40" t="s">
        <v>25</v>
      </c>
      <c r="D17" s="40" t="s">
        <v>63</v>
      </c>
      <c r="E17" s="40" t="s">
        <v>60</v>
      </c>
      <c r="F17" s="43" t="s">
        <v>4097</v>
      </c>
      <c r="G17" s="171" t="s">
        <v>29</v>
      </c>
      <c r="H17" s="260">
        <v>600</v>
      </c>
      <c r="I17" s="41">
        <v>180</v>
      </c>
      <c r="J17" s="40" t="s">
        <v>30</v>
      </c>
      <c r="K17" s="40" t="s">
        <v>31</v>
      </c>
    </row>
    <row r="18" spans="1:13">
      <c r="A18" s="42">
        <v>1</v>
      </c>
      <c r="B18" s="40" t="s">
        <v>4098</v>
      </c>
      <c r="C18" s="40" t="s">
        <v>25</v>
      </c>
      <c r="D18" s="40" t="s">
        <v>2532</v>
      </c>
      <c r="E18" s="40" t="s">
        <v>50</v>
      </c>
      <c r="F18" s="43" t="s">
        <v>4099</v>
      </c>
      <c r="G18" s="171" t="s">
        <v>29</v>
      </c>
      <c r="H18" s="260">
        <v>200</v>
      </c>
      <c r="I18" s="41">
        <v>40</v>
      </c>
      <c r="J18" s="40" t="s">
        <v>30</v>
      </c>
      <c r="K18" s="40" t="s">
        <v>31</v>
      </c>
    </row>
    <row r="19" spans="1:13">
      <c r="A19" s="42">
        <v>1</v>
      </c>
      <c r="B19" s="40" t="s">
        <v>4100</v>
      </c>
      <c r="C19" s="40" t="s">
        <v>25</v>
      </c>
      <c r="D19" s="40" t="s">
        <v>581</v>
      </c>
      <c r="E19" s="40" t="s">
        <v>46</v>
      </c>
      <c r="F19" s="40"/>
      <c r="G19" s="171" t="s">
        <v>29</v>
      </c>
      <c r="H19" s="260">
        <v>200</v>
      </c>
      <c r="I19" s="41">
        <v>40</v>
      </c>
      <c r="J19" s="40" t="s">
        <v>30</v>
      </c>
      <c r="K19" s="40" t="s">
        <v>31</v>
      </c>
    </row>
    <row r="20" spans="1:13">
      <c r="A20" s="42">
        <v>1</v>
      </c>
      <c r="B20" s="40" t="s">
        <v>4101</v>
      </c>
      <c r="C20" s="40" t="s">
        <v>59</v>
      </c>
      <c r="D20" s="40" t="s">
        <v>4102</v>
      </c>
      <c r="E20" s="40" t="s">
        <v>1927</v>
      </c>
      <c r="F20" s="43" t="s">
        <v>4103</v>
      </c>
      <c r="G20" s="171" t="s">
        <v>29</v>
      </c>
      <c r="H20" s="260">
        <v>250</v>
      </c>
      <c r="I20" s="41">
        <v>50</v>
      </c>
      <c r="J20" s="40" t="s">
        <v>30</v>
      </c>
      <c r="K20" s="40" t="s">
        <v>31</v>
      </c>
      <c r="M20" s="157">
        <v>50</v>
      </c>
    </row>
    <row r="21" spans="1:13" ht="15.75" customHeight="1">
      <c r="A21" s="42">
        <v>1</v>
      </c>
      <c r="B21" s="40" t="s">
        <v>4104</v>
      </c>
      <c r="C21" s="40" t="s">
        <v>59</v>
      </c>
      <c r="D21" s="40" t="s">
        <v>4105</v>
      </c>
      <c r="E21" s="40" t="s">
        <v>103</v>
      </c>
      <c r="F21" s="40"/>
      <c r="G21" s="171" t="s">
        <v>29</v>
      </c>
      <c r="H21" s="260">
        <v>250</v>
      </c>
      <c r="I21" s="41">
        <v>50</v>
      </c>
      <c r="J21" s="40" t="s">
        <v>30</v>
      </c>
      <c r="K21" s="40" t="s">
        <v>31</v>
      </c>
    </row>
    <row r="22" spans="1:13" ht="15.75" customHeight="1">
      <c r="A22" s="42">
        <v>1</v>
      </c>
      <c r="B22" s="40" t="s">
        <v>4106</v>
      </c>
      <c r="C22" s="40" t="s">
        <v>25</v>
      </c>
      <c r="D22" s="40" t="s">
        <v>947</v>
      </c>
      <c r="E22" s="40" t="s">
        <v>96</v>
      </c>
      <c r="F22" s="43" t="s">
        <v>4107</v>
      </c>
      <c r="G22" s="171" t="s">
        <v>29</v>
      </c>
      <c r="H22" s="260">
        <v>300</v>
      </c>
      <c r="I22" s="41">
        <v>60</v>
      </c>
      <c r="J22" s="40" t="s">
        <v>30</v>
      </c>
      <c r="K22" s="40" t="s">
        <v>31</v>
      </c>
    </row>
    <row r="23" spans="1:13" ht="15.75" customHeight="1">
      <c r="A23" s="42">
        <v>1</v>
      </c>
      <c r="B23" s="40" t="s">
        <v>4108</v>
      </c>
      <c r="C23" s="40" t="s">
        <v>25</v>
      </c>
      <c r="D23" s="40" t="s">
        <v>4105</v>
      </c>
      <c r="E23" s="40" t="s">
        <v>103</v>
      </c>
      <c r="F23" s="43" t="s">
        <v>4109</v>
      </c>
      <c r="G23" s="171" t="s">
        <v>29</v>
      </c>
      <c r="H23" s="260">
        <v>300</v>
      </c>
      <c r="I23" s="41">
        <v>90</v>
      </c>
      <c r="J23" s="40" t="s">
        <v>30</v>
      </c>
      <c r="K23" s="40" t="s">
        <v>31</v>
      </c>
    </row>
    <row r="24" spans="1:13" ht="15.75" customHeight="1">
      <c r="A24" s="47">
        <v>1</v>
      </c>
      <c r="B24" s="48" t="s">
        <v>4110</v>
      </c>
      <c r="C24" s="48" t="s">
        <v>25</v>
      </c>
      <c r="D24" s="48" t="s">
        <v>732</v>
      </c>
      <c r="E24" s="48" t="s">
        <v>38</v>
      </c>
      <c r="F24" s="48"/>
      <c r="G24" s="487" t="s">
        <v>29</v>
      </c>
      <c r="H24" s="488">
        <v>350</v>
      </c>
      <c r="I24" s="51">
        <v>70</v>
      </c>
      <c r="J24" s="48" t="s">
        <v>30</v>
      </c>
      <c r="K24" s="48" t="s">
        <v>31</v>
      </c>
      <c r="M24" s="157">
        <v>80</v>
      </c>
    </row>
    <row r="25" spans="1:13" ht="15.75" customHeight="1">
      <c r="A25" s="52">
        <v>2</v>
      </c>
      <c r="B25" s="53" t="s">
        <v>4111</v>
      </c>
      <c r="C25" s="53" t="s">
        <v>25</v>
      </c>
      <c r="D25" s="53" t="s">
        <v>86</v>
      </c>
      <c r="E25" s="53" t="s">
        <v>42</v>
      </c>
      <c r="F25" s="53"/>
      <c r="G25" s="489" t="s">
        <v>29</v>
      </c>
      <c r="H25" s="490">
        <v>8000</v>
      </c>
      <c r="I25" s="55">
        <v>1600</v>
      </c>
      <c r="J25" s="53" t="s">
        <v>30</v>
      </c>
      <c r="K25" s="53" t="s">
        <v>31</v>
      </c>
    </row>
    <row r="26" spans="1:13" ht="15.75" customHeight="1">
      <c r="A26" s="42">
        <v>2</v>
      </c>
      <c r="B26" s="40" t="s">
        <v>4112</v>
      </c>
      <c r="C26" s="40" t="s">
        <v>25</v>
      </c>
      <c r="D26" s="40" t="s">
        <v>2295</v>
      </c>
      <c r="E26" s="40" t="s">
        <v>42</v>
      </c>
      <c r="F26" s="43" t="s">
        <v>4113</v>
      </c>
      <c r="G26" s="171" t="s">
        <v>29</v>
      </c>
      <c r="H26" s="260">
        <v>200</v>
      </c>
      <c r="I26" s="41">
        <v>40</v>
      </c>
      <c r="J26" s="40" t="s">
        <v>30</v>
      </c>
      <c r="K26" s="40" t="s">
        <v>31</v>
      </c>
      <c r="M26" s="157">
        <v>29</v>
      </c>
    </row>
    <row r="27" spans="1:13" ht="15.75" customHeight="1">
      <c r="A27" s="42">
        <v>2</v>
      </c>
      <c r="B27" s="40" t="s">
        <v>4114</v>
      </c>
      <c r="C27" s="40" t="s">
        <v>25</v>
      </c>
      <c r="D27" s="40" t="s">
        <v>185</v>
      </c>
      <c r="E27" s="40" t="s">
        <v>42</v>
      </c>
      <c r="F27" s="43" t="s">
        <v>4115</v>
      </c>
      <c r="G27" s="171" t="s">
        <v>29</v>
      </c>
      <c r="H27" s="260">
        <v>500</v>
      </c>
      <c r="I27" s="41">
        <v>100</v>
      </c>
      <c r="J27" s="40" t="s">
        <v>30</v>
      </c>
      <c r="K27" s="40" t="s">
        <v>31</v>
      </c>
    </row>
    <row r="28" spans="1:13" ht="15.75" customHeight="1">
      <c r="A28" s="42">
        <v>2</v>
      </c>
      <c r="B28" s="40" t="s">
        <v>4116</v>
      </c>
      <c r="C28" s="40" t="s">
        <v>59</v>
      </c>
      <c r="D28" s="40" t="s">
        <v>4117</v>
      </c>
      <c r="E28" s="40" t="s">
        <v>103</v>
      </c>
      <c r="F28" s="43" t="s">
        <v>4118</v>
      </c>
      <c r="G28" s="171" t="s">
        <v>29</v>
      </c>
      <c r="H28" s="260">
        <v>500</v>
      </c>
      <c r="I28" s="41">
        <v>100</v>
      </c>
      <c r="J28" s="40" t="s">
        <v>30</v>
      </c>
      <c r="K28" s="40" t="s">
        <v>31</v>
      </c>
      <c r="M28" s="157">
        <v>150</v>
      </c>
    </row>
    <row r="29" spans="1:13" ht="15.75" customHeight="1">
      <c r="A29" s="42">
        <v>2</v>
      </c>
      <c r="B29" s="40" t="s">
        <v>4119</v>
      </c>
      <c r="C29" s="40" t="s">
        <v>25</v>
      </c>
      <c r="D29" s="40" t="s">
        <v>1082</v>
      </c>
      <c r="E29" s="40" t="s">
        <v>96</v>
      </c>
      <c r="F29" s="43" t="s">
        <v>4120</v>
      </c>
      <c r="G29" s="171" t="s">
        <v>29</v>
      </c>
      <c r="H29" s="260">
        <v>500</v>
      </c>
      <c r="I29" s="41">
        <v>100</v>
      </c>
      <c r="J29" s="40" t="s">
        <v>30</v>
      </c>
      <c r="K29" s="40" t="s">
        <v>31</v>
      </c>
      <c r="M29" s="157">
        <v>1200</v>
      </c>
    </row>
    <row r="30" spans="1:13" ht="15.75" customHeight="1">
      <c r="A30" s="42">
        <v>2</v>
      </c>
      <c r="B30" s="40" t="s">
        <v>4121</v>
      </c>
      <c r="C30" s="40" t="s">
        <v>25</v>
      </c>
      <c r="D30" s="40" t="s">
        <v>185</v>
      </c>
      <c r="E30" s="40" t="s">
        <v>42</v>
      </c>
      <c r="F30" s="40"/>
      <c r="G30" s="171" t="s">
        <v>29</v>
      </c>
      <c r="H30" s="260">
        <v>500</v>
      </c>
      <c r="I30" s="41">
        <v>100</v>
      </c>
      <c r="J30" s="40" t="s">
        <v>30</v>
      </c>
      <c r="K30" s="40" t="s">
        <v>31</v>
      </c>
      <c r="M30" s="157">
        <v>1600</v>
      </c>
    </row>
    <row r="31" spans="1:13" ht="15.75" customHeight="1">
      <c r="A31" s="42">
        <v>3</v>
      </c>
      <c r="B31" s="40" t="s">
        <v>4122</v>
      </c>
      <c r="C31" s="40" t="s">
        <v>25</v>
      </c>
      <c r="D31" s="40" t="s">
        <v>263</v>
      </c>
      <c r="E31" s="40" t="s">
        <v>42</v>
      </c>
      <c r="F31" s="43" t="s">
        <v>4123</v>
      </c>
      <c r="G31" s="171" t="s">
        <v>29</v>
      </c>
      <c r="H31" s="260">
        <v>500</v>
      </c>
      <c r="I31" s="41">
        <v>100</v>
      </c>
      <c r="J31" s="40" t="s">
        <v>30</v>
      </c>
      <c r="K31" s="40" t="s">
        <v>31</v>
      </c>
      <c r="M31" s="157">
        <v>80</v>
      </c>
    </row>
    <row r="32" spans="1:13" ht="15.75" customHeight="1">
      <c r="A32" s="42">
        <v>3</v>
      </c>
      <c r="B32" s="40" t="s">
        <v>4124</v>
      </c>
      <c r="C32" s="40" t="s">
        <v>25</v>
      </c>
      <c r="D32" s="40" t="s">
        <v>1916</v>
      </c>
      <c r="E32" s="40" t="s">
        <v>540</v>
      </c>
      <c r="F32" s="40"/>
      <c r="G32" s="171" t="s">
        <v>29</v>
      </c>
      <c r="H32" s="260">
        <v>500</v>
      </c>
      <c r="I32" s="41">
        <v>100</v>
      </c>
      <c r="J32" s="40" t="s">
        <v>30</v>
      </c>
      <c r="K32" s="40" t="s">
        <v>31</v>
      </c>
      <c r="M32" s="157">
        <v>150</v>
      </c>
    </row>
    <row r="33" spans="1:26" ht="15.75" customHeight="1">
      <c r="A33" s="42">
        <v>3</v>
      </c>
      <c r="B33" s="40" t="s">
        <v>4125</v>
      </c>
      <c r="C33" s="40" t="s">
        <v>25</v>
      </c>
      <c r="D33" s="40" t="s">
        <v>209</v>
      </c>
      <c r="E33" s="40" t="s">
        <v>96</v>
      </c>
      <c r="F33" s="43" t="s">
        <v>4126</v>
      </c>
      <c r="G33" s="171" t="s">
        <v>29</v>
      </c>
      <c r="H33" s="260">
        <v>500</v>
      </c>
      <c r="I33" s="41">
        <v>100</v>
      </c>
      <c r="J33" s="40" t="s">
        <v>30</v>
      </c>
      <c r="K33" s="40" t="s">
        <v>31</v>
      </c>
      <c r="M33" s="157">
        <v>200</v>
      </c>
    </row>
    <row r="34" spans="1:26" ht="15.75" customHeight="1">
      <c r="A34" s="42">
        <v>3</v>
      </c>
      <c r="B34" s="40" t="s">
        <v>4127</v>
      </c>
      <c r="C34" s="40" t="s">
        <v>59</v>
      </c>
      <c r="D34" s="40" t="s">
        <v>77</v>
      </c>
      <c r="E34" s="40" t="s">
        <v>78</v>
      </c>
      <c r="F34" s="43" t="s">
        <v>4128</v>
      </c>
      <c r="G34" s="171" t="s">
        <v>29</v>
      </c>
      <c r="H34" s="260">
        <v>500</v>
      </c>
      <c r="I34" s="41">
        <v>100</v>
      </c>
      <c r="J34" s="40" t="s">
        <v>30</v>
      </c>
      <c r="K34" s="40" t="s">
        <v>31</v>
      </c>
      <c r="M34" s="157">
        <v>300</v>
      </c>
    </row>
    <row r="35" spans="1:26" ht="15.75" customHeight="1">
      <c r="A35" s="42">
        <v>3</v>
      </c>
      <c r="B35" s="40" t="s">
        <v>4129</v>
      </c>
      <c r="C35" s="40" t="s">
        <v>59</v>
      </c>
      <c r="D35" s="40" t="s">
        <v>99</v>
      </c>
      <c r="E35" s="40" t="s">
        <v>42</v>
      </c>
      <c r="F35" s="40"/>
      <c r="G35" s="171" t="s">
        <v>29</v>
      </c>
      <c r="H35" s="260">
        <v>500</v>
      </c>
      <c r="I35" s="41">
        <v>100</v>
      </c>
      <c r="J35" s="40" t="s">
        <v>30</v>
      </c>
      <c r="K35" s="40" t="s">
        <v>31</v>
      </c>
    </row>
    <row r="36" spans="1:26" ht="15.75" customHeight="1">
      <c r="A36" s="42">
        <v>3</v>
      </c>
      <c r="B36" s="40" t="s">
        <v>2948</v>
      </c>
      <c r="C36" s="40" t="s">
        <v>25</v>
      </c>
      <c r="D36" s="40" t="s">
        <v>2767</v>
      </c>
      <c r="E36" s="40" t="s">
        <v>50</v>
      </c>
      <c r="F36" s="43" t="s">
        <v>2949</v>
      </c>
      <c r="G36" s="171" t="s">
        <v>29</v>
      </c>
      <c r="H36" s="260">
        <v>300</v>
      </c>
      <c r="I36" s="41">
        <v>60</v>
      </c>
      <c r="J36" s="40" t="s">
        <v>30</v>
      </c>
      <c r="K36" s="40" t="s">
        <v>31</v>
      </c>
      <c r="M36" s="157">
        <v>70</v>
      </c>
    </row>
    <row r="37" spans="1:26" ht="15.75" customHeight="1">
      <c r="A37" s="42">
        <v>3</v>
      </c>
      <c r="B37" s="40" t="s">
        <v>4130</v>
      </c>
      <c r="C37" s="40" t="s">
        <v>25</v>
      </c>
      <c r="D37" s="40" t="s">
        <v>92</v>
      </c>
      <c r="E37" s="40" t="s">
        <v>540</v>
      </c>
      <c r="F37" s="43" t="s">
        <v>4131</v>
      </c>
      <c r="G37" s="171" t="s">
        <v>29</v>
      </c>
      <c r="H37" s="260">
        <v>300</v>
      </c>
      <c r="I37" s="41">
        <v>60</v>
      </c>
      <c r="J37" s="40" t="s">
        <v>30</v>
      </c>
      <c r="K37" s="40" t="s">
        <v>31</v>
      </c>
      <c r="M37" s="157">
        <v>50</v>
      </c>
    </row>
    <row r="38" spans="1:26" ht="15.75" customHeight="1">
      <c r="A38" s="42">
        <v>3</v>
      </c>
      <c r="B38" s="40" t="s">
        <v>4132</v>
      </c>
      <c r="C38" s="40" t="s">
        <v>25</v>
      </c>
      <c r="D38" s="40" t="s">
        <v>947</v>
      </c>
      <c r="E38" s="40" t="s">
        <v>42</v>
      </c>
      <c r="F38" s="43" t="s">
        <v>4133</v>
      </c>
      <c r="G38" s="171" t="s">
        <v>29</v>
      </c>
      <c r="H38" s="260">
        <v>1000</v>
      </c>
      <c r="I38" s="41">
        <v>200</v>
      </c>
      <c r="J38" s="40" t="s">
        <v>30</v>
      </c>
      <c r="K38" s="40" t="s">
        <v>31</v>
      </c>
    </row>
    <row r="39" spans="1:26" ht="15.75" customHeight="1">
      <c r="A39" s="42">
        <v>3</v>
      </c>
      <c r="B39" s="40" t="s">
        <v>1559</v>
      </c>
      <c r="C39" s="40" t="s">
        <v>59</v>
      </c>
      <c r="D39" s="40" t="s">
        <v>1511</v>
      </c>
      <c r="E39" s="40" t="s">
        <v>111</v>
      </c>
      <c r="F39" s="43" t="s">
        <v>1560</v>
      </c>
      <c r="G39" s="171" t="s">
        <v>29</v>
      </c>
      <c r="H39" s="260">
        <v>12500</v>
      </c>
      <c r="I39" s="41">
        <v>2500</v>
      </c>
      <c r="J39" s="40" t="s">
        <v>30</v>
      </c>
      <c r="K39" s="40" t="s">
        <v>31</v>
      </c>
      <c r="L39" s="45"/>
    </row>
    <row r="40" spans="1:26" ht="15.75" customHeight="1">
      <c r="A40" s="42">
        <v>3</v>
      </c>
      <c r="B40" s="40" t="s">
        <v>1559</v>
      </c>
      <c r="C40" s="40" t="s">
        <v>59</v>
      </c>
      <c r="D40" s="40" t="s">
        <v>1511</v>
      </c>
      <c r="E40" s="40" t="s">
        <v>111</v>
      </c>
      <c r="F40" s="43" t="s">
        <v>1560</v>
      </c>
      <c r="G40" s="285" t="s">
        <v>116</v>
      </c>
      <c r="H40" s="287">
        <v>1000</v>
      </c>
      <c r="I40" s="41">
        <v>1000</v>
      </c>
      <c r="J40" s="40" t="s">
        <v>30</v>
      </c>
      <c r="K40" s="40" t="s">
        <v>31</v>
      </c>
    </row>
    <row r="41" spans="1:26" ht="15.75" customHeight="1">
      <c r="A41" s="42">
        <v>3</v>
      </c>
      <c r="B41" s="40" t="s">
        <v>4134</v>
      </c>
      <c r="C41" s="40" t="s">
        <v>59</v>
      </c>
      <c r="D41" s="40" t="s">
        <v>1165</v>
      </c>
      <c r="E41" s="40" t="s">
        <v>96</v>
      </c>
      <c r="F41" s="43" t="s">
        <v>4135</v>
      </c>
      <c r="G41" s="171" t="s">
        <v>29</v>
      </c>
      <c r="H41" s="260">
        <v>1200</v>
      </c>
      <c r="I41" s="41">
        <v>240</v>
      </c>
      <c r="J41" s="40" t="s">
        <v>30</v>
      </c>
      <c r="K41" s="40" t="s">
        <v>31</v>
      </c>
    </row>
    <row r="42" spans="1:26" ht="15.75" customHeight="1">
      <c r="A42" s="42">
        <v>3</v>
      </c>
      <c r="B42" s="40" t="s">
        <v>4136</v>
      </c>
      <c r="C42" s="40" t="s">
        <v>25</v>
      </c>
      <c r="D42" s="40" t="s">
        <v>2451</v>
      </c>
      <c r="E42" s="40" t="s">
        <v>96</v>
      </c>
      <c r="F42" s="43" t="s">
        <v>4137</v>
      </c>
      <c r="G42" s="171" t="s">
        <v>29</v>
      </c>
      <c r="H42" s="260">
        <v>6000</v>
      </c>
      <c r="I42" s="41">
        <v>1200</v>
      </c>
      <c r="J42" s="40" t="s">
        <v>30</v>
      </c>
      <c r="K42" s="40" t="s">
        <v>31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42">
        <v>3</v>
      </c>
      <c r="B43" s="40" t="s">
        <v>4138</v>
      </c>
      <c r="C43" s="40" t="s">
        <v>25</v>
      </c>
      <c r="D43" s="40" t="s">
        <v>4139</v>
      </c>
      <c r="E43" s="40" t="s">
        <v>318</v>
      </c>
      <c r="F43" s="43" t="s">
        <v>4140</v>
      </c>
      <c r="G43" s="171" t="s">
        <v>29</v>
      </c>
      <c r="H43" s="260">
        <v>5000</v>
      </c>
      <c r="I43" s="41">
        <v>1000</v>
      </c>
      <c r="J43" s="40" t="s">
        <v>30</v>
      </c>
      <c r="K43" s="40" t="s">
        <v>31</v>
      </c>
      <c r="L43" s="45"/>
      <c r="M43" s="157">
        <v>900</v>
      </c>
    </row>
    <row r="44" spans="1:26" ht="15.75" customHeight="1">
      <c r="A44" s="47">
        <v>3</v>
      </c>
      <c r="B44" s="48" t="s">
        <v>4141</v>
      </c>
      <c r="C44" s="48" t="s">
        <v>25</v>
      </c>
      <c r="D44" s="48" t="s">
        <v>669</v>
      </c>
      <c r="E44" s="48" t="s">
        <v>56</v>
      </c>
      <c r="F44" s="49" t="s">
        <v>4142</v>
      </c>
      <c r="G44" s="487" t="s">
        <v>29</v>
      </c>
      <c r="H44" s="488">
        <v>5000</v>
      </c>
      <c r="I44" s="51">
        <v>1000</v>
      </c>
      <c r="J44" s="48" t="s">
        <v>30</v>
      </c>
      <c r="K44" s="48" t="s">
        <v>31</v>
      </c>
      <c r="M44" s="157">
        <v>1200</v>
      </c>
    </row>
    <row r="45" spans="1:26" ht="15.75" customHeight="1">
      <c r="A45" s="52">
        <v>4</v>
      </c>
      <c r="B45" s="53" t="s">
        <v>4143</v>
      </c>
      <c r="C45" s="53" t="s">
        <v>25</v>
      </c>
      <c r="D45" s="53" t="s">
        <v>1637</v>
      </c>
      <c r="E45" s="53" t="s">
        <v>141</v>
      </c>
      <c r="F45" s="60" t="s">
        <v>4144</v>
      </c>
      <c r="G45" s="53" t="s">
        <v>29</v>
      </c>
      <c r="H45" s="54">
        <v>15000</v>
      </c>
      <c r="I45" s="55">
        <v>3000</v>
      </c>
      <c r="J45" s="53" t="s">
        <v>30</v>
      </c>
      <c r="K45" s="53" t="s">
        <v>31</v>
      </c>
    </row>
    <row r="46" spans="1:26" ht="15.75" customHeight="1">
      <c r="A46" s="42">
        <v>4</v>
      </c>
      <c r="B46" s="40" t="s">
        <v>4145</v>
      </c>
      <c r="C46" s="40" t="s">
        <v>25</v>
      </c>
      <c r="D46" s="40" t="s">
        <v>4146</v>
      </c>
      <c r="E46" s="40" t="s">
        <v>249</v>
      </c>
      <c r="F46" s="43" t="s">
        <v>4147</v>
      </c>
      <c r="G46" s="40" t="s">
        <v>29</v>
      </c>
      <c r="H46" s="44">
        <v>5300</v>
      </c>
      <c r="I46" s="41">
        <v>1060</v>
      </c>
      <c r="J46" s="40" t="s">
        <v>30</v>
      </c>
      <c r="K46" s="40" t="s">
        <v>31</v>
      </c>
    </row>
    <row r="47" spans="1:26" ht="15.75" customHeight="1">
      <c r="A47" s="42">
        <v>4</v>
      </c>
      <c r="B47" s="40" t="s">
        <v>3729</v>
      </c>
      <c r="C47" s="40" t="s">
        <v>25</v>
      </c>
      <c r="D47" s="40" t="s">
        <v>99</v>
      </c>
      <c r="E47" s="40" t="s">
        <v>42</v>
      </c>
      <c r="F47" s="43" t="s">
        <v>1582</v>
      </c>
      <c r="G47" s="40" t="s">
        <v>29</v>
      </c>
      <c r="H47" s="44">
        <v>5000</v>
      </c>
      <c r="I47" s="41">
        <v>1000</v>
      </c>
      <c r="J47" s="40" t="s">
        <v>30</v>
      </c>
      <c r="K47" s="40" t="s">
        <v>31</v>
      </c>
      <c r="M47" s="157">
        <v>600</v>
      </c>
    </row>
    <row r="48" spans="1:26" ht="15.75" customHeight="1">
      <c r="A48" s="42">
        <v>4</v>
      </c>
      <c r="B48" s="40" t="s">
        <v>4148</v>
      </c>
      <c r="C48" s="40" t="s">
        <v>25</v>
      </c>
      <c r="D48" s="40" t="s">
        <v>618</v>
      </c>
      <c r="E48" s="40" t="s">
        <v>50</v>
      </c>
      <c r="F48" s="43" t="s">
        <v>4149</v>
      </c>
      <c r="G48" s="40" t="s">
        <v>29</v>
      </c>
      <c r="H48" s="44">
        <v>500</v>
      </c>
      <c r="I48" s="41">
        <v>100</v>
      </c>
      <c r="J48" s="40" t="s">
        <v>30</v>
      </c>
      <c r="K48" s="40" t="s">
        <v>31</v>
      </c>
      <c r="M48" s="157">
        <v>10</v>
      </c>
    </row>
    <row r="49" spans="1:13" ht="15.75" customHeight="1">
      <c r="A49" s="42">
        <v>4</v>
      </c>
      <c r="B49" s="40" t="s">
        <v>4150</v>
      </c>
      <c r="C49" s="40" t="s">
        <v>25</v>
      </c>
      <c r="D49" s="40" t="s">
        <v>1371</v>
      </c>
      <c r="E49" s="40" t="s">
        <v>96</v>
      </c>
      <c r="F49" s="43" t="s">
        <v>4151</v>
      </c>
      <c r="G49" s="40" t="s">
        <v>29</v>
      </c>
      <c r="H49" s="44">
        <v>500</v>
      </c>
      <c r="I49" s="41">
        <v>100</v>
      </c>
      <c r="J49" s="40" t="s">
        <v>30</v>
      </c>
      <c r="K49" s="40" t="s">
        <v>31</v>
      </c>
      <c r="M49" s="157">
        <v>750</v>
      </c>
    </row>
    <row r="50" spans="1:13" ht="15.75" customHeight="1">
      <c r="A50" s="431">
        <v>4</v>
      </c>
      <c r="B50" s="432" t="s">
        <v>4152</v>
      </c>
      <c r="C50" s="432" t="s">
        <v>25</v>
      </c>
      <c r="D50" s="432"/>
      <c r="E50" s="432" t="s">
        <v>533</v>
      </c>
      <c r="F50" s="40"/>
      <c r="G50" s="40" t="s">
        <v>29</v>
      </c>
      <c r="H50" s="44">
        <v>500</v>
      </c>
      <c r="I50" s="41">
        <v>100</v>
      </c>
      <c r="J50" s="432" t="s">
        <v>30</v>
      </c>
      <c r="K50" s="432" t="s">
        <v>31</v>
      </c>
      <c r="M50" s="157">
        <v>300</v>
      </c>
    </row>
    <row r="51" spans="1:13" ht="15.75" customHeight="1">
      <c r="A51" s="431">
        <v>4</v>
      </c>
      <c r="B51" s="432" t="s">
        <v>4153</v>
      </c>
      <c r="C51" s="432" t="s">
        <v>25</v>
      </c>
      <c r="D51" s="432" t="s">
        <v>1229</v>
      </c>
      <c r="E51" s="432" t="s">
        <v>38</v>
      </c>
      <c r="F51" s="43" t="s">
        <v>4154</v>
      </c>
      <c r="G51" s="40" t="s">
        <v>29</v>
      </c>
      <c r="H51" s="44">
        <v>500</v>
      </c>
      <c r="I51" s="41">
        <v>100</v>
      </c>
      <c r="J51" s="432" t="s">
        <v>30</v>
      </c>
      <c r="K51" s="432" t="s">
        <v>31</v>
      </c>
      <c r="L51" s="45"/>
      <c r="M51" s="157">
        <v>150</v>
      </c>
    </row>
    <row r="52" spans="1:13" ht="15.75" customHeight="1">
      <c r="A52" s="42">
        <v>4</v>
      </c>
      <c r="B52" s="40" t="s">
        <v>4155</v>
      </c>
      <c r="C52" s="40" t="s">
        <v>25</v>
      </c>
      <c r="D52" s="40" t="s">
        <v>4156</v>
      </c>
      <c r="E52" s="40" t="s">
        <v>561</v>
      </c>
      <c r="F52" s="43" t="s">
        <v>4157</v>
      </c>
      <c r="G52" s="40" t="s">
        <v>29</v>
      </c>
      <c r="H52" s="44">
        <v>500</v>
      </c>
      <c r="I52" s="41">
        <v>100</v>
      </c>
      <c r="J52" s="40" t="s">
        <v>30</v>
      </c>
      <c r="K52" s="40" t="s">
        <v>31</v>
      </c>
    </row>
    <row r="53" spans="1:13" ht="15.75" customHeight="1">
      <c r="A53" s="42">
        <v>4</v>
      </c>
      <c r="B53" s="40" t="s">
        <v>4158</v>
      </c>
      <c r="C53" s="40" t="s">
        <v>59</v>
      </c>
      <c r="D53" s="40" t="s">
        <v>688</v>
      </c>
      <c r="E53" s="40" t="s">
        <v>249</v>
      </c>
      <c r="F53" s="43" t="s">
        <v>4159</v>
      </c>
      <c r="G53" s="40" t="s">
        <v>29</v>
      </c>
      <c r="H53" s="44">
        <v>500</v>
      </c>
      <c r="I53" s="41">
        <v>100</v>
      </c>
      <c r="J53" s="40" t="s">
        <v>30</v>
      </c>
      <c r="K53" s="40" t="s">
        <v>31</v>
      </c>
      <c r="M53" s="157">
        <v>150</v>
      </c>
    </row>
    <row r="54" spans="1:13" ht="15.75" customHeight="1">
      <c r="A54" s="42">
        <v>4</v>
      </c>
      <c r="B54" s="40" t="s">
        <v>4160</v>
      </c>
      <c r="C54" s="40" t="s">
        <v>25</v>
      </c>
      <c r="D54" s="40" t="s">
        <v>688</v>
      </c>
      <c r="E54" s="40" t="s">
        <v>249</v>
      </c>
      <c r="F54" s="43" t="s">
        <v>4161</v>
      </c>
      <c r="G54" s="40" t="s">
        <v>29</v>
      </c>
      <c r="H54" s="44">
        <v>500</v>
      </c>
      <c r="I54" s="41">
        <v>100</v>
      </c>
      <c r="J54" s="40" t="s">
        <v>30</v>
      </c>
      <c r="K54" s="40" t="s">
        <v>31</v>
      </c>
      <c r="M54" s="157">
        <v>150</v>
      </c>
    </row>
    <row r="55" spans="1:13" ht="15.75" customHeight="1">
      <c r="A55" s="42">
        <v>4</v>
      </c>
      <c r="B55" s="40" t="s">
        <v>4162</v>
      </c>
      <c r="C55" s="40" t="s">
        <v>25</v>
      </c>
      <c r="D55" s="40" t="s">
        <v>209</v>
      </c>
      <c r="E55" s="40" t="s">
        <v>96</v>
      </c>
      <c r="F55" s="43" t="s">
        <v>4163</v>
      </c>
      <c r="G55" s="40" t="s">
        <v>29</v>
      </c>
      <c r="H55" s="44">
        <v>500</v>
      </c>
      <c r="I55" s="41">
        <v>100</v>
      </c>
      <c r="J55" s="40" t="s">
        <v>30</v>
      </c>
      <c r="K55" s="40" t="s">
        <v>31</v>
      </c>
      <c r="L55" s="45"/>
      <c r="M55" s="157">
        <v>300</v>
      </c>
    </row>
    <row r="56" spans="1:13" ht="15.75" customHeight="1">
      <c r="A56" s="42">
        <v>4</v>
      </c>
      <c r="B56" s="40" t="s">
        <v>4023</v>
      </c>
      <c r="C56" s="40" t="s">
        <v>25</v>
      </c>
      <c r="D56" s="40" t="s">
        <v>4164</v>
      </c>
      <c r="E56" s="40" t="s">
        <v>1461</v>
      </c>
      <c r="F56" s="43" t="s">
        <v>4165</v>
      </c>
      <c r="G56" s="40" t="s">
        <v>29</v>
      </c>
      <c r="H56" s="44">
        <v>100</v>
      </c>
      <c r="I56" s="41">
        <v>20</v>
      </c>
      <c r="J56" s="40" t="s">
        <v>30</v>
      </c>
      <c r="K56" s="40" t="s">
        <v>31</v>
      </c>
    </row>
    <row r="57" spans="1:13" ht="15.75" customHeight="1">
      <c r="A57" s="42">
        <v>4</v>
      </c>
      <c r="B57" s="40" t="s">
        <v>4166</v>
      </c>
      <c r="C57" s="40" t="s">
        <v>25</v>
      </c>
      <c r="D57" s="40" t="s">
        <v>1371</v>
      </c>
      <c r="E57" s="40" t="s">
        <v>96</v>
      </c>
      <c r="F57" s="40"/>
      <c r="G57" s="40" t="s">
        <v>29</v>
      </c>
      <c r="H57" s="44">
        <v>300</v>
      </c>
      <c r="I57" s="41">
        <v>60</v>
      </c>
      <c r="J57" s="40" t="s">
        <v>30</v>
      </c>
      <c r="K57" s="40" t="s">
        <v>31</v>
      </c>
      <c r="M57" s="157">
        <v>300</v>
      </c>
    </row>
    <row r="58" spans="1:13" ht="15.75" customHeight="1">
      <c r="A58" s="42">
        <v>5</v>
      </c>
      <c r="B58" s="40" t="s">
        <v>4167</v>
      </c>
      <c r="C58" s="40" t="s">
        <v>25</v>
      </c>
      <c r="D58" s="40" t="s">
        <v>63</v>
      </c>
      <c r="E58" s="40" t="s">
        <v>318</v>
      </c>
      <c r="F58" s="43" t="s">
        <v>4168</v>
      </c>
      <c r="G58" s="40" t="s">
        <v>29</v>
      </c>
      <c r="H58" s="44">
        <v>4000</v>
      </c>
      <c r="I58" s="41">
        <v>800</v>
      </c>
      <c r="J58" s="40" t="s">
        <v>30</v>
      </c>
      <c r="K58" s="40" t="s">
        <v>31</v>
      </c>
    </row>
    <row r="59" spans="1:13" ht="15.75" customHeight="1">
      <c r="A59" s="42">
        <v>5</v>
      </c>
      <c r="B59" s="40" t="s">
        <v>2913</v>
      </c>
      <c r="C59" s="40" t="s">
        <v>25</v>
      </c>
      <c r="D59" s="40" t="s">
        <v>185</v>
      </c>
      <c r="E59" s="40" t="s">
        <v>42</v>
      </c>
      <c r="F59" s="43" t="s">
        <v>4169</v>
      </c>
      <c r="G59" s="40" t="s">
        <v>29</v>
      </c>
      <c r="H59" s="44">
        <v>500</v>
      </c>
      <c r="I59" s="41">
        <v>100</v>
      </c>
      <c r="J59" s="40" t="s">
        <v>30</v>
      </c>
      <c r="K59" s="40" t="s">
        <v>31</v>
      </c>
    </row>
    <row r="60" spans="1:13" ht="15.75" customHeight="1">
      <c r="A60" s="42">
        <v>5</v>
      </c>
      <c r="B60" s="40" t="s">
        <v>4170</v>
      </c>
      <c r="C60" s="40" t="s">
        <v>25</v>
      </c>
      <c r="D60" s="40" t="s">
        <v>303</v>
      </c>
      <c r="E60" s="40" t="s">
        <v>96</v>
      </c>
      <c r="F60" s="43" t="s">
        <v>4171</v>
      </c>
      <c r="G60" s="40" t="s">
        <v>29</v>
      </c>
      <c r="H60" s="44">
        <v>500</v>
      </c>
      <c r="I60" s="41">
        <v>100</v>
      </c>
      <c r="J60" s="40" t="s">
        <v>30</v>
      </c>
      <c r="K60" s="40" t="s">
        <v>31</v>
      </c>
    </row>
    <row r="61" spans="1:13" ht="15.75" customHeight="1">
      <c r="A61" s="42">
        <v>5</v>
      </c>
      <c r="B61" s="40" t="s">
        <v>4172</v>
      </c>
      <c r="C61" s="40" t="s">
        <v>25</v>
      </c>
      <c r="D61" s="40" t="s">
        <v>4173</v>
      </c>
      <c r="E61" s="40" t="s">
        <v>38</v>
      </c>
      <c r="F61" s="43" t="s">
        <v>4174</v>
      </c>
      <c r="G61" s="40" t="s">
        <v>29</v>
      </c>
      <c r="H61" s="44">
        <v>600</v>
      </c>
      <c r="I61" s="41">
        <v>120</v>
      </c>
      <c r="J61" s="40" t="s">
        <v>30</v>
      </c>
      <c r="K61" s="40" t="s">
        <v>31</v>
      </c>
      <c r="M61" s="157">
        <v>600</v>
      </c>
    </row>
    <row r="62" spans="1:13" ht="15.75" customHeight="1">
      <c r="A62" s="256">
        <v>5</v>
      </c>
      <c r="B62" s="48" t="s">
        <v>4175</v>
      </c>
      <c r="C62" s="48" t="s">
        <v>25</v>
      </c>
      <c r="D62" s="48" t="s">
        <v>3033</v>
      </c>
      <c r="E62" s="48" t="s">
        <v>141</v>
      </c>
      <c r="F62" s="49" t="s">
        <v>4176</v>
      </c>
      <c r="G62" s="48" t="s">
        <v>29</v>
      </c>
      <c r="H62" s="50">
        <v>500</v>
      </c>
      <c r="I62" s="51">
        <v>100</v>
      </c>
      <c r="J62" s="48" t="s">
        <v>30</v>
      </c>
      <c r="K62" s="48" t="s">
        <v>31</v>
      </c>
    </row>
    <row r="63" spans="1:13" ht="15.75" customHeight="1">
      <c r="A63" s="52">
        <v>8</v>
      </c>
      <c r="B63" s="53" t="s">
        <v>4177</v>
      </c>
      <c r="C63" s="53" t="s">
        <v>25</v>
      </c>
      <c r="D63" s="53" t="s">
        <v>1229</v>
      </c>
      <c r="E63" s="53" t="s">
        <v>38</v>
      </c>
      <c r="F63" s="53"/>
      <c r="G63" s="53" t="s">
        <v>29</v>
      </c>
      <c r="H63" s="54">
        <v>200</v>
      </c>
      <c r="I63" s="55">
        <v>40</v>
      </c>
      <c r="J63" s="53" t="s">
        <v>30</v>
      </c>
      <c r="K63" s="53" t="s">
        <v>31</v>
      </c>
    </row>
    <row r="64" spans="1:13" ht="15.75" customHeight="1">
      <c r="A64" s="42">
        <v>8</v>
      </c>
      <c r="B64" s="40" t="s">
        <v>4178</v>
      </c>
      <c r="C64" s="40" t="s">
        <v>25</v>
      </c>
      <c r="D64" s="40" t="s">
        <v>185</v>
      </c>
      <c r="E64" s="40" t="s">
        <v>42</v>
      </c>
      <c r="F64" s="43" t="s">
        <v>4179</v>
      </c>
      <c r="G64" s="40" t="s">
        <v>29</v>
      </c>
      <c r="H64" s="44">
        <v>400</v>
      </c>
      <c r="I64" s="41">
        <v>80</v>
      </c>
      <c r="J64" s="40" t="s">
        <v>30</v>
      </c>
      <c r="K64" s="40" t="s">
        <v>31</v>
      </c>
      <c r="M64" s="157">
        <v>100</v>
      </c>
    </row>
    <row r="65" spans="1:13" ht="15.75" customHeight="1">
      <c r="A65" s="42">
        <v>8</v>
      </c>
      <c r="B65" s="40" t="s">
        <v>4180</v>
      </c>
      <c r="C65" s="40" t="s">
        <v>25</v>
      </c>
      <c r="D65" s="40" t="s">
        <v>3273</v>
      </c>
      <c r="E65" s="40" t="s">
        <v>1049</v>
      </c>
      <c r="F65" s="43" t="s">
        <v>4181</v>
      </c>
      <c r="G65" s="40" t="s">
        <v>29</v>
      </c>
      <c r="H65" s="44">
        <v>600</v>
      </c>
      <c r="I65" s="41">
        <v>120</v>
      </c>
      <c r="J65" s="40" t="s">
        <v>30</v>
      </c>
      <c r="K65" s="40" t="s">
        <v>31</v>
      </c>
      <c r="M65" s="157">
        <v>200</v>
      </c>
    </row>
    <row r="66" spans="1:13" ht="15.75" customHeight="1">
      <c r="A66" s="42">
        <v>8</v>
      </c>
      <c r="B66" s="40" t="s">
        <v>4182</v>
      </c>
      <c r="C66" s="40" t="s">
        <v>59</v>
      </c>
      <c r="D66" s="40" t="s">
        <v>532</v>
      </c>
      <c r="E66" s="40" t="s">
        <v>38</v>
      </c>
      <c r="F66" s="43" t="s">
        <v>4183</v>
      </c>
      <c r="G66" s="40" t="s">
        <v>29</v>
      </c>
      <c r="H66" s="44">
        <v>500</v>
      </c>
      <c r="I66" s="41">
        <v>100</v>
      </c>
      <c r="J66" s="40" t="s">
        <v>30</v>
      </c>
      <c r="K66" s="40" t="s">
        <v>31</v>
      </c>
    </row>
    <row r="67" spans="1:13" ht="15.75" customHeight="1">
      <c r="A67" s="42">
        <v>8</v>
      </c>
      <c r="B67" s="40" t="s">
        <v>4184</v>
      </c>
      <c r="C67" s="40" t="s">
        <v>25</v>
      </c>
      <c r="D67" s="40" t="s">
        <v>2844</v>
      </c>
      <c r="E67" s="40" t="s">
        <v>27</v>
      </c>
      <c r="F67" s="43" t="s">
        <v>4185</v>
      </c>
      <c r="G67" s="40" t="s">
        <v>29</v>
      </c>
      <c r="H67" s="44">
        <v>500</v>
      </c>
      <c r="I67" s="41">
        <v>100</v>
      </c>
      <c r="J67" s="40" t="s">
        <v>30</v>
      </c>
      <c r="K67" s="40" t="s">
        <v>31</v>
      </c>
      <c r="M67" s="157">
        <v>300</v>
      </c>
    </row>
    <row r="68" spans="1:13" ht="15.75" customHeight="1">
      <c r="A68" s="42">
        <v>8</v>
      </c>
      <c r="B68" s="40" t="s">
        <v>4186</v>
      </c>
      <c r="C68" s="40" t="s">
        <v>25</v>
      </c>
      <c r="D68" s="40" t="s">
        <v>114</v>
      </c>
      <c r="E68" s="40" t="s">
        <v>78</v>
      </c>
      <c r="F68" s="43" t="s">
        <v>4187</v>
      </c>
      <c r="G68" s="40" t="s">
        <v>29</v>
      </c>
      <c r="H68" s="44">
        <v>500</v>
      </c>
      <c r="I68" s="41">
        <v>100</v>
      </c>
      <c r="J68" s="40" t="s">
        <v>30</v>
      </c>
      <c r="K68" s="40" t="s">
        <v>31</v>
      </c>
      <c r="M68" s="157">
        <v>100</v>
      </c>
    </row>
    <row r="69" spans="1:13" ht="15.75" customHeight="1">
      <c r="A69" s="42">
        <v>8</v>
      </c>
      <c r="B69" s="40" t="s">
        <v>4188</v>
      </c>
      <c r="C69" s="40" t="s">
        <v>59</v>
      </c>
      <c r="D69" s="40" t="s">
        <v>114</v>
      </c>
      <c r="E69" s="40" t="s">
        <v>78</v>
      </c>
      <c r="F69" s="43" t="s">
        <v>4189</v>
      </c>
      <c r="G69" s="40" t="s">
        <v>29</v>
      </c>
      <c r="H69" s="44">
        <v>500</v>
      </c>
      <c r="I69" s="41">
        <v>100</v>
      </c>
      <c r="J69" s="40" t="s">
        <v>30</v>
      </c>
      <c r="K69" s="40" t="s">
        <v>31</v>
      </c>
    </row>
    <row r="70" spans="1:13" ht="15.75" customHeight="1">
      <c r="A70" s="42">
        <v>8</v>
      </c>
      <c r="B70" s="40" t="s">
        <v>4190</v>
      </c>
      <c r="C70" s="40" t="s">
        <v>25</v>
      </c>
      <c r="D70" s="40" t="s">
        <v>685</v>
      </c>
      <c r="E70" s="40" t="s">
        <v>60</v>
      </c>
      <c r="F70" s="43" t="s">
        <v>4191</v>
      </c>
      <c r="G70" s="40" t="s">
        <v>29</v>
      </c>
      <c r="H70" s="44">
        <v>500</v>
      </c>
      <c r="I70" s="41">
        <v>100</v>
      </c>
      <c r="J70" s="40" t="s">
        <v>30</v>
      </c>
      <c r="K70" s="40" t="s">
        <v>31</v>
      </c>
      <c r="M70" s="157">
        <v>150</v>
      </c>
    </row>
    <row r="71" spans="1:13" ht="15.75" customHeight="1">
      <c r="A71" s="42">
        <v>8</v>
      </c>
      <c r="B71" s="40" t="s">
        <v>4192</v>
      </c>
      <c r="C71" s="40" t="s">
        <v>25</v>
      </c>
      <c r="D71" s="40" t="s">
        <v>836</v>
      </c>
      <c r="E71" s="40" t="s">
        <v>42</v>
      </c>
      <c r="F71" s="43" t="s">
        <v>4193</v>
      </c>
      <c r="G71" s="40" t="s">
        <v>29</v>
      </c>
      <c r="H71" s="44">
        <v>500</v>
      </c>
      <c r="I71" s="41">
        <v>100</v>
      </c>
      <c r="J71" s="40" t="s">
        <v>30</v>
      </c>
      <c r="K71" s="40" t="s">
        <v>31</v>
      </c>
      <c r="M71" s="157">
        <v>400</v>
      </c>
    </row>
    <row r="72" spans="1:13" ht="15.75" customHeight="1">
      <c r="A72" s="42">
        <v>8</v>
      </c>
      <c r="B72" s="40" t="s">
        <v>4194</v>
      </c>
      <c r="C72" s="40" t="s">
        <v>25</v>
      </c>
      <c r="D72" s="40" t="s">
        <v>110</v>
      </c>
      <c r="E72" s="40" t="s">
        <v>111</v>
      </c>
      <c r="F72" s="43" t="s">
        <v>2550</v>
      </c>
      <c r="G72" s="40" t="s">
        <v>29</v>
      </c>
      <c r="H72" s="44">
        <v>500</v>
      </c>
      <c r="I72" s="41">
        <v>100</v>
      </c>
      <c r="J72" s="40" t="s">
        <v>30</v>
      </c>
      <c r="K72" s="40" t="s">
        <v>31</v>
      </c>
      <c r="M72" s="157">
        <v>500</v>
      </c>
    </row>
    <row r="73" spans="1:13" ht="15.75" customHeight="1">
      <c r="A73" s="42">
        <v>8</v>
      </c>
      <c r="B73" s="40" t="s">
        <v>4195</v>
      </c>
      <c r="C73" s="40" t="s">
        <v>25</v>
      </c>
      <c r="D73" s="40" t="s">
        <v>1916</v>
      </c>
      <c r="E73" s="40" t="s">
        <v>540</v>
      </c>
      <c r="F73" s="40"/>
      <c r="G73" s="40" t="s">
        <v>29</v>
      </c>
      <c r="H73" s="200">
        <v>500</v>
      </c>
      <c r="I73" s="41">
        <v>100</v>
      </c>
      <c r="J73" s="40" t="s">
        <v>30</v>
      </c>
      <c r="K73" s="40" t="s">
        <v>31</v>
      </c>
      <c r="M73" s="157">
        <v>100</v>
      </c>
    </row>
    <row r="74" spans="1:13" ht="15.75" customHeight="1">
      <c r="A74" s="42">
        <v>8</v>
      </c>
      <c r="B74" s="40" t="s">
        <v>4196</v>
      </c>
      <c r="C74" s="40" t="s">
        <v>25</v>
      </c>
      <c r="D74" s="40" t="s">
        <v>258</v>
      </c>
      <c r="E74" s="40" t="s">
        <v>96</v>
      </c>
      <c r="F74" s="43" t="s">
        <v>4197</v>
      </c>
      <c r="G74" s="40" t="s">
        <v>29</v>
      </c>
      <c r="H74" s="200">
        <v>1000</v>
      </c>
      <c r="I74" s="41">
        <v>200</v>
      </c>
      <c r="J74" s="40" t="s">
        <v>30</v>
      </c>
      <c r="K74" s="40" t="s">
        <v>31</v>
      </c>
      <c r="M74" s="157">
        <v>1000</v>
      </c>
    </row>
    <row r="75" spans="1:13" ht="15.75" customHeight="1">
      <c r="A75" s="42">
        <v>8</v>
      </c>
      <c r="B75" s="40" t="s">
        <v>4198</v>
      </c>
      <c r="C75" s="40" t="s">
        <v>25</v>
      </c>
      <c r="D75" s="40" t="s">
        <v>1816</v>
      </c>
      <c r="E75" s="40" t="s">
        <v>96</v>
      </c>
      <c r="F75" s="43" t="s">
        <v>4199</v>
      </c>
      <c r="G75" s="40" t="s">
        <v>29</v>
      </c>
      <c r="H75" s="200">
        <v>1000</v>
      </c>
      <c r="I75" s="41">
        <v>200</v>
      </c>
      <c r="J75" s="40" t="s">
        <v>30</v>
      </c>
      <c r="K75" s="40" t="s">
        <v>31</v>
      </c>
      <c r="M75" s="157">
        <v>400</v>
      </c>
    </row>
    <row r="76" spans="1:13" ht="15.75" customHeight="1">
      <c r="A76" s="42">
        <v>8</v>
      </c>
      <c r="B76" s="40" t="s">
        <v>1775</v>
      </c>
      <c r="C76" s="40" t="s">
        <v>25</v>
      </c>
      <c r="D76" s="40" t="s">
        <v>1137</v>
      </c>
      <c r="E76" s="40" t="s">
        <v>38</v>
      </c>
      <c r="F76" s="43" t="s">
        <v>4200</v>
      </c>
      <c r="G76" s="40" t="s">
        <v>29</v>
      </c>
      <c r="H76" s="200">
        <v>3000</v>
      </c>
      <c r="I76" s="41">
        <v>600</v>
      </c>
      <c r="J76" s="40" t="s">
        <v>30</v>
      </c>
      <c r="K76" s="40" t="s">
        <v>31</v>
      </c>
      <c r="M76" s="157">
        <v>900</v>
      </c>
    </row>
    <row r="77" spans="1:13" ht="15.75" customHeight="1">
      <c r="A77" s="42">
        <v>8</v>
      </c>
      <c r="B77" s="40" t="s">
        <v>4201</v>
      </c>
      <c r="C77" s="40" t="s">
        <v>25</v>
      </c>
      <c r="D77" s="40" t="s">
        <v>624</v>
      </c>
      <c r="E77" s="40" t="s">
        <v>34</v>
      </c>
      <c r="F77" s="43" t="s">
        <v>4202</v>
      </c>
      <c r="G77" s="40" t="s">
        <v>29</v>
      </c>
      <c r="H77" s="200">
        <v>2000</v>
      </c>
      <c r="I77" s="41">
        <v>400</v>
      </c>
      <c r="J77" s="40" t="s">
        <v>30</v>
      </c>
      <c r="K77" s="40" t="s">
        <v>31</v>
      </c>
      <c r="M77" s="157">
        <v>400</v>
      </c>
    </row>
    <row r="78" spans="1:13" ht="15.75" customHeight="1">
      <c r="A78" s="42">
        <v>8</v>
      </c>
      <c r="B78" s="40" t="s">
        <v>1808</v>
      </c>
      <c r="C78" s="40" t="s">
        <v>59</v>
      </c>
      <c r="D78" s="40" t="s">
        <v>2918</v>
      </c>
      <c r="E78" s="40" t="s">
        <v>1461</v>
      </c>
      <c r="F78" s="43" t="s">
        <v>1810</v>
      </c>
      <c r="G78" s="40" t="s">
        <v>29</v>
      </c>
      <c r="H78" s="200">
        <v>2000</v>
      </c>
      <c r="I78" s="41">
        <v>400</v>
      </c>
      <c r="J78" s="40" t="s">
        <v>30</v>
      </c>
      <c r="K78" s="40" t="s">
        <v>31</v>
      </c>
      <c r="M78" s="157">
        <v>449</v>
      </c>
    </row>
    <row r="79" spans="1:13" ht="15.75" customHeight="1">
      <c r="A79" s="42">
        <v>8</v>
      </c>
      <c r="B79" s="40" t="s">
        <v>4203</v>
      </c>
      <c r="C79" s="40" t="s">
        <v>25</v>
      </c>
      <c r="D79" s="40" t="s">
        <v>258</v>
      </c>
      <c r="E79" s="40" t="s">
        <v>96</v>
      </c>
      <c r="F79" s="40"/>
      <c r="G79" s="40" t="s">
        <v>29</v>
      </c>
      <c r="H79" s="200">
        <v>2000</v>
      </c>
      <c r="I79" s="41">
        <v>400</v>
      </c>
      <c r="J79" s="40" t="s">
        <v>30</v>
      </c>
      <c r="K79" s="40" t="s">
        <v>31</v>
      </c>
      <c r="M79" s="157">
        <v>100</v>
      </c>
    </row>
    <row r="80" spans="1:13" ht="15.75" customHeight="1">
      <c r="A80" s="42">
        <v>8</v>
      </c>
      <c r="B80" s="40" t="s">
        <v>4204</v>
      </c>
      <c r="C80" s="40" t="s">
        <v>25</v>
      </c>
      <c r="D80" s="40" t="s">
        <v>2844</v>
      </c>
      <c r="E80" s="40" t="s">
        <v>27</v>
      </c>
      <c r="F80" s="43" t="s">
        <v>4205</v>
      </c>
      <c r="G80" s="40" t="s">
        <v>29</v>
      </c>
      <c r="H80" s="200">
        <v>1500</v>
      </c>
      <c r="I80" s="41">
        <v>300</v>
      </c>
      <c r="J80" s="40" t="s">
        <v>30</v>
      </c>
      <c r="K80" s="40" t="s">
        <v>31</v>
      </c>
      <c r="M80" s="157">
        <v>225</v>
      </c>
    </row>
    <row r="81" spans="1:13" ht="15.75" customHeight="1">
      <c r="A81" s="42">
        <v>8</v>
      </c>
      <c r="B81" s="40" t="s">
        <v>4206</v>
      </c>
      <c r="C81" s="40" t="s">
        <v>25</v>
      </c>
      <c r="D81" s="40" t="s">
        <v>866</v>
      </c>
      <c r="E81" s="40" t="s">
        <v>27</v>
      </c>
      <c r="F81" s="43" t="s">
        <v>4207</v>
      </c>
      <c r="G81" s="40" t="s">
        <v>29</v>
      </c>
      <c r="H81" s="200">
        <v>1000</v>
      </c>
      <c r="I81" s="41">
        <v>200</v>
      </c>
      <c r="J81" s="40" t="s">
        <v>30</v>
      </c>
      <c r="K81" s="40" t="s">
        <v>31</v>
      </c>
    </row>
    <row r="82" spans="1:13" ht="15.75" customHeight="1">
      <c r="A82" s="256">
        <v>8</v>
      </c>
      <c r="B82" s="48" t="s">
        <v>4208</v>
      </c>
      <c r="C82" s="48" t="s">
        <v>25</v>
      </c>
      <c r="D82" s="48" t="s">
        <v>63</v>
      </c>
      <c r="E82" s="48" t="s">
        <v>46</v>
      </c>
      <c r="F82" s="49" t="s">
        <v>4209</v>
      </c>
      <c r="G82" s="48" t="s">
        <v>29</v>
      </c>
      <c r="H82" s="430">
        <v>1500</v>
      </c>
      <c r="I82" s="51">
        <v>300</v>
      </c>
      <c r="J82" s="48" t="s">
        <v>30</v>
      </c>
      <c r="K82" s="48" t="s">
        <v>31</v>
      </c>
      <c r="M82" s="157">
        <v>300</v>
      </c>
    </row>
    <row r="83" spans="1:13" ht="15.75" customHeight="1">
      <c r="A83" s="52">
        <v>9</v>
      </c>
      <c r="B83" s="53" t="s">
        <v>2375</v>
      </c>
      <c r="C83" s="53" t="s">
        <v>25</v>
      </c>
      <c r="D83" s="53" t="s">
        <v>99</v>
      </c>
      <c r="E83" s="53" t="s">
        <v>42</v>
      </c>
      <c r="F83" s="60" t="s">
        <v>2376</v>
      </c>
      <c r="G83" s="53" t="s">
        <v>29</v>
      </c>
      <c r="H83" s="437">
        <v>2200</v>
      </c>
      <c r="I83" s="55">
        <v>440</v>
      </c>
      <c r="J83" s="53" t="s">
        <v>30</v>
      </c>
      <c r="K83" s="53" t="s">
        <v>31</v>
      </c>
      <c r="M83" s="157">
        <v>400</v>
      </c>
    </row>
    <row r="84" spans="1:13" ht="15.75" customHeight="1">
      <c r="A84" s="42">
        <v>9</v>
      </c>
      <c r="B84" s="40" t="s">
        <v>4210</v>
      </c>
      <c r="C84" s="40" t="s">
        <v>25</v>
      </c>
      <c r="D84" s="40" t="s">
        <v>176</v>
      </c>
      <c r="E84" s="40" t="s">
        <v>27</v>
      </c>
      <c r="F84" s="43" t="s">
        <v>4211</v>
      </c>
      <c r="G84" s="40" t="s">
        <v>29</v>
      </c>
      <c r="H84" s="200">
        <v>1000</v>
      </c>
      <c r="I84" s="41">
        <v>200</v>
      </c>
      <c r="J84" s="40" t="s">
        <v>30</v>
      </c>
      <c r="K84" s="40" t="s">
        <v>31</v>
      </c>
      <c r="M84" s="157">
        <v>300</v>
      </c>
    </row>
    <row r="85" spans="1:13" ht="15.75" customHeight="1">
      <c r="A85" s="42">
        <v>9</v>
      </c>
      <c r="B85" s="40" t="s">
        <v>4212</v>
      </c>
      <c r="C85" s="40" t="s">
        <v>59</v>
      </c>
      <c r="D85" s="40" t="s">
        <v>1371</v>
      </c>
      <c r="E85" s="40" t="s">
        <v>96</v>
      </c>
      <c r="F85" s="43" t="s">
        <v>4213</v>
      </c>
      <c r="G85" s="40" t="s">
        <v>29</v>
      </c>
      <c r="H85" s="200">
        <v>1000</v>
      </c>
      <c r="I85" s="41">
        <v>200</v>
      </c>
      <c r="J85" s="40" t="s">
        <v>30</v>
      </c>
      <c r="K85" s="40" t="s">
        <v>31</v>
      </c>
      <c r="M85" s="157">
        <v>400</v>
      </c>
    </row>
    <row r="86" spans="1:13" ht="15.75" customHeight="1">
      <c r="A86" s="42">
        <v>9</v>
      </c>
      <c r="B86" s="40" t="s">
        <v>4214</v>
      </c>
      <c r="C86" s="40" t="s">
        <v>25</v>
      </c>
      <c r="D86" s="40" t="s">
        <v>548</v>
      </c>
      <c r="E86" s="40" t="s">
        <v>42</v>
      </c>
      <c r="F86" s="43" t="s">
        <v>4215</v>
      </c>
      <c r="G86" s="40" t="s">
        <v>29</v>
      </c>
      <c r="H86" s="200">
        <v>1000</v>
      </c>
      <c r="I86" s="41">
        <v>200</v>
      </c>
      <c r="J86" s="40" t="s">
        <v>30</v>
      </c>
      <c r="K86" s="40" t="s">
        <v>31</v>
      </c>
      <c r="M86" s="157">
        <v>200</v>
      </c>
    </row>
    <row r="87" spans="1:13" ht="15.75" customHeight="1">
      <c r="A87" s="42">
        <v>9</v>
      </c>
      <c r="B87" s="40" t="s">
        <v>4216</v>
      </c>
      <c r="C87" s="40" t="s">
        <v>59</v>
      </c>
      <c r="D87" s="40" t="s">
        <v>700</v>
      </c>
      <c r="E87" s="40" t="s">
        <v>46</v>
      </c>
      <c r="F87" s="43" t="s">
        <v>1168</v>
      </c>
      <c r="G87" s="40" t="s">
        <v>29</v>
      </c>
      <c r="H87" s="200">
        <v>500</v>
      </c>
      <c r="I87" s="41" t="s">
        <v>101</v>
      </c>
      <c r="J87" s="40" t="s">
        <v>30</v>
      </c>
      <c r="K87" s="40" t="s">
        <v>31</v>
      </c>
    </row>
    <row r="88" spans="1:13" ht="15.75" customHeight="1">
      <c r="A88" s="42">
        <v>9</v>
      </c>
      <c r="B88" s="40" t="s">
        <v>4217</v>
      </c>
      <c r="C88" s="40" t="s">
        <v>59</v>
      </c>
      <c r="D88" s="40" t="s">
        <v>700</v>
      </c>
      <c r="E88" s="40" t="s">
        <v>46</v>
      </c>
      <c r="F88" s="40"/>
      <c r="G88" s="40" t="s">
        <v>29</v>
      </c>
      <c r="H88" s="200">
        <v>500</v>
      </c>
      <c r="I88" s="41">
        <v>100</v>
      </c>
      <c r="J88" s="40" t="s">
        <v>30</v>
      </c>
      <c r="K88" s="40" t="s">
        <v>31</v>
      </c>
    </row>
    <row r="89" spans="1:13" ht="15.75" customHeight="1">
      <c r="A89" s="42">
        <v>9</v>
      </c>
      <c r="B89" s="40" t="s">
        <v>4218</v>
      </c>
      <c r="C89" s="40" t="s">
        <v>25</v>
      </c>
      <c r="D89" s="40" t="s">
        <v>669</v>
      </c>
      <c r="E89" s="40" t="s">
        <v>42</v>
      </c>
      <c r="F89" s="43" t="s">
        <v>1464</v>
      </c>
      <c r="G89" s="40" t="s">
        <v>29</v>
      </c>
      <c r="H89" s="200">
        <v>3000</v>
      </c>
      <c r="I89" s="41">
        <v>600</v>
      </c>
      <c r="J89" s="40" t="s">
        <v>30</v>
      </c>
      <c r="K89" s="40" t="s">
        <v>31</v>
      </c>
    </row>
    <row r="90" spans="1:13" ht="15.75" customHeight="1">
      <c r="A90" s="42">
        <v>9</v>
      </c>
      <c r="B90" s="40" t="s">
        <v>4219</v>
      </c>
      <c r="C90" s="40" t="s">
        <v>25</v>
      </c>
      <c r="D90" s="40" t="s">
        <v>4220</v>
      </c>
      <c r="E90" s="40" t="s">
        <v>111</v>
      </c>
      <c r="F90" s="40"/>
      <c r="G90" s="40" t="s">
        <v>29</v>
      </c>
      <c r="H90" s="200">
        <v>20000</v>
      </c>
      <c r="I90" s="41">
        <v>4000</v>
      </c>
      <c r="J90" s="40" t="s">
        <v>30</v>
      </c>
      <c r="K90" s="40" t="s">
        <v>31</v>
      </c>
      <c r="M90" s="157">
        <v>6000</v>
      </c>
    </row>
    <row r="91" spans="1:13" ht="15.75" customHeight="1">
      <c r="A91" s="42">
        <v>9</v>
      </c>
      <c r="B91" s="40" t="s">
        <v>3268</v>
      </c>
      <c r="C91" s="40" t="s">
        <v>25</v>
      </c>
      <c r="D91" s="40" t="s">
        <v>2471</v>
      </c>
      <c r="E91" s="40" t="s">
        <v>130</v>
      </c>
      <c r="F91" s="43" t="s">
        <v>2472</v>
      </c>
      <c r="G91" s="40" t="s">
        <v>29</v>
      </c>
      <c r="H91" s="200">
        <v>10000</v>
      </c>
      <c r="I91" s="41">
        <v>2000</v>
      </c>
      <c r="J91" s="40" t="s">
        <v>30</v>
      </c>
      <c r="K91" s="40" t="s">
        <v>31</v>
      </c>
    </row>
    <row r="92" spans="1:13" ht="15.75" customHeight="1">
      <c r="A92" s="42">
        <v>9</v>
      </c>
      <c r="B92" s="40" t="s">
        <v>4221</v>
      </c>
      <c r="C92" s="40" t="s">
        <v>25</v>
      </c>
      <c r="D92" s="40" t="s">
        <v>1143</v>
      </c>
      <c r="E92" s="40" t="s">
        <v>258</v>
      </c>
      <c r="F92" s="43" t="s">
        <v>4222</v>
      </c>
      <c r="G92" s="40" t="s">
        <v>29</v>
      </c>
      <c r="H92" s="200">
        <v>2000</v>
      </c>
      <c r="I92" s="41">
        <v>400</v>
      </c>
      <c r="J92" s="40" t="s">
        <v>30</v>
      </c>
      <c r="K92" s="40" t="s">
        <v>31</v>
      </c>
    </row>
    <row r="93" spans="1:13" ht="15.75" customHeight="1">
      <c r="A93" s="42">
        <v>9</v>
      </c>
      <c r="B93" s="40" t="s">
        <v>4223</v>
      </c>
      <c r="C93" s="40" t="s">
        <v>25</v>
      </c>
      <c r="D93" s="40" t="s">
        <v>4224</v>
      </c>
      <c r="E93" s="40" t="s">
        <v>42</v>
      </c>
      <c r="F93" s="43" t="s">
        <v>4225</v>
      </c>
      <c r="G93" s="40" t="s">
        <v>29</v>
      </c>
      <c r="H93" s="200">
        <v>1000</v>
      </c>
      <c r="I93" s="41">
        <v>200</v>
      </c>
      <c r="J93" s="40" t="s">
        <v>30</v>
      </c>
      <c r="K93" s="40" t="s">
        <v>31</v>
      </c>
    </row>
    <row r="94" spans="1:13" ht="15.75" customHeight="1">
      <c r="A94" s="42">
        <v>9</v>
      </c>
      <c r="B94" s="40" t="s">
        <v>4226</v>
      </c>
      <c r="C94" s="40" t="s">
        <v>25</v>
      </c>
      <c r="D94" s="40" t="s">
        <v>1190</v>
      </c>
      <c r="E94" s="40" t="s">
        <v>42</v>
      </c>
      <c r="F94" s="43" t="s">
        <v>4227</v>
      </c>
      <c r="G94" s="40" t="s">
        <v>29</v>
      </c>
      <c r="H94" s="200">
        <v>1000</v>
      </c>
      <c r="I94" s="41">
        <v>200</v>
      </c>
      <c r="J94" s="40" t="s">
        <v>30</v>
      </c>
      <c r="K94" s="40" t="s">
        <v>31</v>
      </c>
    </row>
    <row r="95" spans="1:13" ht="15.75" customHeight="1">
      <c r="A95" s="42">
        <v>9</v>
      </c>
      <c r="B95" s="40" t="s">
        <v>4228</v>
      </c>
      <c r="C95" s="40" t="s">
        <v>25</v>
      </c>
      <c r="D95" s="40" t="s">
        <v>55</v>
      </c>
      <c r="E95" s="40" t="s">
        <v>56</v>
      </c>
      <c r="F95" s="43" t="s">
        <v>4229</v>
      </c>
      <c r="G95" s="40" t="s">
        <v>29</v>
      </c>
      <c r="H95" s="200">
        <v>1000</v>
      </c>
      <c r="I95" s="41">
        <v>200</v>
      </c>
      <c r="J95" s="40" t="s">
        <v>30</v>
      </c>
      <c r="K95" s="40" t="s">
        <v>31</v>
      </c>
      <c r="M95" s="157">
        <v>624</v>
      </c>
    </row>
    <row r="96" spans="1:13" ht="15.75" customHeight="1">
      <c r="A96" s="42">
        <v>9</v>
      </c>
      <c r="B96" s="40" t="s">
        <v>4230</v>
      </c>
      <c r="C96" s="40" t="s">
        <v>25</v>
      </c>
      <c r="D96" s="40" t="s">
        <v>1926</v>
      </c>
      <c r="E96" s="40" t="s">
        <v>1927</v>
      </c>
      <c r="F96" s="43" t="s">
        <v>4231</v>
      </c>
      <c r="G96" s="40" t="s">
        <v>29</v>
      </c>
      <c r="H96" s="200">
        <v>500</v>
      </c>
      <c r="I96" s="41">
        <v>100</v>
      </c>
      <c r="J96" s="40" t="s">
        <v>30</v>
      </c>
      <c r="K96" s="40" t="s">
        <v>31</v>
      </c>
    </row>
    <row r="97" spans="1:16" ht="15.75" customHeight="1">
      <c r="A97" s="42">
        <v>9</v>
      </c>
      <c r="B97" s="40" t="s">
        <v>4232</v>
      </c>
      <c r="C97" s="40" t="s">
        <v>25</v>
      </c>
      <c r="D97" s="40" t="s">
        <v>548</v>
      </c>
      <c r="E97" s="40" t="s">
        <v>42</v>
      </c>
      <c r="F97" s="40"/>
      <c r="G97" s="40" t="s">
        <v>29</v>
      </c>
      <c r="H97" s="200">
        <v>250</v>
      </c>
      <c r="I97" s="41">
        <v>50</v>
      </c>
      <c r="J97" s="40" t="s">
        <v>30</v>
      </c>
      <c r="K97" s="40" t="s">
        <v>31</v>
      </c>
    </row>
    <row r="98" spans="1:16" ht="15.75" customHeight="1">
      <c r="A98" s="42">
        <v>9</v>
      </c>
      <c r="B98" s="40" t="s">
        <v>4233</v>
      </c>
      <c r="C98" s="40" t="s">
        <v>25</v>
      </c>
      <c r="D98" s="40" t="s">
        <v>192</v>
      </c>
      <c r="E98" s="40" t="s">
        <v>78</v>
      </c>
      <c r="F98" s="43" t="s">
        <v>4234</v>
      </c>
      <c r="G98" s="40" t="s">
        <v>29</v>
      </c>
      <c r="H98" s="200">
        <v>100</v>
      </c>
      <c r="I98" s="41">
        <v>20</v>
      </c>
      <c r="J98" s="40" t="s">
        <v>30</v>
      </c>
      <c r="K98" s="40" t="s">
        <v>31</v>
      </c>
      <c r="M98" s="157">
        <v>21</v>
      </c>
    </row>
    <row r="99" spans="1:16" ht="15.75" customHeight="1">
      <c r="A99" s="42">
        <v>9</v>
      </c>
      <c r="B99" s="40" t="s">
        <v>3153</v>
      </c>
      <c r="C99" s="40" t="s">
        <v>25</v>
      </c>
      <c r="D99" s="40" t="s">
        <v>86</v>
      </c>
      <c r="E99" s="40" t="s">
        <v>42</v>
      </c>
      <c r="F99" s="40"/>
      <c r="G99" s="40" t="s">
        <v>29</v>
      </c>
      <c r="H99" s="200">
        <v>500</v>
      </c>
      <c r="I99" s="41" t="s">
        <v>101</v>
      </c>
      <c r="J99" s="40" t="s">
        <v>30</v>
      </c>
      <c r="K99" s="40" t="s">
        <v>31</v>
      </c>
    </row>
    <row r="100" spans="1:16" ht="15.75" customHeight="1">
      <c r="A100" s="256">
        <v>9</v>
      </c>
      <c r="B100" s="48" t="s">
        <v>4235</v>
      </c>
      <c r="C100" s="48" t="s">
        <v>25</v>
      </c>
      <c r="D100" s="48" t="s">
        <v>4236</v>
      </c>
      <c r="E100" s="48" t="s">
        <v>389</v>
      </c>
      <c r="F100" s="49" t="s">
        <v>4237</v>
      </c>
      <c r="G100" s="48" t="s">
        <v>29</v>
      </c>
      <c r="H100" s="430">
        <v>30</v>
      </c>
      <c r="I100" s="51" t="s">
        <v>101</v>
      </c>
      <c r="J100" s="48" t="s">
        <v>30</v>
      </c>
      <c r="K100" s="48" t="s">
        <v>31</v>
      </c>
    </row>
    <row r="101" spans="1:16" ht="15.75" customHeight="1">
      <c r="A101" s="52">
        <v>11</v>
      </c>
      <c r="B101" s="53" t="s">
        <v>327</v>
      </c>
      <c r="C101" s="53" t="s">
        <v>25</v>
      </c>
      <c r="D101" s="53" t="s">
        <v>328</v>
      </c>
      <c r="E101" s="53" t="s">
        <v>34</v>
      </c>
      <c r="F101" s="53"/>
      <c r="G101" s="53" t="s">
        <v>29</v>
      </c>
      <c r="H101" s="437">
        <v>21000</v>
      </c>
      <c r="I101" s="55">
        <v>4200</v>
      </c>
      <c r="J101" s="53" t="s">
        <v>30</v>
      </c>
      <c r="K101" s="53" t="s">
        <v>31</v>
      </c>
    </row>
    <row r="102" spans="1:16" ht="15.75" customHeight="1">
      <c r="A102" s="42">
        <v>11</v>
      </c>
      <c r="B102" s="40" t="s">
        <v>4238</v>
      </c>
      <c r="C102" s="40" t="s">
        <v>25</v>
      </c>
      <c r="D102" s="40" t="s">
        <v>318</v>
      </c>
      <c r="E102" s="40" t="s">
        <v>319</v>
      </c>
      <c r="F102" s="43" t="s">
        <v>4239</v>
      </c>
      <c r="G102" s="40" t="s">
        <v>29</v>
      </c>
      <c r="H102" s="200">
        <v>10000</v>
      </c>
      <c r="I102" s="41">
        <v>2000</v>
      </c>
      <c r="J102" s="40" t="s">
        <v>30</v>
      </c>
      <c r="K102" s="40" t="s">
        <v>31</v>
      </c>
    </row>
    <row r="103" spans="1:16" ht="15.75" customHeight="1">
      <c r="A103" s="42">
        <v>11</v>
      </c>
      <c r="B103" s="40" t="s">
        <v>4240</v>
      </c>
      <c r="C103" s="40" t="s">
        <v>25</v>
      </c>
      <c r="D103" s="40" t="s">
        <v>1069</v>
      </c>
      <c r="E103" s="40" t="s">
        <v>96</v>
      </c>
      <c r="F103" s="43" t="s">
        <v>4241</v>
      </c>
      <c r="G103" s="40" t="s">
        <v>29</v>
      </c>
      <c r="H103" s="200">
        <v>3000</v>
      </c>
      <c r="I103" s="41">
        <v>600</v>
      </c>
      <c r="J103" s="40" t="s">
        <v>30</v>
      </c>
      <c r="K103" s="40" t="s">
        <v>31</v>
      </c>
      <c r="M103" s="157">
        <v>400</v>
      </c>
    </row>
    <row r="104" spans="1:16" ht="15.75" customHeight="1">
      <c r="A104" s="42">
        <v>11</v>
      </c>
      <c r="B104" s="40" t="s">
        <v>4242</v>
      </c>
      <c r="C104" s="40" t="s">
        <v>59</v>
      </c>
      <c r="D104" s="40" t="s">
        <v>4243</v>
      </c>
      <c r="E104" s="40" t="s">
        <v>311</v>
      </c>
      <c r="F104" s="43" t="s">
        <v>4244</v>
      </c>
      <c r="G104" s="40" t="s">
        <v>29</v>
      </c>
      <c r="H104" s="200">
        <v>1000</v>
      </c>
      <c r="I104" s="41">
        <v>200</v>
      </c>
      <c r="J104" s="40" t="s">
        <v>30</v>
      </c>
      <c r="K104" s="40" t="s">
        <v>31</v>
      </c>
      <c r="M104" s="157">
        <v>36</v>
      </c>
    </row>
    <row r="105" spans="1:16" ht="15.75" customHeight="1">
      <c r="A105" s="42">
        <v>11</v>
      </c>
      <c r="B105" s="40" t="s">
        <v>4245</v>
      </c>
      <c r="C105" s="40" t="s">
        <v>59</v>
      </c>
      <c r="D105" s="40" t="s">
        <v>1511</v>
      </c>
      <c r="E105" s="40" t="s">
        <v>111</v>
      </c>
      <c r="F105" s="43" t="s">
        <v>138</v>
      </c>
      <c r="G105" s="40" t="s">
        <v>29</v>
      </c>
      <c r="H105" s="200">
        <v>1000</v>
      </c>
      <c r="I105" s="41">
        <v>200</v>
      </c>
      <c r="J105" s="40" t="s">
        <v>30</v>
      </c>
      <c r="K105" s="40" t="s">
        <v>31</v>
      </c>
      <c r="M105" s="157">
        <v>400</v>
      </c>
    </row>
    <row r="106" spans="1:16" ht="15.75" customHeight="1">
      <c r="A106" s="42">
        <v>11</v>
      </c>
      <c r="B106" s="40" t="s">
        <v>1984</v>
      </c>
      <c r="C106" s="40" t="s">
        <v>25</v>
      </c>
      <c r="D106" s="40" t="s">
        <v>4246</v>
      </c>
      <c r="E106" s="40" t="s">
        <v>78</v>
      </c>
      <c r="F106" s="43" t="s">
        <v>2882</v>
      </c>
      <c r="G106" s="40" t="s">
        <v>29</v>
      </c>
      <c r="H106" s="200">
        <v>7000</v>
      </c>
      <c r="I106" s="41">
        <v>1400</v>
      </c>
      <c r="J106" s="40" t="s">
        <v>30</v>
      </c>
      <c r="K106" s="40" t="s">
        <v>31</v>
      </c>
      <c r="P106" s="65"/>
    </row>
    <row r="107" spans="1:16" ht="15.75" customHeight="1">
      <c r="A107" s="42">
        <v>11</v>
      </c>
      <c r="B107" s="285" t="s">
        <v>4247</v>
      </c>
      <c r="C107" s="40" t="s">
        <v>25</v>
      </c>
      <c r="D107" s="40" t="s">
        <v>55</v>
      </c>
      <c r="E107" s="285" t="s">
        <v>2053</v>
      </c>
      <c r="F107" s="43" t="s">
        <v>4248</v>
      </c>
      <c r="G107" s="274" t="s">
        <v>29</v>
      </c>
      <c r="H107" s="491">
        <v>2500</v>
      </c>
      <c r="I107" s="276" t="s">
        <v>101</v>
      </c>
      <c r="J107" s="274" t="s">
        <v>30</v>
      </c>
      <c r="K107" s="274" t="s">
        <v>31</v>
      </c>
      <c r="L107" s="492" t="s">
        <v>161</v>
      </c>
      <c r="M107" s="1"/>
    </row>
    <row r="108" spans="1:16" ht="15.75" customHeight="1">
      <c r="A108" s="610">
        <v>11</v>
      </c>
      <c r="B108" s="611" t="s">
        <v>4249</v>
      </c>
      <c r="C108" s="40" t="s">
        <v>25</v>
      </c>
      <c r="D108" s="40" t="s">
        <v>2451</v>
      </c>
      <c r="E108" s="285" t="s">
        <v>42</v>
      </c>
      <c r="F108" s="43" t="s">
        <v>66</v>
      </c>
      <c r="G108" s="274" t="s">
        <v>29</v>
      </c>
      <c r="H108" s="491">
        <v>1500</v>
      </c>
      <c r="I108" s="276" t="s">
        <v>101</v>
      </c>
      <c r="J108" s="274" t="s">
        <v>30</v>
      </c>
      <c r="K108" s="274" t="s">
        <v>31</v>
      </c>
      <c r="L108" s="492" t="s">
        <v>161</v>
      </c>
      <c r="M108" s="1"/>
    </row>
    <row r="109" spans="1:16" ht="15.75" customHeight="1">
      <c r="A109" s="571"/>
      <c r="B109" s="571"/>
      <c r="C109" s="40"/>
      <c r="D109" s="40"/>
      <c r="E109" s="40"/>
      <c r="F109" s="40"/>
      <c r="G109" s="40" t="s">
        <v>29</v>
      </c>
      <c r="H109" s="200">
        <v>500</v>
      </c>
      <c r="I109" s="41">
        <v>100</v>
      </c>
      <c r="J109" s="40"/>
      <c r="K109" s="40"/>
      <c r="L109" s="282"/>
      <c r="M109" s="1"/>
    </row>
    <row r="110" spans="1:16" ht="15.75" customHeight="1">
      <c r="A110" s="42">
        <v>11</v>
      </c>
      <c r="B110" s="285" t="s">
        <v>184</v>
      </c>
      <c r="C110" s="40" t="s">
        <v>25</v>
      </c>
      <c r="D110" s="40" t="s">
        <v>185</v>
      </c>
      <c r="E110" s="285" t="s">
        <v>42</v>
      </c>
      <c r="F110" s="43" t="s">
        <v>4250</v>
      </c>
      <c r="G110" s="274" t="s">
        <v>29</v>
      </c>
      <c r="H110" s="491">
        <v>1500</v>
      </c>
      <c r="I110" s="276" t="s">
        <v>101</v>
      </c>
      <c r="J110" s="274" t="s">
        <v>30</v>
      </c>
      <c r="K110" s="274" t="s">
        <v>31</v>
      </c>
      <c r="L110" s="492" t="s">
        <v>161</v>
      </c>
      <c r="M110" s="1"/>
    </row>
    <row r="111" spans="1:16" ht="15.75" customHeight="1">
      <c r="A111" s="42">
        <v>11</v>
      </c>
      <c r="B111" s="285" t="s">
        <v>4251</v>
      </c>
      <c r="C111" s="40" t="s">
        <v>25</v>
      </c>
      <c r="D111" s="40" t="s">
        <v>68</v>
      </c>
      <c r="E111" s="285" t="s">
        <v>994</v>
      </c>
      <c r="F111" s="43" t="s">
        <v>4248</v>
      </c>
      <c r="G111" s="274" t="s">
        <v>29</v>
      </c>
      <c r="H111" s="491">
        <v>1100</v>
      </c>
      <c r="I111" s="276" t="s">
        <v>101</v>
      </c>
      <c r="J111" s="274" t="s">
        <v>30</v>
      </c>
      <c r="K111" s="274" t="s">
        <v>31</v>
      </c>
      <c r="L111" s="492" t="s">
        <v>161</v>
      </c>
      <c r="M111" s="1"/>
    </row>
    <row r="112" spans="1:16" ht="15.75" customHeight="1">
      <c r="A112" s="42">
        <v>11</v>
      </c>
      <c r="B112" s="40" t="s">
        <v>4252</v>
      </c>
      <c r="C112" s="40" t="s">
        <v>25</v>
      </c>
      <c r="D112" s="40" t="s">
        <v>4253</v>
      </c>
      <c r="E112" s="40" t="s">
        <v>1308</v>
      </c>
      <c r="F112" s="43" t="s">
        <v>4254</v>
      </c>
      <c r="G112" s="40" t="s">
        <v>29</v>
      </c>
      <c r="H112" s="200">
        <v>1100</v>
      </c>
      <c r="I112" s="41">
        <v>220</v>
      </c>
      <c r="J112" s="40" t="s">
        <v>30</v>
      </c>
      <c r="K112" s="40" t="s">
        <v>31</v>
      </c>
    </row>
    <row r="113" spans="1:13" ht="15.75" customHeight="1">
      <c r="A113" s="47">
        <v>15</v>
      </c>
      <c r="B113" s="48" t="s">
        <v>4255</v>
      </c>
      <c r="C113" s="48" t="s">
        <v>25</v>
      </c>
      <c r="D113" s="48" t="s">
        <v>1961</v>
      </c>
      <c r="E113" s="48" t="s">
        <v>34</v>
      </c>
      <c r="F113" s="49" t="s">
        <v>4256</v>
      </c>
      <c r="G113" s="48" t="s">
        <v>29</v>
      </c>
      <c r="H113" s="430">
        <v>50000</v>
      </c>
      <c r="I113" s="51">
        <v>10000</v>
      </c>
      <c r="J113" s="48" t="s">
        <v>30</v>
      </c>
      <c r="K113" s="48" t="s">
        <v>31</v>
      </c>
    </row>
    <row r="114" spans="1:13" ht="15.75" customHeight="1">
      <c r="A114" s="52">
        <v>16</v>
      </c>
      <c r="B114" s="53" t="s">
        <v>4257</v>
      </c>
      <c r="C114" s="53" t="s">
        <v>25</v>
      </c>
      <c r="D114" s="53" t="s">
        <v>4258</v>
      </c>
      <c r="E114" s="53" t="s">
        <v>333</v>
      </c>
      <c r="F114" s="60" t="s">
        <v>4259</v>
      </c>
      <c r="G114" s="53" t="s">
        <v>29</v>
      </c>
      <c r="H114" s="437">
        <v>200</v>
      </c>
      <c r="I114" s="55">
        <v>40</v>
      </c>
      <c r="J114" s="53" t="s">
        <v>30</v>
      </c>
      <c r="K114" s="53" t="s">
        <v>31</v>
      </c>
      <c r="M114" s="157">
        <v>16</v>
      </c>
    </row>
    <row r="115" spans="1:13" ht="15.75" customHeight="1">
      <c r="A115" s="42">
        <v>16</v>
      </c>
      <c r="B115" s="40" t="s">
        <v>1865</v>
      </c>
      <c r="C115" s="40" t="s">
        <v>25</v>
      </c>
      <c r="D115" s="40" t="s">
        <v>4260</v>
      </c>
      <c r="E115" s="40" t="s">
        <v>1197</v>
      </c>
      <c r="F115" s="43" t="s">
        <v>1867</v>
      </c>
      <c r="G115" s="40" t="s">
        <v>29</v>
      </c>
      <c r="H115" s="200">
        <v>1000</v>
      </c>
      <c r="I115" s="41">
        <v>200</v>
      </c>
      <c r="J115" s="40" t="s">
        <v>30</v>
      </c>
      <c r="K115" s="40" t="s">
        <v>31</v>
      </c>
    </row>
    <row r="116" spans="1:13" ht="15.75" customHeight="1">
      <c r="A116" s="42">
        <v>16</v>
      </c>
      <c r="B116" s="40" t="s">
        <v>4261</v>
      </c>
      <c r="C116" s="40" t="s">
        <v>25</v>
      </c>
      <c r="D116" s="40" t="s">
        <v>1371</v>
      </c>
      <c r="E116" s="40" t="s">
        <v>96</v>
      </c>
      <c r="F116" s="43" t="s">
        <v>4262</v>
      </c>
      <c r="G116" s="40" t="s">
        <v>29</v>
      </c>
      <c r="H116" s="200">
        <v>1000</v>
      </c>
      <c r="I116" s="41">
        <v>200</v>
      </c>
      <c r="J116" s="40" t="s">
        <v>30</v>
      </c>
      <c r="K116" s="40" t="s">
        <v>31</v>
      </c>
      <c r="M116" s="157">
        <v>200</v>
      </c>
    </row>
    <row r="117" spans="1:13" ht="15.75" customHeight="1">
      <c r="A117" s="42">
        <v>16</v>
      </c>
      <c r="B117" s="40" t="s">
        <v>4263</v>
      </c>
      <c r="C117" s="40" t="s">
        <v>25</v>
      </c>
      <c r="D117" s="40" t="s">
        <v>600</v>
      </c>
      <c r="E117" s="40" t="s">
        <v>60</v>
      </c>
      <c r="F117" s="43" t="s">
        <v>4264</v>
      </c>
      <c r="G117" s="40" t="s">
        <v>29</v>
      </c>
      <c r="H117" s="200">
        <v>800</v>
      </c>
      <c r="I117" s="41">
        <v>160</v>
      </c>
      <c r="J117" s="40" t="s">
        <v>30</v>
      </c>
      <c r="K117" s="40" t="s">
        <v>31</v>
      </c>
      <c r="M117" s="157">
        <v>200</v>
      </c>
    </row>
    <row r="118" spans="1:13" ht="15.75" customHeight="1">
      <c r="A118" s="42">
        <v>16</v>
      </c>
      <c r="B118" s="40" t="s">
        <v>4265</v>
      </c>
      <c r="C118" s="40" t="s">
        <v>25</v>
      </c>
      <c r="D118" s="40" t="s">
        <v>2090</v>
      </c>
      <c r="E118" s="40" t="s">
        <v>96</v>
      </c>
      <c r="F118" s="40"/>
      <c r="G118" s="40" t="s">
        <v>29</v>
      </c>
      <c r="H118" s="200">
        <v>500</v>
      </c>
      <c r="I118" s="41">
        <v>100</v>
      </c>
      <c r="J118" s="40" t="s">
        <v>30</v>
      </c>
      <c r="K118" s="40" t="s">
        <v>31</v>
      </c>
      <c r="M118" s="157">
        <v>300</v>
      </c>
    </row>
    <row r="119" spans="1:13" ht="15.75" customHeight="1">
      <c r="A119" s="42">
        <v>16</v>
      </c>
      <c r="B119" s="40" t="s">
        <v>4266</v>
      </c>
      <c r="C119" s="40" t="s">
        <v>25</v>
      </c>
      <c r="D119" s="40" t="s">
        <v>2090</v>
      </c>
      <c r="E119" s="40" t="s">
        <v>96</v>
      </c>
      <c r="F119" s="43" t="s">
        <v>4267</v>
      </c>
      <c r="G119" s="40" t="s">
        <v>29</v>
      </c>
      <c r="H119" s="200">
        <v>500</v>
      </c>
      <c r="I119" s="41">
        <v>100</v>
      </c>
      <c r="J119" s="40" t="s">
        <v>30</v>
      </c>
      <c r="K119" s="40" t="s">
        <v>31</v>
      </c>
      <c r="M119" s="157">
        <v>150</v>
      </c>
    </row>
    <row r="120" spans="1:13" ht="15.75" customHeight="1">
      <c r="A120" s="42">
        <v>16</v>
      </c>
      <c r="B120" s="40" t="s">
        <v>4268</v>
      </c>
      <c r="C120" s="40" t="s">
        <v>59</v>
      </c>
      <c r="D120" s="40" t="s">
        <v>4269</v>
      </c>
      <c r="E120" s="40" t="s">
        <v>1308</v>
      </c>
      <c r="F120" s="43" t="s">
        <v>4270</v>
      </c>
      <c r="G120" s="40" t="s">
        <v>29</v>
      </c>
      <c r="H120" s="200">
        <v>500</v>
      </c>
      <c r="I120" s="41">
        <v>100</v>
      </c>
      <c r="J120" s="40" t="s">
        <v>30</v>
      </c>
      <c r="K120" s="40" t="s">
        <v>31</v>
      </c>
    </row>
    <row r="121" spans="1:13" ht="15.75" customHeight="1">
      <c r="A121" s="42">
        <v>16</v>
      </c>
      <c r="B121" s="40" t="s">
        <v>4271</v>
      </c>
      <c r="C121" s="40" t="s">
        <v>25</v>
      </c>
      <c r="D121" s="40" t="s">
        <v>169</v>
      </c>
      <c r="E121" s="40" t="s">
        <v>78</v>
      </c>
      <c r="F121" s="40"/>
      <c r="G121" s="40" t="s">
        <v>29</v>
      </c>
      <c r="H121" s="200">
        <v>500</v>
      </c>
      <c r="I121" s="41">
        <v>100</v>
      </c>
      <c r="J121" s="40" t="s">
        <v>30</v>
      </c>
      <c r="K121" s="40" t="s">
        <v>31</v>
      </c>
    </row>
    <row r="122" spans="1:13" ht="15.75" customHeight="1">
      <c r="A122" s="42">
        <v>16</v>
      </c>
      <c r="B122" s="40" t="s">
        <v>4272</v>
      </c>
      <c r="C122" s="40" t="s">
        <v>25</v>
      </c>
      <c r="D122" s="40" t="s">
        <v>826</v>
      </c>
      <c r="E122" s="40" t="s">
        <v>96</v>
      </c>
      <c r="F122" s="43" t="s">
        <v>4273</v>
      </c>
      <c r="G122" s="40" t="s">
        <v>29</v>
      </c>
      <c r="H122" s="200">
        <v>500</v>
      </c>
      <c r="I122" s="41">
        <v>100</v>
      </c>
      <c r="J122" s="40" t="s">
        <v>30</v>
      </c>
      <c r="K122" s="40" t="s">
        <v>31</v>
      </c>
      <c r="M122" s="157">
        <v>300</v>
      </c>
    </row>
    <row r="123" spans="1:13" ht="15.75" customHeight="1">
      <c r="A123" s="42">
        <v>16</v>
      </c>
      <c r="B123" s="40" t="s">
        <v>4274</v>
      </c>
      <c r="C123" s="40" t="s">
        <v>25</v>
      </c>
      <c r="D123" s="40" t="s">
        <v>566</v>
      </c>
      <c r="E123" s="40" t="s">
        <v>96</v>
      </c>
      <c r="F123" s="43" t="s">
        <v>4275</v>
      </c>
      <c r="G123" s="40" t="s">
        <v>29</v>
      </c>
      <c r="H123" s="200">
        <v>200</v>
      </c>
      <c r="I123" s="41">
        <v>40</v>
      </c>
      <c r="J123" s="40" t="s">
        <v>30</v>
      </c>
      <c r="K123" s="40" t="s">
        <v>31</v>
      </c>
      <c r="M123" s="157">
        <v>40</v>
      </c>
    </row>
    <row r="124" spans="1:13" ht="15.75" customHeight="1">
      <c r="A124" s="42">
        <v>16</v>
      </c>
      <c r="B124" s="40" t="s">
        <v>4276</v>
      </c>
      <c r="C124" s="40" t="s">
        <v>25</v>
      </c>
      <c r="D124" s="40" t="s">
        <v>169</v>
      </c>
      <c r="E124" s="40" t="s">
        <v>78</v>
      </c>
      <c r="F124" s="43" t="s">
        <v>4277</v>
      </c>
      <c r="G124" s="40" t="s">
        <v>29</v>
      </c>
      <c r="H124" s="200">
        <v>500</v>
      </c>
      <c r="I124" s="41">
        <v>100</v>
      </c>
      <c r="J124" s="40" t="s">
        <v>30</v>
      </c>
      <c r="K124" s="40" t="s">
        <v>31</v>
      </c>
      <c r="M124" s="157">
        <v>150</v>
      </c>
    </row>
    <row r="125" spans="1:13" ht="15.75" customHeight="1">
      <c r="A125" s="42">
        <v>16</v>
      </c>
      <c r="B125" s="40" t="s">
        <v>4278</v>
      </c>
      <c r="C125" s="40" t="s">
        <v>25</v>
      </c>
      <c r="D125" s="40" t="s">
        <v>306</v>
      </c>
      <c r="E125" s="40" t="s">
        <v>96</v>
      </c>
      <c r="F125" s="43" t="s">
        <v>4279</v>
      </c>
      <c r="G125" s="40" t="s">
        <v>29</v>
      </c>
      <c r="H125" s="200">
        <v>500</v>
      </c>
      <c r="I125" s="41" t="s">
        <v>101</v>
      </c>
      <c r="J125" s="40" t="s">
        <v>30</v>
      </c>
      <c r="K125" s="40" t="s">
        <v>31</v>
      </c>
      <c r="M125" s="157">
        <v>224</v>
      </c>
    </row>
    <row r="126" spans="1:13" ht="15.75" customHeight="1">
      <c r="A126" s="42">
        <v>16</v>
      </c>
      <c r="B126" s="40" t="s">
        <v>4280</v>
      </c>
      <c r="C126" s="40" t="s">
        <v>25</v>
      </c>
      <c r="D126" s="40" t="s">
        <v>3600</v>
      </c>
      <c r="E126" s="40" t="s">
        <v>150</v>
      </c>
      <c r="F126" s="43" t="s">
        <v>4281</v>
      </c>
      <c r="G126" s="40" t="s">
        <v>29</v>
      </c>
      <c r="H126" s="200">
        <v>1500</v>
      </c>
      <c r="I126" s="41">
        <v>300</v>
      </c>
      <c r="J126" s="40" t="s">
        <v>30</v>
      </c>
      <c r="K126" s="40" t="s">
        <v>31</v>
      </c>
      <c r="M126" s="157">
        <v>300</v>
      </c>
    </row>
    <row r="127" spans="1:13" ht="15.75" customHeight="1">
      <c r="A127" s="42">
        <v>16</v>
      </c>
      <c r="B127" s="40" t="s">
        <v>4282</v>
      </c>
      <c r="C127" s="40" t="s">
        <v>25</v>
      </c>
      <c r="D127" s="40" t="s">
        <v>598</v>
      </c>
      <c r="E127" s="40" t="s">
        <v>27</v>
      </c>
      <c r="F127" s="43" t="s">
        <v>4283</v>
      </c>
      <c r="G127" s="40" t="s">
        <v>29</v>
      </c>
      <c r="H127" s="200">
        <v>1000</v>
      </c>
      <c r="I127" s="41">
        <v>200</v>
      </c>
      <c r="J127" s="40" t="s">
        <v>30</v>
      </c>
      <c r="K127" s="40" t="s">
        <v>31</v>
      </c>
    </row>
    <row r="128" spans="1:13" ht="15.75" customHeight="1">
      <c r="A128" s="42">
        <v>16</v>
      </c>
      <c r="B128" s="40" t="s">
        <v>4284</v>
      </c>
      <c r="C128" s="40" t="s">
        <v>25</v>
      </c>
      <c r="D128" s="40" t="s">
        <v>2672</v>
      </c>
      <c r="E128" s="40" t="s">
        <v>50</v>
      </c>
      <c r="F128" s="43" t="s">
        <v>4285</v>
      </c>
      <c r="G128" s="40" t="s">
        <v>29</v>
      </c>
      <c r="H128" s="200">
        <v>1000</v>
      </c>
      <c r="I128" s="41">
        <v>200</v>
      </c>
      <c r="J128" s="40" t="s">
        <v>30</v>
      </c>
      <c r="K128" s="40" t="s">
        <v>31</v>
      </c>
    </row>
    <row r="129" spans="1:13" ht="15.75" customHeight="1">
      <c r="A129" s="42">
        <v>16</v>
      </c>
      <c r="B129" s="40" t="s">
        <v>3901</v>
      </c>
      <c r="C129" s="40" t="s">
        <v>25</v>
      </c>
      <c r="D129" s="40" t="s">
        <v>3303</v>
      </c>
      <c r="E129" s="40" t="s">
        <v>1491</v>
      </c>
      <c r="F129" s="40"/>
      <c r="G129" s="40" t="s">
        <v>29</v>
      </c>
      <c r="H129" s="200">
        <v>1000</v>
      </c>
      <c r="I129" s="41">
        <v>200</v>
      </c>
      <c r="J129" s="40" t="s">
        <v>30</v>
      </c>
      <c r="K129" s="40" t="s">
        <v>31</v>
      </c>
      <c r="M129" s="157">
        <v>300</v>
      </c>
    </row>
    <row r="130" spans="1:13" ht="15.75" customHeight="1">
      <c r="A130" s="42">
        <v>16</v>
      </c>
      <c r="B130" s="40" t="s">
        <v>4286</v>
      </c>
      <c r="C130" s="40" t="s">
        <v>25</v>
      </c>
      <c r="D130" s="40" t="s">
        <v>3303</v>
      </c>
      <c r="E130" s="40" t="s">
        <v>1491</v>
      </c>
      <c r="F130" s="43" t="s">
        <v>4287</v>
      </c>
      <c r="G130" s="40" t="s">
        <v>29</v>
      </c>
      <c r="H130" s="200">
        <v>1000</v>
      </c>
      <c r="I130" s="41">
        <v>200</v>
      </c>
      <c r="J130" s="40" t="s">
        <v>30</v>
      </c>
      <c r="K130" s="40" t="s">
        <v>31</v>
      </c>
      <c r="M130" s="157">
        <v>300</v>
      </c>
    </row>
    <row r="131" spans="1:13" ht="15.75" customHeight="1">
      <c r="A131" s="42">
        <v>16</v>
      </c>
      <c r="B131" s="40" t="s">
        <v>4288</v>
      </c>
      <c r="C131" s="40" t="s">
        <v>59</v>
      </c>
      <c r="D131" s="40" t="s">
        <v>1190</v>
      </c>
      <c r="E131" s="40" t="s">
        <v>42</v>
      </c>
      <c r="F131" s="43" t="s">
        <v>4289</v>
      </c>
      <c r="G131" s="40" t="s">
        <v>29</v>
      </c>
      <c r="H131" s="200">
        <v>500</v>
      </c>
      <c r="I131" s="41">
        <v>100</v>
      </c>
      <c r="J131" s="40" t="s">
        <v>30</v>
      </c>
      <c r="K131" s="40" t="s">
        <v>31</v>
      </c>
    </row>
    <row r="132" spans="1:13" ht="15.75" customHeight="1">
      <c r="A132" s="42">
        <v>16</v>
      </c>
      <c r="B132" s="40" t="s">
        <v>4290</v>
      </c>
      <c r="C132" s="40" t="s">
        <v>25</v>
      </c>
      <c r="D132" s="40" t="s">
        <v>1165</v>
      </c>
      <c r="E132" s="40" t="s">
        <v>96</v>
      </c>
      <c r="F132" s="40"/>
      <c r="G132" s="40" t="s">
        <v>29</v>
      </c>
      <c r="H132" s="200">
        <v>500</v>
      </c>
      <c r="I132" s="41">
        <v>100</v>
      </c>
      <c r="J132" s="40" t="s">
        <v>30</v>
      </c>
      <c r="K132" s="40" t="s">
        <v>31</v>
      </c>
      <c r="M132" s="157">
        <v>320</v>
      </c>
    </row>
    <row r="133" spans="1:13" ht="15.75" customHeight="1">
      <c r="A133" s="42">
        <v>16</v>
      </c>
      <c r="B133" s="40" t="s">
        <v>4291</v>
      </c>
      <c r="C133" s="40" t="s">
        <v>25</v>
      </c>
      <c r="D133" s="40" t="s">
        <v>4292</v>
      </c>
      <c r="E133" s="40" t="s">
        <v>150</v>
      </c>
      <c r="F133" s="43" t="s">
        <v>4293</v>
      </c>
      <c r="G133" s="40" t="s">
        <v>29</v>
      </c>
      <c r="H133" s="200">
        <v>700</v>
      </c>
      <c r="I133" s="41">
        <v>140</v>
      </c>
      <c r="J133" s="40" t="s">
        <v>30</v>
      </c>
      <c r="K133" s="40" t="s">
        <v>31</v>
      </c>
    </row>
    <row r="134" spans="1:13" ht="15.75" customHeight="1">
      <c r="A134" s="438">
        <v>16</v>
      </c>
      <c r="B134" s="439" t="s">
        <v>4294</v>
      </c>
      <c r="C134" s="40" t="s">
        <v>25</v>
      </c>
      <c r="D134" s="40" t="s">
        <v>55</v>
      </c>
      <c r="E134" s="40" t="s">
        <v>42</v>
      </c>
      <c r="F134" s="43" t="s">
        <v>4295</v>
      </c>
      <c r="G134" s="40" t="s">
        <v>29</v>
      </c>
      <c r="H134" s="200">
        <v>800</v>
      </c>
      <c r="I134" s="41">
        <v>160</v>
      </c>
      <c r="J134" s="40" t="s">
        <v>30</v>
      </c>
      <c r="K134" s="40" t="s">
        <v>31</v>
      </c>
      <c r="M134" s="157">
        <v>200</v>
      </c>
    </row>
    <row r="135" spans="1:13" ht="15.75" customHeight="1">
      <c r="A135" s="438">
        <v>16</v>
      </c>
      <c r="B135" s="439" t="s">
        <v>1891</v>
      </c>
      <c r="C135" s="40" t="s">
        <v>25</v>
      </c>
      <c r="D135" s="40" t="s">
        <v>942</v>
      </c>
      <c r="E135" s="40" t="s">
        <v>130</v>
      </c>
      <c r="F135" s="43" t="s">
        <v>1892</v>
      </c>
      <c r="G135" s="40" t="s">
        <v>29</v>
      </c>
      <c r="H135" s="200">
        <v>7000</v>
      </c>
      <c r="I135" s="41">
        <v>1400</v>
      </c>
      <c r="J135" s="40" t="s">
        <v>30</v>
      </c>
      <c r="K135" s="40" t="s">
        <v>31</v>
      </c>
    </row>
    <row r="136" spans="1:13" ht="15.75" customHeight="1">
      <c r="A136" s="438">
        <v>16</v>
      </c>
      <c r="B136" s="439" t="s">
        <v>4296</v>
      </c>
      <c r="C136" s="40" t="s">
        <v>25</v>
      </c>
      <c r="D136" s="40" t="s">
        <v>1631</v>
      </c>
      <c r="E136" s="40" t="s">
        <v>216</v>
      </c>
      <c r="F136" s="43" t="s">
        <v>4297</v>
      </c>
      <c r="G136" s="40" t="s">
        <v>29</v>
      </c>
      <c r="H136" s="200">
        <v>100</v>
      </c>
      <c r="I136" s="41">
        <v>20</v>
      </c>
      <c r="J136" s="40" t="s">
        <v>30</v>
      </c>
      <c r="K136" s="40" t="s">
        <v>31</v>
      </c>
    </row>
    <row r="137" spans="1:13" ht="15.75" customHeight="1">
      <c r="A137" s="438">
        <v>16</v>
      </c>
      <c r="B137" s="439" t="s">
        <v>4298</v>
      </c>
      <c r="C137" s="40" t="s">
        <v>25</v>
      </c>
      <c r="D137" s="40" t="s">
        <v>3978</v>
      </c>
      <c r="E137" s="40" t="s">
        <v>333</v>
      </c>
      <c r="F137" s="43" t="s">
        <v>4299</v>
      </c>
      <c r="G137" s="40" t="s">
        <v>29</v>
      </c>
      <c r="H137" s="200">
        <v>100</v>
      </c>
      <c r="I137" s="41">
        <v>20</v>
      </c>
      <c r="J137" s="40" t="s">
        <v>30</v>
      </c>
      <c r="K137" s="40" t="s">
        <v>31</v>
      </c>
      <c r="M137" s="157">
        <v>20</v>
      </c>
    </row>
    <row r="138" spans="1:13" ht="15.75" customHeight="1">
      <c r="A138" s="438">
        <v>17</v>
      </c>
      <c r="B138" s="439" t="s">
        <v>4300</v>
      </c>
      <c r="C138" s="40" t="s">
        <v>25</v>
      </c>
      <c r="D138" s="40" t="s">
        <v>4301</v>
      </c>
      <c r="E138" s="40" t="s">
        <v>46</v>
      </c>
      <c r="F138" s="43" t="s">
        <v>4302</v>
      </c>
      <c r="G138" s="468" t="s">
        <v>29</v>
      </c>
      <c r="H138" s="200">
        <v>500</v>
      </c>
      <c r="I138" s="41">
        <v>100</v>
      </c>
      <c r="J138" s="40" t="s">
        <v>30</v>
      </c>
      <c r="K138" s="40" t="s">
        <v>31</v>
      </c>
      <c r="M138" s="157">
        <v>56</v>
      </c>
    </row>
    <row r="139" spans="1:13" ht="15.75" customHeight="1">
      <c r="A139" s="493">
        <v>17</v>
      </c>
      <c r="B139" s="435" t="s">
        <v>4303</v>
      </c>
      <c r="C139" s="48" t="s">
        <v>25</v>
      </c>
      <c r="D139" s="48" t="s">
        <v>27</v>
      </c>
      <c r="E139" s="48" t="s">
        <v>60</v>
      </c>
      <c r="F139" s="49" t="s">
        <v>4304</v>
      </c>
      <c r="G139" s="48" t="s">
        <v>29</v>
      </c>
      <c r="H139" s="430">
        <v>15000</v>
      </c>
      <c r="I139" s="51">
        <v>3000</v>
      </c>
      <c r="J139" s="48" t="s">
        <v>30</v>
      </c>
      <c r="K139" s="48" t="s">
        <v>31</v>
      </c>
      <c r="M139" s="157">
        <v>4000</v>
      </c>
    </row>
    <row r="140" spans="1:13" ht="15.75" customHeight="1">
      <c r="A140" s="436">
        <v>17</v>
      </c>
      <c r="B140" s="77" t="s">
        <v>4305</v>
      </c>
      <c r="C140" s="53" t="s">
        <v>25</v>
      </c>
      <c r="D140" s="53" t="s">
        <v>4306</v>
      </c>
      <c r="E140" s="53" t="s">
        <v>1927</v>
      </c>
      <c r="F140" s="60" t="s">
        <v>4307</v>
      </c>
      <c r="G140" s="53" t="s">
        <v>29</v>
      </c>
      <c r="H140" s="437">
        <v>250</v>
      </c>
      <c r="I140" s="55">
        <v>50</v>
      </c>
      <c r="J140" s="53" t="s">
        <v>30</v>
      </c>
      <c r="K140" s="53" t="s">
        <v>31</v>
      </c>
    </row>
    <row r="141" spans="1:13" ht="15.75" customHeight="1">
      <c r="A141" s="438">
        <v>17</v>
      </c>
      <c r="B141" s="439" t="s">
        <v>4308</v>
      </c>
      <c r="C141" s="40" t="s">
        <v>25</v>
      </c>
      <c r="D141" s="40" t="s">
        <v>2844</v>
      </c>
      <c r="E141" s="40" t="s">
        <v>27</v>
      </c>
      <c r="F141" s="43" t="s">
        <v>4309</v>
      </c>
      <c r="G141" s="40" t="s">
        <v>29</v>
      </c>
      <c r="H141" s="200">
        <v>3500</v>
      </c>
      <c r="I141" s="41">
        <v>700</v>
      </c>
      <c r="J141" s="40" t="s">
        <v>30</v>
      </c>
      <c r="K141" s="40" t="s">
        <v>31</v>
      </c>
      <c r="M141" s="157">
        <v>700</v>
      </c>
    </row>
    <row r="142" spans="1:13" ht="15.75" customHeight="1">
      <c r="A142" s="438">
        <v>17</v>
      </c>
      <c r="B142" s="439" t="s">
        <v>1671</v>
      </c>
      <c r="C142" s="40" t="s">
        <v>25</v>
      </c>
      <c r="D142" s="40" t="s">
        <v>55</v>
      </c>
      <c r="E142" s="40" t="s">
        <v>96</v>
      </c>
      <c r="F142" s="43" t="s">
        <v>1672</v>
      </c>
      <c r="G142" s="40" t="s">
        <v>29</v>
      </c>
      <c r="H142" s="200">
        <v>500</v>
      </c>
      <c r="I142" s="41">
        <v>100</v>
      </c>
      <c r="J142" s="40" t="s">
        <v>30</v>
      </c>
      <c r="K142" s="40" t="s">
        <v>31</v>
      </c>
    </row>
    <row r="143" spans="1:13" ht="15.75" customHeight="1">
      <c r="A143" s="438">
        <v>17</v>
      </c>
      <c r="B143" s="439" t="s">
        <v>4310</v>
      </c>
      <c r="C143" s="40" t="s">
        <v>25</v>
      </c>
      <c r="D143" s="40" t="s">
        <v>700</v>
      </c>
      <c r="E143" s="40" t="s">
        <v>46</v>
      </c>
      <c r="F143" s="40"/>
      <c r="G143" s="40" t="s">
        <v>29</v>
      </c>
      <c r="H143" s="200">
        <v>500</v>
      </c>
      <c r="I143" s="41">
        <v>100</v>
      </c>
      <c r="J143" s="40" t="s">
        <v>30</v>
      </c>
      <c r="K143" s="40" t="s">
        <v>31</v>
      </c>
    </row>
    <row r="144" spans="1:13" ht="15.75" customHeight="1">
      <c r="A144" s="438">
        <v>17</v>
      </c>
      <c r="B144" s="439" t="s">
        <v>4311</v>
      </c>
      <c r="C144" s="40" t="s">
        <v>59</v>
      </c>
      <c r="D144" s="40" t="s">
        <v>2482</v>
      </c>
      <c r="E144" s="40" t="s">
        <v>27</v>
      </c>
      <c r="F144" s="43" t="s">
        <v>4312</v>
      </c>
      <c r="G144" s="40" t="s">
        <v>29</v>
      </c>
      <c r="H144" s="200">
        <v>500</v>
      </c>
      <c r="I144" s="41" t="s">
        <v>101</v>
      </c>
      <c r="J144" s="40" t="s">
        <v>30</v>
      </c>
      <c r="K144" s="40" t="s">
        <v>31</v>
      </c>
    </row>
    <row r="145" spans="1:17" ht="15.75" customHeight="1">
      <c r="A145" s="438">
        <v>17</v>
      </c>
      <c r="B145" s="439" t="s">
        <v>4311</v>
      </c>
      <c r="C145" s="40" t="s">
        <v>59</v>
      </c>
      <c r="D145" s="40" t="s">
        <v>2482</v>
      </c>
      <c r="E145" s="40" t="s">
        <v>27</v>
      </c>
      <c r="F145" s="43" t="s">
        <v>4312</v>
      </c>
      <c r="G145" s="40" t="s">
        <v>29</v>
      </c>
      <c r="H145" s="200">
        <v>1000</v>
      </c>
      <c r="I145" s="41">
        <v>200</v>
      </c>
      <c r="J145" s="40" t="s">
        <v>30</v>
      </c>
      <c r="K145" s="40" t="s">
        <v>31</v>
      </c>
    </row>
    <row r="146" spans="1:17" ht="15.75" customHeight="1">
      <c r="A146" s="438">
        <v>17</v>
      </c>
      <c r="B146" s="439" t="s">
        <v>2183</v>
      </c>
      <c r="C146" s="40" t="s">
        <v>25</v>
      </c>
      <c r="D146" s="40" t="s">
        <v>1190</v>
      </c>
      <c r="E146" s="40" t="s">
        <v>42</v>
      </c>
      <c r="F146" s="43" t="s">
        <v>2184</v>
      </c>
      <c r="G146" s="40" t="s">
        <v>29</v>
      </c>
      <c r="H146" s="200">
        <v>10000</v>
      </c>
      <c r="I146" s="41">
        <v>2000</v>
      </c>
      <c r="J146" s="40" t="s">
        <v>30</v>
      </c>
      <c r="K146" s="40" t="s">
        <v>31</v>
      </c>
      <c r="M146" s="157">
        <v>2500</v>
      </c>
    </row>
    <row r="147" spans="1:17" ht="15.75" customHeight="1">
      <c r="A147" s="438">
        <v>17</v>
      </c>
      <c r="B147" s="439" t="s">
        <v>4313</v>
      </c>
      <c r="C147" s="40" t="s">
        <v>25</v>
      </c>
      <c r="D147" s="40" t="s">
        <v>2532</v>
      </c>
      <c r="E147" s="40" t="s">
        <v>50</v>
      </c>
      <c r="F147" s="43" t="s">
        <v>4314</v>
      </c>
      <c r="G147" s="40" t="s">
        <v>29</v>
      </c>
      <c r="H147" s="200">
        <v>500</v>
      </c>
      <c r="I147" s="41">
        <v>100</v>
      </c>
      <c r="J147" s="40" t="s">
        <v>30</v>
      </c>
      <c r="K147" s="40" t="s">
        <v>31</v>
      </c>
    </row>
    <row r="148" spans="1:17" ht="15.75" customHeight="1">
      <c r="A148" s="438">
        <v>17</v>
      </c>
      <c r="B148" s="439" t="s">
        <v>4315</v>
      </c>
      <c r="C148" s="40" t="s">
        <v>25</v>
      </c>
      <c r="D148" s="40" t="s">
        <v>627</v>
      </c>
      <c r="E148" s="40" t="s">
        <v>540</v>
      </c>
      <c r="F148" s="43" t="s">
        <v>4316</v>
      </c>
      <c r="G148" s="40" t="s">
        <v>29</v>
      </c>
      <c r="H148" s="200">
        <v>500</v>
      </c>
      <c r="I148" s="41">
        <v>100</v>
      </c>
      <c r="J148" s="40" t="s">
        <v>30</v>
      </c>
      <c r="K148" s="40" t="s">
        <v>31</v>
      </c>
      <c r="M148" s="157">
        <v>300</v>
      </c>
    </row>
    <row r="149" spans="1:17" ht="15.75" customHeight="1">
      <c r="A149" s="438">
        <v>17</v>
      </c>
      <c r="B149" s="439" t="s">
        <v>4317</v>
      </c>
      <c r="C149" s="40" t="s">
        <v>25</v>
      </c>
      <c r="D149" s="40" t="s">
        <v>2451</v>
      </c>
      <c r="E149" s="40" t="s">
        <v>533</v>
      </c>
      <c r="F149" s="43" t="s">
        <v>4318</v>
      </c>
      <c r="G149" s="40" t="s">
        <v>29</v>
      </c>
      <c r="H149" s="200">
        <v>500</v>
      </c>
      <c r="I149" s="41">
        <v>100</v>
      </c>
      <c r="J149" s="40" t="s">
        <v>30</v>
      </c>
      <c r="K149" s="40" t="s">
        <v>31</v>
      </c>
      <c r="M149" s="157">
        <v>200</v>
      </c>
    </row>
    <row r="150" spans="1:17" ht="15.75" customHeight="1">
      <c r="A150" s="438">
        <v>17</v>
      </c>
      <c r="B150" s="439" t="s">
        <v>4319</v>
      </c>
      <c r="C150" s="40" t="s">
        <v>59</v>
      </c>
      <c r="D150" s="40" t="s">
        <v>200</v>
      </c>
      <c r="E150" s="40" t="s">
        <v>60</v>
      </c>
      <c r="F150" s="43" t="s">
        <v>4320</v>
      </c>
      <c r="G150" s="40" t="s">
        <v>29</v>
      </c>
      <c r="H150" s="200">
        <v>2000</v>
      </c>
      <c r="I150" s="41">
        <v>400</v>
      </c>
      <c r="J150" s="40" t="s">
        <v>30</v>
      </c>
      <c r="K150" s="40" t="s">
        <v>31</v>
      </c>
      <c r="M150" s="157">
        <v>300</v>
      </c>
    </row>
    <row r="151" spans="1:17" ht="15.75" customHeight="1">
      <c r="A151" s="438">
        <v>17</v>
      </c>
      <c r="B151" s="439" t="s">
        <v>4321</v>
      </c>
      <c r="C151" s="40" t="s">
        <v>25</v>
      </c>
      <c r="D151" s="40" t="s">
        <v>63</v>
      </c>
      <c r="E151" s="40" t="s">
        <v>1461</v>
      </c>
      <c r="F151" s="43" t="s">
        <v>4322</v>
      </c>
      <c r="G151" s="40" t="s">
        <v>29</v>
      </c>
      <c r="H151" s="200">
        <v>2000</v>
      </c>
      <c r="I151" s="41">
        <v>400</v>
      </c>
      <c r="J151" s="40" t="s">
        <v>30</v>
      </c>
      <c r="K151" s="40" t="s">
        <v>31</v>
      </c>
      <c r="M151" s="157">
        <v>300</v>
      </c>
    </row>
    <row r="152" spans="1:17" ht="15.75" customHeight="1">
      <c r="A152" s="438">
        <v>17</v>
      </c>
      <c r="B152" s="439" t="s">
        <v>2945</v>
      </c>
      <c r="C152" s="40" t="s">
        <v>25</v>
      </c>
      <c r="D152" s="40" t="s">
        <v>86</v>
      </c>
      <c r="E152" s="40" t="s">
        <v>42</v>
      </c>
      <c r="F152" s="40"/>
      <c r="G152" s="40" t="s">
        <v>29</v>
      </c>
      <c r="H152" s="200">
        <v>2500</v>
      </c>
      <c r="I152" s="41" t="s">
        <v>101</v>
      </c>
      <c r="J152" s="40" t="s">
        <v>30</v>
      </c>
      <c r="K152" s="40" t="s">
        <v>31</v>
      </c>
    </row>
    <row r="153" spans="1:17" ht="15.75" customHeight="1">
      <c r="A153" s="438">
        <v>17</v>
      </c>
      <c r="B153" s="439" t="s">
        <v>4323</v>
      </c>
      <c r="C153" s="40" t="s">
        <v>25</v>
      </c>
      <c r="D153" s="40" t="s">
        <v>86</v>
      </c>
      <c r="E153" s="40" t="s">
        <v>42</v>
      </c>
      <c r="F153" s="40"/>
      <c r="G153" s="40" t="s">
        <v>29</v>
      </c>
      <c r="H153" s="200">
        <v>2500</v>
      </c>
      <c r="I153" s="41" t="s">
        <v>101</v>
      </c>
      <c r="J153" s="40" t="s">
        <v>30</v>
      </c>
      <c r="K153" s="40" t="s">
        <v>31</v>
      </c>
    </row>
    <row r="154" spans="1:17" ht="15.75" customHeight="1">
      <c r="A154" s="438">
        <v>17</v>
      </c>
      <c r="B154" s="439" t="s">
        <v>4324</v>
      </c>
      <c r="C154" s="40" t="s">
        <v>25</v>
      </c>
      <c r="D154" s="40" t="s">
        <v>86</v>
      </c>
      <c r="E154" s="40" t="s">
        <v>42</v>
      </c>
      <c r="F154" s="40"/>
      <c r="G154" s="40" t="s">
        <v>29</v>
      </c>
      <c r="H154" s="200">
        <v>2500</v>
      </c>
      <c r="I154" s="41" t="s">
        <v>101</v>
      </c>
      <c r="J154" s="40" t="s">
        <v>30</v>
      </c>
      <c r="K154" s="40" t="s">
        <v>31</v>
      </c>
      <c r="P154" s="65"/>
    </row>
    <row r="155" spans="1:17" ht="15.75" customHeight="1">
      <c r="A155" s="438">
        <v>17</v>
      </c>
      <c r="B155" s="439" t="s">
        <v>4325</v>
      </c>
      <c r="C155" s="40" t="s">
        <v>59</v>
      </c>
      <c r="D155" s="40" t="s">
        <v>63</v>
      </c>
      <c r="E155" s="40" t="s">
        <v>60</v>
      </c>
      <c r="F155" s="40"/>
      <c r="G155" s="40" t="s">
        <v>29</v>
      </c>
      <c r="H155" s="200">
        <v>1500</v>
      </c>
      <c r="I155" s="41" t="s">
        <v>101</v>
      </c>
      <c r="J155" s="40" t="s">
        <v>30</v>
      </c>
      <c r="K155" s="40" t="s">
        <v>31</v>
      </c>
      <c r="M155" s="157">
        <v>360</v>
      </c>
      <c r="P155" s="65"/>
    </row>
    <row r="156" spans="1:17" ht="15.75" customHeight="1">
      <c r="A156" s="438">
        <v>17</v>
      </c>
      <c r="B156" s="439" t="s">
        <v>4326</v>
      </c>
      <c r="C156" s="40" t="s">
        <v>25</v>
      </c>
      <c r="D156" s="40" t="s">
        <v>2090</v>
      </c>
      <c r="E156" s="40" t="s">
        <v>540</v>
      </c>
      <c r="F156" s="43" t="s">
        <v>4327</v>
      </c>
      <c r="G156" s="40" t="s">
        <v>29</v>
      </c>
      <c r="H156" s="200">
        <v>3850</v>
      </c>
      <c r="I156" s="41" t="s">
        <v>101</v>
      </c>
      <c r="J156" s="40" t="s">
        <v>30</v>
      </c>
      <c r="K156" s="40" t="s">
        <v>31</v>
      </c>
    </row>
    <row r="157" spans="1:17" ht="15.75" customHeight="1">
      <c r="A157" s="438">
        <v>17</v>
      </c>
      <c r="B157" s="439" t="s">
        <v>4328</v>
      </c>
      <c r="C157" s="40" t="s">
        <v>25</v>
      </c>
      <c r="D157" s="40" t="s">
        <v>4329</v>
      </c>
      <c r="E157" s="40" t="s">
        <v>1927</v>
      </c>
      <c r="F157" s="43" t="s">
        <v>4330</v>
      </c>
      <c r="G157" s="40" t="s">
        <v>29</v>
      </c>
      <c r="H157" s="200">
        <v>3000</v>
      </c>
      <c r="I157" s="41" t="s">
        <v>101</v>
      </c>
      <c r="J157" s="40" t="s">
        <v>30</v>
      </c>
      <c r="K157" s="40" t="s">
        <v>31</v>
      </c>
    </row>
    <row r="158" spans="1:17" ht="15.75" customHeight="1">
      <c r="A158" s="438">
        <v>17</v>
      </c>
      <c r="B158" s="439" t="s">
        <v>4331</v>
      </c>
      <c r="C158" s="40" t="s">
        <v>25</v>
      </c>
      <c r="D158" s="40" t="s">
        <v>63</v>
      </c>
      <c r="E158" s="40" t="s">
        <v>38</v>
      </c>
      <c r="F158" s="43" t="s">
        <v>4332</v>
      </c>
      <c r="G158" s="40" t="s">
        <v>29</v>
      </c>
      <c r="H158" s="200">
        <v>2200</v>
      </c>
      <c r="I158" s="41" t="s">
        <v>101</v>
      </c>
      <c r="J158" s="40" t="s">
        <v>30</v>
      </c>
      <c r="K158" s="40" t="s">
        <v>31</v>
      </c>
      <c r="M158" s="157">
        <v>550</v>
      </c>
    </row>
    <row r="159" spans="1:17" ht="15.75" customHeight="1">
      <c r="A159" s="438">
        <v>17</v>
      </c>
      <c r="B159" s="439" t="s">
        <v>4333</v>
      </c>
      <c r="C159" s="40" t="s">
        <v>25</v>
      </c>
      <c r="D159" s="40" t="s">
        <v>49</v>
      </c>
      <c r="E159" s="40" t="s">
        <v>50</v>
      </c>
      <c r="F159" s="43" t="s">
        <v>4334</v>
      </c>
      <c r="G159" s="40" t="s">
        <v>29</v>
      </c>
      <c r="H159" s="200">
        <v>500</v>
      </c>
      <c r="I159" s="41">
        <v>100</v>
      </c>
      <c r="J159" s="40" t="s">
        <v>30</v>
      </c>
      <c r="K159" s="40" t="s">
        <v>31</v>
      </c>
      <c r="M159" s="157">
        <v>150</v>
      </c>
    </row>
    <row r="160" spans="1:17" ht="15.75" customHeight="1">
      <c r="A160" s="438">
        <v>17</v>
      </c>
      <c r="B160" s="439" t="s">
        <v>4335</v>
      </c>
      <c r="C160" s="40" t="s">
        <v>59</v>
      </c>
      <c r="D160" s="40" t="s">
        <v>3509</v>
      </c>
      <c r="E160" s="40" t="s">
        <v>78</v>
      </c>
      <c r="F160" s="43" t="s">
        <v>4336</v>
      </c>
      <c r="G160" s="40" t="s">
        <v>29</v>
      </c>
      <c r="H160" s="200">
        <v>500</v>
      </c>
      <c r="I160" s="41">
        <v>100</v>
      </c>
      <c r="J160" s="40" t="s">
        <v>30</v>
      </c>
      <c r="K160" s="40" t="s">
        <v>31</v>
      </c>
      <c r="Q160" s="65">
        <f>SUM(H140:H143,H145:H151,H159:H164,H166:H167)</f>
        <v>24950</v>
      </c>
    </row>
    <row r="161" spans="1:17" ht="15.75" customHeight="1">
      <c r="A161" s="438">
        <v>17</v>
      </c>
      <c r="B161" s="439" t="s">
        <v>4337</v>
      </c>
      <c r="C161" s="40" t="s">
        <v>25</v>
      </c>
      <c r="D161" s="40" t="s">
        <v>141</v>
      </c>
      <c r="E161" s="40" t="s">
        <v>27</v>
      </c>
      <c r="F161" s="43" t="s">
        <v>4338</v>
      </c>
      <c r="G161" s="40" t="s">
        <v>29</v>
      </c>
      <c r="H161" s="200">
        <v>500</v>
      </c>
      <c r="I161" s="41">
        <v>100</v>
      </c>
      <c r="J161" s="40" t="s">
        <v>30</v>
      </c>
      <c r="K161" s="40" t="s">
        <v>31</v>
      </c>
    </row>
    <row r="162" spans="1:17" ht="15.75" customHeight="1">
      <c r="A162" s="438">
        <v>17</v>
      </c>
      <c r="B162" s="439" t="s">
        <v>2105</v>
      </c>
      <c r="C162" s="40" t="s">
        <v>25</v>
      </c>
      <c r="D162" s="40" t="s">
        <v>1349</v>
      </c>
      <c r="E162" s="40" t="s">
        <v>249</v>
      </c>
      <c r="F162" s="43" t="s">
        <v>2106</v>
      </c>
      <c r="G162" s="40" t="s">
        <v>29</v>
      </c>
      <c r="H162" s="200">
        <v>500</v>
      </c>
      <c r="I162" s="41">
        <v>100</v>
      </c>
      <c r="J162" s="40" t="s">
        <v>30</v>
      </c>
      <c r="K162" s="40" t="s">
        <v>31</v>
      </c>
      <c r="M162" s="157">
        <v>200</v>
      </c>
    </row>
    <row r="163" spans="1:17" ht="15.75" customHeight="1">
      <c r="A163" s="438">
        <v>17</v>
      </c>
      <c r="B163" s="439" t="s">
        <v>65</v>
      </c>
      <c r="C163" s="40" t="s">
        <v>25</v>
      </c>
      <c r="D163" s="40" t="s">
        <v>2451</v>
      </c>
      <c r="E163" s="40" t="s">
        <v>42</v>
      </c>
      <c r="F163" s="43" t="s">
        <v>66</v>
      </c>
      <c r="G163" s="40" t="s">
        <v>29</v>
      </c>
      <c r="H163" s="200">
        <v>500</v>
      </c>
      <c r="I163" s="41">
        <v>100</v>
      </c>
      <c r="J163" s="40" t="s">
        <v>30</v>
      </c>
      <c r="K163" s="40" t="s">
        <v>31</v>
      </c>
    </row>
    <row r="164" spans="1:17" ht="15.75" customHeight="1">
      <c r="A164" s="438">
        <v>18</v>
      </c>
      <c r="B164" s="439" t="s">
        <v>4339</v>
      </c>
      <c r="C164" s="40" t="s">
        <v>25</v>
      </c>
      <c r="D164" s="40" t="s">
        <v>3127</v>
      </c>
      <c r="E164" s="40" t="s">
        <v>78</v>
      </c>
      <c r="F164" s="43" t="s">
        <v>4340</v>
      </c>
      <c r="G164" s="40" t="s">
        <v>29</v>
      </c>
      <c r="H164" s="200">
        <v>800</v>
      </c>
      <c r="I164" s="41">
        <v>160</v>
      </c>
      <c r="J164" s="40" t="s">
        <v>30</v>
      </c>
      <c r="K164" s="40" t="s">
        <v>31</v>
      </c>
      <c r="Q164" s="157">
        <v>6000</v>
      </c>
    </row>
    <row r="165" spans="1:17" ht="15.75" customHeight="1">
      <c r="A165" s="438">
        <v>18</v>
      </c>
      <c r="B165" s="439" t="s">
        <v>4341</v>
      </c>
      <c r="C165" s="40" t="s">
        <v>25</v>
      </c>
      <c r="D165" s="40" t="s">
        <v>103</v>
      </c>
      <c r="E165" s="40" t="s">
        <v>38</v>
      </c>
      <c r="F165" s="43" t="s">
        <v>4342</v>
      </c>
      <c r="G165" s="40" t="s">
        <v>543</v>
      </c>
      <c r="H165" s="200">
        <v>50</v>
      </c>
      <c r="I165" s="41">
        <v>150</v>
      </c>
      <c r="J165" s="40"/>
      <c r="K165" s="40" t="s">
        <v>31</v>
      </c>
      <c r="Q165" s="65">
        <f>H144+H152+H153+H154+H155+H156+H157+H158</f>
        <v>18550</v>
      </c>
    </row>
    <row r="166" spans="1:17" ht="15.75" customHeight="1">
      <c r="A166" s="438">
        <v>18</v>
      </c>
      <c r="B166" s="439" t="s">
        <v>4343</v>
      </c>
      <c r="C166" s="40" t="s">
        <v>59</v>
      </c>
      <c r="D166" s="40" t="s">
        <v>4344</v>
      </c>
      <c r="E166" s="40" t="s">
        <v>533</v>
      </c>
      <c r="F166" s="43" t="s">
        <v>4345</v>
      </c>
      <c r="G166" s="40" t="s">
        <v>29</v>
      </c>
      <c r="H166" s="200">
        <v>100</v>
      </c>
      <c r="I166" s="41">
        <v>20</v>
      </c>
      <c r="J166" s="40" t="s">
        <v>30</v>
      </c>
      <c r="K166" s="40" t="s">
        <v>31</v>
      </c>
      <c r="Q166" s="157">
        <f>SUM(Q164:Q165)</f>
        <v>24550</v>
      </c>
    </row>
    <row r="167" spans="1:17" ht="15.75" customHeight="1">
      <c r="A167" s="493">
        <v>18</v>
      </c>
      <c r="B167" s="435" t="s">
        <v>4346</v>
      </c>
      <c r="C167" s="48" t="s">
        <v>25</v>
      </c>
      <c r="D167" s="48" t="s">
        <v>1190</v>
      </c>
      <c r="E167" s="48" t="s">
        <v>42</v>
      </c>
      <c r="F167" s="49" t="s">
        <v>4347</v>
      </c>
      <c r="G167" s="48" t="s">
        <v>29</v>
      </c>
      <c r="H167" s="430">
        <v>300</v>
      </c>
      <c r="I167" s="51">
        <v>60</v>
      </c>
      <c r="J167" s="48" t="s">
        <v>30</v>
      </c>
      <c r="K167" s="48" t="s">
        <v>31</v>
      </c>
    </row>
    <row r="168" spans="1:17" ht="15.75" customHeight="1">
      <c r="A168" s="436">
        <v>18</v>
      </c>
      <c r="B168" s="77" t="s">
        <v>4348</v>
      </c>
      <c r="C168" s="53" t="s">
        <v>59</v>
      </c>
      <c r="D168" s="53" t="s">
        <v>68</v>
      </c>
      <c r="E168" s="53" t="s">
        <v>38</v>
      </c>
      <c r="F168" s="60" t="s">
        <v>4349</v>
      </c>
      <c r="G168" s="53" t="s">
        <v>29</v>
      </c>
      <c r="H168" s="437">
        <v>500</v>
      </c>
      <c r="I168" s="55">
        <v>100</v>
      </c>
      <c r="J168" s="53" t="s">
        <v>30</v>
      </c>
      <c r="K168" s="53" t="s">
        <v>31</v>
      </c>
      <c r="M168" s="157">
        <v>200</v>
      </c>
    </row>
    <row r="169" spans="1:17" ht="15.75" customHeight="1">
      <c r="A169" s="438">
        <v>18</v>
      </c>
      <c r="B169" s="439" t="s">
        <v>4350</v>
      </c>
      <c r="C169" s="40" t="s">
        <v>59</v>
      </c>
      <c r="D169" s="40" t="s">
        <v>1490</v>
      </c>
      <c r="E169" s="40" t="s">
        <v>38</v>
      </c>
      <c r="F169" s="40"/>
      <c r="G169" s="40" t="s">
        <v>29</v>
      </c>
      <c r="H169" s="200">
        <v>500</v>
      </c>
      <c r="I169" s="41">
        <v>100</v>
      </c>
      <c r="J169" s="40" t="s">
        <v>30</v>
      </c>
      <c r="K169" s="40" t="s">
        <v>31</v>
      </c>
      <c r="M169" s="157">
        <v>200</v>
      </c>
    </row>
    <row r="170" spans="1:17" ht="15.75" customHeight="1">
      <c r="A170" s="438">
        <v>18</v>
      </c>
      <c r="B170" s="439" t="s">
        <v>4351</v>
      </c>
      <c r="C170" s="40" t="s">
        <v>25</v>
      </c>
      <c r="D170" s="40" t="s">
        <v>89</v>
      </c>
      <c r="E170" s="40" t="s">
        <v>38</v>
      </c>
      <c r="F170" s="43" t="s">
        <v>4352</v>
      </c>
      <c r="G170" s="40" t="s">
        <v>29</v>
      </c>
      <c r="H170" s="200">
        <v>500</v>
      </c>
      <c r="I170" s="41">
        <v>100</v>
      </c>
      <c r="J170" s="40" t="s">
        <v>30</v>
      </c>
      <c r="K170" s="40" t="s">
        <v>31</v>
      </c>
      <c r="M170" s="157">
        <v>100</v>
      </c>
    </row>
    <row r="171" spans="1:17" ht="15.75" customHeight="1">
      <c r="A171" s="438">
        <v>18</v>
      </c>
      <c r="B171" s="439" t="s">
        <v>1792</v>
      </c>
      <c r="C171" s="40" t="s">
        <v>25</v>
      </c>
      <c r="D171" s="40" t="s">
        <v>1165</v>
      </c>
      <c r="E171" s="40" t="s">
        <v>96</v>
      </c>
      <c r="F171" s="43" t="s">
        <v>1793</v>
      </c>
      <c r="G171" s="40" t="s">
        <v>29</v>
      </c>
      <c r="H171" s="200">
        <v>500</v>
      </c>
      <c r="I171" s="41">
        <v>100</v>
      </c>
      <c r="J171" s="40" t="s">
        <v>30</v>
      </c>
      <c r="K171" s="40" t="s">
        <v>31</v>
      </c>
      <c r="M171" s="157">
        <v>25</v>
      </c>
    </row>
    <row r="172" spans="1:17" ht="15.75" customHeight="1">
      <c r="A172" s="438">
        <v>18</v>
      </c>
      <c r="B172" s="439" t="s">
        <v>1455</v>
      </c>
      <c r="C172" s="40" t="s">
        <v>25</v>
      </c>
      <c r="D172" s="40" t="s">
        <v>4353</v>
      </c>
      <c r="E172" s="40" t="s">
        <v>258</v>
      </c>
      <c r="F172" s="40"/>
      <c r="G172" s="40" t="s">
        <v>29</v>
      </c>
      <c r="H172" s="200">
        <v>500</v>
      </c>
      <c r="I172" s="41" t="s">
        <v>101</v>
      </c>
      <c r="J172" s="40" t="s">
        <v>30</v>
      </c>
      <c r="K172" s="40" t="s">
        <v>31</v>
      </c>
    </row>
    <row r="173" spans="1:17" ht="15.75" customHeight="1">
      <c r="A173" s="438">
        <v>18</v>
      </c>
      <c r="B173" s="439" t="s">
        <v>1455</v>
      </c>
      <c r="C173" s="40" t="s">
        <v>25</v>
      </c>
      <c r="D173" s="40" t="s">
        <v>4353</v>
      </c>
      <c r="E173" s="40" t="s">
        <v>258</v>
      </c>
      <c r="F173" s="40"/>
      <c r="G173" s="40" t="s">
        <v>29</v>
      </c>
      <c r="H173" s="200">
        <v>1500</v>
      </c>
      <c r="I173" s="41">
        <v>300</v>
      </c>
      <c r="J173" s="40" t="s">
        <v>30</v>
      </c>
      <c r="K173" s="40" t="s">
        <v>31</v>
      </c>
    </row>
    <row r="174" spans="1:17" ht="15.75" customHeight="1">
      <c r="A174" s="438">
        <v>18</v>
      </c>
      <c r="B174" s="439" t="s">
        <v>4354</v>
      </c>
      <c r="C174" s="40" t="s">
        <v>25</v>
      </c>
      <c r="D174" s="40" t="s">
        <v>92</v>
      </c>
      <c r="E174" s="40" t="s">
        <v>60</v>
      </c>
      <c r="F174" s="43" t="s">
        <v>4355</v>
      </c>
      <c r="G174" s="40" t="s">
        <v>29</v>
      </c>
      <c r="H174" s="200">
        <v>50</v>
      </c>
      <c r="I174" s="41">
        <v>10</v>
      </c>
      <c r="J174" s="40" t="s">
        <v>30</v>
      </c>
      <c r="K174" s="40" t="s">
        <v>31</v>
      </c>
    </row>
    <row r="175" spans="1:17" ht="15.75" customHeight="1">
      <c r="A175" s="438">
        <v>18</v>
      </c>
      <c r="B175" s="439" t="s">
        <v>4356</v>
      </c>
      <c r="C175" s="40" t="s">
        <v>25</v>
      </c>
      <c r="D175" s="40" t="s">
        <v>258</v>
      </c>
      <c r="E175" s="40" t="s">
        <v>96</v>
      </c>
      <c r="F175" s="43" t="s">
        <v>4357</v>
      </c>
      <c r="G175" s="40" t="s">
        <v>29</v>
      </c>
      <c r="H175" s="200">
        <v>1200</v>
      </c>
      <c r="I175" s="41" t="s">
        <v>101</v>
      </c>
      <c r="J175" s="40" t="s">
        <v>30</v>
      </c>
      <c r="K175" s="40" t="s">
        <v>31</v>
      </c>
    </row>
    <row r="176" spans="1:17" ht="15.75" customHeight="1">
      <c r="A176" s="438">
        <v>18</v>
      </c>
      <c r="B176" s="439" t="s">
        <v>4358</v>
      </c>
      <c r="C176" s="40" t="s">
        <v>25</v>
      </c>
      <c r="D176" s="40" t="s">
        <v>1456</v>
      </c>
      <c r="E176" s="40" t="s">
        <v>258</v>
      </c>
      <c r="F176" s="43" t="s">
        <v>4359</v>
      </c>
      <c r="G176" s="40" t="s">
        <v>29</v>
      </c>
      <c r="H176" s="200">
        <v>500</v>
      </c>
      <c r="I176" s="41" t="s">
        <v>101</v>
      </c>
      <c r="J176" s="40" t="s">
        <v>30</v>
      </c>
      <c r="K176" s="40" t="s">
        <v>31</v>
      </c>
    </row>
    <row r="177" spans="1:13" ht="15.75" customHeight="1">
      <c r="A177" s="493">
        <v>18</v>
      </c>
      <c r="B177" s="435" t="s">
        <v>4360</v>
      </c>
      <c r="C177" s="48" t="s">
        <v>25</v>
      </c>
      <c r="D177" s="48" t="s">
        <v>2090</v>
      </c>
      <c r="E177" s="48" t="s">
        <v>96</v>
      </c>
      <c r="F177" s="49" t="s">
        <v>4361</v>
      </c>
      <c r="G177" s="48" t="s">
        <v>29</v>
      </c>
      <c r="H177" s="430">
        <v>100</v>
      </c>
      <c r="I177" s="51" t="s">
        <v>101</v>
      </c>
      <c r="J177" s="48" t="s">
        <v>30</v>
      </c>
      <c r="K177" s="48" t="s">
        <v>31</v>
      </c>
    </row>
    <row r="178" spans="1:13" ht="15.75" customHeight="1">
      <c r="A178" s="436">
        <v>19</v>
      </c>
      <c r="B178" s="77" t="s">
        <v>4362</v>
      </c>
      <c r="C178" s="53" t="s">
        <v>25</v>
      </c>
      <c r="D178" s="53" t="s">
        <v>99</v>
      </c>
      <c r="E178" s="53" t="s">
        <v>42</v>
      </c>
      <c r="F178" s="60" t="s">
        <v>4363</v>
      </c>
      <c r="G178" s="53" t="s">
        <v>29</v>
      </c>
      <c r="H178" s="437">
        <v>5000</v>
      </c>
      <c r="I178" s="55">
        <v>1000</v>
      </c>
      <c r="J178" s="53" t="s">
        <v>30</v>
      </c>
      <c r="K178" s="53" t="s">
        <v>31</v>
      </c>
      <c r="M178" s="157">
        <v>900</v>
      </c>
    </row>
    <row r="179" spans="1:13" ht="15.75" customHeight="1">
      <c r="A179" s="438">
        <v>19</v>
      </c>
      <c r="B179" s="439" t="s">
        <v>4364</v>
      </c>
      <c r="C179" s="40" t="s">
        <v>25</v>
      </c>
      <c r="D179" s="40" t="s">
        <v>2223</v>
      </c>
      <c r="E179" s="40" t="s">
        <v>42</v>
      </c>
      <c r="F179" s="43" t="s">
        <v>4365</v>
      </c>
      <c r="G179" s="40" t="s">
        <v>29</v>
      </c>
      <c r="H179" s="200">
        <v>4000</v>
      </c>
      <c r="I179" s="41">
        <v>800</v>
      </c>
      <c r="J179" s="40" t="s">
        <v>30</v>
      </c>
      <c r="K179" s="40" t="s">
        <v>31</v>
      </c>
      <c r="M179" s="157">
        <v>1000</v>
      </c>
    </row>
    <row r="180" spans="1:13" ht="15.75" customHeight="1">
      <c r="A180" s="438">
        <v>19</v>
      </c>
      <c r="B180" s="439" t="s">
        <v>4366</v>
      </c>
      <c r="C180" s="40" t="s">
        <v>25</v>
      </c>
      <c r="D180" s="40" t="s">
        <v>1511</v>
      </c>
      <c r="E180" s="40" t="s">
        <v>111</v>
      </c>
      <c r="F180" s="43" t="s">
        <v>4367</v>
      </c>
      <c r="G180" s="40" t="s">
        <v>29</v>
      </c>
      <c r="H180" s="200">
        <v>3000</v>
      </c>
      <c r="I180" s="41">
        <v>600</v>
      </c>
      <c r="J180" s="40" t="s">
        <v>30</v>
      </c>
      <c r="K180" s="40" t="s">
        <v>31</v>
      </c>
      <c r="M180" s="157">
        <v>800</v>
      </c>
    </row>
    <row r="181" spans="1:13" ht="15.75" customHeight="1">
      <c r="A181" s="438">
        <v>19</v>
      </c>
      <c r="B181" s="439" t="s">
        <v>4368</v>
      </c>
      <c r="C181" s="40" t="s">
        <v>25</v>
      </c>
      <c r="D181" s="40" t="s">
        <v>176</v>
      </c>
      <c r="E181" s="40" t="s">
        <v>249</v>
      </c>
      <c r="F181" s="43" t="s">
        <v>4369</v>
      </c>
      <c r="G181" s="40" t="s">
        <v>29</v>
      </c>
      <c r="H181" s="200">
        <v>1500</v>
      </c>
      <c r="I181" s="41">
        <v>300</v>
      </c>
      <c r="J181" s="40" t="s">
        <v>30</v>
      </c>
      <c r="K181" s="40" t="s">
        <v>31</v>
      </c>
      <c r="M181" s="157">
        <v>300</v>
      </c>
    </row>
    <row r="182" spans="1:13" ht="15.75" customHeight="1">
      <c r="A182" s="438">
        <v>19</v>
      </c>
      <c r="B182" s="439" t="s">
        <v>4370</v>
      </c>
      <c r="C182" s="40" t="s">
        <v>25</v>
      </c>
      <c r="D182" s="40" t="s">
        <v>647</v>
      </c>
      <c r="E182" s="40" t="s">
        <v>96</v>
      </c>
      <c r="F182" s="43" t="s">
        <v>4371</v>
      </c>
      <c r="G182" s="40" t="s">
        <v>29</v>
      </c>
      <c r="H182" s="200">
        <v>1000</v>
      </c>
      <c r="I182" s="41">
        <v>200</v>
      </c>
      <c r="J182" s="40" t="s">
        <v>30</v>
      </c>
      <c r="K182" s="40" t="s">
        <v>31</v>
      </c>
    </row>
    <row r="183" spans="1:13" ht="15.75" customHeight="1">
      <c r="A183" s="438">
        <v>19</v>
      </c>
      <c r="B183" s="439" t="s">
        <v>1513</v>
      </c>
      <c r="C183" s="40" t="s">
        <v>25</v>
      </c>
      <c r="D183" s="40" t="s">
        <v>724</v>
      </c>
      <c r="E183" s="40" t="s">
        <v>540</v>
      </c>
      <c r="F183" s="43" t="s">
        <v>1514</v>
      </c>
      <c r="G183" s="40" t="s">
        <v>29</v>
      </c>
      <c r="H183" s="200">
        <v>1000</v>
      </c>
      <c r="I183" s="41">
        <v>200</v>
      </c>
      <c r="J183" s="40" t="s">
        <v>30</v>
      </c>
      <c r="K183" s="40" t="s">
        <v>31</v>
      </c>
      <c r="M183" s="157">
        <v>225</v>
      </c>
    </row>
    <row r="184" spans="1:13" ht="15.75" customHeight="1">
      <c r="A184" s="438">
        <v>19</v>
      </c>
      <c r="B184" s="439" t="s">
        <v>4372</v>
      </c>
      <c r="C184" s="40" t="s">
        <v>25</v>
      </c>
      <c r="D184" s="40" t="s">
        <v>724</v>
      </c>
      <c r="E184" s="40" t="s">
        <v>540</v>
      </c>
      <c r="F184" s="40"/>
      <c r="G184" s="40" t="s">
        <v>29</v>
      </c>
      <c r="H184" s="200">
        <v>1000</v>
      </c>
      <c r="I184" s="41">
        <v>200</v>
      </c>
      <c r="J184" s="40" t="s">
        <v>30</v>
      </c>
      <c r="K184" s="40" t="s">
        <v>31</v>
      </c>
      <c r="M184" s="157">
        <v>300</v>
      </c>
    </row>
    <row r="185" spans="1:13" ht="15.75" customHeight="1">
      <c r="A185" s="438">
        <v>19</v>
      </c>
      <c r="B185" s="439" t="s">
        <v>4373</v>
      </c>
      <c r="C185" s="40" t="s">
        <v>25</v>
      </c>
      <c r="D185" s="40" t="s">
        <v>1511</v>
      </c>
      <c r="E185" s="40" t="s">
        <v>34</v>
      </c>
      <c r="F185" s="43" t="s">
        <v>4374</v>
      </c>
      <c r="G185" s="40" t="s">
        <v>29</v>
      </c>
      <c r="H185" s="200">
        <v>1000</v>
      </c>
      <c r="I185" s="41">
        <v>200</v>
      </c>
      <c r="J185" s="40" t="s">
        <v>30</v>
      </c>
      <c r="K185" s="40" t="s">
        <v>31</v>
      </c>
      <c r="M185" s="157">
        <v>200</v>
      </c>
    </row>
    <row r="186" spans="1:13" ht="15.75" customHeight="1">
      <c r="A186" s="438">
        <v>19</v>
      </c>
      <c r="B186" s="439" t="s">
        <v>4375</v>
      </c>
      <c r="C186" s="40" t="s">
        <v>25</v>
      </c>
      <c r="D186" s="40" t="s">
        <v>845</v>
      </c>
      <c r="E186" s="40" t="s">
        <v>533</v>
      </c>
      <c r="F186" s="43" t="s">
        <v>4376</v>
      </c>
      <c r="G186" s="40" t="s">
        <v>29</v>
      </c>
      <c r="H186" s="200">
        <v>1000</v>
      </c>
      <c r="I186" s="41">
        <v>200</v>
      </c>
      <c r="J186" s="40" t="s">
        <v>30</v>
      </c>
      <c r="K186" s="40" t="s">
        <v>31</v>
      </c>
      <c r="M186" s="157">
        <v>200</v>
      </c>
    </row>
    <row r="187" spans="1:13" ht="15.75" customHeight="1">
      <c r="A187" s="438">
        <v>19</v>
      </c>
      <c r="B187" s="439" t="s">
        <v>4377</v>
      </c>
      <c r="C187" s="40" t="s">
        <v>25</v>
      </c>
      <c r="D187" s="40" t="s">
        <v>1505</v>
      </c>
      <c r="E187" s="40" t="s">
        <v>42</v>
      </c>
      <c r="F187" s="43" t="s">
        <v>4378</v>
      </c>
      <c r="G187" s="40" t="s">
        <v>29</v>
      </c>
      <c r="H187" s="200">
        <v>1000</v>
      </c>
      <c r="I187" s="41">
        <v>200</v>
      </c>
      <c r="J187" s="40" t="s">
        <v>30</v>
      </c>
      <c r="K187" s="40" t="s">
        <v>31</v>
      </c>
      <c r="M187" s="157">
        <v>200</v>
      </c>
    </row>
    <row r="188" spans="1:13" ht="15.75" customHeight="1">
      <c r="A188" s="438">
        <v>19</v>
      </c>
      <c r="B188" s="439" t="s">
        <v>2674</v>
      </c>
      <c r="C188" s="40" t="s">
        <v>25</v>
      </c>
      <c r="D188" s="40" t="s">
        <v>2233</v>
      </c>
      <c r="E188" s="40" t="s">
        <v>96</v>
      </c>
      <c r="F188" s="43" t="s">
        <v>2675</v>
      </c>
      <c r="G188" s="40" t="s">
        <v>29</v>
      </c>
      <c r="H188" s="200">
        <v>1000</v>
      </c>
      <c r="I188" s="41">
        <v>200</v>
      </c>
      <c r="J188" s="40" t="s">
        <v>30</v>
      </c>
      <c r="K188" s="40" t="s">
        <v>31</v>
      </c>
      <c r="M188" s="157">
        <v>300</v>
      </c>
    </row>
    <row r="189" spans="1:13" ht="15.75" customHeight="1">
      <c r="A189" s="438">
        <v>19</v>
      </c>
      <c r="B189" s="439" t="s">
        <v>4379</v>
      </c>
      <c r="C189" s="40" t="s">
        <v>25</v>
      </c>
      <c r="D189" s="40" t="s">
        <v>1371</v>
      </c>
      <c r="E189" s="40" t="s">
        <v>96</v>
      </c>
      <c r="F189" s="43" t="s">
        <v>4380</v>
      </c>
      <c r="G189" s="40" t="s">
        <v>29</v>
      </c>
      <c r="H189" s="200">
        <v>1000</v>
      </c>
      <c r="I189" s="41">
        <v>200</v>
      </c>
      <c r="J189" s="40" t="s">
        <v>30</v>
      </c>
      <c r="K189" s="40" t="s">
        <v>31</v>
      </c>
      <c r="M189" s="157">
        <v>200</v>
      </c>
    </row>
    <row r="190" spans="1:13" ht="15.75" customHeight="1">
      <c r="A190" s="493">
        <v>19</v>
      </c>
      <c r="B190" s="435" t="s">
        <v>4381</v>
      </c>
      <c r="C190" s="48" t="s">
        <v>25</v>
      </c>
      <c r="D190" s="48" t="s">
        <v>4382</v>
      </c>
      <c r="E190" s="48" t="s">
        <v>96</v>
      </c>
      <c r="F190" s="49" t="s">
        <v>4383</v>
      </c>
      <c r="G190" s="48" t="s">
        <v>29</v>
      </c>
      <c r="H190" s="430">
        <v>1000</v>
      </c>
      <c r="I190" s="51">
        <v>200</v>
      </c>
      <c r="J190" s="48" t="s">
        <v>30</v>
      </c>
      <c r="K190" s="48" t="s">
        <v>31</v>
      </c>
      <c r="M190" s="157">
        <v>300</v>
      </c>
    </row>
    <row r="191" spans="1:13" ht="15.75" customHeight="1">
      <c r="A191" s="436">
        <v>22</v>
      </c>
      <c r="B191" s="77" t="s">
        <v>4384</v>
      </c>
      <c r="C191" s="53" t="s">
        <v>25</v>
      </c>
      <c r="D191" s="53" t="s">
        <v>724</v>
      </c>
      <c r="E191" s="53" t="s">
        <v>540</v>
      </c>
      <c r="F191" s="60" t="s">
        <v>622</v>
      </c>
      <c r="G191" s="53" t="s">
        <v>29</v>
      </c>
      <c r="H191" s="437">
        <v>1000</v>
      </c>
      <c r="I191" s="55">
        <v>200</v>
      </c>
      <c r="J191" s="53" t="s">
        <v>30</v>
      </c>
      <c r="K191" s="53" t="s">
        <v>31</v>
      </c>
      <c r="M191" s="157">
        <v>200</v>
      </c>
    </row>
    <row r="192" spans="1:13" ht="15.75" customHeight="1">
      <c r="A192" s="438">
        <v>22</v>
      </c>
      <c r="B192" s="439" t="s">
        <v>726</v>
      </c>
      <c r="C192" s="40" t="s">
        <v>25</v>
      </c>
      <c r="D192" s="40" t="s">
        <v>724</v>
      </c>
      <c r="E192" s="40" t="s">
        <v>540</v>
      </c>
      <c r="F192" s="40"/>
      <c r="G192" s="40" t="s">
        <v>29</v>
      </c>
      <c r="H192" s="200">
        <v>1000</v>
      </c>
      <c r="I192" s="41">
        <v>200</v>
      </c>
      <c r="J192" s="40" t="s">
        <v>30</v>
      </c>
      <c r="K192" s="40" t="s">
        <v>31</v>
      </c>
      <c r="M192" s="157">
        <v>300</v>
      </c>
    </row>
    <row r="193" spans="1:13" ht="15.75" customHeight="1">
      <c r="A193" s="438">
        <v>22</v>
      </c>
      <c r="B193" s="439" t="s">
        <v>3935</v>
      </c>
      <c r="C193" s="40" t="s">
        <v>25</v>
      </c>
      <c r="D193" s="40" t="s">
        <v>532</v>
      </c>
      <c r="E193" s="40" t="s">
        <v>38</v>
      </c>
      <c r="F193" s="43" t="s">
        <v>4385</v>
      </c>
      <c r="G193" s="40" t="s">
        <v>29</v>
      </c>
      <c r="H193" s="200">
        <v>1000</v>
      </c>
      <c r="I193" s="41">
        <v>200</v>
      </c>
      <c r="J193" s="40" t="s">
        <v>30</v>
      </c>
      <c r="K193" s="40" t="s">
        <v>31</v>
      </c>
      <c r="M193" s="157">
        <v>400</v>
      </c>
    </row>
    <row r="194" spans="1:13" ht="15.75" customHeight="1">
      <c r="A194" s="438">
        <v>22</v>
      </c>
      <c r="B194" s="439" t="s">
        <v>4386</v>
      </c>
      <c r="C194" s="40" t="s">
        <v>25</v>
      </c>
      <c r="D194" s="40" t="s">
        <v>3903</v>
      </c>
      <c r="E194" s="40" t="s">
        <v>141</v>
      </c>
      <c r="F194" s="43" t="s">
        <v>4387</v>
      </c>
      <c r="G194" s="40" t="s">
        <v>29</v>
      </c>
      <c r="H194" s="200">
        <v>1000</v>
      </c>
      <c r="I194" s="41">
        <v>200</v>
      </c>
      <c r="J194" s="40" t="s">
        <v>30</v>
      </c>
      <c r="K194" s="40" t="s">
        <v>31</v>
      </c>
    </row>
    <row r="195" spans="1:13" ht="15.75" customHeight="1">
      <c r="A195" s="438">
        <v>22</v>
      </c>
      <c r="B195" s="439" t="s">
        <v>4388</v>
      </c>
      <c r="C195" s="40" t="s">
        <v>25</v>
      </c>
      <c r="D195" s="40" t="s">
        <v>63</v>
      </c>
      <c r="E195" s="40" t="s">
        <v>870</v>
      </c>
      <c r="F195" s="40"/>
      <c r="G195" s="40" t="s">
        <v>29</v>
      </c>
      <c r="H195" s="200">
        <v>1000</v>
      </c>
      <c r="I195" s="41">
        <v>200</v>
      </c>
      <c r="J195" s="40" t="s">
        <v>30</v>
      </c>
      <c r="K195" s="40" t="s">
        <v>31</v>
      </c>
      <c r="M195" s="157">
        <v>200</v>
      </c>
    </row>
    <row r="196" spans="1:13" ht="15.75" customHeight="1">
      <c r="A196" s="438">
        <v>22</v>
      </c>
      <c r="B196" s="439" t="s">
        <v>4389</v>
      </c>
      <c r="C196" s="40" t="s">
        <v>25</v>
      </c>
      <c r="D196" s="40" t="s">
        <v>1371</v>
      </c>
      <c r="E196" s="40" t="s">
        <v>96</v>
      </c>
      <c r="F196" s="43" t="s">
        <v>4390</v>
      </c>
      <c r="G196" s="40" t="s">
        <v>29</v>
      </c>
      <c r="H196" s="200">
        <v>1000</v>
      </c>
      <c r="I196" s="41">
        <v>200</v>
      </c>
      <c r="J196" s="40" t="s">
        <v>30</v>
      </c>
      <c r="K196" s="40" t="s">
        <v>31</v>
      </c>
    </row>
    <row r="197" spans="1:13" ht="15.75" customHeight="1">
      <c r="A197" s="438">
        <v>22</v>
      </c>
      <c r="B197" s="439" t="s">
        <v>65</v>
      </c>
      <c r="C197" s="40" t="s">
        <v>25</v>
      </c>
      <c r="D197" s="40" t="s">
        <v>2451</v>
      </c>
      <c r="E197" s="40" t="s">
        <v>42</v>
      </c>
      <c r="F197" s="43" t="s">
        <v>66</v>
      </c>
      <c r="G197" s="40" t="s">
        <v>29</v>
      </c>
      <c r="H197" s="200">
        <v>1000</v>
      </c>
      <c r="I197" s="41">
        <v>200</v>
      </c>
      <c r="J197" s="40" t="s">
        <v>30</v>
      </c>
      <c r="K197" s="40" t="s">
        <v>31</v>
      </c>
    </row>
    <row r="198" spans="1:13" ht="15.75" customHeight="1">
      <c r="A198" s="438">
        <v>22</v>
      </c>
      <c r="B198" s="439" t="s">
        <v>4391</v>
      </c>
      <c r="C198" s="40" t="s">
        <v>25</v>
      </c>
      <c r="D198" s="40" t="s">
        <v>263</v>
      </c>
      <c r="E198" s="40" t="s">
        <v>42</v>
      </c>
      <c r="F198" s="40"/>
      <c r="G198" s="40" t="s">
        <v>29</v>
      </c>
      <c r="H198" s="200">
        <v>1000</v>
      </c>
      <c r="I198" s="41">
        <v>200</v>
      </c>
      <c r="J198" s="40" t="s">
        <v>30</v>
      </c>
      <c r="K198" s="40" t="s">
        <v>31</v>
      </c>
      <c r="M198" s="157">
        <v>200</v>
      </c>
    </row>
    <row r="199" spans="1:13" ht="15.75" customHeight="1">
      <c r="A199" s="438">
        <v>22</v>
      </c>
      <c r="B199" s="439" t="s">
        <v>4392</v>
      </c>
      <c r="C199" s="40" t="s">
        <v>25</v>
      </c>
      <c r="D199" s="40" t="s">
        <v>263</v>
      </c>
      <c r="E199" s="40" t="s">
        <v>42</v>
      </c>
      <c r="F199" s="43" t="s">
        <v>4393</v>
      </c>
      <c r="G199" s="40" t="s">
        <v>29</v>
      </c>
      <c r="H199" s="200">
        <v>1000</v>
      </c>
      <c r="I199" s="41">
        <v>200</v>
      </c>
      <c r="J199" s="40" t="s">
        <v>30</v>
      </c>
      <c r="K199" s="40" t="s">
        <v>31</v>
      </c>
      <c r="M199" s="157">
        <v>200</v>
      </c>
    </row>
    <row r="200" spans="1:13" ht="15.75" customHeight="1">
      <c r="A200" s="438">
        <v>22</v>
      </c>
      <c r="B200" s="439" t="s">
        <v>4394</v>
      </c>
      <c r="C200" s="40" t="s">
        <v>25</v>
      </c>
      <c r="D200" s="40" t="s">
        <v>169</v>
      </c>
      <c r="E200" s="40" t="s">
        <v>78</v>
      </c>
      <c r="F200" s="43" t="s">
        <v>4395</v>
      </c>
      <c r="G200" s="40" t="s">
        <v>29</v>
      </c>
      <c r="H200" s="200">
        <v>1000</v>
      </c>
      <c r="I200" s="41">
        <v>200</v>
      </c>
      <c r="J200" s="40" t="s">
        <v>30</v>
      </c>
      <c r="K200" s="40" t="s">
        <v>31</v>
      </c>
      <c r="M200" s="157">
        <v>200</v>
      </c>
    </row>
    <row r="201" spans="1:13" ht="15.75" customHeight="1">
      <c r="A201" s="438">
        <v>22</v>
      </c>
      <c r="B201" s="439" t="s">
        <v>4396</v>
      </c>
      <c r="C201" s="40" t="s">
        <v>59</v>
      </c>
      <c r="D201" s="40" t="s">
        <v>3463</v>
      </c>
      <c r="E201" s="40" t="s">
        <v>216</v>
      </c>
      <c r="F201" s="43" t="s">
        <v>4397</v>
      </c>
      <c r="G201" s="40" t="s">
        <v>29</v>
      </c>
      <c r="H201" s="200">
        <v>3000</v>
      </c>
      <c r="I201" s="41" t="s">
        <v>101</v>
      </c>
      <c r="J201" s="40" t="s">
        <v>30</v>
      </c>
      <c r="K201" s="40" t="s">
        <v>31</v>
      </c>
    </row>
    <row r="202" spans="1:13" ht="15.75" customHeight="1">
      <c r="A202" s="438">
        <v>22</v>
      </c>
      <c r="B202" s="439" t="s">
        <v>1446</v>
      </c>
      <c r="C202" s="40" t="s">
        <v>25</v>
      </c>
      <c r="D202" s="40" t="s">
        <v>2246</v>
      </c>
      <c r="E202" s="40" t="s">
        <v>318</v>
      </c>
      <c r="F202" s="43" t="s">
        <v>1448</v>
      </c>
      <c r="G202" s="40" t="s">
        <v>29</v>
      </c>
      <c r="H202" s="200">
        <v>1000</v>
      </c>
      <c r="I202" s="41" t="s">
        <v>101</v>
      </c>
      <c r="J202" s="40" t="s">
        <v>30</v>
      </c>
      <c r="K202" s="40" t="s">
        <v>31</v>
      </c>
    </row>
    <row r="203" spans="1:13" ht="15.75" customHeight="1">
      <c r="A203" s="438">
        <v>22</v>
      </c>
      <c r="B203" s="439" t="s">
        <v>4398</v>
      </c>
      <c r="C203" s="40" t="s">
        <v>25</v>
      </c>
      <c r="D203" s="40" t="s">
        <v>4301</v>
      </c>
      <c r="E203" s="40" t="s">
        <v>46</v>
      </c>
      <c r="F203" s="40"/>
      <c r="G203" s="40" t="s">
        <v>29</v>
      </c>
      <c r="H203" s="200">
        <v>1000</v>
      </c>
      <c r="I203" s="41">
        <v>200</v>
      </c>
      <c r="J203" s="40" t="s">
        <v>30</v>
      </c>
      <c r="K203" s="40" t="s">
        <v>31</v>
      </c>
    </row>
    <row r="204" spans="1:13" ht="15.75" customHeight="1">
      <c r="A204" s="438">
        <v>22</v>
      </c>
      <c r="B204" s="439" t="s">
        <v>3735</v>
      </c>
      <c r="C204" s="40" t="s">
        <v>59</v>
      </c>
      <c r="D204" s="40" t="s">
        <v>792</v>
      </c>
      <c r="E204" s="40" t="s">
        <v>60</v>
      </c>
      <c r="F204" s="43" t="s">
        <v>4399</v>
      </c>
      <c r="G204" s="40" t="s">
        <v>29</v>
      </c>
      <c r="H204" s="200">
        <v>1000</v>
      </c>
      <c r="I204" s="41">
        <v>200</v>
      </c>
      <c r="J204" s="40" t="s">
        <v>30</v>
      </c>
      <c r="K204" s="40" t="s">
        <v>31</v>
      </c>
    </row>
    <row r="205" spans="1:13" ht="15.75" customHeight="1">
      <c r="A205" s="438">
        <v>22</v>
      </c>
      <c r="B205" s="439" t="s">
        <v>4400</v>
      </c>
      <c r="C205" s="40" t="s">
        <v>25</v>
      </c>
      <c r="D205" s="40" t="s">
        <v>27</v>
      </c>
      <c r="E205" s="40" t="s">
        <v>60</v>
      </c>
      <c r="F205" s="43" t="s">
        <v>4401</v>
      </c>
      <c r="G205" s="40" t="s">
        <v>29</v>
      </c>
      <c r="H205" s="200">
        <v>1000</v>
      </c>
      <c r="I205" s="41">
        <v>200</v>
      </c>
      <c r="J205" s="40" t="s">
        <v>30</v>
      </c>
      <c r="K205" s="40" t="s">
        <v>31</v>
      </c>
      <c r="M205" s="157">
        <v>300</v>
      </c>
    </row>
    <row r="206" spans="1:13" ht="15.75" customHeight="1">
      <c r="A206" s="438">
        <v>22</v>
      </c>
      <c r="B206" s="439" t="s">
        <v>4402</v>
      </c>
      <c r="C206" s="40" t="s">
        <v>25</v>
      </c>
      <c r="D206" s="40" t="s">
        <v>4403</v>
      </c>
      <c r="E206" s="40" t="s">
        <v>46</v>
      </c>
      <c r="F206" s="43" t="s">
        <v>4404</v>
      </c>
      <c r="G206" s="40" t="s">
        <v>29</v>
      </c>
      <c r="H206" s="200">
        <v>1000</v>
      </c>
      <c r="I206" s="41">
        <v>200</v>
      </c>
      <c r="J206" s="40" t="s">
        <v>30</v>
      </c>
      <c r="K206" s="40" t="s">
        <v>31</v>
      </c>
      <c r="M206" s="157">
        <v>600</v>
      </c>
    </row>
    <row r="207" spans="1:13" ht="15.75" customHeight="1">
      <c r="A207" s="438">
        <v>22</v>
      </c>
      <c r="B207" s="439" t="s">
        <v>4405</v>
      </c>
      <c r="C207" s="40" t="s">
        <v>25</v>
      </c>
      <c r="D207" s="40" t="s">
        <v>4406</v>
      </c>
      <c r="E207" s="40" t="s">
        <v>870</v>
      </c>
      <c r="F207" s="43" t="s">
        <v>4407</v>
      </c>
      <c r="G207" s="40" t="s">
        <v>29</v>
      </c>
      <c r="H207" s="200">
        <v>1000</v>
      </c>
      <c r="I207" s="41">
        <v>200</v>
      </c>
      <c r="J207" s="40" t="s">
        <v>30</v>
      </c>
      <c r="K207" s="40" t="s">
        <v>31</v>
      </c>
    </row>
    <row r="208" spans="1:13" ht="15.75" customHeight="1">
      <c r="A208" s="438">
        <v>22</v>
      </c>
      <c r="B208" s="439" t="s">
        <v>4408</v>
      </c>
      <c r="C208" s="40" t="s">
        <v>25</v>
      </c>
      <c r="D208" s="40" t="s">
        <v>4269</v>
      </c>
      <c r="E208" s="40" t="s">
        <v>1308</v>
      </c>
      <c r="F208" s="43" t="s">
        <v>4409</v>
      </c>
      <c r="G208" s="40" t="s">
        <v>29</v>
      </c>
      <c r="H208" s="200">
        <v>1000</v>
      </c>
      <c r="I208" s="41" t="s">
        <v>101</v>
      </c>
      <c r="J208" s="40" t="s">
        <v>30</v>
      </c>
      <c r="K208" s="40" t="s">
        <v>31</v>
      </c>
      <c r="M208" s="157">
        <v>300</v>
      </c>
    </row>
    <row r="209" spans="1:16" ht="15.75" customHeight="1">
      <c r="A209" s="438">
        <v>22</v>
      </c>
      <c r="B209" s="439" t="s">
        <v>4408</v>
      </c>
      <c r="C209" s="40" t="s">
        <v>25</v>
      </c>
      <c r="D209" s="40" t="s">
        <v>4269</v>
      </c>
      <c r="E209" s="40" t="s">
        <v>1308</v>
      </c>
      <c r="F209" s="43" t="s">
        <v>4409</v>
      </c>
      <c r="G209" s="40" t="s">
        <v>29</v>
      </c>
      <c r="H209" s="200">
        <v>1000</v>
      </c>
      <c r="I209" s="41">
        <v>200</v>
      </c>
      <c r="J209" s="40" t="s">
        <v>30</v>
      </c>
      <c r="K209" s="40" t="s">
        <v>31</v>
      </c>
    </row>
    <row r="210" spans="1:16" ht="15.75" customHeight="1">
      <c r="A210" s="438">
        <v>22</v>
      </c>
      <c r="B210" s="439" t="s">
        <v>4410</v>
      </c>
      <c r="C210" s="40" t="s">
        <v>25</v>
      </c>
      <c r="D210" s="40" t="s">
        <v>55</v>
      </c>
      <c r="E210" s="40" t="s">
        <v>96</v>
      </c>
      <c r="F210" s="40"/>
      <c r="G210" s="40" t="s">
        <v>29</v>
      </c>
      <c r="H210" s="200">
        <v>1000</v>
      </c>
      <c r="I210" s="41">
        <v>200</v>
      </c>
      <c r="J210" s="40" t="s">
        <v>30</v>
      </c>
      <c r="K210" s="40" t="s">
        <v>31</v>
      </c>
      <c r="M210" s="157">
        <v>300</v>
      </c>
    </row>
    <row r="211" spans="1:16" ht="15.75" customHeight="1">
      <c r="A211" s="438">
        <v>22</v>
      </c>
      <c r="B211" s="439" t="s">
        <v>4411</v>
      </c>
      <c r="C211" s="40" t="s">
        <v>25</v>
      </c>
      <c r="D211" s="40" t="s">
        <v>77</v>
      </c>
      <c r="E211" s="40" t="s">
        <v>78</v>
      </c>
      <c r="F211" s="43" t="s">
        <v>4412</v>
      </c>
      <c r="G211" s="40" t="s">
        <v>29</v>
      </c>
      <c r="H211" s="200">
        <v>2000</v>
      </c>
      <c r="I211" s="41">
        <v>400</v>
      </c>
      <c r="J211" s="40" t="s">
        <v>30</v>
      </c>
      <c r="K211" s="40" t="s">
        <v>31</v>
      </c>
      <c r="M211" s="157">
        <v>400</v>
      </c>
    </row>
    <row r="212" spans="1:16" ht="15.75" customHeight="1">
      <c r="A212" s="438">
        <v>22</v>
      </c>
      <c r="B212" s="439" t="s">
        <v>4413</v>
      </c>
      <c r="C212" s="40" t="s">
        <v>25</v>
      </c>
      <c r="D212" s="40" t="s">
        <v>141</v>
      </c>
      <c r="E212" s="40" t="s">
        <v>27</v>
      </c>
      <c r="F212" s="43" t="s">
        <v>4414</v>
      </c>
      <c r="G212" s="40" t="s">
        <v>29</v>
      </c>
      <c r="H212" s="200">
        <v>2000</v>
      </c>
      <c r="I212" s="41">
        <v>400</v>
      </c>
      <c r="J212" s="40" t="s">
        <v>30</v>
      </c>
      <c r="K212" s="40" t="s">
        <v>31</v>
      </c>
      <c r="M212" s="157">
        <v>375</v>
      </c>
    </row>
    <row r="213" spans="1:16" ht="15.75" customHeight="1">
      <c r="A213" s="438">
        <v>22</v>
      </c>
      <c r="B213" s="439" t="s">
        <v>4415</v>
      </c>
      <c r="C213" s="40" t="s">
        <v>25</v>
      </c>
      <c r="D213" s="40" t="s">
        <v>4416</v>
      </c>
      <c r="E213" s="40" t="s">
        <v>1197</v>
      </c>
      <c r="F213" s="43" t="s">
        <v>4417</v>
      </c>
      <c r="G213" s="40" t="s">
        <v>29</v>
      </c>
      <c r="H213" s="200">
        <v>600</v>
      </c>
      <c r="I213" s="41">
        <v>120</v>
      </c>
      <c r="J213" s="40" t="s">
        <v>30</v>
      </c>
      <c r="K213" s="40" t="s">
        <v>31</v>
      </c>
      <c r="M213" s="157">
        <v>150</v>
      </c>
    </row>
    <row r="214" spans="1:16" ht="15.75" customHeight="1">
      <c r="A214" s="438">
        <v>22</v>
      </c>
      <c r="B214" s="439" t="s">
        <v>4418</v>
      </c>
      <c r="C214" s="40" t="s">
        <v>25</v>
      </c>
      <c r="D214" s="40" t="s">
        <v>2233</v>
      </c>
      <c r="E214" s="40" t="s">
        <v>96</v>
      </c>
      <c r="F214" s="43" t="s">
        <v>4419</v>
      </c>
      <c r="G214" s="40" t="s">
        <v>29</v>
      </c>
      <c r="H214" s="200">
        <v>400</v>
      </c>
      <c r="I214" s="41">
        <v>80</v>
      </c>
      <c r="J214" s="40" t="s">
        <v>30</v>
      </c>
      <c r="K214" s="40" t="s">
        <v>31</v>
      </c>
      <c r="M214" s="157">
        <v>100</v>
      </c>
    </row>
    <row r="215" spans="1:16" ht="15.75" customHeight="1">
      <c r="A215" s="438">
        <v>22</v>
      </c>
      <c r="B215" s="439" t="s">
        <v>4420</v>
      </c>
      <c r="C215" s="40" t="s">
        <v>25</v>
      </c>
      <c r="D215" s="40" t="s">
        <v>3750</v>
      </c>
      <c r="E215" s="40" t="s">
        <v>103</v>
      </c>
      <c r="F215" s="43" t="s">
        <v>4421</v>
      </c>
      <c r="G215" s="40" t="s">
        <v>29</v>
      </c>
      <c r="H215" s="200">
        <v>1300</v>
      </c>
      <c r="I215" s="41">
        <v>260</v>
      </c>
      <c r="J215" s="40" t="s">
        <v>30</v>
      </c>
      <c r="K215" s="40" t="s">
        <v>31</v>
      </c>
    </row>
    <row r="216" spans="1:16" ht="15.75" customHeight="1">
      <c r="A216" s="438">
        <v>22</v>
      </c>
      <c r="B216" s="439" t="s">
        <v>4422</v>
      </c>
      <c r="C216" s="40" t="s">
        <v>59</v>
      </c>
      <c r="D216" s="40" t="s">
        <v>163</v>
      </c>
      <c r="E216" s="40" t="s">
        <v>150</v>
      </c>
      <c r="F216" s="43" t="s">
        <v>4423</v>
      </c>
      <c r="G216" s="40" t="s">
        <v>29</v>
      </c>
      <c r="H216" s="200">
        <v>50</v>
      </c>
      <c r="I216" s="41" t="s">
        <v>101</v>
      </c>
      <c r="J216" s="40" t="s">
        <v>30</v>
      </c>
      <c r="K216" s="40" t="s">
        <v>31</v>
      </c>
    </row>
    <row r="217" spans="1:16" ht="15.75" customHeight="1">
      <c r="A217" s="438">
        <v>23</v>
      </c>
      <c r="B217" s="439" t="s">
        <v>576</v>
      </c>
      <c r="C217" s="40" t="s">
        <v>25</v>
      </c>
      <c r="D217" s="40" t="s">
        <v>55</v>
      </c>
      <c r="E217" s="40" t="s">
        <v>96</v>
      </c>
      <c r="F217" s="43" t="s">
        <v>577</v>
      </c>
      <c r="G217" s="40" t="s">
        <v>29</v>
      </c>
      <c r="H217" s="200">
        <v>500</v>
      </c>
      <c r="I217" s="41">
        <v>150</v>
      </c>
      <c r="J217" s="40" t="s">
        <v>30</v>
      </c>
      <c r="K217" s="40" t="s">
        <v>31</v>
      </c>
    </row>
    <row r="218" spans="1:16" ht="15.75" customHeight="1">
      <c r="A218" s="438">
        <v>23</v>
      </c>
      <c r="B218" s="439" t="s">
        <v>4424</v>
      </c>
      <c r="C218" s="40" t="s">
        <v>25</v>
      </c>
      <c r="D218" s="40" t="s">
        <v>706</v>
      </c>
      <c r="E218" s="40" t="s">
        <v>38</v>
      </c>
      <c r="F218" s="43" t="s">
        <v>4425</v>
      </c>
      <c r="G218" s="40" t="s">
        <v>29</v>
      </c>
      <c r="H218" s="200">
        <v>500</v>
      </c>
      <c r="I218" s="41">
        <v>100</v>
      </c>
      <c r="J218" s="40" t="s">
        <v>30</v>
      </c>
      <c r="K218" s="40" t="s">
        <v>31</v>
      </c>
      <c r="M218" s="157">
        <v>100</v>
      </c>
    </row>
    <row r="219" spans="1:16" ht="15.75" customHeight="1">
      <c r="A219" s="438">
        <v>23</v>
      </c>
      <c r="B219" s="439" t="s">
        <v>3869</v>
      </c>
      <c r="C219" s="40" t="s">
        <v>25</v>
      </c>
      <c r="D219" s="40" t="s">
        <v>2356</v>
      </c>
      <c r="E219" s="40" t="s">
        <v>1308</v>
      </c>
      <c r="F219" s="43" t="s">
        <v>4426</v>
      </c>
      <c r="G219" s="40" t="s">
        <v>29</v>
      </c>
      <c r="H219" s="200">
        <v>500</v>
      </c>
      <c r="I219" s="41">
        <v>100</v>
      </c>
      <c r="J219" s="40" t="s">
        <v>30</v>
      </c>
      <c r="K219" s="40" t="s">
        <v>31</v>
      </c>
    </row>
    <row r="220" spans="1:16" ht="15.75" customHeight="1">
      <c r="A220" s="438">
        <v>23</v>
      </c>
      <c r="B220" s="439" t="s">
        <v>4427</v>
      </c>
      <c r="C220" s="40" t="s">
        <v>25</v>
      </c>
      <c r="D220" s="40" t="s">
        <v>55</v>
      </c>
      <c r="E220" s="40" t="s">
        <v>56</v>
      </c>
      <c r="F220" s="43" t="s">
        <v>4428</v>
      </c>
      <c r="G220" s="40" t="s">
        <v>29</v>
      </c>
      <c r="H220" s="200">
        <v>500</v>
      </c>
      <c r="I220" s="41">
        <v>100</v>
      </c>
      <c r="J220" s="40" t="s">
        <v>30</v>
      </c>
      <c r="K220" s="40" t="s">
        <v>31</v>
      </c>
      <c r="M220" s="157">
        <v>150</v>
      </c>
    </row>
    <row r="221" spans="1:16" ht="15.75" customHeight="1">
      <c r="A221" s="438">
        <v>23</v>
      </c>
      <c r="B221" s="439" t="s">
        <v>4429</v>
      </c>
      <c r="C221" s="40" t="s">
        <v>25</v>
      </c>
      <c r="D221" s="40" t="s">
        <v>2844</v>
      </c>
      <c r="E221" s="40" t="s">
        <v>27</v>
      </c>
      <c r="F221" s="40"/>
      <c r="G221" s="40" t="s">
        <v>29</v>
      </c>
      <c r="H221" s="200">
        <v>500</v>
      </c>
      <c r="I221" s="41">
        <v>100</v>
      </c>
      <c r="J221" s="40" t="s">
        <v>30</v>
      </c>
      <c r="K221" s="40" t="s">
        <v>31</v>
      </c>
    </row>
    <row r="222" spans="1:16" ht="15.75" customHeight="1">
      <c r="A222" s="438">
        <v>23</v>
      </c>
      <c r="B222" s="439" t="s">
        <v>3250</v>
      </c>
      <c r="C222" s="40" t="s">
        <v>59</v>
      </c>
      <c r="D222" s="40" t="s">
        <v>68</v>
      </c>
      <c r="E222" s="40" t="s">
        <v>78</v>
      </c>
      <c r="F222" s="43" t="s">
        <v>4430</v>
      </c>
      <c r="G222" s="40" t="s">
        <v>29</v>
      </c>
      <c r="H222" s="200">
        <v>500</v>
      </c>
      <c r="I222" s="41">
        <v>100</v>
      </c>
      <c r="J222" s="40" t="s">
        <v>30</v>
      </c>
      <c r="K222" s="40" t="s">
        <v>31</v>
      </c>
      <c r="M222" s="157">
        <v>150</v>
      </c>
    </row>
    <row r="223" spans="1:16" ht="15.75" customHeight="1">
      <c r="A223" s="438">
        <v>23</v>
      </c>
      <c r="B223" s="439" t="s">
        <v>4431</v>
      </c>
      <c r="C223" s="40" t="s">
        <v>25</v>
      </c>
      <c r="D223" s="40" t="s">
        <v>303</v>
      </c>
      <c r="E223" s="40" t="s">
        <v>96</v>
      </c>
      <c r="F223" s="43" t="s">
        <v>4432</v>
      </c>
      <c r="G223" s="40" t="s">
        <v>29</v>
      </c>
      <c r="H223" s="200">
        <v>500</v>
      </c>
      <c r="I223" s="41">
        <v>100</v>
      </c>
      <c r="J223" s="40" t="s">
        <v>30</v>
      </c>
      <c r="K223" s="40" t="s">
        <v>31</v>
      </c>
      <c r="M223" s="157">
        <v>150</v>
      </c>
    </row>
    <row r="224" spans="1:16" ht="15.75" customHeight="1">
      <c r="A224" s="438">
        <v>23</v>
      </c>
      <c r="B224" s="439" t="s">
        <v>4433</v>
      </c>
      <c r="C224" s="40" t="s">
        <v>25</v>
      </c>
      <c r="D224" s="40" t="s">
        <v>49</v>
      </c>
      <c r="E224" s="40" t="s">
        <v>50</v>
      </c>
      <c r="F224" s="40"/>
      <c r="G224" s="40" t="s">
        <v>29</v>
      </c>
      <c r="H224" s="200">
        <v>500</v>
      </c>
      <c r="I224" s="41">
        <v>100</v>
      </c>
      <c r="J224" s="40" t="s">
        <v>30</v>
      </c>
      <c r="K224" s="40" t="s">
        <v>31</v>
      </c>
      <c r="M224" s="157">
        <v>100</v>
      </c>
      <c r="P224" s="65"/>
    </row>
    <row r="225" spans="1:18" ht="15.75" customHeight="1">
      <c r="A225" s="438">
        <v>23</v>
      </c>
      <c r="B225" s="439" t="s">
        <v>4434</v>
      </c>
      <c r="C225" s="40" t="s">
        <v>25</v>
      </c>
      <c r="D225" s="40" t="s">
        <v>4301</v>
      </c>
      <c r="E225" s="40" t="s">
        <v>46</v>
      </c>
      <c r="F225" s="40"/>
      <c r="G225" s="40" t="s">
        <v>29</v>
      </c>
      <c r="H225" s="200">
        <v>500</v>
      </c>
      <c r="I225" s="41">
        <v>100</v>
      </c>
      <c r="J225" s="40" t="s">
        <v>30</v>
      </c>
      <c r="K225" s="40" t="s">
        <v>31</v>
      </c>
      <c r="M225" s="157">
        <v>200</v>
      </c>
      <c r="P225" s="65"/>
      <c r="R225" s="65"/>
    </row>
    <row r="226" spans="1:18" ht="15.75" customHeight="1">
      <c r="A226" s="438">
        <v>23</v>
      </c>
      <c r="B226" s="439" t="s">
        <v>3674</v>
      </c>
      <c r="C226" s="40" t="s">
        <v>25</v>
      </c>
      <c r="D226" s="40" t="s">
        <v>3571</v>
      </c>
      <c r="E226" s="40" t="s">
        <v>311</v>
      </c>
      <c r="F226" s="43" t="s">
        <v>4435</v>
      </c>
      <c r="G226" s="40" t="s">
        <v>29</v>
      </c>
      <c r="H226" s="200">
        <v>500</v>
      </c>
      <c r="I226" s="41">
        <v>100</v>
      </c>
      <c r="J226" s="40" t="s">
        <v>30</v>
      </c>
      <c r="K226" s="40" t="s">
        <v>31</v>
      </c>
      <c r="M226" s="157">
        <v>100</v>
      </c>
      <c r="P226" s="65"/>
    </row>
    <row r="227" spans="1:18" ht="15.75" customHeight="1">
      <c r="A227" s="438">
        <v>23</v>
      </c>
      <c r="B227" s="439" t="s">
        <v>4436</v>
      </c>
      <c r="C227" s="40" t="s">
        <v>25</v>
      </c>
      <c r="D227" s="40" t="s">
        <v>2090</v>
      </c>
      <c r="E227" s="40" t="s">
        <v>96</v>
      </c>
      <c r="F227" s="43" t="s">
        <v>4437</v>
      </c>
      <c r="G227" s="40" t="s">
        <v>29</v>
      </c>
      <c r="H227" s="200">
        <v>500</v>
      </c>
      <c r="I227" s="41">
        <v>100</v>
      </c>
      <c r="J227" s="40" t="s">
        <v>30</v>
      </c>
      <c r="K227" s="40" t="s">
        <v>31</v>
      </c>
      <c r="M227" s="157">
        <v>150</v>
      </c>
      <c r="R227" s="65"/>
    </row>
    <row r="228" spans="1:18" ht="15.75" customHeight="1">
      <c r="A228" s="438">
        <v>23</v>
      </c>
      <c r="B228" s="439" t="s">
        <v>4438</v>
      </c>
      <c r="C228" s="40" t="s">
        <v>25</v>
      </c>
      <c r="D228" s="40" t="s">
        <v>1278</v>
      </c>
      <c r="E228" s="40" t="s">
        <v>42</v>
      </c>
      <c r="F228" s="43" t="s">
        <v>4439</v>
      </c>
      <c r="G228" s="40" t="s">
        <v>29</v>
      </c>
      <c r="H228" s="200">
        <v>1000</v>
      </c>
      <c r="I228" s="41">
        <v>200</v>
      </c>
      <c r="J228" s="40" t="s">
        <v>30</v>
      </c>
      <c r="K228" s="40" t="s">
        <v>31</v>
      </c>
      <c r="M228" s="157">
        <v>300</v>
      </c>
    </row>
    <row r="229" spans="1:18" ht="15.75" customHeight="1">
      <c r="A229" s="438">
        <v>23</v>
      </c>
      <c r="B229" s="439" t="s">
        <v>1858</v>
      </c>
      <c r="C229" s="40" t="s">
        <v>25</v>
      </c>
      <c r="D229" s="40" t="s">
        <v>849</v>
      </c>
      <c r="E229" s="40" t="s">
        <v>38</v>
      </c>
      <c r="F229" s="40"/>
      <c r="G229" s="40" t="s">
        <v>29</v>
      </c>
      <c r="H229" s="200">
        <v>2500</v>
      </c>
      <c r="I229" s="41">
        <v>500</v>
      </c>
      <c r="J229" s="40" t="s">
        <v>30</v>
      </c>
      <c r="K229" s="40" t="s">
        <v>31</v>
      </c>
    </row>
    <row r="230" spans="1:18" ht="15.75" customHeight="1">
      <c r="A230" s="438">
        <v>23</v>
      </c>
      <c r="B230" s="439" t="s">
        <v>2682</v>
      </c>
      <c r="C230" s="40" t="s">
        <v>59</v>
      </c>
      <c r="D230" s="40" t="s">
        <v>103</v>
      </c>
      <c r="E230" s="40" t="s">
        <v>38</v>
      </c>
      <c r="F230" s="43" t="s">
        <v>2683</v>
      </c>
      <c r="G230" s="40" t="s">
        <v>29</v>
      </c>
      <c r="H230" s="200">
        <v>1000</v>
      </c>
      <c r="I230" s="41">
        <v>200</v>
      </c>
      <c r="J230" s="40" t="s">
        <v>30</v>
      </c>
      <c r="K230" s="40" t="s">
        <v>31</v>
      </c>
      <c r="M230" s="157">
        <v>300</v>
      </c>
    </row>
    <row r="231" spans="1:18" ht="15.75" customHeight="1">
      <c r="A231" s="438">
        <v>23</v>
      </c>
      <c r="B231" s="439" t="s">
        <v>4440</v>
      </c>
      <c r="C231" s="40" t="s">
        <v>59</v>
      </c>
      <c r="D231" s="40" t="s">
        <v>4441</v>
      </c>
      <c r="E231" s="40" t="s">
        <v>96</v>
      </c>
      <c r="F231" s="43" t="s">
        <v>4442</v>
      </c>
      <c r="G231" s="40" t="s">
        <v>29</v>
      </c>
      <c r="H231" s="200">
        <v>1000</v>
      </c>
      <c r="I231" s="41">
        <v>200</v>
      </c>
      <c r="J231" s="40" t="s">
        <v>30</v>
      </c>
      <c r="K231" s="40" t="s">
        <v>31</v>
      </c>
      <c r="M231" s="157">
        <v>200</v>
      </c>
    </row>
    <row r="232" spans="1:18" ht="15.75" customHeight="1">
      <c r="A232" s="438">
        <v>23</v>
      </c>
      <c r="B232" s="439" t="s">
        <v>4443</v>
      </c>
      <c r="C232" s="40" t="s">
        <v>25</v>
      </c>
      <c r="D232" s="40" t="s">
        <v>2233</v>
      </c>
      <c r="E232" s="40" t="s">
        <v>96</v>
      </c>
      <c r="F232" s="43" t="s">
        <v>4444</v>
      </c>
      <c r="G232" s="40" t="s">
        <v>29</v>
      </c>
      <c r="H232" s="200">
        <v>1000</v>
      </c>
      <c r="I232" s="41">
        <v>200</v>
      </c>
      <c r="J232" s="40" t="s">
        <v>30</v>
      </c>
      <c r="K232" s="40" t="s">
        <v>31</v>
      </c>
      <c r="M232" s="157">
        <v>200</v>
      </c>
    </row>
    <row r="233" spans="1:18" ht="15.75" customHeight="1">
      <c r="A233" s="438">
        <v>23</v>
      </c>
      <c r="B233" s="439" t="s">
        <v>4402</v>
      </c>
      <c r="C233" s="40" t="s">
        <v>25</v>
      </c>
      <c r="D233" s="40" t="s">
        <v>4403</v>
      </c>
      <c r="E233" s="40" t="s">
        <v>46</v>
      </c>
      <c r="F233" s="43" t="s">
        <v>4445</v>
      </c>
      <c r="G233" s="40" t="s">
        <v>29</v>
      </c>
      <c r="H233" s="200">
        <v>2000</v>
      </c>
      <c r="I233" s="41">
        <v>400</v>
      </c>
      <c r="J233" s="40" t="s">
        <v>30</v>
      </c>
      <c r="K233" s="40" t="s">
        <v>31</v>
      </c>
      <c r="M233" s="157">
        <v>600</v>
      </c>
      <c r="Q233" s="65"/>
    </row>
    <row r="234" spans="1:18" ht="15.75" customHeight="1">
      <c r="A234" s="438">
        <v>23</v>
      </c>
      <c r="B234" s="439" t="s">
        <v>1846</v>
      </c>
      <c r="C234" s="40" t="s">
        <v>25</v>
      </c>
      <c r="D234" s="40" t="s">
        <v>77</v>
      </c>
      <c r="E234" s="40" t="s">
        <v>78</v>
      </c>
      <c r="F234" s="43" t="s">
        <v>4446</v>
      </c>
      <c r="G234" s="40" t="s">
        <v>29</v>
      </c>
      <c r="H234" s="200">
        <v>2000</v>
      </c>
      <c r="I234" s="41">
        <v>400</v>
      </c>
      <c r="J234" s="40" t="s">
        <v>30</v>
      </c>
      <c r="K234" s="40" t="s">
        <v>31</v>
      </c>
      <c r="Q234" s="65"/>
    </row>
    <row r="235" spans="1:18" ht="15.75" customHeight="1">
      <c r="A235" s="438">
        <v>23</v>
      </c>
      <c r="B235" s="439" t="s">
        <v>4447</v>
      </c>
      <c r="C235" s="40" t="s">
        <v>25</v>
      </c>
      <c r="D235" s="40" t="s">
        <v>700</v>
      </c>
      <c r="E235" s="40" t="s">
        <v>46</v>
      </c>
      <c r="F235" s="43" t="s">
        <v>4448</v>
      </c>
      <c r="G235" s="40" t="s">
        <v>29</v>
      </c>
      <c r="H235" s="200">
        <v>5000</v>
      </c>
      <c r="I235" s="41">
        <v>1000</v>
      </c>
      <c r="J235" s="40" t="s">
        <v>30</v>
      </c>
      <c r="K235" s="40" t="s">
        <v>31</v>
      </c>
      <c r="Q235" s="65"/>
    </row>
    <row r="236" spans="1:18" ht="15.75" customHeight="1">
      <c r="A236" s="438">
        <v>23</v>
      </c>
      <c r="B236" s="439" t="s">
        <v>4449</v>
      </c>
      <c r="C236" s="40" t="s">
        <v>25</v>
      </c>
      <c r="D236" s="40" t="s">
        <v>328</v>
      </c>
      <c r="E236" s="40" t="s">
        <v>60</v>
      </c>
      <c r="F236" s="43" t="s">
        <v>4450</v>
      </c>
      <c r="G236" s="40" t="s">
        <v>29</v>
      </c>
      <c r="H236" s="200">
        <v>10000</v>
      </c>
      <c r="I236" s="41">
        <v>2000</v>
      </c>
      <c r="J236" s="40" t="s">
        <v>30</v>
      </c>
      <c r="K236" s="40" t="s">
        <v>31</v>
      </c>
      <c r="M236" s="157">
        <v>1200</v>
      </c>
    </row>
    <row r="237" spans="1:18" ht="15.75" customHeight="1">
      <c r="A237" s="438">
        <v>23</v>
      </c>
      <c r="B237" s="439" t="s">
        <v>3458</v>
      </c>
      <c r="C237" s="40" t="s">
        <v>25</v>
      </c>
      <c r="D237" s="40" t="s">
        <v>103</v>
      </c>
      <c r="E237" s="40" t="s">
        <v>38</v>
      </c>
      <c r="F237" s="43" t="s">
        <v>3459</v>
      </c>
      <c r="G237" s="40" t="s">
        <v>29</v>
      </c>
      <c r="H237" s="200">
        <v>20000</v>
      </c>
      <c r="I237" s="41">
        <v>4000</v>
      </c>
      <c r="J237" s="40" t="s">
        <v>30</v>
      </c>
      <c r="K237" s="40" t="s">
        <v>31</v>
      </c>
      <c r="M237" s="157">
        <v>30000</v>
      </c>
    </row>
    <row r="238" spans="1:18" ht="15.75" customHeight="1">
      <c r="A238" s="438">
        <v>23</v>
      </c>
      <c r="B238" s="439" t="s">
        <v>4451</v>
      </c>
      <c r="C238" s="40" t="s">
        <v>25</v>
      </c>
      <c r="D238" s="40" t="s">
        <v>1278</v>
      </c>
      <c r="E238" s="40" t="s">
        <v>42</v>
      </c>
      <c r="F238" s="43" t="s">
        <v>4452</v>
      </c>
      <c r="G238" s="40" t="s">
        <v>29</v>
      </c>
      <c r="H238" s="200">
        <v>300</v>
      </c>
      <c r="I238" s="41">
        <v>60</v>
      </c>
      <c r="J238" s="40" t="s">
        <v>30</v>
      </c>
      <c r="K238" s="40" t="s">
        <v>31</v>
      </c>
      <c r="M238" s="157">
        <v>50</v>
      </c>
    </row>
    <row r="239" spans="1:18" ht="15.75" customHeight="1">
      <c r="A239" s="438">
        <v>23</v>
      </c>
      <c r="B239" s="439" t="s">
        <v>4453</v>
      </c>
      <c r="C239" s="40" t="s">
        <v>25</v>
      </c>
      <c r="D239" s="40" t="s">
        <v>83</v>
      </c>
      <c r="E239" s="40" t="s">
        <v>46</v>
      </c>
      <c r="F239" s="40"/>
      <c r="G239" s="40" t="s">
        <v>29</v>
      </c>
      <c r="H239" s="200">
        <v>300</v>
      </c>
      <c r="I239" s="41">
        <v>60</v>
      </c>
      <c r="J239" s="40" t="s">
        <v>30</v>
      </c>
      <c r="K239" s="40" t="s">
        <v>31</v>
      </c>
      <c r="M239" s="157">
        <v>50</v>
      </c>
    </row>
    <row r="240" spans="1:18" ht="15.75" customHeight="1">
      <c r="A240" s="438">
        <v>23</v>
      </c>
      <c r="B240" s="439" t="s">
        <v>4454</v>
      </c>
      <c r="C240" s="40" t="s">
        <v>59</v>
      </c>
      <c r="D240" s="40" t="s">
        <v>123</v>
      </c>
      <c r="E240" s="40" t="s">
        <v>96</v>
      </c>
      <c r="F240" s="43" t="s">
        <v>4455</v>
      </c>
      <c r="G240" s="40" t="s">
        <v>29</v>
      </c>
      <c r="H240" s="200">
        <v>300</v>
      </c>
      <c r="I240" s="41" t="s">
        <v>101</v>
      </c>
      <c r="J240" s="40" t="s">
        <v>30</v>
      </c>
      <c r="K240" s="40" t="s">
        <v>31</v>
      </c>
      <c r="M240" s="157">
        <v>40</v>
      </c>
    </row>
    <row r="241" spans="1:26" ht="15.75" customHeight="1">
      <c r="A241" s="2"/>
      <c r="B241" s="1"/>
      <c r="C241" s="1"/>
      <c r="D241" s="1"/>
      <c r="E241" s="1"/>
      <c r="F241" s="1"/>
      <c r="G241" s="1"/>
      <c r="H241" s="45"/>
      <c r="I241" s="61"/>
      <c r="J241" s="1"/>
      <c r="K241" s="1"/>
    </row>
    <row r="242" spans="1:26" ht="15.75" customHeight="1">
      <c r="A242" s="2"/>
      <c r="B242" s="1"/>
      <c r="C242" s="1"/>
      <c r="D242" s="1"/>
      <c r="E242" s="1"/>
      <c r="F242" s="1"/>
      <c r="G242" s="1"/>
      <c r="H242" s="1"/>
      <c r="I242" s="61"/>
      <c r="J242" s="1"/>
      <c r="K242" s="1"/>
    </row>
    <row r="243" spans="1:26" ht="15.75" customHeight="1">
      <c r="A243" s="2"/>
      <c r="B243" s="1"/>
      <c r="C243" s="1"/>
      <c r="D243" s="1"/>
      <c r="E243" s="1"/>
      <c r="F243" s="1"/>
      <c r="G243" s="1"/>
      <c r="H243" s="1"/>
      <c r="I243" s="62" t="s">
        <v>335</v>
      </c>
      <c r="J243" s="63"/>
      <c r="K243" s="1"/>
    </row>
    <row r="244" spans="1:26" ht="16.5" customHeight="1">
      <c r="A244" s="2"/>
      <c r="B244" s="1" t="s">
        <v>336</v>
      </c>
      <c r="C244" s="1"/>
      <c r="D244" s="1"/>
      <c r="E244" s="1" t="s">
        <v>337</v>
      </c>
      <c r="F244" s="1"/>
      <c r="G244" s="1"/>
      <c r="H244" s="1"/>
      <c r="I244" s="6" t="s">
        <v>338</v>
      </c>
      <c r="J244" s="292" t="s">
        <v>4045</v>
      </c>
      <c r="K244" s="1"/>
    </row>
    <row r="245" spans="1:26" ht="15.75" customHeight="1">
      <c r="A245" s="2"/>
      <c r="B245" s="1"/>
      <c r="C245" s="1"/>
      <c r="D245" s="1"/>
      <c r="E245" s="1"/>
      <c r="F245" s="1"/>
      <c r="G245" s="1"/>
      <c r="H245" s="1"/>
      <c r="I245" s="6" t="s">
        <v>340</v>
      </c>
      <c r="J245" s="292" t="s">
        <v>4046</v>
      </c>
      <c r="K245" s="65"/>
    </row>
    <row r="246" spans="1:26" ht="15.75" customHeight="1">
      <c r="A246" s="2"/>
      <c r="B246" s="1"/>
      <c r="C246" s="1"/>
      <c r="D246" s="1"/>
      <c r="E246" s="1"/>
      <c r="F246" s="1"/>
      <c r="G246" s="1"/>
      <c r="H246" s="1"/>
      <c r="I246" s="6" t="s">
        <v>342</v>
      </c>
      <c r="J246" s="292">
        <v>0</v>
      </c>
      <c r="K246" s="1"/>
    </row>
    <row r="247" spans="1:26" ht="15.75" customHeight="1">
      <c r="A247" s="2"/>
      <c r="B247" s="67" t="s">
        <v>343</v>
      </c>
      <c r="C247" s="1"/>
      <c r="D247" s="1"/>
      <c r="E247" s="554" t="s">
        <v>344</v>
      </c>
      <c r="F247" s="553"/>
      <c r="G247" s="553"/>
      <c r="H247" s="553"/>
      <c r="I247" s="6" t="s">
        <v>345</v>
      </c>
      <c r="J247" s="292" t="s">
        <v>4047</v>
      </c>
      <c r="K247" s="1"/>
    </row>
    <row r="248" spans="1:26" ht="15.75" customHeight="1">
      <c r="A248" s="2"/>
      <c r="B248" s="1" t="s">
        <v>347</v>
      </c>
      <c r="C248" s="1"/>
      <c r="D248" s="1"/>
      <c r="E248" s="552" t="s">
        <v>348</v>
      </c>
      <c r="F248" s="553"/>
      <c r="G248" s="553"/>
      <c r="H248" s="553"/>
      <c r="I248" s="6" t="s">
        <v>349</v>
      </c>
      <c r="J248" s="292">
        <v>0</v>
      </c>
      <c r="K248" s="1"/>
    </row>
    <row r="249" spans="1:26" ht="15.75" customHeight="1">
      <c r="A249" s="2"/>
      <c r="B249" s="1"/>
      <c r="C249" s="1"/>
      <c r="D249" s="1"/>
      <c r="E249" s="1"/>
      <c r="F249" s="1"/>
      <c r="G249" s="1"/>
      <c r="H249" s="1"/>
      <c r="I249" s="6" t="s">
        <v>351</v>
      </c>
      <c r="J249" s="475" t="s">
        <v>4048</v>
      </c>
      <c r="K249" s="1"/>
    </row>
    <row r="250" spans="1:26" ht="15.75" customHeight="1">
      <c r="A250" s="2"/>
      <c r="B250" s="1"/>
      <c r="C250" s="1"/>
      <c r="D250" s="1"/>
      <c r="E250" s="1"/>
      <c r="F250" s="1"/>
      <c r="G250" s="1"/>
      <c r="H250" s="1"/>
      <c r="I250" s="6" t="s">
        <v>353</v>
      </c>
      <c r="J250" s="293"/>
      <c r="K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2"/>
      <c r="B251" s="1"/>
      <c r="C251" s="1"/>
      <c r="D251" s="1"/>
      <c r="E251" s="1"/>
      <c r="F251" s="1"/>
      <c r="G251" s="1"/>
      <c r="H251" s="1"/>
      <c r="I251" s="68" t="s">
        <v>354</v>
      </c>
      <c r="J251" s="291">
        <v>290070</v>
      </c>
      <c r="K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2"/>
      <c r="B252" s="1"/>
      <c r="C252" s="1"/>
      <c r="D252" s="1"/>
      <c r="E252" s="1"/>
      <c r="F252" s="1"/>
      <c r="G252" s="1"/>
      <c r="H252" s="1"/>
      <c r="I252" s="68" t="s">
        <v>356</v>
      </c>
      <c r="J252" s="69"/>
      <c r="K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2"/>
      <c r="B253" s="70"/>
      <c r="C253" s="1"/>
      <c r="D253" s="1"/>
      <c r="E253" s="70"/>
      <c r="F253" s="70"/>
      <c r="G253" s="70"/>
      <c r="H253" s="1"/>
      <c r="I253" s="6"/>
      <c r="J253" s="63"/>
      <c r="K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2"/>
      <c r="B254" s="1"/>
      <c r="C254" s="1"/>
      <c r="D254" s="1"/>
      <c r="E254" s="1"/>
      <c r="F254" s="1"/>
      <c r="G254" s="1"/>
      <c r="H254" s="1"/>
      <c r="I254" s="6"/>
      <c r="J254" s="63"/>
      <c r="K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2"/>
      <c r="B255" s="1"/>
      <c r="C255" s="1"/>
      <c r="D255" s="1"/>
      <c r="E255" s="1"/>
      <c r="F255" s="1"/>
      <c r="G255" s="1"/>
      <c r="H255" s="1"/>
      <c r="I255" s="6"/>
      <c r="J255" s="63"/>
      <c r="K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2"/>
      <c r="B256" s="1"/>
      <c r="C256" s="1"/>
      <c r="D256" s="1"/>
      <c r="E256" s="1"/>
      <c r="F256" s="1"/>
      <c r="G256" s="1"/>
      <c r="H256" s="1"/>
      <c r="I256" s="6"/>
      <c r="J256" s="69"/>
      <c r="K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2"/>
      <c r="B257" s="1"/>
      <c r="C257" s="1"/>
      <c r="D257" s="1"/>
      <c r="E257" s="1"/>
      <c r="F257" s="1"/>
      <c r="G257" s="1"/>
      <c r="H257" s="1"/>
      <c r="I257" s="6"/>
      <c r="J257" s="69"/>
      <c r="K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2"/>
      <c r="B258" s="1"/>
      <c r="C258" s="1"/>
      <c r="D258" s="1"/>
      <c r="E258" s="1"/>
      <c r="F258" s="1"/>
      <c r="G258" s="1"/>
      <c r="H258" s="1"/>
      <c r="I258" s="61"/>
      <c r="J258" s="1"/>
      <c r="K258" s="1"/>
    </row>
    <row r="259" spans="1:26" ht="15.75" customHeight="1">
      <c r="A259" s="2"/>
      <c r="B259" s="1"/>
      <c r="C259" s="1"/>
      <c r="D259" s="1"/>
      <c r="E259" s="1"/>
      <c r="F259" s="1"/>
      <c r="G259" s="1"/>
      <c r="H259" s="1"/>
      <c r="I259" s="61"/>
      <c r="J259" s="1"/>
      <c r="K259" s="1"/>
    </row>
    <row r="260" spans="1:26" ht="15.75" customHeight="1">
      <c r="A260" s="2"/>
      <c r="B260" s="1"/>
      <c r="C260" s="1"/>
      <c r="D260" s="1"/>
      <c r="E260" s="1"/>
      <c r="F260" s="1"/>
      <c r="G260" s="1"/>
      <c r="H260" s="1"/>
      <c r="I260" s="61"/>
      <c r="J260" s="1"/>
      <c r="K260" s="1"/>
    </row>
    <row r="261" spans="1:26" ht="15.75" customHeight="1">
      <c r="A261" s="2"/>
      <c r="B261" s="1"/>
      <c r="C261" s="1"/>
      <c r="D261" s="1"/>
      <c r="E261" s="1"/>
      <c r="F261" s="1"/>
      <c r="G261" s="1"/>
      <c r="H261" s="1"/>
      <c r="I261" s="61"/>
      <c r="J261" s="1"/>
      <c r="K261" s="1"/>
    </row>
    <row r="262" spans="1:26" ht="15.75" customHeight="1">
      <c r="A262" s="2"/>
      <c r="B262" s="1"/>
      <c r="C262" s="1"/>
      <c r="D262" s="1"/>
      <c r="E262" s="1"/>
      <c r="F262" s="1"/>
      <c r="G262" s="1"/>
      <c r="H262" s="1"/>
      <c r="I262" s="61"/>
      <c r="J262" s="1"/>
      <c r="K262" s="1"/>
    </row>
    <row r="263" spans="1:26" ht="15.75" customHeight="1">
      <c r="A263" s="2"/>
      <c r="B263" s="1"/>
      <c r="C263" s="1"/>
      <c r="D263" s="1"/>
      <c r="E263" s="1"/>
      <c r="F263" s="1"/>
      <c r="G263" s="1"/>
      <c r="H263" s="1"/>
      <c r="I263" s="61"/>
      <c r="J263" s="1"/>
      <c r="K263" s="1"/>
    </row>
    <row r="264" spans="1:26" ht="15.75" customHeight="1">
      <c r="A264" s="2"/>
      <c r="B264" s="1"/>
      <c r="C264" s="1"/>
      <c r="D264" s="1"/>
      <c r="E264" s="1"/>
      <c r="F264" s="1"/>
      <c r="G264" s="1"/>
      <c r="H264" s="1"/>
      <c r="I264" s="61"/>
      <c r="J264" s="1"/>
      <c r="K264" s="1"/>
    </row>
    <row r="265" spans="1:26" ht="15.75" customHeight="1">
      <c r="A265" s="2"/>
      <c r="B265" s="1"/>
      <c r="C265" s="1"/>
      <c r="D265" s="1"/>
      <c r="E265" s="1"/>
      <c r="F265" s="1"/>
      <c r="G265" s="1"/>
      <c r="H265" s="1"/>
      <c r="I265" s="61"/>
      <c r="J265" s="1"/>
      <c r="K265" s="1"/>
    </row>
    <row r="266" spans="1:26" ht="15.75" customHeight="1">
      <c r="A266" s="2"/>
      <c r="B266" s="1"/>
      <c r="C266" s="1"/>
      <c r="D266" s="1"/>
      <c r="E266" s="1"/>
      <c r="F266" s="1"/>
      <c r="G266" s="1"/>
      <c r="H266" s="1"/>
      <c r="I266" s="61"/>
      <c r="J266" s="1"/>
      <c r="K266" s="1"/>
    </row>
    <row r="267" spans="1:26" ht="15.75" customHeight="1">
      <c r="A267" s="2"/>
      <c r="B267" s="1"/>
      <c r="C267" s="1"/>
      <c r="D267" s="1"/>
      <c r="E267" s="1"/>
      <c r="F267" s="1"/>
      <c r="G267" s="1"/>
      <c r="H267" s="1"/>
      <c r="I267" s="61"/>
      <c r="J267" s="1"/>
      <c r="K267" s="1"/>
    </row>
    <row r="268" spans="1:26" ht="15.75" customHeight="1">
      <c r="A268" s="2"/>
      <c r="B268" s="1"/>
      <c r="C268" s="1"/>
      <c r="D268" s="1"/>
      <c r="E268" s="1"/>
      <c r="F268" s="1"/>
      <c r="G268" s="1"/>
      <c r="H268" s="1"/>
      <c r="I268" s="61"/>
      <c r="J268" s="1"/>
      <c r="K268" s="1"/>
    </row>
    <row r="269" spans="1:26" ht="15.75" customHeight="1">
      <c r="A269" s="2"/>
      <c r="B269" s="1"/>
      <c r="C269" s="1"/>
      <c r="D269" s="1"/>
      <c r="E269" s="1"/>
      <c r="F269" s="1"/>
      <c r="G269" s="1"/>
      <c r="H269" s="1"/>
      <c r="I269" s="61"/>
      <c r="J269" s="1"/>
      <c r="K269" s="1"/>
    </row>
    <row r="270" spans="1:26" ht="15.75" customHeight="1">
      <c r="A270" s="2"/>
      <c r="B270" s="1"/>
      <c r="C270" s="1"/>
      <c r="D270" s="1"/>
      <c r="E270" s="1"/>
      <c r="F270" s="1"/>
      <c r="G270" s="1"/>
      <c r="H270" s="1"/>
      <c r="I270" s="61"/>
      <c r="J270" s="1"/>
      <c r="K270" s="1"/>
    </row>
    <row r="271" spans="1:26" ht="15.75" customHeight="1">
      <c r="A271" s="2"/>
      <c r="B271" s="1"/>
      <c r="C271" s="1"/>
      <c r="D271" s="1"/>
      <c r="E271" s="1"/>
      <c r="F271" s="1"/>
      <c r="G271" s="1"/>
      <c r="H271" s="1"/>
      <c r="I271" s="61"/>
      <c r="J271" s="1"/>
      <c r="K271" s="1"/>
    </row>
    <row r="272" spans="1:26" ht="15.75" customHeight="1">
      <c r="A272" s="2"/>
      <c r="B272" s="1"/>
      <c r="C272" s="1"/>
      <c r="D272" s="1"/>
      <c r="E272" s="1"/>
      <c r="F272" s="1"/>
      <c r="G272" s="1"/>
      <c r="H272" s="1"/>
      <c r="I272" s="61"/>
      <c r="J272" s="1"/>
      <c r="K272" s="1"/>
    </row>
    <row r="273" spans="1:12" ht="15.75" customHeight="1">
      <c r="A273" s="2"/>
      <c r="B273" s="1"/>
      <c r="C273" s="1"/>
      <c r="D273" s="1"/>
      <c r="E273" s="1"/>
      <c r="F273" s="1"/>
      <c r="G273" s="1"/>
      <c r="H273" s="1"/>
      <c r="I273" s="61"/>
      <c r="J273" s="1"/>
      <c r="K273" s="1"/>
    </row>
    <row r="274" spans="1:12" ht="15.75" customHeight="1">
      <c r="A274" s="2"/>
      <c r="B274" s="1"/>
      <c r="C274" s="1"/>
      <c r="D274" s="1"/>
      <c r="E274" s="1"/>
      <c r="F274" s="1"/>
      <c r="G274" s="1"/>
      <c r="H274" s="1"/>
      <c r="I274" s="61"/>
      <c r="J274" s="1"/>
      <c r="K274" s="1"/>
    </row>
    <row r="275" spans="1:12" ht="15.75" customHeight="1">
      <c r="A275" s="2"/>
      <c r="B275" s="1"/>
      <c r="C275" s="1"/>
      <c r="D275" s="1"/>
      <c r="E275" s="1"/>
      <c r="F275" s="1"/>
      <c r="G275" s="1"/>
      <c r="H275" s="1"/>
      <c r="I275" s="61"/>
      <c r="J275" s="1"/>
      <c r="K275" s="1"/>
    </row>
    <row r="276" spans="1:12" ht="15.75" customHeight="1">
      <c r="A276" s="2"/>
      <c r="B276" s="1"/>
      <c r="C276" s="1"/>
      <c r="D276" s="1"/>
      <c r="E276" s="1"/>
      <c r="F276" s="1"/>
      <c r="G276" s="1"/>
      <c r="H276" s="1"/>
      <c r="I276" s="61"/>
      <c r="J276" s="1"/>
      <c r="K276" s="1"/>
    </row>
    <row r="277" spans="1:12" ht="15.75" customHeight="1">
      <c r="A277" s="2"/>
      <c r="B277" s="1"/>
      <c r="C277" s="1"/>
      <c r="D277" s="1"/>
      <c r="E277" s="1"/>
      <c r="F277" s="1"/>
      <c r="G277" s="1"/>
      <c r="H277" s="1"/>
      <c r="I277" s="61"/>
      <c r="J277" s="1"/>
      <c r="K277" s="1"/>
      <c r="L277" s="45"/>
    </row>
    <row r="278" spans="1:12" ht="15.75" customHeight="1">
      <c r="A278" s="2"/>
      <c r="B278" s="1"/>
      <c r="C278" s="1"/>
      <c r="D278" s="1"/>
      <c r="E278" s="1"/>
      <c r="F278" s="1"/>
      <c r="G278" s="1"/>
      <c r="H278" s="1"/>
      <c r="I278" s="61"/>
      <c r="J278" s="1"/>
      <c r="K278" s="1"/>
    </row>
    <row r="279" spans="1:12" ht="15.75" customHeight="1">
      <c r="A279" s="2"/>
      <c r="B279" s="1"/>
      <c r="C279" s="1"/>
      <c r="D279" s="1"/>
      <c r="E279" s="1"/>
      <c r="F279" s="1"/>
      <c r="G279" s="1"/>
      <c r="H279" s="1"/>
      <c r="I279" s="61"/>
      <c r="J279" s="1"/>
      <c r="K279" s="1"/>
    </row>
    <row r="280" spans="1:12" ht="15.75" customHeight="1">
      <c r="A280" s="2"/>
      <c r="B280" s="1"/>
      <c r="C280" s="1"/>
      <c r="D280" s="1"/>
      <c r="E280" s="1"/>
      <c r="F280" s="1"/>
      <c r="G280" s="1"/>
      <c r="H280" s="1"/>
      <c r="I280" s="61"/>
      <c r="J280" s="1"/>
      <c r="K280" s="1"/>
    </row>
    <row r="281" spans="1:12" ht="15.75" customHeight="1">
      <c r="A281" s="2"/>
      <c r="B281" s="1"/>
      <c r="C281" s="1"/>
      <c r="D281" s="1"/>
      <c r="E281" s="1"/>
      <c r="F281" s="1"/>
      <c r="G281" s="1"/>
      <c r="H281" s="1"/>
      <c r="I281" s="61"/>
      <c r="J281" s="1"/>
      <c r="K281" s="1"/>
    </row>
    <row r="282" spans="1:12" ht="15.75" customHeight="1">
      <c r="A282" s="2"/>
      <c r="B282" s="1"/>
      <c r="C282" s="1"/>
      <c r="D282" s="1"/>
      <c r="E282" s="1"/>
      <c r="F282" s="1"/>
      <c r="G282" s="1"/>
      <c r="H282" s="1"/>
      <c r="I282" s="61"/>
      <c r="J282" s="1"/>
      <c r="K282" s="1"/>
    </row>
    <row r="283" spans="1:12" ht="15.75" customHeight="1">
      <c r="A283" s="2"/>
      <c r="B283" s="1"/>
      <c r="C283" s="1"/>
      <c r="D283" s="1"/>
      <c r="E283" s="1"/>
      <c r="F283" s="1"/>
      <c r="G283" s="1"/>
      <c r="H283" s="1"/>
      <c r="I283" s="61"/>
      <c r="J283" s="1"/>
      <c r="K283" s="1"/>
    </row>
    <row r="284" spans="1:12" ht="15.75" customHeight="1">
      <c r="A284" s="2"/>
      <c r="B284" s="1"/>
      <c r="C284" s="1"/>
      <c r="D284" s="1"/>
      <c r="E284" s="1"/>
      <c r="F284" s="1"/>
      <c r="G284" s="1"/>
      <c r="H284" s="1"/>
      <c r="I284" s="61"/>
      <c r="J284" s="1"/>
      <c r="K284" s="1"/>
    </row>
    <row r="285" spans="1:12" ht="15.75" customHeight="1">
      <c r="A285" s="2"/>
      <c r="B285" s="1"/>
      <c r="C285" s="1"/>
      <c r="D285" s="1"/>
      <c r="E285" s="1"/>
      <c r="F285" s="1"/>
      <c r="G285" s="1"/>
      <c r="H285" s="1"/>
      <c r="I285" s="61"/>
      <c r="J285" s="1"/>
      <c r="K285" s="1"/>
    </row>
    <row r="286" spans="1:12" ht="15.75" customHeight="1">
      <c r="A286" s="2"/>
      <c r="B286" s="1"/>
      <c r="C286" s="1"/>
      <c r="D286" s="1"/>
      <c r="E286" s="1"/>
      <c r="F286" s="1"/>
      <c r="G286" s="1"/>
      <c r="H286" s="1"/>
      <c r="I286" s="61"/>
      <c r="J286" s="1"/>
      <c r="K286" s="1"/>
    </row>
    <row r="287" spans="1:12" ht="15.75" customHeight="1">
      <c r="A287" s="2"/>
      <c r="B287" s="1"/>
      <c r="C287" s="1"/>
      <c r="D287" s="1"/>
      <c r="E287" s="1"/>
      <c r="F287" s="1"/>
      <c r="G287" s="1"/>
      <c r="H287" s="1"/>
      <c r="I287" s="61"/>
      <c r="J287" s="1"/>
      <c r="K287" s="1"/>
    </row>
    <row r="288" spans="1:12" ht="15.75" customHeight="1">
      <c r="A288" s="2"/>
      <c r="B288" s="1"/>
      <c r="C288" s="1"/>
      <c r="D288" s="1"/>
      <c r="E288" s="1"/>
      <c r="F288" s="1"/>
      <c r="G288" s="1"/>
      <c r="H288" s="1"/>
      <c r="I288" s="61"/>
      <c r="J288" s="1"/>
      <c r="K288" s="1"/>
    </row>
    <row r="289" spans="1:12" ht="15.75" customHeight="1">
      <c r="A289" s="2"/>
      <c r="B289" s="1"/>
      <c r="C289" s="1"/>
      <c r="D289" s="1"/>
      <c r="E289" s="1"/>
      <c r="F289" s="1"/>
      <c r="G289" s="1"/>
      <c r="H289" s="1"/>
      <c r="I289" s="61"/>
      <c r="J289" s="1"/>
      <c r="K289" s="1"/>
    </row>
    <row r="290" spans="1:12" ht="15.75" customHeight="1">
      <c r="A290" s="2"/>
      <c r="B290" s="1"/>
      <c r="C290" s="1"/>
      <c r="D290" s="1"/>
      <c r="E290" s="1"/>
      <c r="F290" s="1"/>
      <c r="G290" s="1"/>
      <c r="H290" s="1"/>
      <c r="I290" s="61"/>
      <c r="J290" s="1"/>
      <c r="K290" s="1"/>
    </row>
    <row r="291" spans="1:12" ht="15.75" customHeight="1">
      <c r="A291" s="2"/>
      <c r="B291" s="1"/>
      <c r="C291" s="1"/>
      <c r="D291" s="1"/>
      <c r="E291" s="1"/>
      <c r="F291" s="1"/>
      <c r="G291" s="1"/>
      <c r="H291" s="1"/>
      <c r="I291" s="61"/>
      <c r="J291" s="1"/>
      <c r="K291" s="1"/>
    </row>
    <row r="292" spans="1:12" ht="15.75" customHeight="1">
      <c r="A292" s="2"/>
      <c r="B292" s="1"/>
      <c r="C292" s="1"/>
      <c r="D292" s="1"/>
      <c r="E292" s="1"/>
      <c r="F292" s="1"/>
      <c r="G292" s="1"/>
      <c r="H292" s="1"/>
      <c r="I292" s="61"/>
      <c r="J292" s="1"/>
      <c r="K292" s="1"/>
    </row>
    <row r="293" spans="1:12" ht="15.75" customHeight="1">
      <c r="A293" s="2"/>
      <c r="B293" s="1"/>
      <c r="C293" s="1"/>
      <c r="D293" s="1"/>
      <c r="E293" s="1"/>
      <c r="F293" s="1"/>
      <c r="G293" s="1"/>
      <c r="H293" s="1"/>
      <c r="I293" s="61"/>
      <c r="J293" s="1"/>
      <c r="K293" s="1"/>
    </row>
    <row r="294" spans="1:12" ht="15.75" customHeight="1">
      <c r="A294" s="2"/>
      <c r="B294" s="1"/>
      <c r="C294" s="1"/>
      <c r="D294" s="1"/>
      <c r="E294" s="1"/>
      <c r="F294" s="1"/>
      <c r="G294" s="1"/>
      <c r="H294" s="1"/>
      <c r="I294" s="61"/>
      <c r="J294" s="1"/>
      <c r="K294" s="1"/>
    </row>
    <row r="295" spans="1:12" ht="15.75" customHeight="1">
      <c r="A295" s="2"/>
      <c r="B295" s="1"/>
      <c r="C295" s="1"/>
      <c r="D295" s="1"/>
      <c r="E295" s="1"/>
      <c r="F295" s="1"/>
      <c r="G295" s="1"/>
      <c r="H295" s="1"/>
      <c r="I295" s="61"/>
      <c r="J295" s="1"/>
      <c r="K295" s="1"/>
    </row>
    <row r="296" spans="1:12" ht="15.75" customHeight="1">
      <c r="A296" s="2"/>
      <c r="B296" s="1"/>
      <c r="C296" s="1"/>
      <c r="D296" s="1"/>
      <c r="E296" s="1"/>
      <c r="F296" s="1"/>
      <c r="G296" s="1"/>
      <c r="H296" s="1"/>
      <c r="I296" s="61"/>
      <c r="J296" s="1"/>
      <c r="K296" s="1"/>
    </row>
    <row r="297" spans="1:12" ht="15.75" customHeight="1">
      <c r="A297" s="2"/>
      <c r="B297" s="1"/>
      <c r="C297" s="1"/>
      <c r="D297" s="1"/>
      <c r="E297" s="1"/>
      <c r="F297" s="1"/>
      <c r="G297" s="1"/>
      <c r="H297" s="1"/>
      <c r="I297" s="61"/>
      <c r="J297" s="1"/>
      <c r="K297" s="1"/>
    </row>
    <row r="298" spans="1:12" ht="15.75" customHeight="1">
      <c r="A298" s="2"/>
      <c r="B298" s="1"/>
      <c r="C298" s="1"/>
      <c r="D298" s="1"/>
      <c r="E298" s="1"/>
      <c r="F298" s="1"/>
      <c r="G298" s="1"/>
      <c r="H298" s="1"/>
      <c r="I298" s="61"/>
      <c r="J298" s="1"/>
      <c r="K298" s="1"/>
    </row>
    <row r="299" spans="1:12" ht="15.75" customHeight="1">
      <c r="A299" s="2"/>
      <c r="B299" s="1"/>
      <c r="C299" s="1"/>
      <c r="D299" s="1"/>
      <c r="E299" s="1"/>
      <c r="F299" s="1"/>
      <c r="G299" s="1"/>
      <c r="H299" s="1"/>
      <c r="I299" s="61"/>
      <c r="J299" s="1"/>
      <c r="K299" s="1"/>
    </row>
    <row r="300" spans="1:12" ht="15.75" customHeight="1">
      <c r="A300" s="2"/>
      <c r="B300" s="1"/>
      <c r="C300" s="1"/>
      <c r="D300" s="1"/>
      <c r="E300" s="1"/>
      <c r="F300" s="1"/>
      <c r="G300" s="1"/>
      <c r="H300" s="1"/>
      <c r="I300" s="61"/>
      <c r="J300" s="1"/>
      <c r="K300" s="1"/>
      <c r="L300" s="45"/>
    </row>
    <row r="301" spans="1:12" ht="15.75" customHeight="1">
      <c r="A301" s="2"/>
      <c r="B301" s="1"/>
      <c r="C301" s="1"/>
      <c r="D301" s="1"/>
      <c r="E301" s="1"/>
      <c r="F301" s="1"/>
      <c r="G301" s="1"/>
      <c r="H301" s="1"/>
      <c r="I301" s="61"/>
      <c r="J301" s="1"/>
      <c r="K301" s="1"/>
    </row>
    <row r="302" spans="1:12" ht="15.75" customHeight="1">
      <c r="A302" s="2"/>
      <c r="B302" s="1"/>
      <c r="C302" s="1"/>
      <c r="D302" s="1"/>
      <c r="E302" s="1"/>
      <c r="F302" s="1"/>
      <c r="G302" s="1"/>
      <c r="H302" s="1"/>
      <c r="I302" s="61"/>
      <c r="J302" s="1"/>
      <c r="K302" s="1"/>
    </row>
    <row r="303" spans="1:12" ht="15.75" customHeight="1">
      <c r="A303" s="2"/>
      <c r="B303" s="1"/>
      <c r="C303" s="1"/>
      <c r="D303" s="1"/>
      <c r="E303" s="1"/>
      <c r="F303" s="1"/>
      <c r="G303" s="1"/>
      <c r="H303" s="1"/>
      <c r="I303" s="61"/>
      <c r="J303" s="1"/>
      <c r="K303" s="1"/>
    </row>
    <row r="304" spans="1:12" ht="15.75" customHeight="1">
      <c r="A304" s="2"/>
      <c r="B304" s="1"/>
      <c r="C304" s="1"/>
      <c r="D304" s="1"/>
      <c r="E304" s="1"/>
      <c r="F304" s="1"/>
      <c r="G304" s="1"/>
      <c r="H304" s="1"/>
      <c r="I304" s="61"/>
      <c r="J304" s="1"/>
      <c r="K304" s="1"/>
    </row>
    <row r="305" spans="1:11" ht="15.75" customHeight="1">
      <c r="A305" s="2"/>
      <c r="B305" s="1"/>
      <c r="C305" s="1"/>
      <c r="D305" s="1"/>
      <c r="E305" s="1"/>
      <c r="F305" s="1"/>
      <c r="G305" s="1"/>
      <c r="H305" s="1"/>
      <c r="I305" s="61"/>
      <c r="J305" s="1"/>
      <c r="K305" s="1"/>
    </row>
    <row r="306" spans="1:11" ht="15.75" customHeight="1">
      <c r="A306" s="2"/>
      <c r="B306" s="1"/>
      <c r="C306" s="1"/>
      <c r="D306" s="1"/>
      <c r="E306" s="1"/>
      <c r="F306" s="1"/>
      <c r="G306" s="1"/>
      <c r="H306" s="1"/>
      <c r="I306" s="61"/>
      <c r="J306" s="1"/>
      <c r="K306" s="1"/>
    </row>
    <row r="307" spans="1:11" ht="15.75" customHeight="1">
      <c r="A307" s="2"/>
      <c r="B307" s="1"/>
      <c r="C307" s="1"/>
      <c r="D307" s="1"/>
      <c r="E307" s="1"/>
      <c r="F307" s="1"/>
      <c r="G307" s="1"/>
      <c r="H307" s="1"/>
      <c r="I307" s="61"/>
      <c r="J307" s="1"/>
      <c r="K307" s="1"/>
    </row>
    <row r="308" spans="1:11" ht="15.75" customHeight="1">
      <c r="A308" s="2"/>
      <c r="B308" s="1"/>
      <c r="C308" s="1"/>
      <c r="D308" s="1"/>
      <c r="E308" s="1"/>
      <c r="F308" s="1"/>
      <c r="G308" s="1"/>
      <c r="H308" s="1"/>
      <c r="I308" s="61"/>
      <c r="J308" s="1"/>
      <c r="K308" s="1"/>
    </row>
    <row r="309" spans="1:11" ht="15.75" customHeight="1">
      <c r="A309" s="2"/>
      <c r="B309" s="1"/>
      <c r="C309" s="1"/>
      <c r="D309" s="1"/>
      <c r="E309" s="1"/>
      <c r="F309" s="1"/>
      <c r="G309" s="1"/>
      <c r="H309" s="1"/>
      <c r="I309" s="61"/>
      <c r="J309" s="1"/>
      <c r="K309" s="1"/>
    </row>
    <row r="310" spans="1:11" ht="15.75" customHeight="1">
      <c r="A310" s="2"/>
      <c r="B310" s="1"/>
      <c r="C310" s="1"/>
      <c r="D310" s="1"/>
      <c r="E310" s="1"/>
      <c r="F310" s="1"/>
      <c r="G310" s="1"/>
      <c r="H310" s="1"/>
      <c r="I310" s="61"/>
      <c r="J310" s="1"/>
      <c r="K310" s="1"/>
    </row>
    <row r="311" spans="1:11" ht="15.75" customHeight="1">
      <c r="A311" s="2"/>
      <c r="B311" s="1"/>
      <c r="C311" s="1"/>
      <c r="D311" s="1"/>
      <c r="E311" s="1"/>
      <c r="F311" s="1"/>
      <c r="G311" s="1"/>
      <c r="H311" s="1"/>
      <c r="I311" s="61"/>
      <c r="J311" s="1"/>
      <c r="K311" s="1"/>
    </row>
    <row r="312" spans="1:11" ht="15.75" customHeight="1">
      <c r="A312" s="2"/>
      <c r="B312" s="1"/>
      <c r="C312" s="1"/>
      <c r="D312" s="1"/>
      <c r="E312" s="1"/>
      <c r="F312" s="1"/>
      <c r="G312" s="1"/>
      <c r="H312" s="1"/>
      <c r="I312" s="61"/>
      <c r="J312" s="1"/>
      <c r="K312" s="1"/>
    </row>
    <row r="313" spans="1:11" ht="15.75" customHeight="1">
      <c r="A313" s="2"/>
      <c r="B313" s="1"/>
      <c r="C313" s="1"/>
      <c r="D313" s="1"/>
      <c r="E313" s="1"/>
      <c r="F313" s="1"/>
      <c r="G313" s="1"/>
      <c r="H313" s="1"/>
      <c r="I313" s="61"/>
      <c r="J313" s="1"/>
      <c r="K313" s="1"/>
    </row>
    <row r="314" spans="1:11" ht="15.75" customHeight="1">
      <c r="A314" s="2"/>
      <c r="B314" s="1"/>
      <c r="C314" s="1"/>
      <c r="D314" s="1"/>
      <c r="E314" s="1"/>
      <c r="F314" s="1"/>
      <c r="G314" s="1"/>
      <c r="H314" s="1"/>
      <c r="I314" s="61"/>
      <c r="J314" s="1"/>
      <c r="K314" s="1"/>
    </row>
    <row r="315" spans="1:11" ht="15.75" customHeight="1">
      <c r="A315" s="2"/>
      <c r="B315" s="1"/>
      <c r="C315" s="1"/>
      <c r="D315" s="1"/>
      <c r="E315" s="1"/>
      <c r="F315" s="1"/>
      <c r="G315" s="1"/>
      <c r="H315" s="1"/>
      <c r="I315" s="61"/>
      <c r="J315" s="1"/>
      <c r="K315" s="1"/>
    </row>
    <row r="316" spans="1:11" ht="15.75" customHeight="1">
      <c r="A316" s="2"/>
      <c r="B316" s="1"/>
      <c r="C316" s="1"/>
      <c r="D316" s="1"/>
      <c r="E316" s="1"/>
      <c r="F316" s="1"/>
      <c r="G316" s="1"/>
      <c r="H316" s="1"/>
      <c r="I316" s="61"/>
      <c r="J316" s="1"/>
      <c r="K316" s="1"/>
    </row>
    <row r="317" spans="1:11" ht="15.75" customHeight="1">
      <c r="A317" s="2"/>
      <c r="B317" s="1"/>
      <c r="C317" s="1"/>
      <c r="D317" s="1"/>
      <c r="E317" s="1"/>
      <c r="F317" s="1"/>
      <c r="G317" s="1"/>
      <c r="H317" s="1"/>
      <c r="I317" s="61"/>
      <c r="J317" s="1"/>
      <c r="K317" s="1"/>
    </row>
    <row r="318" spans="1:11" ht="15.75" customHeight="1">
      <c r="A318" s="2"/>
      <c r="B318" s="1"/>
      <c r="C318" s="1"/>
      <c r="D318" s="1"/>
      <c r="E318" s="1"/>
      <c r="F318" s="1"/>
      <c r="G318" s="1"/>
      <c r="H318" s="1"/>
      <c r="I318" s="61"/>
      <c r="J318" s="1"/>
      <c r="K318" s="1"/>
    </row>
    <row r="319" spans="1:11" ht="15.75" customHeight="1">
      <c r="A319" s="2"/>
      <c r="B319" s="1"/>
      <c r="C319" s="1"/>
      <c r="D319" s="1"/>
      <c r="E319" s="1"/>
      <c r="F319" s="1"/>
      <c r="G319" s="1"/>
      <c r="H319" s="1"/>
      <c r="I319" s="61"/>
      <c r="J319" s="1"/>
      <c r="K319" s="1"/>
    </row>
    <row r="320" spans="1:11" ht="15.75" customHeight="1">
      <c r="A320" s="2"/>
      <c r="B320" s="1"/>
      <c r="C320" s="1"/>
      <c r="D320" s="1"/>
      <c r="E320" s="1"/>
      <c r="F320" s="1"/>
      <c r="G320" s="1"/>
      <c r="H320" s="1"/>
      <c r="I320" s="61"/>
      <c r="J320" s="1"/>
      <c r="K320" s="1"/>
    </row>
    <row r="321" spans="1:11" ht="15.75" customHeight="1">
      <c r="A321" s="2"/>
      <c r="B321" s="1"/>
      <c r="C321" s="1"/>
      <c r="D321" s="1"/>
      <c r="E321" s="1"/>
      <c r="F321" s="1"/>
      <c r="G321" s="1"/>
      <c r="H321" s="1"/>
      <c r="I321" s="61"/>
      <c r="J321" s="1"/>
      <c r="K321" s="1"/>
    </row>
    <row r="322" spans="1:11" ht="15.75" customHeight="1">
      <c r="A322" s="2"/>
      <c r="B322" s="1"/>
      <c r="C322" s="1"/>
      <c r="D322" s="1"/>
      <c r="E322" s="1"/>
      <c r="F322" s="1"/>
      <c r="G322" s="1"/>
      <c r="H322" s="1"/>
      <c r="I322" s="61"/>
      <c r="J322" s="1"/>
      <c r="K322" s="1"/>
    </row>
    <row r="323" spans="1:11" ht="15.75" customHeight="1">
      <c r="A323" s="2"/>
      <c r="B323" s="1"/>
      <c r="C323" s="1"/>
      <c r="D323" s="1"/>
      <c r="E323" s="1"/>
      <c r="F323" s="1"/>
      <c r="G323" s="1"/>
      <c r="H323" s="1"/>
      <c r="I323" s="61"/>
      <c r="J323" s="1"/>
      <c r="K323" s="1"/>
    </row>
    <row r="324" spans="1:11" ht="15.75" customHeight="1">
      <c r="A324" s="2"/>
      <c r="B324" s="1"/>
      <c r="C324" s="1"/>
      <c r="D324" s="1"/>
      <c r="E324" s="1"/>
      <c r="F324" s="1"/>
      <c r="G324" s="1"/>
      <c r="H324" s="1"/>
      <c r="I324" s="61"/>
      <c r="J324" s="1"/>
      <c r="K324" s="1"/>
    </row>
    <row r="325" spans="1:11" ht="15.75" customHeight="1">
      <c r="A325" s="2"/>
      <c r="B325" s="1"/>
      <c r="C325" s="1"/>
      <c r="D325" s="1"/>
      <c r="E325" s="1"/>
      <c r="F325" s="1"/>
      <c r="G325" s="1"/>
      <c r="H325" s="1"/>
      <c r="I325" s="61"/>
      <c r="J325" s="1"/>
      <c r="K325" s="1"/>
    </row>
    <row r="326" spans="1:11" ht="15.75" customHeight="1">
      <c r="A326" s="2"/>
      <c r="B326" s="1"/>
      <c r="C326" s="1"/>
      <c r="D326" s="1"/>
      <c r="E326" s="1"/>
      <c r="F326" s="1"/>
      <c r="G326" s="1"/>
      <c r="H326" s="1"/>
      <c r="I326" s="61"/>
      <c r="J326" s="1"/>
      <c r="K326" s="1"/>
    </row>
    <row r="327" spans="1:11" ht="15.75" customHeight="1">
      <c r="A327" s="2"/>
      <c r="B327" s="1"/>
      <c r="C327" s="1"/>
      <c r="D327" s="1"/>
      <c r="E327" s="1"/>
      <c r="F327" s="1"/>
      <c r="G327" s="1"/>
      <c r="H327" s="1"/>
      <c r="I327" s="61"/>
      <c r="J327" s="1"/>
      <c r="K327" s="1"/>
    </row>
    <row r="328" spans="1:11" ht="15.75" customHeight="1">
      <c r="A328" s="2"/>
      <c r="B328" s="1"/>
      <c r="C328" s="1"/>
      <c r="D328" s="1"/>
      <c r="E328" s="1"/>
      <c r="F328" s="1"/>
      <c r="G328" s="1"/>
      <c r="H328" s="1"/>
      <c r="I328" s="61"/>
      <c r="J328" s="1"/>
      <c r="K328" s="1"/>
    </row>
    <row r="329" spans="1:11" ht="15.75" customHeight="1">
      <c r="A329" s="2"/>
      <c r="B329" s="1"/>
      <c r="C329" s="1"/>
      <c r="D329" s="1"/>
      <c r="E329" s="1"/>
      <c r="F329" s="1"/>
      <c r="G329" s="1"/>
      <c r="H329" s="1"/>
      <c r="I329" s="61"/>
      <c r="J329" s="1"/>
      <c r="K329" s="1"/>
    </row>
    <row r="330" spans="1:11" ht="15.75" customHeight="1">
      <c r="A330" s="2"/>
      <c r="B330" s="1"/>
      <c r="C330" s="1"/>
      <c r="D330" s="1"/>
      <c r="E330" s="1"/>
      <c r="F330" s="1"/>
      <c r="G330" s="1"/>
      <c r="H330" s="1"/>
      <c r="I330" s="61"/>
      <c r="J330" s="1"/>
      <c r="K330" s="1"/>
    </row>
    <row r="331" spans="1:11" ht="15.75" customHeight="1">
      <c r="A331" s="2"/>
      <c r="B331" s="1"/>
      <c r="C331" s="1"/>
      <c r="D331" s="1"/>
      <c r="E331" s="1"/>
      <c r="F331" s="1"/>
      <c r="G331" s="1"/>
      <c r="H331" s="1"/>
      <c r="I331" s="61"/>
      <c r="J331" s="1"/>
      <c r="K331" s="1"/>
    </row>
    <row r="332" spans="1:11" ht="15.75" customHeight="1">
      <c r="A332" s="2"/>
      <c r="B332" s="1"/>
      <c r="C332" s="1"/>
      <c r="D332" s="1"/>
      <c r="E332" s="1"/>
      <c r="F332" s="1"/>
      <c r="G332" s="1"/>
      <c r="H332" s="1"/>
      <c r="I332" s="61"/>
      <c r="J332" s="1"/>
      <c r="K332" s="1"/>
    </row>
    <row r="333" spans="1:11" ht="15.75" customHeight="1">
      <c r="A333" s="2"/>
      <c r="B333" s="1"/>
      <c r="C333" s="1"/>
      <c r="D333" s="1"/>
      <c r="E333" s="1"/>
      <c r="F333" s="1"/>
      <c r="G333" s="1"/>
      <c r="H333" s="1"/>
      <c r="I333" s="61"/>
      <c r="J333" s="1"/>
      <c r="K333" s="1"/>
    </row>
    <row r="334" spans="1:11" ht="15.75" customHeight="1">
      <c r="A334" s="2"/>
      <c r="B334" s="1"/>
      <c r="C334" s="1"/>
      <c r="D334" s="1"/>
      <c r="E334" s="1"/>
      <c r="F334" s="1"/>
      <c r="G334" s="1"/>
      <c r="H334" s="1"/>
      <c r="I334" s="61"/>
      <c r="J334" s="1"/>
      <c r="K334" s="1"/>
    </row>
    <row r="335" spans="1:11" ht="15.75" customHeight="1">
      <c r="A335" s="2"/>
      <c r="B335" s="1"/>
      <c r="C335" s="1"/>
      <c r="D335" s="1"/>
      <c r="E335" s="1"/>
      <c r="F335" s="1"/>
      <c r="G335" s="1"/>
      <c r="H335" s="1"/>
      <c r="I335" s="61"/>
      <c r="J335" s="1"/>
      <c r="K335" s="1"/>
    </row>
    <row r="336" spans="1:11" ht="15.75" customHeight="1">
      <c r="A336" s="2"/>
      <c r="B336" s="1"/>
      <c r="C336" s="1"/>
      <c r="D336" s="1"/>
      <c r="E336" s="1"/>
      <c r="F336" s="1"/>
      <c r="G336" s="1"/>
      <c r="H336" s="1"/>
      <c r="I336" s="61"/>
      <c r="J336" s="1"/>
      <c r="K336" s="1"/>
    </row>
    <row r="337" spans="1:11" ht="15.75" customHeight="1">
      <c r="A337" s="2"/>
      <c r="B337" s="1"/>
      <c r="C337" s="1"/>
      <c r="D337" s="1"/>
      <c r="E337" s="1"/>
      <c r="F337" s="1"/>
      <c r="G337" s="1"/>
      <c r="H337" s="1"/>
      <c r="I337" s="61"/>
      <c r="J337" s="1"/>
      <c r="K337" s="1"/>
    </row>
    <row r="338" spans="1:11" ht="15.75" customHeight="1">
      <c r="A338" s="2"/>
      <c r="B338" s="1"/>
      <c r="C338" s="1"/>
      <c r="D338" s="1"/>
      <c r="E338" s="1"/>
      <c r="F338" s="1"/>
      <c r="G338" s="1"/>
      <c r="H338" s="1"/>
      <c r="I338" s="61"/>
      <c r="J338" s="1"/>
      <c r="K338" s="1"/>
    </row>
    <row r="339" spans="1:11" ht="15.75" customHeight="1">
      <c r="A339" s="2"/>
      <c r="B339" s="1"/>
      <c r="C339" s="1"/>
      <c r="D339" s="1"/>
      <c r="E339" s="1"/>
      <c r="F339" s="1"/>
      <c r="G339" s="1"/>
      <c r="H339" s="1"/>
      <c r="I339" s="61"/>
      <c r="J339" s="1"/>
      <c r="K339" s="1"/>
    </row>
    <row r="340" spans="1:11" ht="15.75" customHeight="1">
      <c r="A340" s="2"/>
      <c r="B340" s="1"/>
      <c r="C340" s="1"/>
      <c r="D340" s="1"/>
      <c r="E340" s="1"/>
      <c r="F340" s="1"/>
      <c r="G340" s="1"/>
      <c r="H340" s="1"/>
      <c r="I340" s="61"/>
      <c r="J340" s="1"/>
      <c r="K340" s="1"/>
    </row>
    <row r="341" spans="1:11" ht="15.75" customHeight="1">
      <c r="A341" s="2"/>
      <c r="B341" s="1"/>
      <c r="C341" s="1"/>
      <c r="D341" s="1"/>
      <c r="E341" s="1"/>
      <c r="F341" s="1"/>
      <c r="G341" s="1"/>
      <c r="H341" s="1"/>
      <c r="I341" s="61"/>
      <c r="J341" s="1"/>
      <c r="K341" s="1"/>
    </row>
    <row r="342" spans="1:11" ht="15.75" customHeight="1">
      <c r="A342" s="2"/>
      <c r="B342" s="1"/>
      <c r="C342" s="1"/>
      <c r="D342" s="1"/>
      <c r="E342" s="1"/>
      <c r="F342" s="1"/>
      <c r="G342" s="1"/>
      <c r="H342" s="1"/>
      <c r="I342" s="61"/>
      <c r="J342" s="1"/>
      <c r="K342" s="1"/>
    </row>
    <row r="343" spans="1:11" ht="15.75" customHeight="1">
      <c r="A343" s="2"/>
      <c r="B343" s="1"/>
      <c r="C343" s="1"/>
      <c r="D343" s="1"/>
      <c r="E343" s="1"/>
      <c r="F343" s="1"/>
      <c r="G343" s="1"/>
      <c r="H343" s="1"/>
      <c r="I343" s="61"/>
      <c r="J343" s="1"/>
      <c r="K343" s="1"/>
    </row>
    <row r="344" spans="1:11" ht="15.75" customHeight="1">
      <c r="A344" s="2"/>
      <c r="B344" s="1"/>
      <c r="C344" s="1"/>
      <c r="D344" s="1"/>
      <c r="E344" s="1"/>
      <c r="F344" s="1"/>
      <c r="G344" s="1"/>
      <c r="H344" s="1"/>
      <c r="I344" s="61"/>
      <c r="J344" s="1"/>
      <c r="K344" s="1"/>
    </row>
    <row r="345" spans="1:11" ht="15.75" customHeight="1">
      <c r="A345" s="2"/>
      <c r="B345" s="1"/>
      <c r="C345" s="1"/>
      <c r="D345" s="1"/>
      <c r="E345" s="1"/>
      <c r="F345" s="1"/>
      <c r="G345" s="1"/>
      <c r="H345" s="1"/>
      <c r="I345" s="61"/>
      <c r="J345" s="1"/>
      <c r="K345" s="1"/>
    </row>
    <row r="346" spans="1:11" ht="15.75" customHeight="1">
      <c r="A346" s="2"/>
      <c r="B346" s="1"/>
      <c r="C346" s="1"/>
      <c r="D346" s="1"/>
      <c r="E346" s="1"/>
      <c r="F346" s="1"/>
      <c r="G346" s="1"/>
      <c r="H346" s="1"/>
      <c r="I346" s="61"/>
      <c r="J346" s="1"/>
      <c r="K346" s="1"/>
    </row>
    <row r="347" spans="1:11" ht="15.75" customHeight="1">
      <c r="A347" s="2"/>
      <c r="B347" s="1"/>
      <c r="C347" s="1"/>
      <c r="D347" s="1"/>
      <c r="E347" s="1"/>
      <c r="F347" s="1"/>
      <c r="G347" s="1"/>
      <c r="H347" s="1"/>
      <c r="I347" s="61"/>
      <c r="J347" s="1"/>
      <c r="K347" s="1"/>
    </row>
    <row r="348" spans="1:11" ht="15.75" customHeight="1">
      <c r="A348" s="2"/>
      <c r="B348" s="1"/>
      <c r="C348" s="1"/>
      <c r="D348" s="1"/>
      <c r="E348" s="1"/>
      <c r="F348" s="1"/>
      <c r="G348" s="1"/>
      <c r="H348" s="1"/>
      <c r="I348" s="61"/>
      <c r="J348" s="1"/>
      <c r="K348" s="1"/>
    </row>
    <row r="349" spans="1:11" ht="15.75" customHeight="1">
      <c r="A349" s="2"/>
      <c r="B349" s="1"/>
      <c r="C349" s="1"/>
      <c r="D349" s="1"/>
      <c r="E349" s="1"/>
      <c r="F349" s="1"/>
      <c r="G349" s="1"/>
      <c r="H349" s="1"/>
      <c r="I349" s="61"/>
      <c r="J349" s="1"/>
      <c r="K349" s="1"/>
    </row>
    <row r="350" spans="1:11" ht="15.75" customHeight="1">
      <c r="A350" s="2"/>
      <c r="B350" s="1"/>
      <c r="C350" s="1"/>
      <c r="D350" s="1"/>
      <c r="E350" s="1"/>
      <c r="F350" s="1"/>
      <c r="G350" s="1"/>
      <c r="H350" s="1"/>
      <c r="I350" s="61"/>
      <c r="J350" s="1"/>
      <c r="K350" s="1"/>
    </row>
    <row r="351" spans="1:11" ht="15.75" customHeight="1">
      <c r="A351" s="2"/>
      <c r="B351" s="1"/>
      <c r="C351" s="1"/>
      <c r="D351" s="1"/>
      <c r="E351" s="1"/>
      <c r="F351" s="1"/>
      <c r="G351" s="1"/>
      <c r="H351" s="1"/>
      <c r="I351" s="61"/>
      <c r="J351" s="1"/>
      <c r="K351" s="1"/>
    </row>
    <row r="352" spans="1:11" ht="15.75" customHeight="1">
      <c r="A352" s="2"/>
      <c r="B352" s="1"/>
      <c r="C352" s="1"/>
      <c r="D352" s="1"/>
      <c r="E352" s="1"/>
      <c r="F352" s="1"/>
      <c r="G352" s="1"/>
      <c r="H352" s="1"/>
      <c r="I352" s="61"/>
      <c r="J352" s="1"/>
      <c r="K352" s="1"/>
    </row>
    <row r="353" spans="1:11" ht="15.75" customHeight="1">
      <c r="A353" s="2"/>
      <c r="B353" s="1"/>
      <c r="C353" s="1"/>
      <c r="D353" s="1"/>
      <c r="E353" s="1"/>
      <c r="F353" s="1"/>
      <c r="G353" s="1"/>
      <c r="H353" s="1"/>
      <c r="I353" s="61"/>
      <c r="J353" s="1"/>
      <c r="K353" s="1"/>
    </row>
    <row r="354" spans="1:11" ht="15.75" customHeight="1">
      <c r="A354" s="2"/>
      <c r="B354" s="1"/>
      <c r="C354" s="1"/>
      <c r="D354" s="1"/>
      <c r="E354" s="1"/>
      <c r="F354" s="1"/>
      <c r="G354" s="1"/>
      <c r="H354" s="1"/>
      <c r="I354" s="61"/>
      <c r="J354" s="1"/>
      <c r="K354" s="1"/>
    </row>
    <row r="355" spans="1:11" ht="15.75" customHeight="1">
      <c r="A355" s="2"/>
      <c r="B355" s="1"/>
      <c r="C355" s="1"/>
      <c r="D355" s="1"/>
      <c r="E355" s="1"/>
      <c r="F355" s="1"/>
      <c r="G355" s="1"/>
      <c r="H355" s="1"/>
      <c r="I355" s="61"/>
      <c r="J355" s="1"/>
      <c r="K355" s="1"/>
    </row>
    <row r="356" spans="1:11" ht="15.75" customHeight="1">
      <c r="A356" s="2"/>
      <c r="B356" s="1"/>
      <c r="C356" s="1"/>
      <c r="D356" s="1"/>
      <c r="E356" s="1"/>
      <c r="F356" s="1"/>
      <c r="G356" s="1"/>
      <c r="H356" s="1"/>
      <c r="I356" s="61"/>
      <c r="J356" s="1"/>
      <c r="K356" s="1"/>
    </row>
    <row r="357" spans="1:11" ht="15.75" customHeight="1">
      <c r="A357" s="2"/>
      <c r="B357" s="1"/>
      <c r="C357" s="1"/>
      <c r="D357" s="1"/>
      <c r="E357" s="1"/>
      <c r="F357" s="1"/>
      <c r="G357" s="1"/>
      <c r="H357" s="1"/>
      <c r="I357" s="61"/>
      <c r="J357" s="1"/>
      <c r="K357" s="1"/>
    </row>
    <row r="358" spans="1:11" ht="15.75" customHeight="1">
      <c r="A358" s="2"/>
      <c r="B358" s="1"/>
      <c r="C358" s="1"/>
      <c r="D358" s="1"/>
      <c r="E358" s="1"/>
      <c r="F358" s="1"/>
      <c r="G358" s="1"/>
      <c r="H358" s="1"/>
      <c r="I358" s="61"/>
      <c r="J358" s="1"/>
      <c r="K358" s="1"/>
    </row>
    <row r="359" spans="1:11" ht="15.75" customHeight="1">
      <c r="A359" s="2"/>
      <c r="B359" s="1"/>
      <c r="C359" s="1"/>
      <c r="D359" s="1"/>
      <c r="E359" s="1"/>
      <c r="F359" s="1"/>
      <c r="G359" s="1"/>
      <c r="H359" s="1"/>
      <c r="I359" s="61"/>
      <c r="J359" s="1"/>
      <c r="K359" s="1"/>
    </row>
    <row r="360" spans="1:11" ht="15.75" customHeight="1">
      <c r="A360" s="2"/>
      <c r="B360" s="1"/>
      <c r="C360" s="1"/>
      <c r="D360" s="1"/>
      <c r="E360" s="1"/>
      <c r="F360" s="1"/>
      <c r="G360" s="1"/>
      <c r="H360" s="1"/>
      <c r="I360" s="61"/>
      <c r="J360" s="1"/>
      <c r="K360" s="1"/>
    </row>
    <row r="361" spans="1:11" ht="15.75" customHeight="1">
      <c r="A361" s="2"/>
      <c r="B361" s="1"/>
      <c r="C361" s="1"/>
      <c r="D361" s="1"/>
      <c r="E361" s="1"/>
      <c r="F361" s="1"/>
      <c r="G361" s="1"/>
      <c r="H361" s="1"/>
      <c r="I361" s="61"/>
      <c r="J361" s="1"/>
      <c r="K361" s="1"/>
    </row>
    <row r="362" spans="1:11" ht="15.75" customHeight="1">
      <c r="A362" s="2"/>
      <c r="B362" s="1"/>
      <c r="C362" s="1"/>
      <c r="D362" s="1"/>
      <c r="E362" s="1"/>
      <c r="F362" s="1"/>
      <c r="G362" s="1"/>
      <c r="H362" s="1"/>
      <c r="I362" s="61"/>
      <c r="J362" s="1"/>
      <c r="K362" s="1"/>
    </row>
    <row r="363" spans="1:11" ht="15.75" customHeight="1">
      <c r="A363" s="2"/>
      <c r="B363" s="1"/>
      <c r="C363" s="1"/>
      <c r="D363" s="1"/>
      <c r="E363" s="1"/>
      <c r="F363" s="1"/>
      <c r="G363" s="1"/>
      <c r="H363" s="1"/>
      <c r="I363" s="61"/>
      <c r="J363" s="1"/>
      <c r="K363" s="1"/>
    </row>
    <row r="364" spans="1:11" ht="15.75" customHeight="1">
      <c r="A364" s="2"/>
      <c r="B364" s="1"/>
      <c r="C364" s="1"/>
      <c r="D364" s="1"/>
      <c r="E364" s="1"/>
      <c r="F364" s="1"/>
      <c r="G364" s="1"/>
      <c r="H364" s="1"/>
      <c r="I364" s="61"/>
      <c r="J364" s="1"/>
      <c r="K364" s="1"/>
    </row>
    <row r="365" spans="1:11" ht="15.75" customHeight="1">
      <c r="A365" s="2"/>
      <c r="B365" s="1"/>
      <c r="C365" s="1"/>
      <c r="D365" s="1"/>
      <c r="E365" s="1"/>
      <c r="F365" s="1"/>
      <c r="G365" s="1"/>
      <c r="H365" s="1"/>
      <c r="I365" s="61"/>
      <c r="J365" s="1"/>
      <c r="K365" s="1"/>
    </row>
    <row r="366" spans="1:11" ht="15.75" customHeight="1">
      <c r="A366" s="2"/>
      <c r="B366" s="1"/>
      <c r="C366" s="1"/>
      <c r="D366" s="1"/>
      <c r="E366" s="1"/>
      <c r="F366" s="1"/>
      <c r="G366" s="1"/>
      <c r="H366" s="1"/>
      <c r="I366" s="61"/>
      <c r="J366" s="1"/>
      <c r="K366" s="1"/>
    </row>
    <row r="367" spans="1:11" ht="15.75" customHeight="1">
      <c r="A367" s="2"/>
      <c r="B367" s="1"/>
      <c r="C367" s="1"/>
      <c r="D367" s="1"/>
      <c r="E367" s="1"/>
      <c r="F367" s="1"/>
      <c r="G367" s="1"/>
      <c r="H367" s="1"/>
      <c r="I367" s="61"/>
      <c r="J367" s="1"/>
      <c r="K367" s="1"/>
    </row>
    <row r="368" spans="1:11" ht="15.75" customHeight="1">
      <c r="A368" s="2"/>
      <c r="B368" s="1"/>
      <c r="C368" s="1"/>
      <c r="D368" s="1"/>
      <c r="E368" s="1"/>
      <c r="F368" s="1"/>
      <c r="G368" s="1"/>
      <c r="H368" s="1"/>
      <c r="I368" s="61"/>
      <c r="J368" s="1"/>
      <c r="K368" s="1"/>
    </row>
    <row r="369" spans="1:11" ht="15.75" customHeight="1">
      <c r="A369" s="2"/>
      <c r="B369" s="1"/>
      <c r="C369" s="1"/>
      <c r="D369" s="1"/>
      <c r="E369" s="1"/>
      <c r="F369" s="1"/>
      <c r="G369" s="1"/>
      <c r="H369" s="1"/>
      <c r="I369" s="61"/>
      <c r="J369" s="1"/>
      <c r="K369" s="1"/>
    </row>
    <row r="370" spans="1:11" ht="15.75" customHeight="1">
      <c r="A370" s="2"/>
      <c r="B370" s="1"/>
      <c r="C370" s="1"/>
      <c r="D370" s="1"/>
      <c r="E370" s="1"/>
      <c r="F370" s="1"/>
      <c r="G370" s="1"/>
      <c r="H370" s="1"/>
      <c r="I370" s="61"/>
      <c r="J370" s="1"/>
      <c r="K370" s="1"/>
    </row>
    <row r="371" spans="1:11" ht="15.75" customHeight="1">
      <c r="A371" s="2"/>
      <c r="B371" s="1"/>
      <c r="C371" s="1"/>
      <c r="D371" s="1"/>
      <c r="E371" s="1"/>
      <c r="F371" s="1"/>
      <c r="G371" s="1"/>
      <c r="H371" s="1"/>
      <c r="I371" s="61"/>
      <c r="J371" s="1"/>
      <c r="K371" s="1"/>
    </row>
    <row r="372" spans="1:11" ht="15.75" customHeight="1">
      <c r="A372" s="2"/>
      <c r="B372" s="1"/>
      <c r="C372" s="1"/>
      <c r="D372" s="1"/>
      <c r="E372" s="1"/>
      <c r="F372" s="1"/>
      <c r="G372" s="1"/>
      <c r="H372" s="1"/>
      <c r="I372" s="61"/>
      <c r="J372" s="1"/>
      <c r="K372" s="1"/>
    </row>
    <row r="373" spans="1:11" ht="15.75" customHeight="1">
      <c r="A373" s="2"/>
      <c r="B373" s="1"/>
      <c r="C373" s="1"/>
      <c r="D373" s="1"/>
      <c r="E373" s="1"/>
      <c r="F373" s="1"/>
      <c r="G373" s="1"/>
      <c r="H373" s="1"/>
      <c r="I373" s="61"/>
      <c r="J373" s="1"/>
      <c r="K373" s="1"/>
    </row>
    <row r="374" spans="1:11" ht="15.75" customHeight="1">
      <c r="A374" s="2"/>
      <c r="B374" s="1"/>
      <c r="C374" s="1"/>
      <c r="D374" s="1"/>
      <c r="E374" s="1"/>
      <c r="F374" s="1"/>
      <c r="G374" s="1"/>
      <c r="H374" s="1"/>
      <c r="I374" s="61"/>
      <c r="J374" s="1"/>
      <c r="K374" s="1"/>
    </row>
    <row r="375" spans="1:11" ht="15.75" customHeight="1">
      <c r="A375" s="2"/>
      <c r="B375" s="1"/>
      <c r="C375" s="1"/>
      <c r="D375" s="1"/>
      <c r="E375" s="1"/>
      <c r="F375" s="1"/>
      <c r="G375" s="1"/>
      <c r="H375" s="1"/>
      <c r="I375" s="61"/>
      <c r="J375" s="1"/>
      <c r="K375" s="1"/>
    </row>
    <row r="376" spans="1:11" ht="15.75" customHeight="1">
      <c r="A376" s="2"/>
      <c r="B376" s="1"/>
      <c r="C376" s="1"/>
      <c r="D376" s="1"/>
      <c r="E376" s="1"/>
      <c r="F376" s="1"/>
      <c r="G376" s="1"/>
      <c r="H376" s="1"/>
      <c r="I376" s="61"/>
      <c r="J376" s="1"/>
      <c r="K376" s="1"/>
    </row>
    <row r="377" spans="1:11" ht="15.75" customHeight="1">
      <c r="A377" s="2"/>
      <c r="B377" s="1"/>
      <c r="C377" s="1"/>
      <c r="D377" s="1"/>
      <c r="E377" s="1"/>
      <c r="F377" s="1"/>
      <c r="G377" s="1"/>
      <c r="H377" s="1"/>
      <c r="I377" s="61"/>
      <c r="J377" s="1"/>
      <c r="K377" s="1"/>
    </row>
    <row r="378" spans="1:11" ht="15.75" customHeight="1">
      <c r="A378" s="2"/>
      <c r="B378" s="1"/>
      <c r="C378" s="1"/>
      <c r="D378" s="1"/>
      <c r="E378" s="1"/>
      <c r="F378" s="1"/>
      <c r="G378" s="1"/>
      <c r="H378" s="1"/>
      <c r="I378" s="61"/>
      <c r="J378" s="1"/>
      <c r="K378" s="1"/>
    </row>
    <row r="379" spans="1:11" ht="15.75" customHeight="1">
      <c r="A379" s="2"/>
      <c r="B379" s="1"/>
      <c r="C379" s="1"/>
      <c r="D379" s="1"/>
      <c r="E379" s="1"/>
      <c r="F379" s="1"/>
      <c r="G379" s="1"/>
      <c r="H379" s="1"/>
      <c r="I379" s="61"/>
      <c r="J379" s="1"/>
      <c r="K379" s="1"/>
    </row>
    <row r="380" spans="1:11" ht="15.75" customHeight="1">
      <c r="A380" s="2"/>
      <c r="B380" s="1"/>
      <c r="C380" s="1"/>
      <c r="D380" s="1"/>
      <c r="E380" s="1"/>
      <c r="F380" s="1"/>
      <c r="G380" s="1"/>
      <c r="H380" s="1"/>
      <c r="I380" s="61"/>
      <c r="J380" s="1"/>
      <c r="K380" s="1"/>
    </row>
    <row r="381" spans="1:11" ht="15.75" customHeight="1">
      <c r="A381" s="2"/>
      <c r="B381" s="1"/>
      <c r="C381" s="1"/>
      <c r="D381" s="1"/>
      <c r="E381" s="1"/>
      <c r="F381" s="1"/>
      <c r="G381" s="1"/>
      <c r="H381" s="1"/>
      <c r="I381" s="61"/>
      <c r="J381" s="1"/>
      <c r="K381" s="1"/>
    </row>
    <row r="382" spans="1:11" ht="15.75" customHeight="1">
      <c r="A382" s="2"/>
      <c r="B382" s="1"/>
      <c r="C382" s="1"/>
      <c r="D382" s="1"/>
      <c r="E382" s="1"/>
      <c r="F382" s="1"/>
      <c r="G382" s="1"/>
      <c r="H382" s="1"/>
      <c r="I382" s="61"/>
      <c r="J382" s="1"/>
      <c r="K382" s="1"/>
    </row>
    <row r="383" spans="1:11" ht="15.75" customHeight="1">
      <c r="A383" s="2"/>
      <c r="B383" s="1"/>
      <c r="C383" s="1"/>
      <c r="D383" s="1"/>
      <c r="E383" s="1"/>
      <c r="F383" s="1"/>
      <c r="G383" s="1"/>
      <c r="H383" s="1"/>
      <c r="I383" s="61"/>
      <c r="J383" s="1"/>
      <c r="K383" s="1"/>
    </row>
    <row r="384" spans="1:11" ht="15.75" customHeight="1">
      <c r="A384" s="2"/>
      <c r="B384" s="1"/>
      <c r="C384" s="1"/>
      <c r="D384" s="1"/>
      <c r="E384" s="1"/>
      <c r="F384" s="1"/>
      <c r="G384" s="1"/>
      <c r="H384" s="1"/>
      <c r="I384" s="61"/>
      <c r="J384" s="1"/>
      <c r="K384" s="1"/>
    </row>
    <row r="385" spans="1:11" ht="15.75" customHeight="1">
      <c r="A385" s="2"/>
      <c r="B385" s="1"/>
      <c r="C385" s="1"/>
      <c r="D385" s="1"/>
      <c r="E385" s="1"/>
      <c r="F385" s="1"/>
      <c r="G385" s="1"/>
      <c r="H385" s="1"/>
      <c r="I385" s="61"/>
      <c r="J385" s="1"/>
      <c r="K385" s="1"/>
    </row>
    <row r="386" spans="1:11" ht="15.75" customHeight="1">
      <c r="A386" s="2"/>
      <c r="B386" s="1"/>
      <c r="C386" s="1"/>
      <c r="D386" s="1"/>
      <c r="E386" s="1"/>
      <c r="F386" s="1"/>
      <c r="G386" s="1"/>
      <c r="H386" s="1"/>
      <c r="I386" s="61"/>
      <c r="J386" s="1"/>
      <c r="K386" s="1"/>
    </row>
    <row r="387" spans="1:11" ht="15.75" customHeight="1">
      <c r="A387" s="2"/>
      <c r="B387" s="1"/>
      <c r="C387" s="1"/>
      <c r="D387" s="1"/>
      <c r="E387" s="1"/>
      <c r="F387" s="1"/>
      <c r="G387" s="1"/>
      <c r="H387" s="1"/>
      <c r="I387" s="61"/>
      <c r="J387" s="1"/>
      <c r="K387" s="1"/>
    </row>
    <row r="388" spans="1:11" ht="15.75" customHeight="1">
      <c r="A388" s="2"/>
      <c r="B388" s="1"/>
      <c r="C388" s="1"/>
      <c r="D388" s="1"/>
      <c r="E388" s="1"/>
      <c r="F388" s="1"/>
      <c r="G388" s="1"/>
      <c r="H388" s="1"/>
      <c r="I388" s="61"/>
      <c r="J388" s="1"/>
      <c r="K388" s="1"/>
    </row>
    <row r="389" spans="1:11" ht="15.75" customHeight="1">
      <c r="A389" s="2"/>
      <c r="B389" s="1"/>
      <c r="C389" s="1"/>
      <c r="D389" s="1"/>
      <c r="E389" s="1"/>
      <c r="F389" s="1"/>
      <c r="G389" s="1"/>
      <c r="H389" s="1"/>
      <c r="I389" s="61"/>
      <c r="J389" s="1"/>
      <c r="K389" s="1"/>
    </row>
    <row r="390" spans="1:11" ht="15.75" customHeight="1">
      <c r="A390" s="2"/>
      <c r="B390" s="1"/>
      <c r="C390" s="1"/>
      <c r="D390" s="1"/>
      <c r="E390" s="1"/>
      <c r="F390" s="1"/>
      <c r="G390" s="1"/>
      <c r="H390" s="1"/>
      <c r="I390" s="61"/>
      <c r="J390" s="1"/>
      <c r="K390" s="1"/>
    </row>
    <row r="391" spans="1:11" ht="15.75" customHeight="1">
      <c r="A391" s="2"/>
      <c r="B391" s="1"/>
      <c r="C391" s="1"/>
      <c r="D391" s="1"/>
      <c r="E391" s="1"/>
      <c r="F391" s="1"/>
      <c r="G391" s="1"/>
      <c r="H391" s="1"/>
      <c r="I391" s="61"/>
      <c r="J391" s="1"/>
      <c r="K391" s="1"/>
    </row>
    <row r="392" spans="1:11" ht="15.75" customHeight="1">
      <c r="A392" s="2"/>
      <c r="B392" s="1"/>
      <c r="C392" s="1"/>
      <c r="D392" s="1"/>
      <c r="E392" s="1"/>
      <c r="F392" s="1"/>
      <c r="G392" s="1"/>
      <c r="H392" s="1"/>
      <c r="I392" s="61"/>
      <c r="J392" s="1"/>
      <c r="K392" s="1"/>
    </row>
    <row r="393" spans="1:11" ht="15.75" customHeight="1">
      <c r="A393" s="2"/>
      <c r="B393" s="1"/>
      <c r="C393" s="1"/>
      <c r="D393" s="1"/>
      <c r="E393" s="1"/>
      <c r="F393" s="1"/>
      <c r="G393" s="1"/>
      <c r="H393" s="1"/>
      <c r="I393" s="61"/>
      <c r="J393" s="1"/>
      <c r="K393" s="1"/>
    </row>
    <row r="394" spans="1:11" ht="15.75" customHeight="1">
      <c r="A394" s="2"/>
      <c r="B394" s="1"/>
      <c r="C394" s="1"/>
      <c r="D394" s="1"/>
      <c r="E394" s="1"/>
      <c r="F394" s="1"/>
      <c r="G394" s="1"/>
      <c r="H394" s="1"/>
      <c r="I394" s="61"/>
      <c r="J394" s="1"/>
      <c r="K394" s="1"/>
    </row>
    <row r="395" spans="1:11" ht="15.75" customHeight="1">
      <c r="A395" s="2"/>
      <c r="B395" s="1"/>
      <c r="C395" s="1"/>
      <c r="D395" s="1"/>
      <c r="E395" s="1"/>
      <c r="F395" s="1"/>
      <c r="G395" s="1"/>
      <c r="H395" s="1"/>
      <c r="I395" s="61"/>
      <c r="J395" s="1"/>
      <c r="K395" s="1"/>
    </row>
    <row r="396" spans="1:11" ht="15.75" customHeight="1">
      <c r="A396" s="2"/>
      <c r="B396" s="1"/>
      <c r="C396" s="1"/>
      <c r="D396" s="1"/>
      <c r="E396" s="1"/>
      <c r="F396" s="1"/>
      <c r="G396" s="1"/>
      <c r="H396" s="1"/>
      <c r="I396" s="61"/>
      <c r="J396" s="1"/>
      <c r="K396" s="1"/>
    </row>
    <row r="397" spans="1:11" ht="15.75" customHeight="1">
      <c r="A397" s="2"/>
      <c r="B397" s="1"/>
      <c r="C397" s="1"/>
      <c r="D397" s="1"/>
      <c r="E397" s="1"/>
      <c r="F397" s="1"/>
      <c r="G397" s="1"/>
      <c r="H397" s="1"/>
      <c r="I397" s="61"/>
      <c r="J397" s="1"/>
      <c r="K397" s="1"/>
    </row>
    <row r="398" spans="1:11" ht="15.75" customHeight="1">
      <c r="A398" s="2"/>
      <c r="B398" s="1"/>
      <c r="C398" s="1"/>
      <c r="D398" s="1"/>
      <c r="E398" s="1"/>
      <c r="F398" s="1"/>
      <c r="G398" s="1"/>
      <c r="H398" s="1"/>
      <c r="I398" s="61"/>
      <c r="J398" s="1"/>
      <c r="K398" s="1"/>
    </row>
    <row r="399" spans="1:11" ht="15.75" customHeight="1">
      <c r="A399" s="2"/>
      <c r="B399" s="1"/>
      <c r="C399" s="1"/>
      <c r="D399" s="1"/>
      <c r="E399" s="1"/>
      <c r="F399" s="1"/>
      <c r="G399" s="1"/>
      <c r="H399" s="1"/>
      <c r="I399" s="61"/>
      <c r="J399" s="1"/>
      <c r="K399" s="1"/>
    </row>
    <row r="400" spans="1:11" ht="15.75" customHeight="1">
      <c r="A400" s="2"/>
      <c r="B400" s="1"/>
      <c r="C400" s="1"/>
      <c r="D400" s="1"/>
      <c r="E400" s="1"/>
      <c r="F400" s="1"/>
      <c r="G400" s="1"/>
      <c r="H400" s="1"/>
      <c r="I400" s="61"/>
      <c r="J400" s="1"/>
      <c r="K400" s="1"/>
    </row>
    <row r="401" spans="1:11" ht="15.75" customHeight="1">
      <c r="A401" s="2"/>
      <c r="B401" s="1"/>
      <c r="C401" s="1"/>
      <c r="D401" s="1"/>
      <c r="E401" s="1"/>
      <c r="F401" s="1"/>
      <c r="G401" s="1"/>
      <c r="H401" s="1"/>
      <c r="I401" s="61"/>
      <c r="J401" s="1"/>
      <c r="K401" s="1"/>
    </row>
    <row r="402" spans="1:11" ht="15.75" customHeight="1">
      <c r="A402" s="2"/>
      <c r="B402" s="1"/>
      <c r="C402" s="1"/>
      <c r="D402" s="1"/>
      <c r="E402" s="1"/>
      <c r="F402" s="1"/>
      <c r="G402" s="1"/>
      <c r="H402" s="1"/>
      <c r="I402" s="61"/>
      <c r="J402" s="1"/>
      <c r="K402" s="1"/>
    </row>
    <row r="403" spans="1:11" ht="15.75" customHeight="1">
      <c r="A403" s="2"/>
      <c r="B403" s="1"/>
      <c r="C403" s="1"/>
      <c r="D403" s="1"/>
      <c r="E403" s="1"/>
      <c r="F403" s="1"/>
      <c r="G403" s="1"/>
      <c r="H403" s="1"/>
      <c r="I403" s="61"/>
      <c r="J403" s="1"/>
      <c r="K403" s="1"/>
    </row>
    <row r="404" spans="1:11" ht="15.75" customHeight="1">
      <c r="A404" s="2"/>
      <c r="B404" s="1"/>
      <c r="C404" s="1"/>
      <c r="D404" s="1"/>
      <c r="E404" s="1"/>
      <c r="F404" s="1"/>
      <c r="G404" s="1"/>
      <c r="H404" s="1"/>
      <c r="I404" s="61"/>
      <c r="J404" s="1"/>
      <c r="K404" s="1"/>
    </row>
    <row r="405" spans="1:11" ht="15.75" customHeight="1">
      <c r="A405" s="2"/>
      <c r="B405" s="1"/>
      <c r="C405" s="1"/>
      <c r="D405" s="1"/>
      <c r="E405" s="1"/>
      <c r="F405" s="1"/>
      <c r="G405" s="1"/>
      <c r="H405" s="1"/>
      <c r="I405" s="61"/>
      <c r="J405" s="1"/>
      <c r="K405" s="1"/>
    </row>
    <row r="406" spans="1:11" ht="15.75" customHeight="1">
      <c r="A406" s="2"/>
      <c r="B406" s="1"/>
      <c r="C406" s="1"/>
      <c r="D406" s="1"/>
      <c r="E406" s="1"/>
      <c r="F406" s="1"/>
      <c r="G406" s="1"/>
      <c r="H406" s="1"/>
      <c r="I406" s="61"/>
      <c r="J406" s="1"/>
      <c r="K406" s="1"/>
    </row>
    <row r="407" spans="1:11" ht="15.75" customHeight="1">
      <c r="A407" s="2"/>
      <c r="B407" s="1"/>
      <c r="C407" s="1"/>
      <c r="D407" s="1"/>
      <c r="E407" s="1"/>
      <c r="F407" s="1"/>
      <c r="G407" s="1"/>
      <c r="H407" s="1"/>
      <c r="I407" s="61"/>
      <c r="J407" s="1"/>
      <c r="K407" s="1"/>
    </row>
    <row r="408" spans="1:11" ht="15.75" customHeight="1">
      <c r="A408" s="2"/>
      <c r="B408" s="1"/>
      <c r="C408" s="1"/>
      <c r="D408" s="1"/>
      <c r="E408" s="1"/>
      <c r="F408" s="1"/>
      <c r="G408" s="1"/>
      <c r="H408" s="1"/>
      <c r="I408" s="61"/>
      <c r="J408" s="1"/>
      <c r="K408" s="1"/>
    </row>
    <row r="409" spans="1:11" ht="15.75" customHeight="1">
      <c r="A409" s="2"/>
      <c r="B409" s="1"/>
      <c r="C409" s="1"/>
      <c r="D409" s="1"/>
      <c r="E409" s="1"/>
      <c r="F409" s="1"/>
      <c r="G409" s="1"/>
      <c r="H409" s="1"/>
      <c r="I409" s="61"/>
      <c r="J409" s="1"/>
      <c r="K409" s="1"/>
    </row>
    <row r="410" spans="1:11" ht="15.75" customHeight="1">
      <c r="A410" s="2"/>
      <c r="B410" s="1"/>
      <c r="C410" s="1"/>
      <c r="D410" s="1"/>
      <c r="E410" s="1"/>
      <c r="F410" s="1"/>
      <c r="G410" s="1"/>
      <c r="H410" s="1"/>
      <c r="I410" s="61"/>
      <c r="J410" s="1"/>
      <c r="K410" s="1"/>
    </row>
    <row r="411" spans="1:11" ht="15.75" customHeight="1">
      <c r="A411" s="2"/>
      <c r="B411" s="1"/>
      <c r="C411" s="1"/>
      <c r="D411" s="1"/>
      <c r="E411" s="1"/>
      <c r="F411" s="1"/>
      <c r="G411" s="1"/>
      <c r="H411" s="1"/>
      <c r="I411" s="61"/>
      <c r="J411" s="1"/>
      <c r="K411" s="1"/>
    </row>
    <row r="412" spans="1:11" ht="15.75" customHeight="1">
      <c r="A412" s="2"/>
      <c r="B412" s="1"/>
      <c r="C412" s="1"/>
      <c r="D412" s="1"/>
      <c r="E412" s="1"/>
      <c r="F412" s="1"/>
      <c r="G412" s="1"/>
      <c r="H412" s="1"/>
      <c r="I412" s="61"/>
      <c r="J412" s="1"/>
      <c r="K412" s="1"/>
    </row>
    <row r="413" spans="1:11" ht="15.75" customHeight="1">
      <c r="A413" s="2"/>
      <c r="B413" s="1"/>
      <c r="C413" s="1"/>
      <c r="D413" s="1"/>
      <c r="E413" s="1"/>
      <c r="F413" s="1"/>
      <c r="G413" s="1"/>
      <c r="H413" s="1"/>
      <c r="I413" s="61"/>
      <c r="J413" s="1"/>
      <c r="K413" s="1"/>
    </row>
    <row r="414" spans="1:11" ht="15.75" customHeight="1">
      <c r="A414" s="2"/>
      <c r="B414" s="1"/>
      <c r="C414" s="1"/>
      <c r="D414" s="1"/>
      <c r="E414" s="1"/>
      <c r="F414" s="1"/>
      <c r="G414" s="1"/>
      <c r="H414" s="1"/>
      <c r="I414" s="61"/>
      <c r="J414" s="1"/>
      <c r="K414" s="1"/>
    </row>
    <row r="415" spans="1:11" ht="15.75" customHeight="1">
      <c r="A415" s="2"/>
      <c r="B415" s="1"/>
      <c r="C415" s="1"/>
      <c r="D415" s="1"/>
      <c r="E415" s="1"/>
      <c r="F415" s="1"/>
      <c r="G415" s="1"/>
      <c r="H415" s="1"/>
      <c r="I415" s="61"/>
      <c r="J415" s="1"/>
      <c r="K415" s="1"/>
    </row>
    <row r="416" spans="1:11" ht="15.75" customHeight="1">
      <c r="A416" s="2"/>
      <c r="B416" s="1"/>
      <c r="C416" s="1"/>
      <c r="D416" s="1"/>
      <c r="E416" s="1"/>
      <c r="F416" s="1"/>
      <c r="G416" s="1"/>
      <c r="H416" s="1"/>
      <c r="I416" s="61"/>
      <c r="J416" s="1"/>
      <c r="K416" s="1"/>
    </row>
    <row r="417" spans="1:12" ht="15.75" customHeight="1">
      <c r="A417" s="2"/>
      <c r="B417" s="1"/>
      <c r="C417" s="1"/>
      <c r="D417" s="1"/>
      <c r="E417" s="1"/>
      <c r="F417" s="1"/>
      <c r="G417" s="1"/>
      <c r="H417" s="1"/>
      <c r="I417" s="61"/>
      <c r="J417" s="1"/>
      <c r="K417" s="1"/>
    </row>
    <row r="418" spans="1:12" ht="15.75" customHeight="1">
      <c r="A418" s="2"/>
      <c r="B418" s="1"/>
      <c r="C418" s="1"/>
      <c r="D418" s="1"/>
      <c r="E418" s="1"/>
      <c r="F418" s="1"/>
      <c r="G418" s="1"/>
      <c r="H418" s="1"/>
      <c r="I418" s="61"/>
      <c r="J418" s="1"/>
      <c r="K418" s="1"/>
    </row>
    <row r="419" spans="1:12" ht="15.75" customHeight="1">
      <c r="A419" s="2"/>
      <c r="B419" s="1"/>
      <c r="C419" s="1"/>
      <c r="D419" s="1"/>
      <c r="E419" s="1"/>
      <c r="F419" s="1"/>
      <c r="G419" s="1"/>
      <c r="H419" s="1"/>
      <c r="I419" s="61"/>
      <c r="J419" s="1"/>
      <c r="K419" s="1"/>
    </row>
    <row r="420" spans="1:12" ht="15.75" customHeight="1">
      <c r="A420" s="2"/>
      <c r="B420" s="1"/>
      <c r="C420" s="1"/>
      <c r="D420" s="1"/>
      <c r="E420" s="1"/>
      <c r="F420" s="1"/>
      <c r="G420" s="1"/>
      <c r="H420" s="1"/>
      <c r="I420" s="61"/>
      <c r="J420" s="1"/>
      <c r="K420" s="1"/>
    </row>
    <row r="421" spans="1:12" ht="15.75" customHeight="1">
      <c r="A421" s="2"/>
      <c r="B421" s="1"/>
      <c r="C421" s="1"/>
      <c r="D421" s="1"/>
      <c r="E421" s="1"/>
      <c r="F421" s="1"/>
      <c r="G421" s="1"/>
      <c r="H421" s="1"/>
      <c r="I421" s="61"/>
      <c r="J421" s="1"/>
      <c r="K421" s="1"/>
    </row>
    <row r="422" spans="1:12" ht="15.75" customHeight="1">
      <c r="A422" s="2"/>
      <c r="B422" s="1"/>
      <c r="C422" s="1"/>
      <c r="D422" s="1"/>
      <c r="E422" s="1"/>
      <c r="F422" s="1"/>
      <c r="G422" s="1"/>
      <c r="H422" s="1"/>
      <c r="I422" s="61"/>
      <c r="J422" s="1"/>
      <c r="K422" s="1"/>
    </row>
    <row r="423" spans="1:12" ht="15.75" customHeight="1">
      <c r="A423" s="2"/>
      <c r="B423" s="1"/>
      <c r="C423" s="1"/>
      <c r="D423" s="1"/>
      <c r="E423" s="1"/>
      <c r="F423" s="1"/>
      <c r="G423" s="1"/>
      <c r="H423" s="1"/>
      <c r="I423" s="61"/>
      <c r="J423" s="1"/>
      <c r="K423" s="1"/>
    </row>
    <row r="424" spans="1:12" ht="15.75" customHeight="1">
      <c r="A424" s="2"/>
      <c r="B424" s="1"/>
      <c r="C424" s="1"/>
      <c r="D424" s="1"/>
      <c r="E424" s="1"/>
      <c r="F424" s="1"/>
      <c r="G424" s="1"/>
      <c r="H424" s="1"/>
      <c r="I424" s="61"/>
      <c r="J424" s="1"/>
      <c r="K424" s="1"/>
    </row>
    <row r="425" spans="1:12" ht="15.75" customHeight="1">
      <c r="A425" s="2"/>
      <c r="B425" s="1"/>
      <c r="C425" s="1"/>
      <c r="D425" s="1"/>
      <c r="E425" s="1"/>
      <c r="F425" s="1"/>
      <c r="G425" s="1"/>
      <c r="H425" s="1"/>
      <c r="I425" s="61"/>
      <c r="J425" s="1"/>
      <c r="K425" s="1"/>
    </row>
    <row r="426" spans="1:12" ht="15.75" customHeight="1">
      <c r="A426" s="2"/>
      <c r="B426" s="1"/>
      <c r="C426" s="1"/>
      <c r="D426" s="1"/>
      <c r="E426" s="1"/>
      <c r="F426" s="1"/>
      <c r="G426" s="1"/>
      <c r="H426" s="1"/>
      <c r="I426" s="61"/>
      <c r="J426" s="1"/>
      <c r="K426" s="1"/>
    </row>
    <row r="427" spans="1:12" ht="15.75" customHeight="1">
      <c r="A427" s="2"/>
      <c r="B427" s="1"/>
      <c r="C427" s="1"/>
      <c r="D427" s="1"/>
      <c r="E427" s="1"/>
      <c r="F427" s="1"/>
      <c r="G427" s="1"/>
      <c r="H427" s="1"/>
      <c r="I427" s="61"/>
      <c r="J427" s="1"/>
      <c r="K427" s="1"/>
      <c r="L427" s="45"/>
    </row>
    <row r="428" spans="1:12" ht="15.75" customHeight="1">
      <c r="A428" s="2"/>
      <c r="B428" s="1"/>
      <c r="C428" s="1"/>
      <c r="D428" s="1"/>
      <c r="E428" s="1"/>
      <c r="F428" s="1"/>
      <c r="G428" s="1"/>
      <c r="H428" s="1"/>
      <c r="I428" s="61"/>
      <c r="J428" s="1"/>
      <c r="K428" s="1"/>
    </row>
    <row r="429" spans="1:12" ht="15.75" customHeight="1">
      <c r="A429" s="2"/>
      <c r="B429" s="1"/>
      <c r="C429" s="1"/>
      <c r="D429" s="1"/>
      <c r="E429" s="1"/>
      <c r="F429" s="1"/>
      <c r="G429" s="1"/>
      <c r="H429" s="1"/>
      <c r="I429" s="61"/>
      <c r="J429" s="1"/>
      <c r="K429" s="1"/>
    </row>
    <row r="430" spans="1:12" ht="15.75" customHeight="1">
      <c r="A430" s="2"/>
      <c r="B430" s="1"/>
      <c r="C430" s="1"/>
      <c r="D430" s="1"/>
      <c r="E430" s="1"/>
      <c r="F430" s="1"/>
      <c r="G430" s="1"/>
      <c r="H430" s="1"/>
      <c r="I430" s="61"/>
      <c r="J430" s="1"/>
      <c r="K430" s="1"/>
    </row>
    <row r="431" spans="1:12" ht="15.75" customHeight="1">
      <c r="A431" s="2"/>
      <c r="B431" s="1"/>
      <c r="C431" s="1"/>
      <c r="D431" s="1"/>
      <c r="E431" s="1"/>
      <c r="F431" s="1"/>
      <c r="G431" s="1"/>
      <c r="H431" s="1"/>
      <c r="I431" s="61"/>
      <c r="J431" s="1"/>
      <c r="K431" s="1"/>
    </row>
    <row r="432" spans="1:12" ht="15.75" customHeight="1">
      <c r="A432" s="2"/>
      <c r="B432" s="1"/>
      <c r="C432" s="1"/>
      <c r="D432" s="1"/>
      <c r="E432" s="1"/>
      <c r="F432" s="1"/>
      <c r="G432" s="1"/>
      <c r="H432" s="1"/>
      <c r="I432" s="61"/>
      <c r="J432" s="1"/>
      <c r="K432" s="1"/>
    </row>
    <row r="433" spans="1:11" ht="15.75" customHeight="1">
      <c r="A433" s="2"/>
      <c r="B433" s="1"/>
      <c r="C433" s="1"/>
      <c r="D433" s="1"/>
      <c r="E433" s="1"/>
      <c r="F433" s="1"/>
      <c r="G433" s="1"/>
      <c r="H433" s="1"/>
      <c r="I433" s="61"/>
      <c r="J433" s="1"/>
      <c r="K433" s="1"/>
    </row>
    <row r="434" spans="1:11" ht="15.75" customHeight="1">
      <c r="A434" s="2"/>
      <c r="B434" s="1"/>
      <c r="C434" s="1"/>
      <c r="D434" s="1"/>
      <c r="E434" s="1"/>
      <c r="F434" s="1"/>
      <c r="G434" s="1"/>
      <c r="H434" s="1"/>
      <c r="I434" s="61"/>
      <c r="J434" s="1"/>
      <c r="K434" s="1"/>
    </row>
    <row r="435" spans="1:11" ht="15.75" customHeight="1">
      <c r="A435" s="2"/>
      <c r="B435" s="1"/>
      <c r="C435" s="1"/>
      <c r="D435" s="1"/>
      <c r="E435" s="1"/>
      <c r="F435" s="1"/>
      <c r="G435" s="1"/>
      <c r="H435" s="1"/>
      <c r="I435" s="61"/>
      <c r="J435" s="1"/>
      <c r="K435" s="1"/>
    </row>
    <row r="436" spans="1:11" ht="15.75" customHeight="1">
      <c r="A436" s="2"/>
      <c r="B436" s="1"/>
      <c r="C436" s="1"/>
      <c r="D436" s="1"/>
      <c r="E436" s="1"/>
      <c r="F436" s="1"/>
      <c r="G436" s="1"/>
      <c r="H436" s="1"/>
      <c r="I436" s="61"/>
      <c r="J436" s="1"/>
      <c r="K436" s="1"/>
    </row>
    <row r="437" spans="1:11" ht="15.75" customHeight="1">
      <c r="A437" s="2"/>
      <c r="B437" s="1"/>
      <c r="C437" s="1"/>
      <c r="D437" s="1"/>
      <c r="E437" s="1"/>
      <c r="F437" s="1"/>
      <c r="G437" s="1"/>
      <c r="H437" s="1"/>
      <c r="I437" s="61"/>
      <c r="J437" s="1"/>
      <c r="K437" s="1"/>
    </row>
    <row r="438" spans="1:11" ht="15.75" customHeight="1">
      <c r="A438" s="2"/>
      <c r="B438" s="1"/>
      <c r="C438" s="1"/>
      <c r="D438" s="1"/>
      <c r="E438" s="1"/>
      <c r="F438" s="1"/>
      <c r="G438" s="1"/>
      <c r="H438" s="1"/>
      <c r="I438" s="61"/>
      <c r="J438" s="1"/>
      <c r="K438" s="1"/>
    </row>
    <row r="439" spans="1:11" ht="15.75" customHeight="1">
      <c r="A439" s="2"/>
      <c r="B439" s="1"/>
      <c r="C439" s="1"/>
      <c r="D439" s="1"/>
      <c r="E439" s="1"/>
      <c r="F439" s="1"/>
      <c r="G439" s="1"/>
      <c r="H439" s="1"/>
      <c r="I439" s="61"/>
      <c r="J439" s="1"/>
      <c r="K439" s="1"/>
    </row>
    <row r="440" spans="1:11" ht="15.75" customHeight="1">
      <c r="A440" s="2"/>
      <c r="B440" s="1"/>
      <c r="C440" s="1"/>
      <c r="D440" s="1"/>
      <c r="E440" s="1"/>
      <c r="F440" s="1"/>
      <c r="G440" s="1"/>
      <c r="H440" s="1"/>
      <c r="I440" s="61"/>
      <c r="J440" s="1"/>
      <c r="K440" s="1"/>
    </row>
    <row r="441" spans="1:11" ht="15.75" customHeight="1">
      <c r="A441" s="2"/>
      <c r="B441" s="1"/>
      <c r="C441" s="1"/>
      <c r="D441" s="1"/>
      <c r="E441" s="1"/>
      <c r="F441" s="1"/>
      <c r="G441" s="1"/>
      <c r="H441" s="1"/>
      <c r="I441" s="61"/>
      <c r="J441" s="1"/>
      <c r="K441" s="1"/>
    </row>
    <row r="442" spans="1:11" ht="15.75" customHeight="1">
      <c r="A442" s="2"/>
      <c r="B442" s="1"/>
      <c r="C442" s="1"/>
      <c r="D442" s="1"/>
      <c r="E442" s="1"/>
      <c r="F442" s="1"/>
      <c r="G442" s="1"/>
      <c r="H442" s="1"/>
      <c r="I442" s="61"/>
      <c r="J442" s="1"/>
      <c r="K442" s="1"/>
    </row>
    <row r="443" spans="1:11" ht="15.75" customHeight="1">
      <c r="A443" s="2"/>
      <c r="B443" s="1"/>
      <c r="C443" s="1"/>
      <c r="D443" s="1"/>
      <c r="E443" s="1"/>
      <c r="F443" s="1"/>
      <c r="G443" s="1"/>
      <c r="H443" s="1"/>
      <c r="I443" s="61"/>
      <c r="J443" s="1"/>
      <c r="K443" s="1"/>
    </row>
    <row r="444" spans="1:11" ht="15.75" customHeight="1">
      <c r="A444" s="2"/>
      <c r="B444" s="1"/>
      <c r="C444" s="1"/>
      <c r="D444" s="1"/>
      <c r="E444" s="1"/>
      <c r="F444" s="1"/>
      <c r="G444" s="1"/>
      <c r="H444" s="1"/>
      <c r="I444" s="61"/>
      <c r="J444" s="1"/>
      <c r="K444" s="1"/>
    </row>
    <row r="445" spans="1:11" ht="15.75" customHeight="1">
      <c r="A445" s="2"/>
      <c r="B445" s="1"/>
      <c r="C445" s="1"/>
      <c r="D445" s="1"/>
      <c r="E445" s="1"/>
      <c r="F445" s="1"/>
      <c r="G445" s="1"/>
      <c r="H445" s="1"/>
      <c r="I445" s="61"/>
      <c r="J445" s="1"/>
      <c r="K445" s="1"/>
    </row>
    <row r="446" spans="1:11" ht="15.75" customHeight="1">
      <c r="A446" s="2"/>
      <c r="B446" s="1"/>
      <c r="C446" s="1"/>
      <c r="D446" s="1"/>
      <c r="E446" s="1"/>
      <c r="F446" s="1"/>
      <c r="G446" s="1"/>
      <c r="H446" s="1"/>
      <c r="I446" s="61"/>
      <c r="J446" s="1"/>
      <c r="K446" s="1"/>
    </row>
    <row r="447" spans="1:11" ht="15.75" customHeight="1">
      <c r="A447" s="2"/>
      <c r="B447" s="1"/>
      <c r="C447" s="1"/>
      <c r="D447" s="1"/>
      <c r="E447" s="1"/>
      <c r="F447" s="1"/>
      <c r="G447" s="1"/>
      <c r="H447" s="1"/>
      <c r="I447" s="61"/>
      <c r="J447" s="1"/>
      <c r="K447" s="1"/>
    </row>
    <row r="448" spans="1:11" ht="15.75" customHeight="1">
      <c r="A448" s="2"/>
      <c r="B448" s="1"/>
      <c r="C448" s="1"/>
      <c r="D448" s="1"/>
      <c r="E448" s="1"/>
      <c r="F448" s="1"/>
      <c r="G448" s="1"/>
      <c r="H448" s="1"/>
      <c r="I448" s="61"/>
      <c r="J448" s="1"/>
      <c r="K448" s="1"/>
    </row>
    <row r="449" spans="1:11" ht="15.75" customHeight="1">
      <c r="A449" s="2"/>
      <c r="B449" s="1"/>
      <c r="C449" s="1"/>
      <c r="D449" s="1"/>
      <c r="E449" s="1"/>
      <c r="F449" s="1"/>
      <c r="G449" s="1"/>
      <c r="H449" s="1"/>
      <c r="I449" s="61"/>
      <c r="J449" s="1"/>
      <c r="K449" s="1"/>
    </row>
    <row r="450" spans="1:11" ht="15.75" customHeight="1">
      <c r="A450" s="2"/>
      <c r="B450" s="1"/>
      <c r="C450" s="1"/>
      <c r="D450" s="1"/>
      <c r="E450" s="1"/>
      <c r="F450" s="1"/>
      <c r="G450" s="1"/>
      <c r="H450" s="1"/>
      <c r="I450" s="61"/>
      <c r="J450" s="1"/>
      <c r="K450" s="1"/>
    </row>
    <row r="451" spans="1:11" ht="15.75" customHeight="1">
      <c r="A451" s="2"/>
      <c r="B451" s="1"/>
      <c r="C451" s="1"/>
      <c r="D451" s="1"/>
      <c r="E451" s="1"/>
      <c r="F451" s="1"/>
      <c r="G451" s="1"/>
      <c r="H451" s="1"/>
      <c r="I451" s="61"/>
      <c r="J451" s="1"/>
      <c r="K451" s="1"/>
    </row>
    <row r="452" spans="1:11" ht="15.75" customHeight="1">
      <c r="A452" s="2"/>
      <c r="B452" s="1"/>
      <c r="C452" s="1"/>
      <c r="D452" s="1"/>
      <c r="E452" s="1"/>
      <c r="F452" s="1"/>
      <c r="G452" s="1"/>
      <c r="H452" s="1"/>
      <c r="I452" s="61"/>
      <c r="J452" s="1"/>
      <c r="K452" s="1"/>
    </row>
    <row r="453" spans="1:11" ht="15.75" customHeight="1">
      <c r="A453" s="2"/>
      <c r="B453" s="1"/>
      <c r="C453" s="1"/>
      <c r="D453" s="1"/>
      <c r="E453" s="1"/>
      <c r="F453" s="1"/>
      <c r="G453" s="1"/>
      <c r="H453" s="1"/>
      <c r="I453" s="61"/>
      <c r="J453" s="1"/>
      <c r="K453" s="1"/>
    </row>
    <row r="454" spans="1:11" ht="15.75" customHeight="1">
      <c r="A454" s="2"/>
      <c r="B454" s="1"/>
      <c r="C454" s="1"/>
      <c r="D454" s="1"/>
      <c r="E454" s="1"/>
      <c r="F454" s="1"/>
      <c r="G454" s="1"/>
      <c r="H454" s="1"/>
      <c r="I454" s="61"/>
      <c r="J454" s="1"/>
      <c r="K454" s="1"/>
    </row>
    <row r="455" spans="1:11" ht="15.75" customHeight="1">
      <c r="A455" s="2"/>
      <c r="B455" s="1"/>
      <c r="C455" s="1"/>
      <c r="D455" s="1"/>
      <c r="E455" s="1"/>
      <c r="F455" s="1"/>
      <c r="G455" s="1"/>
      <c r="H455" s="1"/>
      <c r="I455" s="61"/>
      <c r="J455" s="1"/>
      <c r="K455" s="1"/>
    </row>
    <row r="456" spans="1:11" ht="15.75" customHeight="1">
      <c r="A456" s="2"/>
      <c r="B456" s="1"/>
      <c r="C456" s="1"/>
      <c r="D456" s="1"/>
      <c r="E456" s="1"/>
      <c r="F456" s="1"/>
      <c r="G456" s="1"/>
      <c r="H456" s="1"/>
      <c r="I456" s="61"/>
      <c r="J456" s="1"/>
      <c r="K456" s="1"/>
    </row>
    <row r="457" spans="1:11" ht="15.75" customHeight="1">
      <c r="A457" s="2"/>
      <c r="B457" s="1"/>
      <c r="C457" s="1"/>
      <c r="D457" s="1"/>
      <c r="E457" s="1"/>
      <c r="F457" s="1"/>
      <c r="G457" s="1"/>
      <c r="H457" s="1"/>
      <c r="I457" s="61"/>
      <c r="J457" s="1"/>
      <c r="K457" s="1"/>
    </row>
    <row r="458" spans="1:11" ht="15.75" customHeight="1">
      <c r="A458" s="2"/>
      <c r="B458" s="1"/>
      <c r="C458" s="1"/>
      <c r="D458" s="1"/>
      <c r="E458" s="1"/>
      <c r="F458" s="1"/>
      <c r="G458" s="1"/>
      <c r="H458" s="1"/>
      <c r="I458" s="61"/>
      <c r="J458" s="1"/>
      <c r="K458" s="1"/>
    </row>
    <row r="459" spans="1:11" ht="15.75" customHeight="1">
      <c r="A459" s="2"/>
      <c r="B459" s="1"/>
      <c r="C459" s="1"/>
      <c r="D459" s="1"/>
      <c r="E459" s="1"/>
      <c r="F459" s="1"/>
      <c r="G459" s="1"/>
      <c r="H459" s="1"/>
      <c r="I459" s="61"/>
      <c r="J459" s="1"/>
      <c r="K459" s="1"/>
    </row>
    <row r="460" spans="1:11" ht="15.75" customHeight="1">
      <c r="A460" s="2"/>
      <c r="B460" s="1"/>
      <c r="C460" s="1"/>
      <c r="D460" s="1"/>
      <c r="E460" s="1"/>
      <c r="F460" s="1"/>
      <c r="G460" s="1"/>
      <c r="H460" s="1"/>
      <c r="I460" s="61"/>
      <c r="J460" s="1"/>
      <c r="K460" s="1"/>
    </row>
    <row r="461" spans="1:11" ht="15.75" customHeight="1">
      <c r="A461" s="2"/>
      <c r="B461" s="1"/>
      <c r="C461" s="1"/>
      <c r="D461" s="1"/>
      <c r="E461" s="1"/>
      <c r="F461" s="1"/>
      <c r="G461" s="1"/>
      <c r="H461" s="1"/>
      <c r="I461" s="61"/>
      <c r="J461" s="1"/>
      <c r="K461" s="1"/>
    </row>
    <row r="462" spans="1:11" ht="15.75" customHeight="1">
      <c r="A462" s="2"/>
      <c r="B462" s="1"/>
      <c r="C462" s="1"/>
      <c r="D462" s="1"/>
      <c r="E462" s="1"/>
      <c r="F462" s="1"/>
      <c r="G462" s="1"/>
      <c r="H462" s="1"/>
      <c r="I462" s="61"/>
      <c r="J462" s="1"/>
      <c r="K462" s="1"/>
    </row>
    <row r="463" spans="1:11" ht="15.75" customHeight="1">
      <c r="A463" s="2"/>
      <c r="B463" s="1"/>
      <c r="C463" s="1"/>
      <c r="D463" s="1"/>
      <c r="E463" s="1"/>
      <c r="F463" s="1"/>
      <c r="G463" s="1"/>
      <c r="H463" s="1"/>
      <c r="I463" s="61"/>
      <c r="J463" s="1"/>
      <c r="K463" s="1"/>
    </row>
    <row r="464" spans="1:11" ht="15.75" customHeight="1">
      <c r="A464" s="2"/>
      <c r="B464" s="1"/>
      <c r="C464" s="1"/>
      <c r="D464" s="1"/>
      <c r="E464" s="1"/>
      <c r="F464" s="1"/>
      <c r="G464" s="1"/>
      <c r="H464" s="1"/>
      <c r="I464" s="61"/>
      <c r="J464" s="1"/>
      <c r="K464" s="1"/>
    </row>
    <row r="465" spans="1:11" ht="15.75" customHeight="1">
      <c r="A465" s="2"/>
      <c r="B465" s="1"/>
      <c r="C465" s="1"/>
      <c r="D465" s="1"/>
      <c r="E465" s="1"/>
      <c r="F465" s="1"/>
      <c r="G465" s="1"/>
      <c r="H465" s="1"/>
      <c r="I465" s="61"/>
      <c r="J465" s="1"/>
      <c r="K465" s="1"/>
    </row>
    <row r="466" spans="1:11" ht="15.75" customHeight="1">
      <c r="A466" s="2"/>
      <c r="B466" s="1"/>
      <c r="C466" s="1"/>
      <c r="D466" s="1"/>
      <c r="E466" s="1"/>
      <c r="F466" s="1"/>
      <c r="G466" s="1"/>
      <c r="H466" s="1"/>
      <c r="I466" s="61"/>
      <c r="J466" s="1"/>
      <c r="K466" s="1"/>
    </row>
    <row r="467" spans="1:11" ht="15.75" customHeight="1">
      <c r="A467" s="2"/>
      <c r="B467" s="1"/>
      <c r="C467" s="1"/>
      <c r="D467" s="1"/>
      <c r="E467" s="1"/>
      <c r="F467" s="1"/>
      <c r="G467" s="1"/>
      <c r="H467" s="1"/>
      <c r="I467" s="61"/>
      <c r="J467" s="1"/>
      <c r="K467" s="1"/>
    </row>
    <row r="468" spans="1:11" ht="15.75" customHeight="1">
      <c r="A468" s="2"/>
      <c r="B468" s="1"/>
      <c r="C468" s="1"/>
      <c r="D468" s="1"/>
      <c r="E468" s="1"/>
      <c r="F468" s="1"/>
      <c r="G468" s="1"/>
      <c r="H468" s="1"/>
      <c r="I468" s="61"/>
      <c r="J468" s="1"/>
      <c r="K468" s="1"/>
    </row>
    <row r="469" spans="1:11" ht="15.75" customHeight="1">
      <c r="A469" s="2"/>
      <c r="B469" s="1"/>
      <c r="C469" s="1"/>
      <c r="D469" s="1"/>
      <c r="E469" s="1"/>
      <c r="F469" s="1"/>
      <c r="G469" s="1"/>
      <c r="H469" s="1"/>
      <c r="I469" s="61"/>
      <c r="J469" s="1"/>
      <c r="K469" s="1"/>
    </row>
    <row r="470" spans="1:11" ht="15.75" customHeight="1">
      <c r="A470" s="2"/>
      <c r="B470" s="1"/>
      <c r="C470" s="1"/>
      <c r="D470" s="1"/>
      <c r="E470" s="1"/>
      <c r="F470" s="1"/>
      <c r="G470" s="1"/>
      <c r="H470" s="1"/>
      <c r="I470" s="61"/>
      <c r="J470" s="1"/>
      <c r="K470" s="1"/>
    </row>
    <row r="471" spans="1:11" ht="15.75" customHeight="1">
      <c r="A471" s="2"/>
      <c r="B471" s="1"/>
      <c r="C471" s="1"/>
      <c r="D471" s="1"/>
      <c r="E471" s="1"/>
      <c r="F471" s="1"/>
      <c r="G471" s="1"/>
      <c r="H471" s="1"/>
      <c r="I471" s="61"/>
      <c r="J471" s="1"/>
      <c r="K471" s="1"/>
    </row>
    <row r="472" spans="1:11" ht="15.75" customHeight="1">
      <c r="A472" s="2"/>
      <c r="B472" s="1"/>
      <c r="C472" s="1"/>
      <c r="D472" s="1"/>
      <c r="E472" s="1"/>
      <c r="F472" s="1"/>
      <c r="G472" s="1"/>
      <c r="H472" s="1"/>
      <c r="I472" s="61"/>
      <c r="J472" s="1"/>
      <c r="K472" s="1"/>
    </row>
    <row r="473" spans="1:11" ht="15.75" customHeight="1">
      <c r="A473" s="2"/>
      <c r="B473" s="1"/>
      <c r="C473" s="1"/>
      <c r="D473" s="1"/>
      <c r="E473" s="1"/>
      <c r="F473" s="1"/>
      <c r="G473" s="1"/>
      <c r="H473" s="1"/>
      <c r="I473" s="61"/>
      <c r="J473" s="1"/>
      <c r="K473" s="1"/>
    </row>
    <row r="474" spans="1:11" ht="15.75" customHeight="1">
      <c r="A474" s="2"/>
      <c r="B474" s="1"/>
      <c r="C474" s="1"/>
      <c r="D474" s="1"/>
      <c r="E474" s="1"/>
      <c r="F474" s="1"/>
      <c r="G474" s="1"/>
      <c r="H474" s="1"/>
      <c r="I474" s="61"/>
      <c r="J474" s="1"/>
      <c r="K474" s="1"/>
    </row>
    <row r="475" spans="1:11" ht="15.75" customHeight="1">
      <c r="A475" s="2"/>
      <c r="B475" s="1"/>
      <c r="C475" s="1"/>
      <c r="D475" s="1"/>
      <c r="E475" s="1"/>
      <c r="F475" s="1"/>
      <c r="G475" s="1"/>
      <c r="H475" s="1"/>
      <c r="I475" s="61"/>
      <c r="J475" s="1"/>
      <c r="K475" s="1"/>
    </row>
    <row r="476" spans="1:11" ht="15.75" customHeight="1">
      <c r="A476" s="2"/>
      <c r="B476" s="1"/>
      <c r="C476" s="1"/>
      <c r="D476" s="1"/>
      <c r="E476" s="1"/>
      <c r="F476" s="1"/>
      <c r="G476" s="1"/>
      <c r="H476" s="1"/>
      <c r="I476" s="61"/>
      <c r="J476" s="1"/>
      <c r="K476" s="1"/>
    </row>
    <row r="477" spans="1:11" ht="15.75" customHeight="1">
      <c r="A477" s="2"/>
      <c r="B477" s="1"/>
      <c r="C477" s="1"/>
      <c r="D477" s="1"/>
      <c r="E477" s="1"/>
      <c r="F477" s="1"/>
      <c r="G477" s="1"/>
      <c r="H477" s="1"/>
      <c r="I477" s="61"/>
      <c r="J477" s="1"/>
      <c r="K477" s="1"/>
    </row>
    <row r="478" spans="1:11" ht="15.75" customHeight="1">
      <c r="A478" s="2"/>
      <c r="B478" s="1"/>
      <c r="C478" s="1"/>
      <c r="D478" s="1"/>
      <c r="E478" s="1"/>
      <c r="F478" s="1"/>
      <c r="G478" s="1"/>
      <c r="H478" s="1"/>
      <c r="I478" s="61"/>
      <c r="J478" s="1"/>
      <c r="K478" s="1"/>
    </row>
    <row r="479" spans="1:11" ht="15.75" customHeight="1">
      <c r="A479" s="2"/>
      <c r="B479" s="1"/>
      <c r="C479" s="1"/>
      <c r="D479" s="1"/>
      <c r="E479" s="1"/>
      <c r="F479" s="1"/>
      <c r="G479" s="1"/>
      <c r="H479" s="1"/>
      <c r="I479" s="61"/>
      <c r="J479" s="1"/>
      <c r="K479" s="1"/>
    </row>
    <row r="480" spans="1:11" ht="15.75" customHeight="1">
      <c r="A480" s="2"/>
      <c r="B480" s="1"/>
      <c r="C480" s="1"/>
      <c r="D480" s="1"/>
      <c r="E480" s="1"/>
      <c r="F480" s="1"/>
      <c r="G480" s="1"/>
      <c r="H480" s="1"/>
      <c r="I480" s="61"/>
      <c r="J480" s="1"/>
      <c r="K480" s="1"/>
    </row>
    <row r="481" spans="1:11" ht="15.75" customHeight="1">
      <c r="A481" s="2"/>
      <c r="B481" s="1"/>
      <c r="C481" s="1"/>
      <c r="D481" s="1"/>
      <c r="E481" s="1"/>
      <c r="F481" s="1"/>
      <c r="G481" s="1"/>
      <c r="H481" s="1"/>
      <c r="I481" s="61"/>
      <c r="J481" s="1"/>
      <c r="K481" s="1"/>
    </row>
    <row r="482" spans="1:11" ht="15.75" customHeight="1">
      <c r="A482" s="2"/>
      <c r="B482" s="1"/>
      <c r="C482" s="1"/>
      <c r="D482" s="1"/>
      <c r="E482" s="1"/>
      <c r="F482" s="1"/>
      <c r="G482" s="1"/>
      <c r="H482" s="1"/>
      <c r="I482" s="61"/>
      <c r="J482" s="1"/>
      <c r="K482" s="1"/>
    </row>
    <row r="483" spans="1:11" ht="15.75" customHeight="1">
      <c r="A483" s="2"/>
      <c r="B483" s="1"/>
      <c r="C483" s="1"/>
      <c r="D483" s="1"/>
      <c r="E483" s="1"/>
      <c r="F483" s="1"/>
      <c r="G483" s="1"/>
      <c r="H483" s="1"/>
      <c r="I483" s="61"/>
      <c r="J483" s="1"/>
      <c r="K483" s="1"/>
    </row>
    <row r="484" spans="1:11" ht="15.75" customHeight="1">
      <c r="A484" s="2"/>
      <c r="B484" s="1"/>
      <c r="C484" s="1"/>
      <c r="D484" s="1"/>
      <c r="E484" s="1"/>
      <c r="F484" s="1"/>
      <c r="G484" s="1"/>
      <c r="H484" s="1"/>
      <c r="I484" s="61"/>
      <c r="J484" s="1"/>
      <c r="K484" s="1"/>
    </row>
    <row r="485" spans="1:11" ht="15.75" customHeight="1">
      <c r="A485" s="2"/>
      <c r="B485" s="1"/>
      <c r="C485" s="1"/>
      <c r="D485" s="1"/>
      <c r="E485" s="1"/>
      <c r="F485" s="1"/>
      <c r="G485" s="1"/>
      <c r="H485" s="1"/>
      <c r="I485" s="61"/>
      <c r="J485" s="1"/>
      <c r="K485" s="1"/>
    </row>
    <row r="486" spans="1:11" ht="15.75" customHeight="1">
      <c r="A486" s="2"/>
      <c r="B486" s="1"/>
      <c r="C486" s="1"/>
      <c r="D486" s="1"/>
      <c r="E486" s="1"/>
      <c r="F486" s="1"/>
      <c r="G486" s="1"/>
      <c r="H486" s="1"/>
      <c r="I486" s="61"/>
      <c r="J486" s="1"/>
      <c r="K486" s="1"/>
    </row>
    <row r="487" spans="1:11" ht="15.75" customHeight="1">
      <c r="A487" s="2"/>
      <c r="B487" s="1"/>
      <c r="C487" s="1"/>
      <c r="D487" s="1"/>
      <c r="E487" s="1"/>
      <c r="F487" s="1"/>
      <c r="G487" s="1"/>
      <c r="H487" s="1"/>
      <c r="I487" s="61"/>
      <c r="J487" s="1"/>
      <c r="K487" s="1"/>
    </row>
    <row r="488" spans="1:11" ht="15.75" customHeight="1">
      <c r="A488" s="2"/>
      <c r="B488" s="1"/>
      <c r="C488" s="1"/>
      <c r="D488" s="1"/>
      <c r="E488" s="1"/>
      <c r="F488" s="1"/>
      <c r="G488" s="1"/>
      <c r="H488" s="1"/>
      <c r="I488" s="61"/>
      <c r="J488" s="1"/>
      <c r="K488" s="1"/>
    </row>
    <row r="489" spans="1:11" ht="15.75" customHeight="1">
      <c r="A489" s="2"/>
      <c r="B489" s="1"/>
      <c r="C489" s="1"/>
      <c r="D489" s="1"/>
      <c r="E489" s="1"/>
      <c r="F489" s="1"/>
      <c r="G489" s="1"/>
      <c r="H489" s="1"/>
      <c r="I489" s="61"/>
      <c r="J489" s="1"/>
      <c r="K489" s="1"/>
    </row>
    <row r="490" spans="1:11" ht="15.75" customHeight="1">
      <c r="A490" s="2"/>
      <c r="B490" s="1"/>
      <c r="C490" s="1"/>
      <c r="D490" s="1"/>
      <c r="E490" s="1"/>
      <c r="F490" s="1"/>
      <c r="G490" s="1"/>
      <c r="H490" s="1"/>
      <c r="I490" s="61"/>
      <c r="J490" s="1"/>
      <c r="K490" s="1"/>
    </row>
    <row r="491" spans="1:11" ht="15.75" customHeight="1">
      <c r="A491" s="2"/>
      <c r="B491" s="1"/>
      <c r="C491" s="1"/>
      <c r="D491" s="1"/>
      <c r="E491" s="1"/>
      <c r="F491" s="1"/>
      <c r="G491" s="1"/>
      <c r="H491" s="1"/>
      <c r="I491" s="61"/>
      <c r="J491" s="1"/>
      <c r="K491" s="1"/>
    </row>
    <row r="492" spans="1:11" ht="15.75" customHeight="1">
      <c r="A492" s="2"/>
      <c r="B492" s="1"/>
      <c r="C492" s="1"/>
      <c r="D492" s="1"/>
      <c r="E492" s="1"/>
      <c r="F492" s="1"/>
      <c r="G492" s="1"/>
      <c r="H492" s="1"/>
      <c r="I492" s="61"/>
      <c r="J492" s="1"/>
      <c r="K492" s="1"/>
    </row>
    <row r="493" spans="1:11" ht="15.75" customHeight="1">
      <c r="A493" s="2"/>
      <c r="B493" s="1"/>
      <c r="C493" s="1"/>
      <c r="D493" s="1"/>
      <c r="E493" s="1"/>
      <c r="F493" s="1"/>
      <c r="G493" s="1"/>
      <c r="H493" s="1"/>
      <c r="I493" s="61"/>
      <c r="J493" s="1"/>
      <c r="K493" s="1"/>
    </row>
    <row r="494" spans="1:11" ht="15.75" customHeight="1">
      <c r="A494" s="2"/>
      <c r="B494" s="1"/>
      <c r="C494" s="1"/>
      <c r="D494" s="1"/>
      <c r="E494" s="1"/>
      <c r="F494" s="1"/>
      <c r="G494" s="1"/>
      <c r="H494" s="1"/>
      <c r="I494" s="61"/>
      <c r="J494" s="1"/>
      <c r="K494" s="1"/>
    </row>
    <row r="495" spans="1:11" ht="15.75" customHeight="1">
      <c r="A495" s="2"/>
      <c r="B495" s="1"/>
      <c r="C495" s="1"/>
      <c r="D495" s="1"/>
      <c r="E495" s="1"/>
      <c r="F495" s="1"/>
      <c r="G495" s="1"/>
      <c r="H495" s="1"/>
      <c r="I495" s="61"/>
      <c r="J495" s="1"/>
      <c r="K495" s="1"/>
    </row>
    <row r="496" spans="1:11" ht="15.75" customHeight="1">
      <c r="A496" s="2"/>
      <c r="B496" s="1"/>
      <c r="C496" s="1"/>
      <c r="D496" s="1"/>
      <c r="E496" s="1"/>
      <c r="F496" s="1"/>
      <c r="G496" s="1"/>
      <c r="H496" s="1"/>
      <c r="I496" s="61"/>
      <c r="J496" s="1"/>
      <c r="K496" s="1"/>
    </row>
    <row r="497" spans="1:11" ht="15.75" customHeight="1">
      <c r="A497" s="2"/>
      <c r="B497" s="1"/>
      <c r="C497" s="1"/>
      <c r="D497" s="1"/>
      <c r="E497" s="1"/>
      <c r="F497" s="1"/>
      <c r="G497" s="1"/>
      <c r="H497" s="1"/>
      <c r="I497" s="61"/>
      <c r="J497" s="1"/>
      <c r="K497" s="1"/>
    </row>
    <row r="498" spans="1:11" ht="15.75" customHeight="1">
      <c r="A498" s="2"/>
      <c r="B498" s="1"/>
      <c r="C498" s="1"/>
      <c r="D498" s="1"/>
      <c r="E498" s="1"/>
      <c r="F498" s="1"/>
      <c r="G498" s="1"/>
      <c r="H498" s="1"/>
      <c r="I498" s="61"/>
      <c r="J498" s="1"/>
      <c r="K498" s="1"/>
    </row>
    <row r="499" spans="1:11" ht="15.75" customHeight="1">
      <c r="A499" s="2"/>
      <c r="B499" s="1"/>
      <c r="C499" s="1"/>
      <c r="D499" s="1"/>
      <c r="E499" s="1"/>
      <c r="F499" s="1"/>
      <c r="G499" s="1"/>
      <c r="H499" s="1"/>
      <c r="I499" s="61"/>
      <c r="J499" s="1"/>
      <c r="K499" s="1"/>
    </row>
    <row r="500" spans="1:11" ht="15.75" customHeight="1">
      <c r="A500" s="2"/>
      <c r="B500" s="1"/>
      <c r="C500" s="1"/>
      <c r="D500" s="1"/>
      <c r="E500" s="1"/>
      <c r="F500" s="1"/>
      <c r="G500" s="1"/>
      <c r="H500" s="1"/>
      <c r="I500" s="61"/>
      <c r="J500" s="1"/>
      <c r="K500" s="1"/>
    </row>
    <row r="501" spans="1:11" ht="15.75" customHeight="1">
      <c r="A501" s="2"/>
      <c r="B501" s="1"/>
      <c r="C501" s="1"/>
      <c r="D501" s="1"/>
      <c r="E501" s="1"/>
      <c r="F501" s="1"/>
      <c r="G501" s="1"/>
      <c r="H501" s="1"/>
      <c r="I501" s="61"/>
      <c r="J501" s="1"/>
      <c r="K501" s="1"/>
    </row>
    <row r="502" spans="1:11" ht="15.75" customHeight="1">
      <c r="A502" s="2"/>
      <c r="B502" s="1"/>
      <c r="C502" s="1"/>
      <c r="D502" s="1"/>
      <c r="E502" s="1"/>
      <c r="F502" s="1"/>
      <c r="G502" s="1"/>
      <c r="H502" s="1"/>
      <c r="I502" s="61"/>
      <c r="J502" s="1"/>
      <c r="K502" s="1"/>
    </row>
    <row r="503" spans="1:11" ht="15.75" customHeight="1">
      <c r="A503" s="2"/>
      <c r="B503" s="1"/>
      <c r="C503" s="1"/>
      <c r="D503" s="1"/>
      <c r="E503" s="1"/>
      <c r="F503" s="1"/>
      <c r="G503" s="1"/>
      <c r="H503" s="1"/>
      <c r="I503" s="61"/>
      <c r="J503" s="1"/>
      <c r="K503" s="1"/>
    </row>
    <row r="504" spans="1:11" ht="15.75" customHeight="1">
      <c r="A504" s="2"/>
      <c r="B504" s="1"/>
      <c r="C504" s="1"/>
      <c r="D504" s="1"/>
      <c r="E504" s="1"/>
      <c r="F504" s="1"/>
      <c r="G504" s="1"/>
      <c r="H504" s="1"/>
      <c r="I504" s="61"/>
      <c r="J504" s="1"/>
      <c r="K504" s="1"/>
    </row>
    <row r="505" spans="1:11" ht="15.75" customHeight="1">
      <c r="A505" s="2"/>
      <c r="B505" s="1"/>
      <c r="C505" s="1"/>
      <c r="D505" s="1"/>
      <c r="E505" s="1"/>
      <c r="F505" s="1"/>
      <c r="G505" s="1"/>
      <c r="H505" s="1"/>
      <c r="I505" s="61"/>
      <c r="J505" s="1"/>
      <c r="K505" s="1"/>
    </row>
    <row r="506" spans="1:11" ht="15.75" customHeight="1">
      <c r="A506" s="2"/>
      <c r="B506" s="1"/>
      <c r="C506" s="1"/>
      <c r="D506" s="1"/>
      <c r="E506" s="1"/>
      <c r="F506" s="1"/>
      <c r="G506" s="1"/>
      <c r="H506" s="1"/>
      <c r="I506" s="61"/>
      <c r="J506" s="1"/>
      <c r="K506" s="1"/>
    </row>
    <row r="507" spans="1:11" ht="15.75" customHeight="1">
      <c r="A507" s="2"/>
      <c r="B507" s="1"/>
      <c r="C507" s="1"/>
      <c r="D507" s="1"/>
      <c r="E507" s="1"/>
      <c r="F507" s="1"/>
      <c r="G507" s="1"/>
      <c r="H507" s="1"/>
      <c r="I507" s="61"/>
      <c r="J507" s="1"/>
      <c r="K507" s="1"/>
    </row>
    <row r="508" spans="1:11" ht="15.75" customHeight="1">
      <c r="A508" s="2"/>
      <c r="B508" s="1"/>
      <c r="C508" s="1"/>
      <c r="D508" s="1"/>
      <c r="E508" s="1"/>
      <c r="F508" s="1"/>
      <c r="G508" s="1"/>
      <c r="H508" s="1"/>
      <c r="I508" s="61"/>
      <c r="J508" s="1"/>
      <c r="K508" s="1"/>
    </row>
    <row r="509" spans="1:11" ht="15.75" customHeight="1">
      <c r="A509" s="2"/>
      <c r="B509" s="1"/>
      <c r="C509" s="1"/>
      <c r="D509" s="1"/>
      <c r="E509" s="1"/>
      <c r="F509" s="1"/>
      <c r="G509" s="1"/>
      <c r="H509" s="1"/>
      <c r="I509" s="61"/>
      <c r="J509" s="1"/>
      <c r="K509" s="1"/>
    </row>
    <row r="510" spans="1:11" ht="15.75" customHeight="1">
      <c r="A510" s="2"/>
      <c r="B510" s="1"/>
      <c r="C510" s="1"/>
      <c r="D510" s="1"/>
      <c r="E510" s="1"/>
      <c r="F510" s="1"/>
      <c r="G510" s="1"/>
      <c r="H510" s="1"/>
      <c r="I510" s="61"/>
      <c r="J510" s="1"/>
      <c r="K510" s="1"/>
    </row>
    <row r="511" spans="1:11" ht="15.75" customHeight="1">
      <c r="A511" s="2"/>
      <c r="B511" s="1"/>
      <c r="C511" s="1"/>
      <c r="D511" s="1"/>
      <c r="E511" s="1"/>
      <c r="F511" s="1"/>
      <c r="G511" s="1"/>
      <c r="H511" s="1"/>
      <c r="I511" s="61"/>
      <c r="J511" s="1"/>
      <c r="K511" s="1"/>
    </row>
    <row r="512" spans="1:11" ht="15.75" customHeight="1">
      <c r="A512" s="2"/>
      <c r="B512" s="1"/>
      <c r="C512" s="1"/>
      <c r="D512" s="1"/>
      <c r="E512" s="1"/>
      <c r="F512" s="1"/>
      <c r="G512" s="1"/>
      <c r="H512" s="1"/>
      <c r="I512" s="61"/>
      <c r="J512" s="1"/>
      <c r="K512" s="1"/>
    </row>
    <row r="513" spans="1:11" ht="15.75" customHeight="1">
      <c r="A513" s="2"/>
      <c r="B513" s="1"/>
      <c r="C513" s="1"/>
      <c r="D513" s="1"/>
      <c r="E513" s="1"/>
      <c r="F513" s="1"/>
      <c r="G513" s="1"/>
      <c r="H513" s="1"/>
      <c r="I513" s="61"/>
      <c r="J513" s="1"/>
      <c r="K513" s="1"/>
    </row>
    <row r="514" spans="1:11" ht="15.75" customHeight="1">
      <c r="A514" s="2"/>
      <c r="B514" s="1"/>
      <c r="C514" s="1"/>
      <c r="D514" s="1"/>
      <c r="E514" s="1"/>
      <c r="F514" s="1"/>
      <c r="G514" s="1"/>
      <c r="H514" s="1"/>
      <c r="I514" s="61"/>
      <c r="J514" s="1"/>
      <c r="K514" s="1"/>
    </row>
    <row r="515" spans="1:11" ht="15.75" customHeight="1">
      <c r="A515" s="2"/>
      <c r="B515" s="1"/>
      <c r="C515" s="1"/>
      <c r="D515" s="1"/>
      <c r="E515" s="1"/>
      <c r="F515" s="1"/>
      <c r="G515" s="1"/>
      <c r="H515" s="1"/>
      <c r="I515" s="61"/>
      <c r="J515" s="1"/>
      <c r="K515" s="1"/>
    </row>
    <row r="516" spans="1:11" ht="15.75" customHeight="1">
      <c r="A516" s="2"/>
      <c r="B516" s="1"/>
      <c r="C516" s="1"/>
      <c r="D516" s="1"/>
      <c r="E516" s="1"/>
      <c r="F516" s="1"/>
      <c r="G516" s="1"/>
      <c r="H516" s="1"/>
      <c r="I516" s="61"/>
      <c r="J516" s="1"/>
      <c r="K516" s="1"/>
    </row>
    <row r="517" spans="1:11" ht="15.75" customHeight="1">
      <c r="A517" s="2"/>
      <c r="B517" s="1"/>
      <c r="C517" s="1"/>
      <c r="D517" s="1"/>
      <c r="E517" s="1"/>
      <c r="F517" s="1"/>
      <c r="G517" s="1"/>
      <c r="H517" s="1"/>
      <c r="I517" s="61"/>
      <c r="J517" s="1"/>
      <c r="K517" s="1"/>
    </row>
    <row r="518" spans="1:11" ht="15.75" customHeight="1">
      <c r="A518" s="2"/>
      <c r="B518" s="1"/>
      <c r="C518" s="1"/>
      <c r="D518" s="1"/>
      <c r="E518" s="1"/>
      <c r="F518" s="1"/>
      <c r="G518" s="1"/>
      <c r="H518" s="1"/>
      <c r="I518" s="61"/>
      <c r="J518" s="1"/>
      <c r="K518" s="1"/>
    </row>
    <row r="519" spans="1:11" ht="15.75" customHeight="1">
      <c r="A519" s="2"/>
      <c r="B519" s="1"/>
      <c r="C519" s="1"/>
      <c r="D519" s="1"/>
      <c r="E519" s="1"/>
      <c r="F519" s="1"/>
      <c r="G519" s="1"/>
      <c r="H519" s="1"/>
      <c r="I519" s="61"/>
      <c r="J519" s="1"/>
      <c r="K519" s="1"/>
    </row>
    <row r="520" spans="1:11" ht="15.75" customHeight="1">
      <c r="A520" s="2"/>
      <c r="B520" s="1"/>
      <c r="C520" s="1"/>
      <c r="D520" s="1"/>
      <c r="E520" s="1"/>
      <c r="F520" s="1"/>
      <c r="G520" s="1"/>
      <c r="H520" s="1"/>
      <c r="I520" s="61"/>
      <c r="J520" s="1"/>
      <c r="K520" s="1"/>
    </row>
    <row r="521" spans="1:11" ht="15.75" customHeight="1">
      <c r="A521" s="2"/>
      <c r="B521" s="1"/>
      <c r="C521" s="1"/>
      <c r="D521" s="1"/>
      <c r="E521" s="1"/>
      <c r="F521" s="1"/>
      <c r="G521" s="1"/>
      <c r="H521" s="1"/>
      <c r="I521" s="61"/>
      <c r="J521" s="1"/>
      <c r="K521" s="1"/>
    </row>
    <row r="522" spans="1:11" ht="15.75" customHeight="1">
      <c r="A522" s="2"/>
      <c r="B522" s="1"/>
      <c r="C522" s="1"/>
      <c r="D522" s="1"/>
      <c r="E522" s="1"/>
      <c r="F522" s="1"/>
      <c r="G522" s="1"/>
      <c r="H522" s="1"/>
      <c r="I522" s="61"/>
      <c r="J522" s="1"/>
      <c r="K522" s="1"/>
    </row>
    <row r="523" spans="1:11" ht="15.75" customHeight="1">
      <c r="A523" s="2"/>
      <c r="B523" s="1"/>
      <c r="C523" s="1"/>
      <c r="D523" s="1"/>
      <c r="E523" s="1"/>
      <c r="F523" s="1"/>
      <c r="G523" s="1"/>
      <c r="H523" s="1"/>
      <c r="I523" s="61"/>
      <c r="J523" s="1"/>
      <c r="K523" s="1"/>
    </row>
    <row r="524" spans="1:11" ht="15.75" customHeight="1">
      <c r="A524" s="2"/>
      <c r="B524" s="1"/>
      <c r="C524" s="1"/>
      <c r="D524" s="1"/>
      <c r="E524" s="1"/>
      <c r="F524" s="1"/>
      <c r="G524" s="1"/>
      <c r="H524" s="1"/>
      <c r="I524" s="61"/>
      <c r="J524" s="1"/>
      <c r="K524" s="1"/>
    </row>
    <row r="525" spans="1:11" ht="15.75" customHeight="1">
      <c r="A525" s="2"/>
      <c r="B525" s="1"/>
      <c r="C525" s="1"/>
      <c r="D525" s="1"/>
      <c r="E525" s="1"/>
      <c r="F525" s="1"/>
      <c r="G525" s="1"/>
      <c r="H525" s="1"/>
      <c r="I525" s="61"/>
      <c r="J525" s="1"/>
      <c r="K525" s="1"/>
    </row>
    <row r="526" spans="1:11" ht="15.75" customHeight="1">
      <c r="A526" s="2"/>
      <c r="B526" s="1"/>
      <c r="C526" s="1"/>
      <c r="D526" s="1"/>
      <c r="E526" s="1"/>
      <c r="F526" s="1"/>
      <c r="G526" s="1"/>
      <c r="H526" s="1"/>
      <c r="I526" s="61"/>
      <c r="J526" s="1"/>
      <c r="K526" s="1"/>
    </row>
    <row r="527" spans="1:11" ht="15.75" customHeight="1">
      <c r="A527" s="2"/>
      <c r="B527" s="1"/>
      <c r="C527" s="1"/>
      <c r="D527" s="1"/>
      <c r="E527" s="1"/>
      <c r="F527" s="1"/>
      <c r="G527" s="1"/>
      <c r="H527" s="1"/>
      <c r="I527" s="61"/>
      <c r="J527" s="1"/>
      <c r="K527" s="1"/>
    </row>
    <row r="528" spans="1:11" ht="15.75" customHeight="1">
      <c r="A528" s="2"/>
      <c r="B528" s="1"/>
      <c r="C528" s="1"/>
      <c r="D528" s="1"/>
      <c r="E528" s="1"/>
      <c r="F528" s="1"/>
      <c r="G528" s="1"/>
      <c r="H528" s="1"/>
      <c r="I528" s="61"/>
      <c r="J528" s="1"/>
      <c r="K528" s="1"/>
    </row>
    <row r="529" spans="1:11" ht="15.75" customHeight="1">
      <c r="A529" s="2"/>
      <c r="B529" s="1"/>
      <c r="C529" s="1"/>
      <c r="D529" s="1"/>
      <c r="E529" s="1"/>
      <c r="F529" s="1"/>
      <c r="G529" s="1"/>
      <c r="H529" s="1"/>
      <c r="I529" s="61"/>
      <c r="J529" s="1"/>
      <c r="K529" s="1"/>
    </row>
    <row r="530" spans="1:11" ht="15.75" customHeight="1">
      <c r="A530" s="2"/>
      <c r="B530" s="1"/>
      <c r="C530" s="1"/>
      <c r="D530" s="1"/>
      <c r="E530" s="1"/>
      <c r="F530" s="1"/>
      <c r="G530" s="1"/>
      <c r="H530" s="1"/>
      <c r="I530" s="61"/>
      <c r="J530" s="1"/>
      <c r="K530" s="1"/>
    </row>
    <row r="531" spans="1:11" ht="15.75" customHeight="1">
      <c r="A531" s="2"/>
      <c r="B531" s="1"/>
      <c r="C531" s="1"/>
      <c r="D531" s="1"/>
      <c r="E531" s="1"/>
      <c r="F531" s="1"/>
      <c r="G531" s="1"/>
      <c r="H531" s="1"/>
      <c r="I531" s="61"/>
      <c r="J531" s="1"/>
      <c r="K531" s="1"/>
    </row>
    <row r="532" spans="1:11" ht="15.75" customHeight="1">
      <c r="A532" s="2"/>
      <c r="B532" s="1"/>
      <c r="C532" s="1"/>
      <c r="D532" s="1"/>
      <c r="E532" s="1"/>
      <c r="F532" s="1"/>
      <c r="G532" s="1"/>
      <c r="H532" s="1"/>
      <c r="I532" s="61"/>
      <c r="J532" s="1"/>
      <c r="K532" s="1"/>
    </row>
    <row r="533" spans="1:11" ht="15.75" customHeight="1">
      <c r="A533" s="2"/>
      <c r="B533" s="1"/>
      <c r="C533" s="1"/>
      <c r="D533" s="1"/>
      <c r="E533" s="1"/>
      <c r="F533" s="1"/>
      <c r="G533" s="1"/>
      <c r="H533" s="1"/>
      <c r="I533" s="61"/>
      <c r="J533" s="1"/>
      <c r="K533" s="1"/>
    </row>
    <row r="534" spans="1:11" ht="15.75" customHeight="1">
      <c r="A534" s="2"/>
      <c r="B534" s="1"/>
      <c r="C534" s="1"/>
      <c r="D534" s="1"/>
      <c r="E534" s="1"/>
      <c r="F534" s="1"/>
      <c r="G534" s="1"/>
      <c r="H534" s="1"/>
      <c r="I534" s="61"/>
      <c r="J534" s="1"/>
      <c r="K534" s="1"/>
    </row>
    <row r="535" spans="1:11" ht="15.75" customHeight="1">
      <c r="A535" s="2"/>
      <c r="B535" s="1"/>
      <c r="C535" s="1"/>
      <c r="D535" s="1"/>
      <c r="E535" s="1"/>
      <c r="F535" s="1"/>
      <c r="G535" s="1"/>
      <c r="H535" s="1"/>
      <c r="I535" s="61"/>
      <c r="J535" s="1"/>
      <c r="K535" s="1"/>
    </row>
    <row r="536" spans="1:11" ht="15.75" customHeight="1">
      <c r="A536" s="2"/>
      <c r="B536" s="1"/>
      <c r="C536" s="1"/>
      <c r="D536" s="1"/>
      <c r="E536" s="1"/>
      <c r="F536" s="1"/>
      <c r="G536" s="1"/>
      <c r="H536" s="1"/>
      <c r="I536" s="61"/>
      <c r="J536" s="1"/>
      <c r="K536" s="1"/>
    </row>
    <row r="537" spans="1:11" ht="15.75" customHeight="1">
      <c r="A537" s="2"/>
      <c r="B537" s="1"/>
      <c r="C537" s="1"/>
      <c r="D537" s="1"/>
      <c r="E537" s="1"/>
      <c r="F537" s="1"/>
      <c r="G537" s="1"/>
      <c r="H537" s="1"/>
      <c r="I537" s="61"/>
      <c r="J537" s="1"/>
      <c r="K537" s="1"/>
    </row>
    <row r="538" spans="1:11" ht="15.75" customHeight="1">
      <c r="A538" s="2"/>
      <c r="B538" s="1"/>
      <c r="C538" s="1"/>
      <c r="D538" s="1"/>
      <c r="E538" s="1"/>
      <c r="F538" s="1"/>
      <c r="G538" s="1"/>
      <c r="H538" s="1"/>
      <c r="I538" s="61"/>
      <c r="J538" s="1"/>
      <c r="K538" s="1"/>
    </row>
    <row r="539" spans="1:11" ht="15.75" customHeight="1">
      <c r="A539" s="2"/>
      <c r="B539" s="1"/>
      <c r="C539" s="1"/>
      <c r="D539" s="1"/>
      <c r="E539" s="1"/>
      <c r="F539" s="1"/>
      <c r="G539" s="1"/>
      <c r="H539" s="1"/>
      <c r="I539" s="61"/>
      <c r="J539" s="1"/>
      <c r="K539" s="1"/>
    </row>
    <row r="540" spans="1:11" ht="15.75" customHeight="1">
      <c r="A540" s="2"/>
      <c r="B540" s="1"/>
      <c r="C540" s="1"/>
      <c r="D540" s="1"/>
      <c r="E540" s="1"/>
      <c r="F540" s="1"/>
      <c r="G540" s="1"/>
      <c r="H540" s="1"/>
      <c r="I540" s="61"/>
      <c r="J540" s="1"/>
      <c r="K540" s="1"/>
    </row>
    <row r="541" spans="1:11" ht="15.75" customHeight="1">
      <c r="A541" s="2"/>
      <c r="B541" s="1"/>
      <c r="C541" s="1"/>
      <c r="D541" s="1"/>
      <c r="E541" s="1"/>
      <c r="F541" s="1"/>
      <c r="G541" s="1"/>
      <c r="H541" s="1"/>
      <c r="I541" s="61"/>
      <c r="J541" s="1"/>
      <c r="K541" s="1"/>
    </row>
    <row r="542" spans="1:11" ht="15.75" customHeight="1">
      <c r="A542" s="2"/>
      <c r="B542" s="1"/>
      <c r="C542" s="1"/>
      <c r="D542" s="1"/>
      <c r="E542" s="1"/>
      <c r="F542" s="1"/>
      <c r="G542" s="1"/>
      <c r="H542" s="1"/>
      <c r="I542" s="61"/>
      <c r="J542" s="1"/>
      <c r="K542" s="1"/>
    </row>
    <row r="543" spans="1:11" ht="15.75" customHeight="1">
      <c r="A543" s="2"/>
      <c r="B543" s="1"/>
      <c r="C543" s="1"/>
      <c r="D543" s="1"/>
      <c r="E543" s="1"/>
      <c r="F543" s="1"/>
      <c r="G543" s="1"/>
      <c r="H543" s="1"/>
      <c r="I543" s="61"/>
      <c r="J543" s="1"/>
      <c r="K543" s="1"/>
    </row>
    <row r="544" spans="1:11" ht="15.75" customHeight="1">
      <c r="A544" s="2"/>
      <c r="B544" s="1"/>
      <c r="C544" s="1"/>
      <c r="D544" s="1"/>
      <c r="E544" s="1"/>
      <c r="F544" s="1"/>
      <c r="G544" s="1"/>
      <c r="H544" s="1"/>
      <c r="I544" s="61"/>
      <c r="J544" s="1"/>
      <c r="K544" s="1"/>
    </row>
    <row r="545" spans="1:11" ht="15.75" customHeight="1">
      <c r="A545" s="2"/>
      <c r="B545" s="1"/>
      <c r="C545" s="1"/>
      <c r="D545" s="1"/>
      <c r="E545" s="1"/>
      <c r="F545" s="1"/>
      <c r="G545" s="1"/>
      <c r="H545" s="1"/>
      <c r="I545" s="61"/>
      <c r="J545" s="1"/>
      <c r="K545" s="1"/>
    </row>
    <row r="546" spans="1:11" ht="15.75" customHeight="1">
      <c r="A546" s="2"/>
      <c r="B546" s="1"/>
      <c r="C546" s="1"/>
      <c r="D546" s="1"/>
      <c r="E546" s="1"/>
      <c r="F546" s="1"/>
      <c r="G546" s="1"/>
      <c r="H546" s="1"/>
      <c r="I546" s="61"/>
      <c r="J546" s="1"/>
      <c r="K546" s="1"/>
    </row>
    <row r="547" spans="1:11" ht="15.75" customHeight="1">
      <c r="A547" s="2"/>
      <c r="B547" s="1"/>
      <c r="C547" s="1"/>
      <c r="D547" s="1"/>
      <c r="E547" s="1"/>
      <c r="F547" s="1"/>
      <c r="G547" s="1"/>
      <c r="H547" s="1"/>
      <c r="I547" s="61"/>
      <c r="J547" s="1"/>
      <c r="K547" s="1"/>
    </row>
    <row r="548" spans="1:11" ht="15.75" customHeight="1">
      <c r="A548" s="2"/>
      <c r="B548" s="1"/>
      <c r="C548" s="1"/>
      <c r="D548" s="1"/>
      <c r="E548" s="1"/>
      <c r="F548" s="1"/>
      <c r="G548" s="1"/>
      <c r="H548" s="1"/>
      <c r="I548" s="61"/>
      <c r="J548" s="1"/>
      <c r="K548" s="1"/>
    </row>
    <row r="549" spans="1:11" ht="15.75" customHeight="1">
      <c r="A549" s="2"/>
      <c r="B549" s="1"/>
      <c r="C549" s="1"/>
      <c r="D549" s="1"/>
      <c r="E549" s="1"/>
      <c r="F549" s="1"/>
      <c r="G549" s="1"/>
      <c r="H549" s="1"/>
      <c r="I549" s="61"/>
      <c r="J549" s="1"/>
      <c r="K549" s="1"/>
    </row>
    <row r="550" spans="1:11" ht="15.75" customHeight="1">
      <c r="A550" s="2"/>
      <c r="B550" s="1"/>
      <c r="C550" s="1"/>
      <c r="D550" s="1"/>
      <c r="E550" s="1"/>
      <c r="F550" s="1"/>
      <c r="G550" s="1"/>
      <c r="H550" s="1"/>
      <c r="I550" s="61"/>
      <c r="J550" s="1"/>
      <c r="K550" s="1"/>
    </row>
    <row r="551" spans="1:11" ht="15.75" customHeight="1">
      <c r="A551" s="2"/>
      <c r="B551" s="1"/>
      <c r="C551" s="1"/>
      <c r="D551" s="1"/>
      <c r="E551" s="1"/>
      <c r="F551" s="1"/>
      <c r="G551" s="1"/>
      <c r="H551" s="1"/>
      <c r="I551" s="61"/>
      <c r="J551" s="1"/>
      <c r="K551" s="1"/>
    </row>
    <row r="552" spans="1:11" ht="15.75" customHeight="1">
      <c r="A552" s="2"/>
      <c r="B552" s="1"/>
      <c r="C552" s="1"/>
      <c r="D552" s="1"/>
      <c r="E552" s="1"/>
      <c r="F552" s="1"/>
      <c r="G552" s="1"/>
      <c r="H552" s="1"/>
      <c r="I552" s="61"/>
      <c r="J552" s="1"/>
      <c r="K552" s="1"/>
    </row>
    <row r="553" spans="1:11" ht="15.75" customHeight="1">
      <c r="A553" s="2"/>
      <c r="B553" s="1"/>
      <c r="C553" s="1"/>
      <c r="D553" s="1"/>
      <c r="E553" s="1"/>
      <c r="F553" s="1"/>
      <c r="G553" s="1"/>
      <c r="H553" s="1"/>
      <c r="I553" s="61"/>
      <c r="J553" s="1"/>
      <c r="K553" s="1"/>
    </row>
    <row r="554" spans="1:11" ht="15.75" customHeight="1">
      <c r="A554" s="2"/>
      <c r="B554" s="1"/>
      <c r="C554" s="1"/>
      <c r="D554" s="1"/>
      <c r="E554" s="1"/>
      <c r="F554" s="1"/>
      <c r="G554" s="1"/>
      <c r="H554" s="1"/>
      <c r="I554" s="61"/>
      <c r="J554" s="1"/>
      <c r="K554" s="1"/>
    </row>
    <row r="555" spans="1:11" ht="15.75" customHeight="1">
      <c r="A555" s="2"/>
      <c r="B555" s="1"/>
      <c r="C555" s="1"/>
      <c r="D555" s="1"/>
      <c r="E555" s="1"/>
      <c r="F555" s="1"/>
      <c r="G555" s="1"/>
      <c r="H555" s="1"/>
      <c r="I555" s="61"/>
      <c r="J555" s="1"/>
      <c r="K555" s="1"/>
    </row>
    <row r="556" spans="1:11" ht="15.75" customHeight="1">
      <c r="A556" s="2"/>
      <c r="B556" s="1"/>
      <c r="C556" s="1"/>
      <c r="D556" s="1"/>
      <c r="E556" s="1"/>
      <c r="F556" s="1"/>
      <c r="G556" s="1"/>
      <c r="H556" s="1"/>
      <c r="I556" s="61"/>
      <c r="J556" s="1"/>
      <c r="K556" s="1"/>
    </row>
    <row r="557" spans="1:11" ht="15.75" customHeight="1">
      <c r="A557" s="2"/>
      <c r="B557" s="1"/>
      <c r="C557" s="1"/>
      <c r="D557" s="1"/>
      <c r="E557" s="1"/>
      <c r="F557" s="1"/>
      <c r="G557" s="1"/>
      <c r="H557" s="1"/>
      <c r="I557" s="61"/>
      <c r="J557" s="1"/>
      <c r="K557" s="1"/>
    </row>
    <row r="558" spans="1:11" ht="15.75" customHeight="1">
      <c r="A558" s="2"/>
      <c r="B558" s="1"/>
      <c r="C558" s="1"/>
      <c r="D558" s="1"/>
      <c r="E558" s="1"/>
      <c r="F558" s="1"/>
      <c r="G558" s="1"/>
      <c r="H558" s="1"/>
      <c r="I558" s="61"/>
      <c r="J558" s="1"/>
      <c r="K558" s="1"/>
    </row>
    <row r="559" spans="1:11" ht="15.75" customHeight="1">
      <c r="A559" s="2"/>
      <c r="B559" s="1"/>
      <c r="C559" s="1"/>
      <c r="D559" s="1"/>
      <c r="E559" s="1"/>
      <c r="F559" s="1"/>
      <c r="G559" s="1"/>
      <c r="H559" s="1"/>
      <c r="I559" s="61"/>
      <c r="J559" s="1"/>
      <c r="K559" s="1"/>
    </row>
    <row r="560" spans="1:11" ht="15.75" customHeight="1">
      <c r="A560" s="2"/>
      <c r="B560" s="1"/>
      <c r="C560" s="1"/>
      <c r="D560" s="1"/>
      <c r="E560" s="1"/>
      <c r="F560" s="1"/>
      <c r="G560" s="1"/>
      <c r="H560" s="1"/>
      <c r="I560" s="61"/>
      <c r="J560" s="1"/>
      <c r="K560" s="1"/>
    </row>
    <row r="561" spans="1:11" ht="15.75" customHeight="1">
      <c r="A561" s="2"/>
      <c r="B561" s="1"/>
      <c r="C561" s="1"/>
      <c r="D561" s="1"/>
      <c r="E561" s="1"/>
      <c r="F561" s="1"/>
      <c r="G561" s="1"/>
      <c r="H561" s="1"/>
      <c r="I561" s="61"/>
      <c r="J561" s="1"/>
      <c r="K561" s="1"/>
    </row>
    <row r="562" spans="1:11" ht="15.75" customHeight="1">
      <c r="A562" s="2"/>
      <c r="B562" s="1"/>
      <c r="C562" s="1"/>
      <c r="D562" s="1"/>
      <c r="E562" s="1"/>
      <c r="F562" s="1"/>
      <c r="G562" s="1"/>
      <c r="H562" s="1"/>
      <c r="I562" s="61"/>
      <c r="J562" s="1"/>
      <c r="K562" s="1"/>
    </row>
    <row r="563" spans="1:11" ht="15.75" customHeight="1">
      <c r="A563" s="2"/>
      <c r="B563" s="1"/>
      <c r="C563" s="1"/>
      <c r="D563" s="1"/>
      <c r="E563" s="1"/>
      <c r="F563" s="1"/>
      <c r="G563" s="1"/>
      <c r="H563" s="1"/>
      <c r="I563" s="61"/>
      <c r="J563" s="1"/>
      <c r="K563" s="1"/>
    </row>
    <row r="564" spans="1:11" ht="15.75" customHeight="1">
      <c r="A564" s="2"/>
      <c r="B564" s="1"/>
      <c r="C564" s="1"/>
      <c r="D564" s="1"/>
      <c r="E564" s="1"/>
      <c r="F564" s="1"/>
      <c r="G564" s="1"/>
      <c r="H564" s="1"/>
      <c r="I564" s="61"/>
      <c r="J564" s="1"/>
      <c r="K564" s="1"/>
    </row>
    <row r="565" spans="1:11" ht="15.75" customHeight="1">
      <c r="A565" s="2"/>
      <c r="B565" s="1"/>
      <c r="C565" s="1"/>
      <c r="D565" s="1"/>
      <c r="E565" s="1"/>
      <c r="F565" s="1"/>
      <c r="G565" s="1"/>
      <c r="H565" s="1"/>
      <c r="I565" s="61"/>
      <c r="J565" s="1"/>
      <c r="K565" s="1"/>
    </row>
    <row r="566" spans="1:11" ht="15.75" customHeight="1">
      <c r="A566" s="2"/>
      <c r="B566" s="1"/>
      <c r="C566" s="1"/>
      <c r="D566" s="1"/>
      <c r="E566" s="1"/>
      <c r="F566" s="1"/>
      <c r="G566" s="1"/>
      <c r="H566" s="1"/>
      <c r="I566" s="61"/>
      <c r="J566" s="1"/>
      <c r="K566" s="1"/>
    </row>
    <row r="567" spans="1:11" ht="15.75" customHeight="1">
      <c r="A567" s="2"/>
      <c r="B567" s="1"/>
      <c r="C567" s="1"/>
      <c r="D567" s="1"/>
      <c r="E567" s="1"/>
      <c r="F567" s="1"/>
      <c r="G567" s="1"/>
      <c r="H567" s="1"/>
      <c r="I567" s="61"/>
      <c r="J567" s="1"/>
      <c r="K567" s="1"/>
    </row>
    <row r="568" spans="1:11" ht="15.75" customHeight="1">
      <c r="A568" s="2"/>
      <c r="B568" s="1"/>
      <c r="C568" s="1"/>
      <c r="D568" s="1"/>
      <c r="E568" s="1"/>
      <c r="F568" s="1"/>
      <c r="G568" s="1"/>
      <c r="H568" s="1"/>
      <c r="I568" s="61"/>
      <c r="J568" s="1"/>
      <c r="K568" s="1"/>
    </row>
    <row r="569" spans="1:11" ht="15.75" customHeight="1">
      <c r="A569" s="2"/>
      <c r="B569" s="1"/>
      <c r="C569" s="1"/>
      <c r="D569" s="1"/>
      <c r="E569" s="1"/>
      <c r="F569" s="1"/>
      <c r="G569" s="1"/>
      <c r="H569" s="1"/>
      <c r="I569" s="61"/>
      <c r="J569" s="1"/>
      <c r="K569" s="1"/>
    </row>
    <row r="570" spans="1:11" ht="15.75" customHeight="1">
      <c r="A570" s="2"/>
      <c r="B570" s="1"/>
      <c r="C570" s="1"/>
      <c r="D570" s="1"/>
      <c r="E570" s="1"/>
      <c r="F570" s="1"/>
      <c r="G570" s="1"/>
      <c r="H570" s="1"/>
      <c r="I570" s="61"/>
      <c r="J570" s="1"/>
      <c r="K570" s="1"/>
    </row>
    <row r="571" spans="1:11" ht="15.75" customHeight="1">
      <c r="A571" s="2"/>
      <c r="B571" s="1"/>
      <c r="C571" s="1"/>
      <c r="D571" s="1"/>
      <c r="E571" s="1"/>
      <c r="F571" s="1"/>
      <c r="G571" s="1"/>
      <c r="H571" s="1"/>
      <c r="I571" s="61"/>
      <c r="J571" s="1"/>
      <c r="K571" s="1"/>
    </row>
    <row r="572" spans="1:11" ht="15.75" customHeight="1">
      <c r="A572" s="2"/>
      <c r="B572" s="1"/>
      <c r="C572" s="1"/>
      <c r="D572" s="1"/>
      <c r="E572" s="1"/>
      <c r="F572" s="1"/>
      <c r="G572" s="1"/>
      <c r="H572" s="1"/>
      <c r="I572" s="61"/>
      <c r="J572" s="1"/>
      <c r="K572" s="1"/>
    </row>
    <row r="573" spans="1:11" ht="15.75" customHeight="1">
      <c r="A573" s="2"/>
      <c r="B573" s="1"/>
      <c r="C573" s="1"/>
      <c r="D573" s="1"/>
      <c r="E573" s="1"/>
      <c r="F573" s="1"/>
      <c r="G573" s="1"/>
      <c r="H573" s="1"/>
      <c r="I573" s="61"/>
      <c r="J573" s="1"/>
      <c r="K573" s="1"/>
    </row>
    <row r="574" spans="1:11" ht="15.75" customHeight="1">
      <c r="A574" s="2"/>
      <c r="B574" s="1"/>
      <c r="C574" s="1"/>
      <c r="D574" s="1"/>
      <c r="E574" s="1"/>
      <c r="F574" s="1"/>
      <c r="G574" s="1"/>
      <c r="H574" s="1"/>
      <c r="I574" s="61"/>
      <c r="J574" s="1"/>
      <c r="K574" s="1"/>
    </row>
    <row r="575" spans="1:11" ht="15.75" customHeight="1">
      <c r="A575" s="2"/>
      <c r="B575" s="1"/>
      <c r="C575" s="1"/>
      <c r="D575" s="1"/>
      <c r="E575" s="1"/>
      <c r="F575" s="1"/>
      <c r="G575" s="1"/>
      <c r="H575" s="1"/>
      <c r="I575" s="61"/>
      <c r="J575" s="1"/>
      <c r="K575" s="1"/>
    </row>
    <row r="576" spans="1:11" ht="15.75" customHeight="1">
      <c r="A576" s="2"/>
      <c r="B576" s="1"/>
      <c r="C576" s="1"/>
      <c r="D576" s="1"/>
      <c r="E576" s="1"/>
      <c r="F576" s="1"/>
      <c r="G576" s="1"/>
      <c r="H576" s="1"/>
      <c r="I576" s="61"/>
      <c r="J576" s="1"/>
      <c r="K576" s="1"/>
    </row>
    <row r="577" spans="1:11" ht="15.75" customHeight="1">
      <c r="A577" s="2"/>
      <c r="B577" s="1"/>
      <c r="C577" s="1"/>
      <c r="D577" s="1"/>
      <c r="E577" s="1"/>
      <c r="F577" s="1"/>
      <c r="G577" s="1"/>
      <c r="H577" s="1"/>
      <c r="I577" s="61"/>
      <c r="J577" s="1"/>
      <c r="K577" s="1"/>
    </row>
    <row r="578" spans="1:11" ht="15.75" customHeight="1">
      <c r="A578" s="2"/>
      <c r="B578" s="1"/>
      <c r="C578" s="1"/>
      <c r="D578" s="1"/>
      <c r="E578" s="1"/>
      <c r="F578" s="1"/>
      <c r="G578" s="1"/>
      <c r="H578" s="1"/>
      <c r="I578" s="61"/>
      <c r="J578" s="1"/>
      <c r="K578" s="1"/>
    </row>
    <row r="579" spans="1:11" ht="15.75" customHeight="1">
      <c r="A579" s="2"/>
      <c r="B579" s="1"/>
      <c r="C579" s="1"/>
      <c r="D579" s="1"/>
      <c r="E579" s="1"/>
      <c r="F579" s="1"/>
      <c r="G579" s="1"/>
      <c r="H579" s="1"/>
      <c r="I579" s="61"/>
      <c r="J579" s="1"/>
      <c r="K579" s="1"/>
    </row>
    <row r="580" spans="1:11" ht="15.75" customHeight="1">
      <c r="A580" s="2"/>
      <c r="B580" s="1"/>
      <c r="C580" s="1"/>
      <c r="D580" s="1"/>
      <c r="E580" s="1"/>
      <c r="F580" s="1"/>
      <c r="G580" s="1"/>
      <c r="H580" s="1"/>
      <c r="I580" s="61"/>
      <c r="J580" s="1"/>
      <c r="K580" s="1"/>
    </row>
    <row r="581" spans="1:11" ht="15.75" customHeight="1">
      <c r="A581" s="2"/>
      <c r="B581" s="1"/>
      <c r="C581" s="1"/>
      <c r="D581" s="1"/>
      <c r="E581" s="1"/>
      <c r="F581" s="1"/>
      <c r="G581" s="1"/>
      <c r="H581" s="1"/>
      <c r="I581" s="61"/>
      <c r="J581" s="1"/>
      <c r="K581" s="1"/>
    </row>
    <row r="582" spans="1:11" ht="15.75" customHeight="1">
      <c r="A582" s="2"/>
      <c r="B582" s="1"/>
      <c r="C582" s="1"/>
      <c r="D582" s="1"/>
      <c r="E582" s="1"/>
      <c r="F582" s="1"/>
      <c r="G582" s="1"/>
      <c r="H582" s="1"/>
      <c r="I582" s="61"/>
      <c r="J582" s="1"/>
      <c r="K582" s="1"/>
    </row>
    <row r="583" spans="1:11" ht="15.75" customHeight="1">
      <c r="A583" s="2"/>
      <c r="B583" s="1"/>
      <c r="C583" s="1"/>
      <c r="D583" s="1"/>
      <c r="E583" s="1"/>
      <c r="F583" s="1"/>
      <c r="G583" s="1"/>
      <c r="H583" s="1"/>
      <c r="I583" s="61"/>
      <c r="J583" s="1"/>
      <c r="K583" s="1"/>
    </row>
    <row r="584" spans="1:11" ht="15.75" customHeight="1">
      <c r="A584" s="2"/>
      <c r="B584" s="1"/>
      <c r="C584" s="1"/>
      <c r="D584" s="1"/>
      <c r="E584" s="1"/>
      <c r="F584" s="1"/>
      <c r="G584" s="1"/>
      <c r="H584" s="1"/>
      <c r="I584" s="61"/>
      <c r="J584" s="1"/>
      <c r="K584" s="1"/>
    </row>
    <row r="585" spans="1:11" ht="15.75" customHeight="1">
      <c r="A585" s="2"/>
      <c r="B585" s="1"/>
      <c r="C585" s="1"/>
      <c r="D585" s="1"/>
      <c r="E585" s="1"/>
      <c r="F585" s="1"/>
      <c r="G585" s="1"/>
      <c r="H585" s="1"/>
      <c r="I585" s="61"/>
      <c r="J585" s="1"/>
      <c r="K585" s="1"/>
    </row>
    <row r="586" spans="1:11" ht="15.75" customHeight="1">
      <c r="A586" s="2"/>
      <c r="B586" s="1"/>
      <c r="C586" s="1"/>
      <c r="D586" s="1"/>
      <c r="E586" s="1"/>
      <c r="F586" s="1"/>
      <c r="G586" s="1"/>
      <c r="H586" s="1"/>
      <c r="I586" s="61"/>
      <c r="J586" s="1"/>
      <c r="K586" s="1"/>
    </row>
    <row r="587" spans="1:11" ht="15.75" customHeight="1">
      <c r="A587" s="2"/>
      <c r="B587" s="1"/>
      <c r="C587" s="1"/>
      <c r="D587" s="1"/>
      <c r="E587" s="1"/>
      <c r="F587" s="1"/>
      <c r="G587" s="1"/>
      <c r="H587" s="1"/>
      <c r="I587" s="61"/>
      <c r="J587" s="1"/>
      <c r="K587" s="1"/>
    </row>
    <row r="588" spans="1:11" ht="15.75" customHeight="1">
      <c r="A588" s="2"/>
      <c r="B588" s="1"/>
      <c r="C588" s="1"/>
      <c r="D588" s="1"/>
      <c r="E588" s="1"/>
      <c r="F588" s="1"/>
      <c r="G588" s="1"/>
      <c r="H588" s="1"/>
      <c r="I588" s="61"/>
      <c r="J588" s="1"/>
      <c r="K588" s="1"/>
    </row>
    <row r="589" spans="1:11" ht="15.75" customHeight="1">
      <c r="A589" s="2"/>
      <c r="B589" s="1"/>
      <c r="C589" s="1"/>
      <c r="D589" s="1"/>
      <c r="E589" s="1"/>
      <c r="F589" s="1"/>
      <c r="G589" s="1"/>
      <c r="H589" s="1"/>
      <c r="I589" s="61"/>
      <c r="J589" s="1"/>
      <c r="K589" s="1"/>
    </row>
    <row r="590" spans="1:11" ht="15.75" customHeight="1">
      <c r="A590" s="2"/>
      <c r="B590" s="1"/>
      <c r="C590" s="1"/>
      <c r="D590" s="1"/>
      <c r="E590" s="1"/>
      <c r="F590" s="1"/>
      <c r="G590" s="1"/>
      <c r="H590" s="1"/>
      <c r="I590" s="61"/>
      <c r="J590" s="1"/>
      <c r="K590" s="1"/>
    </row>
    <row r="591" spans="1:11" ht="15.75" customHeight="1">
      <c r="A591" s="2"/>
      <c r="B591" s="1"/>
      <c r="C591" s="1"/>
      <c r="D591" s="1"/>
      <c r="E591" s="1"/>
      <c r="F591" s="1"/>
      <c r="G591" s="1"/>
      <c r="H591" s="1"/>
      <c r="I591" s="61"/>
      <c r="J591" s="1"/>
      <c r="K591" s="1"/>
    </row>
    <row r="592" spans="1:11" ht="15.75" customHeight="1">
      <c r="A592" s="2"/>
      <c r="B592" s="1"/>
      <c r="C592" s="1"/>
      <c r="D592" s="1"/>
      <c r="E592" s="1"/>
      <c r="F592" s="1"/>
      <c r="G592" s="1"/>
      <c r="H592" s="1"/>
      <c r="I592" s="61"/>
      <c r="J592" s="1"/>
      <c r="K592" s="1"/>
    </row>
    <row r="593" spans="1:11" ht="15.75" customHeight="1">
      <c r="A593" s="2"/>
      <c r="B593" s="1"/>
      <c r="C593" s="1"/>
      <c r="D593" s="1"/>
      <c r="E593" s="1"/>
      <c r="F593" s="1"/>
      <c r="G593" s="1"/>
      <c r="H593" s="1"/>
      <c r="I593" s="61"/>
      <c r="J593" s="1"/>
      <c r="K593" s="1"/>
    </row>
    <row r="594" spans="1:11" ht="15.75" customHeight="1">
      <c r="A594" s="2"/>
      <c r="B594" s="1"/>
      <c r="C594" s="1"/>
      <c r="D594" s="1"/>
      <c r="E594" s="1"/>
      <c r="F594" s="1"/>
      <c r="G594" s="1"/>
      <c r="H594" s="1"/>
      <c r="I594" s="61"/>
      <c r="J594" s="1"/>
      <c r="K594" s="1"/>
    </row>
    <row r="595" spans="1:11" ht="15.75" customHeight="1">
      <c r="A595" s="2"/>
      <c r="B595" s="1"/>
      <c r="C595" s="1"/>
      <c r="D595" s="1"/>
      <c r="E595" s="1"/>
      <c r="F595" s="1"/>
      <c r="G595" s="1"/>
      <c r="H595" s="1"/>
      <c r="I595" s="61"/>
      <c r="J595" s="1"/>
      <c r="K595" s="1"/>
    </row>
    <row r="596" spans="1:11" ht="15.75" customHeight="1">
      <c r="A596" s="2"/>
      <c r="B596" s="1"/>
      <c r="C596" s="1"/>
      <c r="D596" s="1"/>
      <c r="E596" s="1"/>
      <c r="F596" s="1"/>
      <c r="G596" s="1"/>
      <c r="H596" s="1"/>
      <c r="I596" s="61"/>
      <c r="J596" s="1"/>
      <c r="K596" s="1"/>
    </row>
    <row r="597" spans="1:11" ht="15.75" customHeight="1">
      <c r="A597" s="2"/>
      <c r="B597" s="1"/>
      <c r="C597" s="1"/>
      <c r="D597" s="1"/>
      <c r="E597" s="1"/>
      <c r="F597" s="1"/>
      <c r="G597" s="1"/>
      <c r="H597" s="1"/>
      <c r="I597" s="61"/>
      <c r="J597" s="1"/>
      <c r="K597" s="1"/>
    </row>
    <row r="598" spans="1:11" ht="15.75" customHeight="1">
      <c r="A598" s="2"/>
      <c r="B598" s="1"/>
      <c r="C598" s="1"/>
      <c r="D598" s="1"/>
      <c r="E598" s="1"/>
      <c r="F598" s="1"/>
      <c r="G598" s="1"/>
      <c r="H598" s="1"/>
      <c r="I598" s="61"/>
      <c r="J598" s="1"/>
      <c r="K598" s="1"/>
    </row>
    <row r="599" spans="1:11" ht="15.75" customHeight="1">
      <c r="A599" s="2"/>
      <c r="B599" s="1"/>
      <c r="C599" s="1"/>
      <c r="D599" s="1"/>
      <c r="E599" s="1"/>
      <c r="F599" s="1"/>
      <c r="G599" s="1"/>
      <c r="H599" s="1"/>
      <c r="I599" s="61"/>
      <c r="J599" s="1"/>
      <c r="K599" s="1"/>
    </row>
    <row r="600" spans="1:11" ht="15.75" customHeight="1">
      <c r="A600" s="2"/>
      <c r="B600" s="1"/>
      <c r="C600" s="1"/>
      <c r="D600" s="1"/>
      <c r="E600" s="1"/>
      <c r="F600" s="1"/>
      <c r="G600" s="1"/>
      <c r="H600" s="1"/>
      <c r="I600" s="61"/>
      <c r="J600" s="1"/>
      <c r="K600" s="1"/>
    </row>
    <row r="601" spans="1:11" ht="15.75" customHeight="1">
      <c r="A601" s="2"/>
      <c r="B601" s="1"/>
      <c r="C601" s="1"/>
      <c r="D601" s="1"/>
      <c r="E601" s="1"/>
      <c r="F601" s="1"/>
      <c r="G601" s="1"/>
      <c r="H601" s="1"/>
      <c r="I601" s="61"/>
      <c r="J601" s="1"/>
      <c r="K601" s="1"/>
    </row>
    <row r="602" spans="1:11" ht="15.75" customHeight="1">
      <c r="A602" s="2"/>
      <c r="B602" s="1"/>
      <c r="C602" s="1"/>
      <c r="D602" s="1"/>
      <c r="E602" s="1"/>
      <c r="F602" s="1"/>
      <c r="G602" s="1"/>
      <c r="H602" s="1"/>
      <c r="I602" s="61"/>
      <c r="J602" s="1"/>
      <c r="K602" s="1"/>
    </row>
    <row r="603" spans="1:11" ht="15.75" customHeight="1">
      <c r="A603" s="2"/>
      <c r="B603" s="1"/>
      <c r="C603" s="1"/>
      <c r="D603" s="1"/>
      <c r="E603" s="1"/>
      <c r="F603" s="1"/>
      <c r="G603" s="1"/>
      <c r="H603" s="1"/>
      <c r="I603" s="61"/>
      <c r="J603" s="1"/>
      <c r="K603" s="1"/>
    </row>
    <row r="604" spans="1:11" ht="15.75" customHeight="1">
      <c r="A604" s="2"/>
      <c r="B604" s="1"/>
      <c r="C604" s="1"/>
      <c r="D604" s="1"/>
      <c r="E604" s="1"/>
      <c r="F604" s="1"/>
      <c r="G604" s="1"/>
      <c r="H604" s="1"/>
      <c r="I604" s="61"/>
      <c r="J604" s="1"/>
      <c r="K604" s="1"/>
    </row>
    <row r="605" spans="1:11" ht="15.75" customHeight="1">
      <c r="A605" s="2"/>
      <c r="B605" s="1"/>
      <c r="C605" s="1"/>
      <c r="D605" s="1"/>
      <c r="E605" s="1"/>
      <c r="F605" s="1"/>
      <c r="G605" s="1"/>
      <c r="H605" s="1"/>
      <c r="I605" s="61"/>
      <c r="J605" s="1"/>
      <c r="K605" s="1"/>
    </row>
    <row r="606" spans="1:11" ht="15.75" customHeight="1">
      <c r="A606" s="2"/>
      <c r="B606" s="1"/>
      <c r="C606" s="1"/>
      <c r="D606" s="1"/>
      <c r="E606" s="1"/>
      <c r="F606" s="1"/>
      <c r="G606" s="1"/>
      <c r="H606" s="1"/>
      <c r="I606" s="61"/>
      <c r="J606" s="1"/>
      <c r="K606" s="1"/>
    </row>
    <row r="607" spans="1:11" ht="15.75" customHeight="1">
      <c r="A607" s="2"/>
      <c r="B607" s="1"/>
      <c r="C607" s="1"/>
      <c r="D607" s="1"/>
      <c r="E607" s="1"/>
      <c r="F607" s="1"/>
      <c r="G607" s="1"/>
      <c r="H607" s="1"/>
      <c r="I607" s="61"/>
      <c r="J607" s="1"/>
      <c r="K607" s="1"/>
    </row>
    <row r="608" spans="1:11" ht="15.75" customHeight="1">
      <c r="A608" s="2"/>
      <c r="B608" s="1"/>
      <c r="C608" s="1"/>
      <c r="D608" s="1"/>
      <c r="E608" s="1"/>
      <c r="F608" s="1"/>
      <c r="G608" s="1"/>
      <c r="H608" s="1"/>
      <c r="I608" s="61"/>
      <c r="J608" s="1"/>
      <c r="K608" s="1"/>
    </row>
    <row r="609" spans="1:11" ht="15.75" customHeight="1">
      <c r="A609" s="2"/>
      <c r="B609" s="1"/>
      <c r="C609" s="1"/>
      <c r="D609" s="1"/>
      <c r="E609" s="1"/>
      <c r="F609" s="1"/>
      <c r="G609" s="1"/>
      <c r="H609" s="1"/>
      <c r="I609" s="61"/>
      <c r="J609" s="1"/>
      <c r="K609" s="1"/>
    </row>
    <row r="610" spans="1:11" ht="15.75" customHeight="1">
      <c r="A610" s="2"/>
      <c r="B610" s="1"/>
      <c r="C610" s="1"/>
      <c r="D610" s="1"/>
      <c r="E610" s="1"/>
      <c r="F610" s="1"/>
      <c r="G610" s="1"/>
      <c r="H610" s="1"/>
      <c r="I610" s="61"/>
      <c r="J610" s="1"/>
      <c r="K610" s="1"/>
    </row>
    <row r="611" spans="1:11" ht="15.75" customHeight="1">
      <c r="A611" s="2"/>
      <c r="B611" s="1"/>
      <c r="C611" s="1"/>
      <c r="D611" s="1"/>
      <c r="E611" s="1"/>
      <c r="F611" s="1"/>
      <c r="G611" s="1"/>
      <c r="H611" s="1"/>
      <c r="I611" s="61"/>
      <c r="J611" s="1"/>
      <c r="K611" s="1"/>
    </row>
    <row r="612" spans="1:11" ht="15.75" customHeight="1">
      <c r="A612" s="2"/>
      <c r="B612" s="1"/>
      <c r="C612" s="1"/>
      <c r="D612" s="1"/>
      <c r="E612" s="1"/>
      <c r="F612" s="1"/>
      <c r="G612" s="1"/>
      <c r="H612" s="1"/>
      <c r="I612" s="61"/>
      <c r="J612" s="1"/>
      <c r="K612" s="1"/>
    </row>
    <row r="613" spans="1:11" ht="15.75" customHeight="1">
      <c r="A613" s="2"/>
      <c r="B613" s="1"/>
      <c r="C613" s="1"/>
      <c r="D613" s="1"/>
      <c r="E613" s="1"/>
      <c r="F613" s="1"/>
      <c r="G613" s="1"/>
      <c r="H613" s="1"/>
      <c r="I613" s="61"/>
      <c r="J613" s="1"/>
      <c r="K613" s="1"/>
    </row>
    <row r="614" spans="1:11" ht="15.75" customHeight="1">
      <c r="A614" s="2"/>
      <c r="B614" s="1"/>
      <c r="C614" s="1"/>
      <c r="D614" s="1"/>
      <c r="E614" s="1"/>
      <c r="F614" s="1"/>
      <c r="G614" s="1"/>
      <c r="H614" s="1"/>
      <c r="I614" s="61"/>
      <c r="J614" s="1"/>
      <c r="K614" s="1"/>
    </row>
    <row r="615" spans="1:11" ht="15.75" customHeight="1">
      <c r="A615" s="2"/>
      <c r="B615" s="1"/>
      <c r="C615" s="1"/>
      <c r="D615" s="1"/>
      <c r="E615" s="1"/>
      <c r="F615" s="1"/>
      <c r="G615" s="1"/>
      <c r="H615" s="1"/>
      <c r="I615" s="61"/>
      <c r="J615" s="1"/>
      <c r="K615" s="1"/>
    </row>
    <row r="616" spans="1:11" ht="15.75" customHeight="1">
      <c r="A616" s="2"/>
      <c r="B616" s="1"/>
      <c r="C616" s="1"/>
      <c r="D616" s="1"/>
      <c r="E616" s="1"/>
      <c r="F616" s="1"/>
      <c r="G616" s="1"/>
      <c r="H616" s="1"/>
      <c r="I616" s="61"/>
      <c r="J616" s="1"/>
      <c r="K616" s="1"/>
    </row>
    <row r="617" spans="1:11" ht="15.75" customHeight="1">
      <c r="A617" s="2"/>
      <c r="B617" s="1"/>
      <c r="C617" s="1"/>
      <c r="D617" s="1"/>
      <c r="E617" s="1"/>
      <c r="F617" s="1"/>
      <c r="G617" s="1"/>
      <c r="H617" s="1"/>
      <c r="I617" s="61"/>
      <c r="J617" s="1"/>
      <c r="K617" s="1"/>
    </row>
    <row r="618" spans="1:11" ht="15.75" customHeight="1">
      <c r="A618" s="2"/>
      <c r="B618" s="1"/>
      <c r="C618" s="1"/>
      <c r="D618" s="1"/>
      <c r="E618" s="1"/>
      <c r="F618" s="1"/>
      <c r="G618" s="1"/>
      <c r="H618" s="1"/>
      <c r="I618" s="61"/>
      <c r="J618" s="1"/>
      <c r="K618" s="1"/>
    </row>
    <row r="619" spans="1:11" ht="15.75" customHeight="1">
      <c r="A619" s="2"/>
      <c r="B619" s="1"/>
      <c r="C619" s="1"/>
      <c r="D619" s="1"/>
      <c r="E619" s="1"/>
      <c r="F619" s="1"/>
      <c r="G619" s="1"/>
      <c r="H619" s="1"/>
      <c r="I619" s="61"/>
      <c r="J619" s="1"/>
      <c r="K619" s="1"/>
    </row>
    <row r="620" spans="1:11" ht="15.75" customHeight="1">
      <c r="A620" s="2"/>
      <c r="B620" s="1"/>
      <c r="C620" s="1"/>
      <c r="D620" s="1"/>
      <c r="E620" s="1"/>
      <c r="F620" s="1"/>
      <c r="G620" s="1"/>
      <c r="H620" s="1"/>
      <c r="I620" s="61"/>
      <c r="J620" s="1"/>
      <c r="K620" s="1"/>
    </row>
    <row r="621" spans="1:11" ht="15.75" customHeight="1">
      <c r="A621" s="2"/>
      <c r="B621" s="1"/>
      <c r="C621" s="1"/>
      <c r="D621" s="1"/>
      <c r="E621" s="1"/>
      <c r="F621" s="1"/>
      <c r="G621" s="1"/>
      <c r="H621" s="1"/>
      <c r="I621" s="61"/>
      <c r="J621" s="1"/>
      <c r="K621" s="1"/>
    </row>
    <row r="622" spans="1:11" ht="15.75" customHeight="1">
      <c r="A622" s="2"/>
      <c r="B622" s="1"/>
      <c r="C622" s="1"/>
      <c r="D622" s="1"/>
      <c r="E622" s="1"/>
      <c r="F622" s="1"/>
      <c r="G622" s="1"/>
      <c r="H622" s="1"/>
      <c r="I622" s="61"/>
      <c r="J622" s="1"/>
      <c r="K622" s="1"/>
    </row>
    <row r="623" spans="1:11" ht="15.75" customHeight="1">
      <c r="A623" s="2"/>
      <c r="B623" s="1"/>
      <c r="C623" s="1"/>
      <c r="D623" s="1"/>
      <c r="E623" s="1"/>
      <c r="F623" s="1"/>
      <c r="G623" s="1"/>
      <c r="H623" s="1"/>
      <c r="I623" s="61"/>
      <c r="J623" s="1"/>
      <c r="K623" s="1"/>
    </row>
    <row r="624" spans="1:11" ht="15.75" customHeight="1">
      <c r="A624" s="2"/>
      <c r="B624" s="1"/>
      <c r="C624" s="1"/>
      <c r="D624" s="1"/>
      <c r="E624" s="1"/>
      <c r="F624" s="1"/>
      <c r="G624" s="1"/>
      <c r="H624" s="1"/>
      <c r="I624" s="61"/>
      <c r="J624" s="1"/>
      <c r="K624" s="1"/>
    </row>
    <row r="625" spans="1:11" ht="15.75" customHeight="1">
      <c r="A625" s="2"/>
      <c r="B625" s="1"/>
      <c r="C625" s="1"/>
      <c r="D625" s="1"/>
      <c r="E625" s="1"/>
      <c r="F625" s="1"/>
      <c r="G625" s="1"/>
      <c r="H625" s="1"/>
      <c r="I625" s="61"/>
      <c r="J625" s="1"/>
      <c r="K625" s="1"/>
    </row>
    <row r="626" spans="1:11" ht="15.75" customHeight="1">
      <c r="A626" s="2"/>
      <c r="B626" s="1"/>
      <c r="C626" s="1"/>
      <c r="D626" s="1"/>
      <c r="E626" s="1"/>
      <c r="F626" s="1"/>
      <c r="G626" s="1"/>
      <c r="H626" s="1"/>
      <c r="I626" s="61"/>
      <c r="J626" s="1"/>
      <c r="K626" s="1"/>
    </row>
    <row r="627" spans="1:11" ht="15.75" customHeight="1">
      <c r="A627" s="2"/>
      <c r="B627" s="1"/>
      <c r="C627" s="1"/>
      <c r="D627" s="1"/>
      <c r="E627" s="1"/>
      <c r="F627" s="1"/>
      <c r="G627" s="1"/>
      <c r="H627" s="1"/>
      <c r="I627" s="61"/>
      <c r="J627" s="1"/>
      <c r="K627" s="1"/>
    </row>
    <row r="628" spans="1:11" ht="15.75" customHeight="1">
      <c r="A628" s="2"/>
      <c r="B628" s="1"/>
      <c r="C628" s="1"/>
      <c r="D628" s="1"/>
      <c r="E628" s="1"/>
      <c r="F628" s="1"/>
      <c r="G628" s="1"/>
      <c r="H628" s="1"/>
      <c r="I628" s="61"/>
      <c r="J628" s="1"/>
      <c r="K628" s="1"/>
    </row>
    <row r="629" spans="1:11" ht="15.75" customHeight="1">
      <c r="A629" s="2"/>
      <c r="B629" s="1"/>
      <c r="C629" s="1"/>
      <c r="D629" s="1"/>
      <c r="E629" s="1"/>
      <c r="F629" s="1"/>
      <c r="G629" s="1"/>
      <c r="H629" s="1"/>
      <c r="I629" s="61"/>
      <c r="J629" s="1"/>
      <c r="K629" s="1"/>
    </row>
    <row r="630" spans="1:11" ht="15.75" customHeight="1">
      <c r="A630" s="2"/>
      <c r="B630" s="1"/>
      <c r="C630" s="1"/>
      <c r="D630" s="1"/>
      <c r="E630" s="1"/>
      <c r="F630" s="1"/>
      <c r="G630" s="1"/>
      <c r="H630" s="1"/>
      <c r="I630" s="61"/>
      <c r="J630" s="1"/>
      <c r="K630" s="1"/>
    </row>
    <row r="631" spans="1:11" ht="15.75" customHeight="1">
      <c r="A631" s="2"/>
      <c r="B631" s="1"/>
      <c r="C631" s="1"/>
      <c r="D631" s="1"/>
      <c r="E631" s="1"/>
      <c r="F631" s="1"/>
      <c r="G631" s="1"/>
      <c r="H631" s="1"/>
      <c r="I631" s="61"/>
      <c r="J631" s="1"/>
      <c r="K631" s="1"/>
    </row>
    <row r="632" spans="1:11" ht="15.75" customHeight="1">
      <c r="A632" s="2"/>
      <c r="B632" s="1"/>
      <c r="C632" s="1"/>
      <c r="D632" s="1"/>
      <c r="E632" s="1"/>
      <c r="F632" s="1"/>
      <c r="G632" s="1"/>
      <c r="H632" s="1"/>
      <c r="I632" s="61"/>
      <c r="J632" s="1"/>
      <c r="K632" s="1"/>
    </row>
    <row r="633" spans="1:11" ht="15.75" customHeight="1">
      <c r="A633" s="2"/>
      <c r="B633" s="1"/>
      <c r="C633" s="1"/>
      <c r="D633" s="1"/>
      <c r="E633" s="1"/>
      <c r="F633" s="1"/>
      <c r="G633" s="1"/>
      <c r="H633" s="1"/>
      <c r="I633" s="61"/>
      <c r="J633" s="1"/>
      <c r="K633" s="1"/>
    </row>
    <row r="634" spans="1:11" ht="15.75" customHeight="1">
      <c r="A634" s="2"/>
      <c r="B634" s="1"/>
      <c r="C634" s="1"/>
      <c r="D634" s="1"/>
      <c r="E634" s="1"/>
      <c r="F634" s="1"/>
      <c r="G634" s="1"/>
      <c r="H634" s="1"/>
      <c r="I634" s="61"/>
      <c r="J634" s="1"/>
      <c r="K634" s="1"/>
    </row>
    <row r="635" spans="1:11" ht="15.75" customHeight="1">
      <c r="A635" s="2"/>
      <c r="B635" s="1"/>
      <c r="C635" s="1"/>
      <c r="D635" s="1"/>
      <c r="E635" s="1"/>
      <c r="F635" s="1"/>
      <c r="G635" s="1"/>
      <c r="H635" s="1"/>
      <c r="I635" s="61"/>
      <c r="J635" s="1"/>
      <c r="K635" s="1"/>
    </row>
    <row r="636" spans="1:11" ht="15.75" customHeight="1">
      <c r="A636" s="2"/>
      <c r="B636" s="1"/>
      <c r="C636" s="1"/>
      <c r="D636" s="1"/>
      <c r="E636" s="1"/>
      <c r="F636" s="1"/>
      <c r="G636" s="1"/>
      <c r="H636" s="1"/>
      <c r="I636" s="61"/>
      <c r="J636" s="1"/>
      <c r="K636" s="1"/>
    </row>
    <row r="637" spans="1:11" ht="15.75" customHeight="1">
      <c r="A637" s="2"/>
      <c r="B637" s="1"/>
      <c r="C637" s="1"/>
      <c r="D637" s="1"/>
      <c r="E637" s="1"/>
      <c r="F637" s="1"/>
      <c r="G637" s="1"/>
      <c r="H637" s="1"/>
      <c r="I637" s="61"/>
      <c r="J637" s="1"/>
      <c r="K637" s="1"/>
    </row>
    <row r="638" spans="1:11" ht="15.75" customHeight="1">
      <c r="A638" s="2"/>
      <c r="B638" s="1"/>
      <c r="C638" s="1"/>
      <c r="D638" s="1"/>
      <c r="E638" s="1"/>
      <c r="F638" s="1"/>
      <c r="G638" s="1"/>
      <c r="H638" s="1"/>
      <c r="I638" s="61"/>
      <c r="J638" s="1"/>
      <c r="K638" s="1"/>
    </row>
    <row r="639" spans="1:11" ht="15.75" customHeight="1">
      <c r="A639" s="2"/>
      <c r="B639" s="1"/>
      <c r="C639" s="1"/>
      <c r="D639" s="1"/>
      <c r="E639" s="1"/>
      <c r="F639" s="1"/>
      <c r="G639" s="1"/>
      <c r="H639" s="1"/>
      <c r="I639" s="61"/>
      <c r="J639" s="1"/>
      <c r="K639" s="1"/>
    </row>
    <row r="640" spans="1:11" ht="15.75" customHeight="1">
      <c r="A640" s="2"/>
      <c r="B640" s="1"/>
      <c r="C640" s="1"/>
      <c r="D640" s="1"/>
      <c r="E640" s="1"/>
      <c r="F640" s="1"/>
      <c r="G640" s="1"/>
      <c r="H640" s="1"/>
      <c r="I640" s="61"/>
      <c r="J640" s="1"/>
      <c r="K640" s="1"/>
    </row>
    <row r="641" spans="1:11" ht="15.75" customHeight="1">
      <c r="A641" s="2"/>
      <c r="B641" s="1"/>
      <c r="C641" s="1"/>
      <c r="D641" s="1"/>
      <c r="E641" s="1"/>
      <c r="F641" s="1"/>
      <c r="G641" s="1"/>
      <c r="H641" s="1"/>
      <c r="I641" s="61"/>
      <c r="J641" s="1"/>
      <c r="K641" s="1"/>
    </row>
    <row r="642" spans="1:11" ht="15.75" customHeight="1">
      <c r="A642" s="2"/>
      <c r="B642" s="1"/>
      <c r="C642" s="1"/>
      <c r="D642" s="1"/>
      <c r="E642" s="1"/>
      <c r="F642" s="1"/>
      <c r="G642" s="1"/>
      <c r="H642" s="1"/>
      <c r="I642" s="61"/>
      <c r="J642" s="1"/>
      <c r="K642" s="1"/>
    </row>
    <row r="643" spans="1:11" ht="15.75" customHeight="1">
      <c r="A643" s="2"/>
      <c r="B643" s="1"/>
      <c r="C643" s="1"/>
      <c r="D643" s="1"/>
      <c r="E643" s="1"/>
      <c r="F643" s="1"/>
      <c r="G643" s="1"/>
      <c r="H643" s="1"/>
      <c r="I643" s="61"/>
      <c r="J643" s="1"/>
      <c r="K643" s="1"/>
    </row>
    <row r="644" spans="1:11" ht="15.75" customHeight="1">
      <c r="A644" s="2"/>
      <c r="B644" s="1"/>
      <c r="C644" s="1"/>
      <c r="D644" s="1"/>
      <c r="E644" s="1"/>
      <c r="F644" s="1"/>
      <c r="G644" s="1"/>
      <c r="H644" s="1"/>
      <c r="I644" s="61"/>
      <c r="J644" s="1"/>
      <c r="K644" s="1"/>
    </row>
    <row r="645" spans="1:11" ht="15.75" customHeight="1">
      <c r="A645" s="2"/>
      <c r="B645" s="1"/>
      <c r="C645" s="1"/>
      <c r="D645" s="1"/>
      <c r="E645" s="1"/>
      <c r="F645" s="1"/>
      <c r="G645" s="1"/>
      <c r="H645" s="1"/>
      <c r="I645" s="61"/>
      <c r="J645" s="1"/>
      <c r="K645" s="1"/>
    </row>
    <row r="646" spans="1:11" ht="15.75" customHeight="1">
      <c r="A646" s="2"/>
      <c r="B646" s="1"/>
      <c r="C646" s="1"/>
      <c r="D646" s="1"/>
      <c r="E646" s="1"/>
      <c r="F646" s="1"/>
      <c r="G646" s="1"/>
      <c r="H646" s="1"/>
      <c r="I646" s="61"/>
      <c r="J646" s="1"/>
      <c r="K646" s="1"/>
    </row>
    <row r="647" spans="1:11" ht="15.75" customHeight="1">
      <c r="A647" s="2"/>
      <c r="B647" s="1"/>
      <c r="C647" s="1"/>
      <c r="D647" s="1"/>
      <c r="E647" s="1"/>
      <c r="F647" s="1"/>
      <c r="G647" s="1"/>
      <c r="H647" s="1"/>
      <c r="I647" s="61"/>
      <c r="J647" s="1"/>
      <c r="K647" s="1"/>
    </row>
    <row r="648" spans="1:11" ht="15.75" customHeight="1">
      <c r="A648" s="2"/>
      <c r="B648" s="1"/>
      <c r="C648" s="1"/>
      <c r="D648" s="1"/>
      <c r="E648" s="1"/>
      <c r="F648" s="1"/>
      <c r="G648" s="1"/>
      <c r="H648" s="1"/>
      <c r="I648" s="61"/>
      <c r="J648" s="1"/>
      <c r="K648" s="1"/>
    </row>
    <row r="649" spans="1:11" ht="15.75" customHeight="1">
      <c r="A649" s="2"/>
      <c r="B649" s="1"/>
      <c r="C649" s="1"/>
      <c r="D649" s="1"/>
      <c r="E649" s="1"/>
      <c r="F649" s="1"/>
      <c r="G649" s="1"/>
      <c r="H649" s="1"/>
      <c r="I649" s="61"/>
      <c r="J649" s="1"/>
      <c r="K649" s="1"/>
    </row>
    <row r="650" spans="1:11" ht="15.75" customHeight="1">
      <c r="A650" s="2"/>
      <c r="B650" s="1"/>
      <c r="C650" s="1"/>
      <c r="D650" s="1"/>
      <c r="E650" s="1"/>
      <c r="F650" s="1"/>
      <c r="G650" s="1"/>
      <c r="H650" s="1"/>
      <c r="I650" s="61"/>
      <c r="J650" s="1"/>
      <c r="K650" s="1"/>
    </row>
    <row r="651" spans="1:11" ht="15.75" customHeight="1">
      <c r="A651" s="2"/>
      <c r="B651" s="1"/>
      <c r="C651" s="1"/>
      <c r="D651" s="1"/>
      <c r="E651" s="1"/>
      <c r="F651" s="1"/>
      <c r="G651" s="1"/>
      <c r="H651" s="1"/>
      <c r="I651" s="61"/>
      <c r="J651" s="1"/>
      <c r="K651" s="1"/>
    </row>
    <row r="652" spans="1:11" ht="15.75" customHeight="1">
      <c r="A652" s="2"/>
      <c r="B652" s="1"/>
      <c r="C652" s="1"/>
      <c r="D652" s="1"/>
      <c r="E652" s="1"/>
      <c r="F652" s="1"/>
      <c r="G652" s="1"/>
      <c r="H652" s="1"/>
      <c r="I652" s="61"/>
      <c r="J652" s="1"/>
      <c r="K652" s="1"/>
    </row>
    <row r="653" spans="1:11" ht="15.75" customHeight="1">
      <c r="A653" s="2"/>
      <c r="B653" s="1"/>
      <c r="C653" s="1"/>
      <c r="D653" s="1"/>
      <c r="E653" s="1"/>
      <c r="F653" s="1"/>
      <c r="G653" s="1"/>
      <c r="H653" s="1"/>
      <c r="I653" s="61"/>
      <c r="J653" s="1"/>
      <c r="K653" s="1"/>
    </row>
    <row r="654" spans="1:11" ht="15.75" customHeight="1">
      <c r="A654" s="2"/>
      <c r="B654" s="1"/>
      <c r="C654" s="1"/>
      <c r="D654" s="1"/>
      <c r="E654" s="1"/>
      <c r="F654" s="1"/>
      <c r="G654" s="1"/>
      <c r="H654" s="1"/>
      <c r="I654" s="61"/>
      <c r="J654" s="1"/>
      <c r="K654" s="1"/>
    </row>
    <row r="655" spans="1:11" ht="15.75" customHeight="1">
      <c r="A655" s="2"/>
      <c r="B655" s="1"/>
      <c r="C655" s="1"/>
      <c r="D655" s="1"/>
      <c r="E655" s="1"/>
      <c r="F655" s="1"/>
      <c r="G655" s="1"/>
      <c r="H655" s="1"/>
      <c r="I655" s="61"/>
      <c r="J655" s="1"/>
      <c r="K655" s="1"/>
    </row>
    <row r="656" spans="1:11" ht="15.75" customHeight="1">
      <c r="A656" s="2"/>
      <c r="B656" s="1"/>
      <c r="C656" s="1"/>
      <c r="D656" s="1"/>
      <c r="E656" s="1"/>
      <c r="F656" s="1"/>
      <c r="G656" s="1"/>
      <c r="H656" s="1"/>
      <c r="I656" s="61"/>
      <c r="J656" s="1"/>
      <c r="K656" s="1"/>
    </row>
    <row r="657" spans="1:11" ht="15.75" customHeight="1">
      <c r="A657" s="2"/>
      <c r="B657" s="1"/>
      <c r="C657" s="1"/>
      <c r="D657" s="1"/>
      <c r="E657" s="1"/>
      <c r="F657" s="1"/>
      <c r="G657" s="1"/>
      <c r="H657" s="1"/>
      <c r="I657" s="61"/>
      <c r="J657" s="1"/>
      <c r="K657" s="1"/>
    </row>
    <row r="658" spans="1:11" ht="15.75" customHeight="1">
      <c r="A658" s="2"/>
      <c r="B658" s="1"/>
      <c r="C658" s="1"/>
      <c r="D658" s="1"/>
      <c r="E658" s="1"/>
      <c r="F658" s="1"/>
      <c r="G658" s="1"/>
      <c r="H658" s="1"/>
      <c r="I658" s="61"/>
      <c r="J658" s="1"/>
      <c r="K658" s="1"/>
    </row>
    <row r="659" spans="1:11" ht="15.75" customHeight="1">
      <c r="A659" s="2"/>
      <c r="B659" s="1"/>
      <c r="C659" s="1"/>
      <c r="D659" s="1"/>
      <c r="E659" s="1"/>
      <c r="F659" s="1"/>
      <c r="G659" s="1"/>
      <c r="H659" s="1"/>
      <c r="I659" s="61"/>
      <c r="J659" s="1"/>
      <c r="K659" s="1"/>
    </row>
    <row r="660" spans="1:11" ht="15.75" customHeight="1">
      <c r="A660" s="2"/>
      <c r="B660" s="1"/>
      <c r="C660" s="1"/>
      <c r="D660" s="1"/>
      <c r="E660" s="1"/>
      <c r="F660" s="1"/>
      <c r="G660" s="1"/>
      <c r="H660" s="1"/>
      <c r="I660" s="61"/>
      <c r="J660" s="1"/>
      <c r="K660" s="1"/>
    </row>
    <row r="661" spans="1:11" ht="15.75" customHeight="1">
      <c r="A661" s="2"/>
      <c r="B661" s="1"/>
      <c r="C661" s="1"/>
      <c r="D661" s="1"/>
      <c r="E661" s="1"/>
      <c r="F661" s="1"/>
      <c r="G661" s="1"/>
      <c r="H661" s="1"/>
      <c r="I661" s="61"/>
      <c r="J661" s="1"/>
      <c r="K661" s="1"/>
    </row>
    <row r="662" spans="1:11" ht="15.75" customHeight="1">
      <c r="A662" s="2"/>
      <c r="B662" s="1"/>
      <c r="C662" s="1"/>
      <c r="D662" s="1"/>
      <c r="E662" s="1"/>
      <c r="F662" s="1"/>
      <c r="G662" s="1"/>
      <c r="H662" s="1"/>
      <c r="I662" s="61"/>
      <c r="J662" s="1"/>
      <c r="K662" s="1"/>
    </row>
    <row r="663" spans="1:11" ht="15.75" customHeight="1">
      <c r="A663" s="2"/>
      <c r="B663" s="1"/>
      <c r="C663" s="1"/>
      <c r="D663" s="1"/>
      <c r="E663" s="1"/>
      <c r="F663" s="1"/>
      <c r="G663" s="1"/>
      <c r="H663" s="1"/>
      <c r="I663" s="61"/>
      <c r="J663" s="1"/>
      <c r="K663" s="1"/>
    </row>
    <row r="664" spans="1:11" ht="15.75" customHeight="1">
      <c r="A664" s="2"/>
      <c r="B664" s="1"/>
      <c r="C664" s="1"/>
      <c r="D664" s="1"/>
      <c r="E664" s="1"/>
      <c r="F664" s="1"/>
      <c r="G664" s="1"/>
      <c r="H664" s="1"/>
      <c r="I664" s="61"/>
      <c r="J664" s="1"/>
      <c r="K664" s="1"/>
    </row>
    <row r="665" spans="1:11" ht="15.75" customHeight="1">
      <c r="A665" s="2"/>
      <c r="B665" s="1"/>
      <c r="C665" s="1"/>
      <c r="D665" s="1"/>
      <c r="E665" s="1"/>
      <c r="F665" s="1"/>
      <c r="G665" s="1"/>
      <c r="H665" s="1"/>
      <c r="I665" s="61"/>
      <c r="J665" s="1"/>
      <c r="K665" s="1"/>
    </row>
    <row r="666" spans="1:11" ht="15.75" customHeight="1">
      <c r="A666" s="2"/>
      <c r="B666" s="1"/>
      <c r="C666" s="1"/>
      <c r="D666" s="1"/>
      <c r="E666" s="1"/>
      <c r="F666" s="1"/>
      <c r="G666" s="1"/>
      <c r="H666" s="1"/>
      <c r="I666" s="61"/>
      <c r="J666" s="1"/>
      <c r="K666" s="1"/>
    </row>
    <row r="667" spans="1:11" ht="15.75" customHeight="1">
      <c r="A667" s="2"/>
      <c r="B667" s="1"/>
      <c r="C667" s="1"/>
      <c r="D667" s="1"/>
      <c r="E667" s="1"/>
      <c r="F667" s="1"/>
      <c r="G667" s="1"/>
      <c r="H667" s="1"/>
      <c r="I667" s="61"/>
      <c r="J667" s="1"/>
      <c r="K667" s="1"/>
    </row>
    <row r="668" spans="1:11" ht="15.75" customHeight="1">
      <c r="A668" s="2"/>
      <c r="B668" s="1"/>
      <c r="C668" s="1"/>
      <c r="D668" s="1"/>
      <c r="E668" s="1"/>
      <c r="F668" s="1"/>
      <c r="G668" s="1"/>
      <c r="H668" s="1"/>
      <c r="I668" s="61"/>
      <c r="J668" s="1"/>
      <c r="K668" s="1"/>
    </row>
    <row r="669" spans="1:11" ht="15.75" customHeight="1">
      <c r="A669" s="2"/>
      <c r="B669" s="1"/>
      <c r="C669" s="1"/>
      <c r="D669" s="1"/>
      <c r="E669" s="1"/>
      <c r="F669" s="1"/>
      <c r="G669" s="1"/>
      <c r="H669" s="1"/>
      <c r="I669" s="61"/>
      <c r="J669" s="1"/>
      <c r="K669" s="1"/>
    </row>
    <row r="670" spans="1:11" ht="15.75" customHeight="1">
      <c r="A670" s="2"/>
      <c r="B670" s="1"/>
      <c r="C670" s="1"/>
      <c r="D670" s="1"/>
      <c r="E670" s="1"/>
      <c r="F670" s="1"/>
      <c r="G670" s="1"/>
      <c r="H670" s="1"/>
      <c r="I670" s="61"/>
      <c r="J670" s="1"/>
      <c r="K670" s="1"/>
    </row>
    <row r="671" spans="1:11" ht="15.75" customHeight="1">
      <c r="A671" s="2"/>
      <c r="B671" s="1"/>
      <c r="C671" s="1"/>
      <c r="D671" s="1"/>
      <c r="E671" s="1"/>
      <c r="F671" s="1"/>
      <c r="G671" s="1"/>
      <c r="H671" s="1"/>
      <c r="I671" s="61"/>
      <c r="J671" s="1"/>
      <c r="K671" s="1"/>
    </row>
    <row r="672" spans="1:11" ht="15.75" customHeight="1">
      <c r="A672" s="2"/>
      <c r="B672" s="1"/>
      <c r="C672" s="1"/>
      <c r="D672" s="1"/>
      <c r="E672" s="1"/>
      <c r="F672" s="1"/>
      <c r="G672" s="1"/>
      <c r="H672" s="1"/>
      <c r="I672" s="61"/>
      <c r="J672" s="1"/>
      <c r="K672" s="1"/>
    </row>
    <row r="673" spans="1:11" ht="15.75" customHeight="1">
      <c r="A673" s="2"/>
      <c r="B673" s="1"/>
      <c r="C673" s="1"/>
      <c r="D673" s="1"/>
      <c r="E673" s="1"/>
      <c r="F673" s="1"/>
      <c r="G673" s="1"/>
      <c r="H673" s="1"/>
      <c r="I673" s="61"/>
      <c r="J673" s="1"/>
      <c r="K673" s="1"/>
    </row>
    <row r="674" spans="1:11" ht="15.75" customHeight="1">
      <c r="A674" s="2"/>
      <c r="B674" s="1"/>
      <c r="C674" s="1"/>
      <c r="D674" s="1"/>
      <c r="E674" s="1"/>
      <c r="F674" s="1"/>
      <c r="G674" s="1"/>
      <c r="H674" s="1"/>
      <c r="I674" s="61"/>
      <c r="J674" s="1"/>
      <c r="K674" s="1"/>
    </row>
    <row r="675" spans="1:11" ht="15.75" customHeight="1">
      <c r="A675" s="2"/>
      <c r="B675" s="1"/>
      <c r="C675" s="1"/>
      <c r="D675" s="1"/>
      <c r="E675" s="1"/>
      <c r="F675" s="1"/>
      <c r="G675" s="1"/>
      <c r="H675" s="1"/>
      <c r="I675" s="61"/>
      <c r="J675" s="1"/>
      <c r="K675" s="1"/>
    </row>
    <row r="676" spans="1:11" ht="15.75" customHeight="1">
      <c r="A676" s="2"/>
      <c r="B676" s="1"/>
      <c r="C676" s="1"/>
      <c r="D676" s="1"/>
      <c r="E676" s="1"/>
      <c r="F676" s="1"/>
      <c r="G676" s="1"/>
      <c r="H676" s="1"/>
      <c r="I676" s="61"/>
      <c r="J676" s="1"/>
      <c r="K676" s="1"/>
    </row>
    <row r="677" spans="1:11" ht="15.75" customHeight="1">
      <c r="A677" s="2"/>
      <c r="B677" s="1"/>
      <c r="C677" s="1"/>
      <c r="D677" s="1"/>
      <c r="E677" s="1"/>
      <c r="F677" s="1"/>
      <c r="G677" s="1"/>
      <c r="H677" s="1"/>
      <c r="I677" s="61"/>
      <c r="J677" s="1"/>
      <c r="K677" s="1"/>
    </row>
    <row r="678" spans="1:11" ht="15.75" customHeight="1">
      <c r="A678" s="2"/>
      <c r="B678" s="1"/>
      <c r="C678" s="1"/>
      <c r="D678" s="1"/>
      <c r="E678" s="1"/>
      <c r="F678" s="1"/>
      <c r="G678" s="1"/>
      <c r="H678" s="1"/>
      <c r="I678" s="61"/>
      <c r="J678" s="1"/>
      <c r="K678" s="1"/>
    </row>
    <row r="679" spans="1:11" ht="15.75" customHeight="1">
      <c r="A679" s="2"/>
      <c r="B679" s="1"/>
      <c r="C679" s="1"/>
      <c r="D679" s="1"/>
      <c r="E679" s="1"/>
      <c r="F679" s="1"/>
      <c r="G679" s="1"/>
      <c r="H679" s="1"/>
      <c r="I679" s="61"/>
      <c r="J679" s="1"/>
      <c r="K679" s="1"/>
    </row>
    <row r="680" spans="1:11" ht="15.75" customHeight="1">
      <c r="A680" s="2"/>
      <c r="B680" s="1"/>
      <c r="C680" s="1"/>
      <c r="D680" s="1"/>
      <c r="E680" s="1"/>
      <c r="F680" s="1"/>
      <c r="G680" s="1"/>
      <c r="H680" s="1"/>
      <c r="I680" s="61"/>
      <c r="J680" s="1"/>
      <c r="K680" s="1"/>
    </row>
    <row r="681" spans="1:11" ht="15.75" customHeight="1">
      <c r="A681" s="2"/>
      <c r="B681" s="1"/>
      <c r="C681" s="1"/>
      <c r="D681" s="1"/>
      <c r="E681" s="1"/>
      <c r="F681" s="1"/>
      <c r="G681" s="1"/>
      <c r="H681" s="1"/>
      <c r="I681" s="61"/>
      <c r="J681" s="1"/>
      <c r="K681" s="1"/>
    </row>
    <row r="682" spans="1:11" ht="15.75" customHeight="1">
      <c r="A682" s="2"/>
      <c r="B682" s="1"/>
      <c r="C682" s="1"/>
      <c r="D682" s="1"/>
      <c r="E682" s="1"/>
      <c r="F682" s="1"/>
      <c r="G682" s="1"/>
      <c r="H682" s="1"/>
      <c r="I682" s="61"/>
      <c r="J682" s="1"/>
      <c r="K682" s="1"/>
    </row>
    <row r="683" spans="1:11" ht="15.75" customHeight="1">
      <c r="A683" s="2"/>
      <c r="B683" s="1"/>
      <c r="C683" s="1"/>
      <c r="D683" s="1"/>
      <c r="E683" s="1"/>
      <c r="F683" s="1"/>
      <c r="G683" s="1"/>
      <c r="H683" s="1"/>
      <c r="I683" s="61"/>
      <c r="J683" s="1"/>
      <c r="K683" s="1"/>
    </row>
    <row r="684" spans="1:11" ht="15.75" customHeight="1">
      <c r="A684" s="2"/>
      <c r="B684" s="1"/>
      <c r="C684" s="1"/>
      <c r="D684" s="1"/>
      <c r="E684" s="1"/>
      <c r="F684" s="1"/>
      <c r="G684" s="1"/>
      <c r="H684" s="1"/>
      <c r="I684" s="61"/>
      <c r="J684" s="1"/>
      <c r="K684" s="1"/>
    </row>
    <row r="685" spans="1:11" ht="15.75" customHeight="1">
      <c r="A685" s="2"/>
      <c r="B685" s="1"/>
      <c r="C685" s="1"/>
      <c r="D685" s="1"/>
      <c r="E685" s="1"/>
      <c r="F685" s="1"/>
      <c r="G685" s="1"/>
      <c r="H685" s="1"/>
      <c r="I685" s="61"/>
      <c r="J685" s="1"/>
      <c r="K685" s="1"/>
    </row>
    <row r="686" spans="1:11" ht="15.75" customHeight="1">
      <c r="A686" s="2"/>
      <c r="B686" s="1"/>
      <c r="C686" s="1"/>
      <c r="D686" s="1"/>
      <c r="E686" s="1"/>
      <c r="F686" s="1"/>
      <c r="G686" s="1"/>
      <c r="H686" s="1"/>
      <c r="I686" s="61"/>
      <c r="J686" s="1"/>
      <c r="K686" s="1"/>
    </row>
    <row r="687" spans="1:11" ht="15.75" customHeight="1">
      <c r="A687" s="2"/>
      <c r="B687" s="1"/>
      <c r="C687" s="1"/>
      <c r="D687" s="1"/>
      <c r="E687" s="1"/>
      <c r="F687" s="1"/>
      <c r="G687" s="1"/>
      <c r="H687" s="1"/>
      <c r="I687" s="61"/>
      <c r="J687" s="1"/>
      <c r="K687" s="1"/>
    </row>
    <row r="688" spans="1:11" ht="15.75" customHeight="1">
      <c r="A688" s="2"/>
      <c r="B688" s="1"/>
      <c r="C688" s="1"/>
      <c r="D688" s="1"/>
      <c r="E688" s="1"/>
      <c r="F688" s="1"/>
      <c r="G688" s="1"/>
      <c r="H688" s="1"/>
      <c r="I688" s="61"/>
      <c r="J688" s="1"/>
      <c r="K688" s="1"/>
    </row>
    <row r="689" spans="1:11" ht="15.75" customHeight="1">
      <c r="A689" s="2"/>
      <c r="B689" s="1"/>
      <c r="C689" s="1"/>
      <c r="D689" s="1"/>
      <c r="E689" s="1"/>
      <c r="F689" s="1"/>
      <c r="G689" s="1"/>
      <c r="H689" s="1"/>
      <c r="I689" s="61"/>
      <c r="J689" s="1"/>
      <c r="K689" s="1"/>
    </row>
    <row r="690" spans="1:11" ht="15.75" customHeight="1">
      <c r="A690" s="2"/>
      <c r="B690" s="1"/>
      <c r="C690" s="1"/>
      <c r="D690" s="1"/>
      <c r="E690" s="1"/>
      <c r="F690" s="1"/>
      <c r="G690" s="1"/>
      <c r="H690" s="1"/>
      <c r="I690" s="61"/>
      <c r="J690" s="1"/>
      <c r="K690" s="1"/>
    </row>
    <row r="691" spans="1:11" ht="15.75" customHeight="1">
      <c r="A691" s="2"/>
      <c r="B691" s="1"/>
      <c r="C691" s="1"/>
      <c r="D691" s="1"/>
      <c r="E691" s="1"/>
      <c r="F691" s="1"/>
      <c r="G691" s="1"/>
      <c r="H691" s="1"/>
      <c r="I691" s="61"/>
      <c r="J691" s="1"/>
      <c r="K691" s="1"/>
    </row>
    <row r="692" spans="1:11" ht="15.75" customHeight="1">
      <c r="A692" s="2"/>
      <c r="B692" s="1"/>
      <c r="C692" s="1"/>
      <c r="D692" s="1"/>
      <c r="E692" s="1"/>
      <c r="F692" s="1"/>
      <c r="G692" s="1"/>
      <c r="H692" s="1"/>
      <c r="I692" s="61"/>
      <c r="J692" s="1"/>
      <c r="K692" s="1"/>
    </row>
    <row r="693" spans="1:11" ht="15.75" customHeight="1">
      <c r="A693" s="2"/>
      <c r="B693" s="1"/>
      <c r="C693" s="1"/>
      <c r="D693" s="1"/>
      <c r="E693" s="1"/>
      <c r="F693" s="1"/>
      <c r="G693" s="1"/>
      <c r="H693" s="1"/>
      <c r="I693" s="61"/>
      <c r="J693" s="1"/>
      <c r="K693" s="1"/>
    </row>
    <row r="694" spans="1:11" ht="15.75" customHeight="1">
      <c r="A694" s="2"/>
      <c r="B694" s="1"/>
      <c r="C694" s="1"/>
      <c r="D694" s="1"/>
      <c r="E694" s="1"/>
      <c r="F694" s="1"/>
      <c r="G694" s="1"/>
      <c r="H694" s="1"/>
      <c r="I694" s="61"/>
      <c r="J694" s="1"/>
      <c r="K694" s="1"/>
    </row>
    <row r="695" spans="1:11" ht="15.75" customHeight="1">
      <c r="A695" s="2"/>
      <c r="B695" s="1"/>
      <c r="C695" s="1"/>
      <c r="D695" s="1"/>
      <c r="E695" s="1"/>
      <c r="F695" s="1"/>
      <c r="G695" s="1"/>
      <c r="H695" s="1"/>
      <c r="I695" s="61"/>
      <c r="J695" s="1"/>
      <c r="K695" s="1"/>
    </row>
    <row r="696" spans="1:11" ht="15.75" customHeight="1">
      <c r="A696" s="2"/>
      <c r="B696" s="1"/>
      <c r="C696" s="1"/>
      <c r="D696" s="1"/>
      <c r="E696" s="1"/>
      <c r="F696" s="1"/>
      <c r="G696" s="1"/>
      <c r="H696" s="1"/>
      <c r="I696" s="61"/>
      <c r="J696" s="1"/>
      <c r="K696" s="1"/>
    </row>
    <row r="697" spans="1:11" ht="15.75" customHeight="1">
      <c r="A697" s="2"/>
      <c r="B697" s="1"/>
      <c r="C697" s="1"/>
      <c r="D697" s="1"/>
      <c r="E697" s="1"/>
      <c r="F697" s="1"/>
      <c r="G697" s="1"/>
      <c r="H697" s="1"/>
      <c r="I697" s="61"/>
      <c r="J697" s="1"/>
      <c r="K697" s="1"/>
    </row>
    <row r="698" spans="1:11" ht="15.75" customHeight="1">
      <c r="A698" s="2"/>
      <c r="B698" s="1"/>
      <c r="C698" s="1"/>
      <c r="D698" s="1"/>
      <c r="E698" s="1"/>
      <c r="F698" s="1"/>
      <c r="G698" s="1"/>
      <c r="H698" s="1"/>
      <c r="I698" s="61"/>
      <c r="J698" s="1"/>
      <c r="K698" s="1"/>
    </row>
    <row r="699" spans="1:11" ht="15.75" customHeight="1">
      <c r="A699" s="2"/>
      <c r="B699" s="1"/>
      <c r="C699" s="1"/>
      <c r="D699" s="1"/>
      <c r="E699" s="1"/>
      <c r="F699" s="1"/>
      <c r="G699" s="1"/>
      <c r="H699" s="1"/>
      <c r="I699" s="61"/>
      <c r="J699" s="1"/>
      <c r="K699" s="1"/>
    </row>
    <row r="700" spans="1:11" ht="15.75" customHeight="1">
      <c r="A700" s="2"/>
      <c r="B700" s="1"/>
      <c r="C700" s="1"/>
      <c r="D700" s="1"/>
      <c r="E700" s="1"/>
      <c r="F700" s="1"/>
      <c r="G700" s="1"/>
      <c r="H700" s="1"/>
      <c r="I700" s="61"/>
      <c r="J700" s="1"/>
      <c r="K700" s="1"/>
    </row>
    <row r="701" spans="1:11" ht="15.75" customHeight="1">
      <c r="A701" s="2"/>
      <c r="B701" s="1"/>
      <c r="C701" s="1"/>
      <c r="D701" s="1"/>
      <c r="E701" s="1"/>
      <c r="F701" s="1"/>
      <c r="G701" s="1"/>
      <c r="H701" s="1"/>
      <c r="I701" s="61"/>
      <c r="J701" s="1"/>
      <c r="K701" s="1"/>
    </row>
    <row r="702" spans="1:11" ht="15.75" customHeight="1">
      <c r="A702" s="2"/>
      <c r="B702" s="1"/>
      <c r="C702" s="1"/>
      <c r="D702" s="1"/>
      <c r="E702" s="1"/>
      <c r="F702" s="1"/>
      <c r="G702" s="1"/>
      <c r="H702" s="1"/>
      <c r="I702" s="61"/>
      <c r="J702" s="1"/>
      <c r="K702" s="1"/>
    </row>
    <row r="703" spans="1:11" ht="15.75" customHeight="1">
      <c r="A703" s="2"/>
      <c r="B703" s="1"/>
      <c r="C703" s="1"/>
      <c r="D703" s="1"/>
      <c r="E703" s="1"/>
      <c r="F703" s="1"/>
      <c r="G703" s="1"/>
      <c r="H703" s="1"/>
      <c r="I703" s="61"/>
      <c r="J703" s="1"/>
      <c r="K703" s="1"/>
    </row>
    <row r="704" spans="1:11" ht="15.75" customHeight="1">
      <c r="A704" s="2"/>
      <c r="B704" s="1"/>
      <c r="C704" s="1"/>
      <c r="D704" s="1"/>
      <c r="E704" s="1"/>
      <c r="F704" s="1"/>
      <c r="G704" s="1"/>
      <c r="H704" s="1"/>
      <c r="I704" s="61"/>
      <c r="J704" s="1"/>
      <c r="K704" s="1"/>
    </row>
    <row r="705" spans="1:11" ht="15.75" customHeight="1">
      <c r="A705" s="2"/>
      <c r="B705" s="1"/>
      <c r="C705" s="1"/>
      <c r="D705" s="1"/>
      <c r="E705" s="1"/>
      <c r="F705" s="1"/>
      <c r="G705" s="1"/>
      <c r="H705" s="1"/>
      <c r="I705" s="61"/>
      <c r="J705" s="1"/>
      <c r="K705" s="1"/>
    </row>
    <row r="706" spans="1:11" ht="15.75" customHeight="1">
      <c r="A706" s="2"/>
      <c r="B706" s="1"/>
      <c r="C706" s="1"/>
      <c r="D706" s="1"/>
      <c r="E706" s="1"/>
      <c r="F706" s="1"/>
      <c r="G706" s="1"/>
      <c r="H706" s="1"/>
      <c r="I706" s="61"/>
      <c r="J706" s="1"/>
      <c r="K706" s="1"/>
    </row>
    <row r="707" spans="1:11" ht="15.75" customHeight="1">
      <c r="A707" s="2"/>
      <c r="B707" s="1"/>
      <c r="C707" s="1"/>
      <c r="D707" s="1"/>
      <c r="E707" s="1"/>
      <c r="F707" s="1"/>
      <c r="G707" s="1"/>
      <c r="H707" s="1"/>
      <c r="I707" s="61"/>
      <c r="J707" s="1"/>
      <c r="K707" s="1"/>
    </row>
    <row r="708" spans="1:11" ht="15.75" customHeight="1">
      <c r="A708" s="2"/>
      <c r="B708" s="1"/>
      <c r="C708" s="1"/>
      <c r="D708" s="1"/>
      <c r="E708" s="1"/>
      <c r="F708" s="1"/>
      <c r="G708" s="1"/>
      <c r="H708" s="1"/>
      <c r="I708" s="61"/>
      <c r="J708" s="1"/>
      <c r="K708" s="1"/>
    </row>
    <row r="709" spans="1:11" ht="15.75" customHeight="1">
      <c r="A709" s="2"/>
      <c r="B709" s="1"/>
      <c r="C709" s="1"/>
      <c r="D709" s="1"/>
      <c r="E709" s="1"/>
      <c r="F709" s="1"/>
      <c r="G709" s="1"/>
      <c r="H709" s="1"/>
      <c r="I709" s="61"/>
      <c r="J709" s="1"/>
      <c r="K709" s="1"/>
    </row>
    <row r="710" spans="1:11" ht="15.75" customHeight="1">
      <c r="A710" s="2"/>
      <c r="B710" s="1"/>
      <c r="C710" s="1"/>
      <c r="D710" s="1"/>
      <c r="E710" s="1"/>
      <c r="F710" s="1"/>
      <c r="G710" s="1"/>
      <c r="H710" s="1"/>
      <c r="I710" s="61"/>
      <c r="J710" s="1"/>
      <c r="K710" s="1"/>
    </row>
    <row r="711" spans="1:11" ht="15.75" customHeight="1">
      <c r="A711" s="2"/>
      <c r="B711" s="1"/>
      <c r="C711" s="1"/>
      <c r="D711" s="1"/>
      <c r="E711" s="1"/>
      <c r="F711" s="1"/>
      <c r="G711" s="1"/>
      <c r="H711" s="1"/>
      <c r="I711" s="61"/>
      <c r="J711" s="1"/>
      <c r="K711" s="1"/>
    </row>
    <row r="712" spans="1:11" ht="15.75" customHeight="1">
      <c r="A712" s="2"/>
      <c r="B712" s="1"/>
      <c r="C712" s="1"/>
      <c r="D712" s="1"/>
      <c r="E712" s="1"/>
      <c r="F712" s="1"/>
      <c r="G712" s="1"/>
      <c r="H712" s="1"/>
      <c r="I712" s="61"/>
      <c r="J712" s="1"/>
      <c r="K712" s="1"/>
    </row>
    <row r="713" spans="1:11" ht="15.75" customHeight="1">
      <c r="A713" s="2"/>
      <c r="B713" s="1"/>
      <c r="C713" s="1"/>
      <c r="D713" s="1"/>
      <c r="E713" s="1"/>
      <c r="F713" s="1"/>
      <c r="G713" s="1"/>
      <c r="H713" s="1"/>
      <c r="I713" s="61"/>
      <c r="J713" s="1"/>
      <c r="K713" s="1"/>
    </row>
    <row r="714" spans="1:11" ht="15.75" customHeight="1">
      <c r="A714" s="2"/>
      <c r="B714" s="1"/>
      <c r="C714" s="1"/>
      <c r="D714" s="1"/>
      <c r="E714" s="1"/>
      <c r="F714" s="1"/>
      <c r="G714" s="1"/>
      <c r="H714" s="1"/>
      <c r="I714" s="61"/>
      <c r="J714" s="1"/>
      <c r="K714" s="1"/>
    </row>
    <row r="715" spans="1:11" ht="15.75" customHeight="1">
      <c r="A715" s="2"/>
      <c r="B715" s="1"/>
      <c r="C715" s="1"/>
      <c r="D715" s="1"/>
      <c r="E715" s="1"/>
      <c r="F715" s="1"/>
      <c r="G715" s="1"/>
      <c r="H715" s="1"/>
      <c r="I715" s="61"/>
      <c r="J715" s="1"/>
      <c r="K715" s="1"/>
    </row>
    <row r="716" spans="1:11" ht="15.75" customHeight="1">
      <c r="A716" s="2"/>
      <c r="B716" s="1"/>
      <c r="C716" s="1"/>
      <c r="D716" s="1"/>
      <c r="E716" s="1"/>
      <c r="F716" s="1"/>
      <c r="G716" s="1"/>
      <c r="H716" s="1"/>
      <c r="I716" s="61"/>
      <c r="J716" s="1"/>
      <c r="K716" s="1"/>
    </row>
    <row r="717" spans="1:11" ht="15.75" customHeight="1">
      <c r="A717" s="2"/>
      <c r="B717" s="1"/>
      <c r="C717" s="1"/>
      <c r="D717" s="1"/>
      <c r="E717" s="1"/>
      <c r="F717" s="1"/>
      <c r="G717" s="1"/>
      <c r="H717" s="1"/>
      <c r="I717" s="61"/>
      <c r="J717" s="1"/>
      <c r="K717" s="1"/>
    </row>
    <row r="718" spans="1:11" ht="15.75" customHeight="1">
      <c r="A718" s="2"/>
      <c r="B718" s="1"/>
      <c r="C718" s="1"/>
      <c r="D718" s="1"/>
      <c r="E718" s="1"/>
      <c r="F718" s="1"/>
      <c r="G718" s="1"/>
      <c r="H718" s="1"/>
      <c r="I718" s="61"/>
      <c r="J718" s="1"/>
      <c r="K718" s="1"/>
    </row>
    <row r="719" spans="1:11" ht="15.75" customHeight="1">
      <c r="A719" s="2"/>
      <c r="B719" s="1"/>
      <c r="C719" s="1"/>
      <c r="D719" s="1"/>
      <c r="E719" s="1"/>
      <c r="F719" s="1"/>
      <c r="G719" s="1"/>
      <c r="H719" s="1"/>
      <c r="I719" s="61"/>
      <c r="J719" s="1"/>
      <c r="K719" s="1"/>
    </row>
    <row r="720" spans="1:11" ht="15.75" customHeight="1">
      <c r="A720" s="2"/>
      <c r="B720" s="1"/>
      <c r="C720" s="1"/>
      <c r="D720" s="1"/>
      <c r="E720" s="1"/>
      <c r="F720" s="1"/>
      <c r="G720" s="1"/>
      <c r="H720" s="1"/>
      <c r="I720" s="61"/>
      <c r="J720" s="1"/>
      <c r="K720" s="1"/>
    </row>
    <row r="721" spans="1:11" ht="15.75" customHeight="1">
      <c r="A721" s="2"/>
      <c r="B721" s="1"/>
      <c r="C721" s="1"/>
      <c r="D721" s="1"/>
      <c r="E721" s="1"/>
      <c r="F721" s="1"/>
      <c r="G721" s="1"/>
      <c r="H721" s="1"/>
      <c r="I721" s="61"/>
      <c r="J721" s="1"/>
      <c r="K721" s="1"/>
    </row>
    <row r="722" spans="1:11" ht="15.75" customHeight="1">
      <c r="A722" s="2"/>
      <c r="B722" s="1"/>
      <c r="C722" s="1"/>
      <c r="D722" s="1"/>
      <c r="E722" s="1"/>
      <c r="F722" s="1"/>
      <c r="G722" s="1"/>
      <c r="H722" s="1"/>
      <c r="I722" s="61"/>
      <c r="J722" s="1"/>
      <c r="K722" s="1"/>
    </row>
    <row r="723" spans="1:11" ht="15.75" customHeight="1">
      <c r="A723" s="2"/>
      <c r="B723" s="1"/>
      <c r="C723" s="1"/>
      <c r="D723" s="1"/>
      <c r="E723" s="1"/>
      <c r="F723" s="1"/>
      <c r="G723" s="1"/>
      <c r="H723" s="1"/>
      <c r="I723" s="61"/>
      <c r="J723" s="1"/>
      <c r="K723" s="1"/>
    </row>
    <row r="724" spans="1:11" ht="15.75" customHeight="1">
      <c r="A724" s="2"/>
      <c r="B724" s="1"/>
      <c r="C724" s="1"/>
      <c r="D724" s="1"/>
      <c r="E724" s="1"/>
      <c r="F724" s="1"/>
      <c r="G724" s="1"/>
      <c r="H724" s="1"/>
      <c r="I724" s="61"/>
      <c r="J724" s="1"/>
      <c r="K724" s="1"/>
    </row>
    <row r="725" spans="1:11" ht="15.75" customHeight="1">
      <c r="A725" s="2"/>
      <c r="B725" s="1"/>
      <c r="C725" s="1"/>
      <c r="D725" s="1"/>
      <c r="E725" s="1"/>
      <c r="F725" s="1"/>
      <c r="G725" s="1"/>
      <c r="H725" s="1"/>
      <c r="I725" s="61"/>
      <c r="J725" s="1"/>
      <c r="K725" s="1"/>
    </row>
    <row r="726" spans="1:11" ht="15.75" customHeight="1">
      <c r="A726" s="2"/>
      <c r="B726" s="1"/>
      <c r="C726" s="1"/>
      <c r="D726" s="1"/>
      <c r="E726" s="1"/>
      <c r="F726" s="1"/>
      <c r="G726" s="1"/>
      <c r="H726" s="1"/>
      <c r="I726" s="61"/>
      <c r="J726" s="1"/>
      <c r="K726" s="1"/>
    </row>
    <row r="727" spans="1:11" ht="15.75" customHeight="1">
      <c r="A727" s="2"/>
      <c r="B727" s="1"/>
      <c r="C727" s="1"/>
      <c r="D727" s="1"/>
      <c r="E727" s="1"/>
      <c r="F727" s="1"/>
      <c r="G727" s="1"/>
      <c r="H727" s="1"/>
      <c r="I727" s="61"/>
      <c r="J727" s="1"/>
      <c r="K727" s="1"/>
    </row>
    <row r="728" spans="1:11" ht="15.75" customHeight="1">
      <c r="A728" s="2"/>
      <c r="B728" s="1"/>
      <c r="C728" s="1"/>
      <c r="D728" s="1"/>
      <c r="E728" s="1"/>
      <c r="F728" s="1"/>
      <c r="G728" s="1"/>
      <c r="H728" s="1"/>
      <c r="I728" s="61"/>
      <c r="J728" s="1"/>
      <c r="K728" s="1"/>
    </row>
    <row r="729" spans="1:11" ht="15.75" customHeight="1">
      <c r="A729" s="2"/>
      <c r="B729" s="1"/>
      <c r="C729" s="1"/>
      <c r="D729" s="1"/>
      <c r="E729" s="1"/>
      <c r="F729" s="1"/>
      <c r="G729" s="1"/>
      <c r="H729" s="1"/>
      <c r="I729" s="61"/>
      <c r="J729" s="1"/>
      <c r="K729" s="1"/>
    </row>
    <row r="730" spans="1:11" ht="15.75" customHeight="1">
      <c r="A730" s="2"/>
      <c r="B730" s="1"/>
      <c r="C730" s="1"/>
      <c r="D730" s="1"/>
      <c r="E730" s="1"/>
      <c r="F730" s="1"/>
      <c r="G730" s="1"/>
      <c r="H730" s="1"/>
      <c r="I730" s="61"/>
      <c r="J730" s="1"/>
      <c r="K730" s="1"/>
    </row>
    <row r="731" spans="1:11" ht="15.75" customHeight="1">
      <c r="A731" s="2"/>
      <c r="B731" s="1"/>
      <c r="C731" s="1"/>
      <c r="D731" s="1"/>
      <c r="E731" s="1"/>
      <c r="F731" s="1"/>
      <c r="G731" s="1"/>
      <c r="H731" s="1"/>
      <c r="I731" s="61"/>
      <c r="J731" s="1"/>
      <c r="K731" s="1"/>
    </row>
    <row r="732" spans="1:11" ht="15.75" customHeight="1">
      <c r="A732" s="2"/>
      <c r="B732" s="1"/>
      <c r="C732" s="1"/>
      <c r="D732" s="1"/>
      <c r="E732" s="1"/>
      <c r="F732" s="1"/>
      <c r="G732" s="1"/>
      <c r="H732" s="1"/>
      <c r="I732" s="61"/>
      <c r="J732" s="1"/>
      <c r="K732" s="1"/>
    </row>
    <row r="733" spans="1:11" ht="15.75" customHeight="1">
      <c r="A733" s="2"/>
      <c r="B733" s="1"/>
      <c r="C733" s="1"/>
      <c r="D733" s="1"/>
      <c r="E733" s="1"/>
      <c r="F733" s="1"/>
      <c r="G733" s="1"/>
      <c r="H733" s="1"/>
      <c r="I733" s="61"/>
      <c r="J733" s="1"/>
      <c r="K733" s="1"/>
    </row>
    <row r="734" spans="1:11" ht="15.75" customHeight="1">
      <c r="A734" s="2"/>
      <c r="B734" s="1"/>
      <c r="C734" s="1"/>
      <c r="D734" s="1"/>
      <c r="E734" s="1"/>
      <c r="F734" s="1"/>
      <c r="G734" s="1"/>
      <c r="H734" s="1"/>
      <c r="I734" s="61"/>
      <c r="J734" s="1"/>
      <c r="K734" s="1"/>
    </row>
    <row r="735" spans="1:11" ht="15.75" customHeight="1">
      <c r="A735" s="2"/>
      <c r="B735" s="1"/>
      <c r="C735" s="1"/>
      <c r="D735" s="1"/>
      <c r="E735" s="1"/>
      <c r="F735" s="1"/>
      <c r="G735" s="1"/>
      <c r="H735" s="1"/>
      <c r="I735" s="61"/>
      <c r="J735" s="1"/>
      <c r="K735" s="1"/>
    </row>
    <row r="736" spans="1:11" ht="15.75" customHeight="1">
      <c r="A736" s="2"/>
      <c r="B736" s="1"/>
      <c r="C736" s="1"/>
      <c r="D736" s="1"/>
      <c r="E736" s="1"/>
      <c r="F736" s="1"/>
      <c r="G736" s="1"/>
      <c r="H736" s="1"/>
      <c r="I736" s="61"/>
      <c r="J736" s="1"/>
      <c r="K736" s="1"/>
    </row>
    <row r="737" spans="1:11" ht="15.75" customHeight="1">
      <c r="A737" s="2"/>
      <c r="B737" s="1"/>
      <c r="C737" s="1"/>
      <c r="D737" s="1"/>
      <c r="E737" s="1"/>
      <c r="F737" s="1"/>
      <c r="G737" s="1"/>
      <c r="H737" s="1"/>
      <c r="I737" s="61"/>
      <c r="J737" s="1"/>
      <c r="K737" s="1"/>
    </row>
    <row r="738" spans="1:11" ht="15.75" customHeight="1">
      <c r="A738" s="2"/>
      <c r="B738" s="1"/>
      <c r="C738" s="1"/>
      <c r="D738" s="1"/>
      <c r="E738" s="1"/>
      <c r="F738" s="1"/>
      <c r="G738" s="1"/>
      <c r="H738" s="1"/>
      <c r="I738" s="61"/>
      <c r="J738" s="1"/>
      <c r="K738" s="1"/>
    </row>
    <row r="739" spans="1:11" ht="15.75" customHeight="1">
      <c r="A739" s="2"/>
      <c r="B739" s="1"/>
      <c r="C739" s="1"/>
      <c r="D739" s="1"/>
      <c r="E739" s="1"/>
      <c r="F739" s="1"/>
      <c r="G739" s="1"/>
      <c r="H739" s="1"/>
      <c r="I739" s="61"/>
      <c r="J739" s="1"/>
      <c r="K739" s="1"/>
    </row>
    <row r="740" spans="1:11" ht="15.75" customHeight="1">
      <c r="A740" s="2"/>
      <c r="B740" s="1"/>
      <c r="C740" s="1"/>
      <c r="D740" s="1"/>
      <c r="E740" s="1"/>
      <c r="F740" s="1"/>
      <c r="G740" s="1"/>
      <c r="H740" s="1"/>
      <c r="I740" s="61"/>
      <c r="J740" s="1"/>
      <c r="K740" s="1"/>
    </row>
    <row r="741" spans="1:11" ht="15.75" customHeight="1">
      <c r="A741" s="2"/>
      <c r="B741" s="1"/>
      <c r="C741" s="1"/>
      <c r="D741" s="1"/>
      <c r="E741" s="1"/>
      <c r="F741" s="1"/>
      <c r="G741" s="1"/>
      <c r="H741" s="1"/>
      <c r="I741" s="61"/>
      <c r="J741" s="1"/>
      <c r="K741" s="1"/>
    </row>
    <row r="742" spans="1:11" ht="15.75" customHeight="1">
      <c r="A742" s="2"/>
      <c r="B742" s="1"/>
      <c r="C742" s="1"/>
      <c r="D742" s="1"/>
      <c r="E742" s="1"/>
      <c r="F742" s="1"/>
      <c r="G742" s="1"/>
      <c r="H742" s="1"/>
      <c r="I742" s="61"/>
      <c r="J742" s="1"/>
      <c r="K742" s="1"/>
    </row>
    <row r="743" spans="1:11" ht="15.75" customHeight="1">
      <c r="A743" s="2"/>
      <c r="B743" s="1"/>
      <c r="C743" s="1"/>
      <c r="D743" s="1"/>
      <c r="E743" s="1"/>
      <c r="F743" s="1"/>
      <c r="G743" s="1"/>
      <c r="H743" s="1"/>
      <c r="I743" s="61"/>
      <c r="J743" s="1"/>
      <c r="K743" s="1"/>
    </row>
    <row r="744" spans="1:11" ht="15.75" customHeight="1">
      <c r="A744" s="2"/>
      <c r="B744" s="1"/>
      <c r="C744" s="1"/>
      <c r="D744" s="1"/>
      <c r="E744" s="1"/>
      <c r="F744" s="1"/>
      <c r="G744" s="1"/>
      <c r="H744" s="1"/>
      <c r="I744" s="61"/>
      <c r="J744" s="1"/>
      <c r="K744" s="1"/>
    </row>
    <row r="745" spans="1:11" ht="15.75" customHeight="1">
      <c r="A745" s="2"/>
      <c r="B745" s="1"/>
      <c r="C745" s="1"/>
      <c r="D745" s="1"/>
      <c r="E745" s="1"/>
      <c r="F745" s="1"/>
      <c r="G745" s="1"/>
      <c r="H745" s="1"/>
      <c r="I745" s="61"/>
      <c r="J745" s="1"/>
      <c r="K745" s="1"/>
    </row>
    <row r="746" spans="1:11" ht="15.75" customHeight="1">
      <c r="A746" s="2"/>
      <c r="B746" s="1"/>
      <c r="C746" s="1"/>
      <c r="D746" s="1"/>
      <c r="E746" s="1"/>
      <c r="F746" s="1"/>
      <c r="G746" s="1"/>
      <c r="H746" s="1"/>
      <c r="I746" s="61"/>
      <c r="J746" s="1"/>
      <c r="K746" s="1"/>
    </row>
    <row r="747" spans="1:11" ht="15.75" customHeight="1">
      <c r="A747" s="2"/>
      <c r="B747" s="1"/>
      <c r="C747" s="1"/>
      <c r="D747" s="1"/>
      <c r="E747" s="1"/>
      <c r="F747" s="1"/>
      <c r="G747" s="1"/>
      <c r="H747" s="1"/>
      <c r="I747" s="61"/>
      <c r="J747" s="1"/>
      <c r="K747" s="1"/>
    </row>
    <row r="748" spans="1:11" ht="15.75" customHeight="1">
      <c r="A748" s="2"/>
      <c r="B748" s="1"/>
      <c r="C748" s="1"/>
      <c r="D748" s="1"/>
      <c r="E748" s="1"/>
      <c r="F748" s="1"/>
      <c r="G748" s="1"/>
      <c r="H748" s="1"/>
      <c r="I748" s="61"/>
      <c r="J748" s="1"/>
      <c r="K748" s="1"/>
    </row>
    <row r="749" spans="1:11" ht="15.75" customHeight="1">
      <c r="A749" s="2"/>
      <c r="B749" s="1"/>
      <c r="C749" s="1"/>
      <c r="D749" s="1"/>
      <c r="E749" s="1"/>
      <c r="F749" s="1"/>
      <c r="G749" s="1"/>
      <c r="H749" s="1"/>
      <c r="I749" s="61"/>
      <c r="J749" s="1"/>
      <c r="K749" s="1"/>
    </row>
    <row r="750" spans="1:11" ht="15.75" customHeight="1">
      <c r="A750" s="2"/>
      <c r="B750" s="1"/>
      <c r="C750" s="1"/>
      <c r="D750" s="1"/>
      <c r="E750" s="1"/>
      <c r="F750" s="1"/>
      <c r="G750" s="1"/>
      <c r="H750" s="1"/>
      <c r="I750" s="61"/>
      <c r="J750" s="1"/>
      <c r="K750" s="1"/>
    </row>
    <row r="751" spans="1:11" ht="15.75" customHeight="1">
      <c r="A751" s="2"/>
      <c r="B751" s="1"/>
      <c r="C751" s="1"/>
      <c r="D751" s="1"/>
      <c r="E751" s="1"/>
      <c r="F751" s="1"/>
      <c r="G751" s="1"/>
      <c r="H751" s="1"/>
      <c r="I751" s="61"/>
      <c r="J751" s="1"/>
      <c r="K751" s="1"/>
    </row>
    <row r="752" spans="1:11" ht="15.75" customHeight="1">
      <c r="A752" s="2"/>
      <c r="B752" s="1"/>
      <c r="C752" s="1"/>
      <c r="D752" s="1"/>
      <c r="E752" s="1"/>
      <c r="F752" s="1"/>
      <c r="G752" s="1"/>
      <c r="H752" s="1"/>
      <c r="I752" s="61"/>
      <c r="J752" s="1"/>
      <c r="K752" s="1"/>
    </row>
    <row r="753" spans="1:11" ht="15.75" customHeight="1">
      <c r="A753" s="2"/>
      <c r="B753" s="1"/>
      <c r="C753" s="1"/>
      <c r="D753" s="1"/>
      <c r="E753" s="1"/>
      <c r="F753" s="1"/>
      <c r="G753" s="1"/>
      <c r="H753" s="1"/>
      <c r="I753" s="61"/>
      <c r="J753" s="1"/>
      <c r="K753" s="1"/>
    </row>
    <row r="754" spans="1:11" ht="15.75" customHeight="1">
      <c r="A754" s="2"/>
      <c r="B754" s="1"/>
      <c r="C754" s="1"/>
      <c r="D754" s="1"/>
      <c r="E754" s="1"/>
      <c r="F754" s="1"/>
      <c r="G754" s="1"/>
      <c r="H754" s="1"/>
      <c r="I754" s="61"/>
      <c r="J754" s="1"/>
      <c r="K754" s="1"/>
    </row>
    <row r="755" spans="1:11" ht="15.75" customHeight="1">
      <c r="A755" s="2"/>
      <c r="B755" s="1"/>
      <c r="C755" s="1"/>
      <c r="D755" s="1"/>
      <c r="E755" s="1"/>
      <c r="F755" s="1"/>
      <c r="G755" s="1"/>
      <c r="H755" s="1"/>
      <c r="I755" s="61"/>
      <c r="J755" s="1"/>
      <c r="K755" s="1"/>
    </row>
    <row r="756" spans="1:11" ht="15.75" customHeight="1">
      <c r="A756" s="2"/>
      <c r="B756" s="1"/>
      <c r="C756" s="1"/>
      <c r="D756" s="1"/>
      <c r="E756" s="1"/>
      <c r="F756" s="1"/>
      <c r="G756" s="1"/>
      <c r="H756" s="1"/>
      <c r="I756" s="61"/>
      <c r="J756" s="1"/>
      <c r="K756" s="1"/>
    </row>
    <row r="757" spans="1:11" ht="15.75" customHeight="1">
      <c r="A757" s="2"/>
      <c r="B757" s="1"/>
      <c r="C757" s="1"/>
      <c r="D757" s="1"/>
      <c r="E757" s="1"/>
      <c r="F757" s="1"/>
      <c r="G757" s="1"/>
      <c r="H757" s="1"/>
      <c r="I757" s="61"/>
      <c r="J757" s="1"/>
      <c r="K757" s="1"/>
    </row>
    <row r="758" spans="1:11" ht="15.75" customHeight="1">
      <c r="A758" s="2"/>
      <c r="B758" s="1"/>
      <c r="C758" s="1"/>
      <c r="D758" s="1"/>
      <c r="E758" s="1"/>
      <c r="F758" s="1"/>
      <c r="G758" s="1"/>
      <c r="H758" s="1"/>
      <c r="I758" s="61"/>
      <c r="J758" s="1"/>
      <c r="K758" s="1"/>
    </row>
    <row r="759" spans="1:11" ht="15.75" customHeight="1">
      <c r="A759" s="2"/>
      <c r="B759" s="1"/>
      <c r="C759" s="1"/>
      <c r="D759" s="1"/>
      <c r="E759" s="1"/>
      <c r="F759" s="1"/>
      <c r="G759" s="1"/>
      <c r="H759" s="1"/>
      <c r="I759" s="61"/>
      <c r="J759" s="1"/>
      <c r="K759" s="1"/>
    </row>
    <row r="760" spans="1:11" ht="15.75" customHeight="1">
      <c r="A760" s="2"/>
      <c r="B760" s="1"/>
      <c r="C760" s="1"/>
      <c r="D760" s="1"/>
      <c r="E760" s="1"/>
      <c r="F760" s="1"/>
      <c r="G760" s="1"/>
      <c r="H760" s="1"/>
      <c r="I760" s="61"/>
      <c r="J760" s="1"/>
      <c r="K760" s="1"/>
    </row>
    <row r="761" spans="1:11" ht="15.75" customHeight="1">
      <c r="A761" s="2"/>
      <c r="B761" s="1"/>
      <c r="C761" s="1"/>
      <c r="D761" s="1"/>
      <c r="E761" s="1"/>
      <c r="F761" s="1"/>
      <c r="G761" s="1"/>
      <c r="H761" s="1"/>
      <c r="I761" s="61"/>
      <c r="J761" s="1"/>
      <c r="K761" s="1"/>
    </row>
    <row r="762" spans="1:11" ht="15.75" customHeight="1">
      <c r="A762" s="2"/>
      <c r="B762" s="1"/>
      <c r="C762" s="1"/>
      <c r="D762" s="1"/>
      <c r="E762" s="1"/>
      <c r="F762" s="1"/>
      <c r="G762" s="1"/>
      <c r="H762" s="1"/>
      <c r="I762" s="61"/>
      <c r="J762" s="1"/>
      <c r="K762" s="1"/>
    </row>
    <row r="763" spans="1:11" ht="15.75" customHeight="1">
      <c r="A763" s="2"/>
      <c r="B763" s="1"/>
      <c r="C763" s="1"/>
      <c r="D763" s="1"/>
      <c r="E763" s="1"/>
      <c r="F763" s="1"/>
      <c r="G763" s="1"/>
      <c r="H763" s="1"/>
      <c r="I763" s="61"/>
      <c r="J763" s="1"/>
      <c r="K763" s="1"/>
    </row>
    <row r="764" spans="1:11" ht="15.75" customHeight="1">
      <c r="A764" s="2"/>
      <c r="B764" s="1"/>
      <c r="C764" s="1"/>
      <c r="D764" s="1"/>
      <c r="E764" s="1"/>
      <c r="F764" s="1"/>
      <c r="G764" s="1"/>
      <c r="H764" s="1"/>
      <c r="I764" s="61"/>
      <c r="J764" s="1"/>
      <c r="K764" s="1"/>
    </row>
    <row r="765" spans="1:11" ht="15.75" customHeight="1">
      <c r="A765" s="2"/>
      <c r="B765" s="1"/>
      <c r="C765" s="1"/>
      <c r="D765" s="1"/>
      <c r="E765" s="1"/>
      <c r="F765" s="1"/>
      <c r="G765" s="1"/>
      <c r="H765" s="1"/>
      <c r="I765" s="61"/>
      <c r="J765" s="1"/>
      <c r="K765" s="1"/>
    </row>
    <row r="766" spans="1:11" ht="15.75" customHeight="1">
      <c r="A766" s="2"/>
      <c r="B766" s="1"/>
      <c r="C766" s="1"/>
      <c r="D766" s="1"/>
      <c r="E766" s="1"/>
      <c r="F766" s="1"/>
      <c r="G766" s="1"/>
      <c r="H766" s="1"/>
      <c r="I766" s="61"/>
      <c r="J766" s="1"/>
      <c r="K766" s="1"/>
    </row>
    <row r="767" spans="1:11" ht="15.75" customHeight="1">
      <c r="A767" s="2"/>
      <c r="B767" s="1"/>
      <c r="C767" s="1"/>
      <c r="D767" s="1"/>
      <c r="E767" s="1"/>
      <c r="F767" s="1"/>
      <c r="G767" s="1"/>
      <c r="H767" s="1"/>
      <c r="I767" s="61"/>
      <c r="J767" s="1"/>
      <c r="K767" s="1"/>
    </row>
    <row r="768" spans="1:11" ht="15.75" customHeight="1">
      <c r="A768" s="2"/>
      <c r="B768" s="1"/>
      <c r="C768" s="1"/>
      <c r="D768" s="1"/>
      <c r="E768" s="1"/>
      <c r="F768" s="1"/>
      <c r="G768" s="1"/>
      <c r="H768" s="1"/>
      <c r="I768" s="61"/>
      <c r="J768" s="1"/>
      <c r="K768" s="1"/>
    </row>
    <row r="769" spans="1:11" ht="15.75" customHeight="1">
      <c r="A769" s="2"/>
      <c r="B769" s="1"/>
      <c r="C769" s="1"/>
      <c r="D769" s="1"/>
      <c r="E769" s="1"/>
      <c r="F769" s="1"/>
      <c r="G769" s="1"/>
      <c r="H769" s="1"/>
      <c r="I769" s="61"/>
      <c r="J769" s="1"/>
      <c r="K769" s="1"/>
    </row>
    <row r="770" spans="1:11" ht="15.75" customHeight="1">
      <c r="A770" s="2"/>
      <c r="B770" s="1"/>
      <c r="C770" s="1"/>
      <c r="D770" s="1"/>
      <c r="E770" s="1"/>
      <c r="F770" s="1"/>
      <c r="G770" s="1"/>
      <c r="H770" s="1"/>
      <c r="I770" s="61"/>
      <c r="J770" s="1"/>
      <c r="K770" s="1"/>
    </row>
    <row r="771" spans="1:11" ht="15.75" customHeight="1">
      <c r="A771" s="2"/>
      <c r="B771" s="1"/>
      <c r="C771" s="1"/>
      <c r="D771" s="1"/>
      <c r="E771" s="1"/>
      <c r="F771" s="1"/>
      <c r="G771" s="1"/>
      <c r="H771" s="1"/>
      <c r="I771" s="61"/>
      <c r="J771" s="1"/>
      <c r="K771" s="1"/>
    </row>
    <row r="772" spans="1:11" ht="15.75" customHeight="1">
      <c r="A772" s="2"/>
      <c r="B772" s="1"/>
      <c r="C772" s="1"/>
      <c r="D772" s="1"/>
      <c r="E772" s="1"/>
      <c r="F772" s="1"/>
      <c r="G772" s="1"/>
      <c r="H772" s="1"/>
      <c r="I772" s="61"/>
      <c r="J772" s="1"/>
      <c r="K772" s="1"/>
    </row>
    <row r="773" spans="1:11" ht="15.75" customHeight="1">
      <c r="A773" s="2"/>
      <c r="B773" s="1"/>
      <c r="C773" s="1"/>
      <c r="D773" s="1"/>
      <c r="E773" s="1"/>
      <c r="F773" s="1"/>
      <c r="G773" s="1"/>
      <c r="H773" s="1"/>
      <c r="I773" s="61"/>
      <c r="J773" s="1"/>
      <c r="K773" s="1"/>
    </row>
    <row r="774" spans="1:11" ht="15.75" customHeight="1">
      <c r="A774" s="2"/>
      <c r="B774" s="1"/>
      <c r="C774" s="1"/>
      <c r="D774" s="1"/>
      <c r="E774" s="1"/>
      <c r="F774" s="1"/>
      <c r="G774" s="1"/>
      <c r="H774" s="1"/>
      <c r="I774" s="61"/>
      <c r="J774" s="1"/>
      <c r="K774" s="1"/>
    </row>
    <row r="775" spans="1:11" ht="15.75" customHeight="1">
      <c r="A775" s="2"/>
      <c r="B775" s="1"/>
      <c r="C775" s="1"/>
      <c r="D775" s="1"/>
      <c r="E775" s="1"/>
      <c r="F775" s="1"/>
      <c r="G775" s="1"/>
      <c r="H775" s="1"/>
      <c r="I775" s="61"/>
      <c r="J775" s="1"/>
      <c r="K775" s="1"/>
    </row>
    <row r="776" spans="1:11" ht="15.75" customHeight="1">
      <c r="A776" s="2"/>
      <c r="B776" s="1"/>
      <c r="C776" s="1"/>
      <c r="D776" s="1"/>
      <c r="E776" s="1"/>
      <c r="F776" s="1"/>
      <c r="G776" s="1"/>
      <c r="H776" s="1"/>
      <c r="I776" s="61"/>
      <c r="J776" s="1"/>
      <c r="K776" s="1"/>
    </row>
    <row r="777" spans="1:11" ht="15.75" customHeight="1">
      <c r="A777" s="2"/>
      <c r="B777" s="1"/>
      <c r="C777" s="1"/>
      <c r="D777" s="1"/>
      <c r="E777" s="1"/>
      <c r="F777" s="1"/>
      <c r="G777" s="1"/>
      <c r="H777" s="1"/>
      <c r="I777" s="61"/>
      <c r="J777" s="1"/>
      <c r="K777" s="1"/>
    </row>
    <row r="778" spans="1:11" ht="15.75" customHeight="1">
      <c r="A778" s="2"/>
      <c r="B778" s="1"/>
      <c r="C778" s="1"/>
      <c r="D778" s="1"/>
      <c r="E778" s="1"/>
      <c r="F778" s="1"/>
      <c r="G778" s="1"/>
      <c r="H778" s="1"/>
      <c r="I778" s="61"/>
      <c r="J778" s="1"/>
      <c r="K778" s="1"/>
    </row>
    <row r="779" spans="1:11" ht="15.75" customHeight="1">
      <c r="A779" s="2"/>
      <c r="B779" s="1"/>
      <c r="C779" s="1"/>
      <c r="D779" s="1"/>
      <c r="E779" s="1"/>
      <c r="F779" s="1"/>
      <c r="G779" s="1"/>
      <c r="H779" s="1"/>
      <c r="I779" s="61"/>
      <c r="J779" s="1"/>
      <c r="K779" s="1"/>
    </row>
    <row r="780" spans="1:11" ht="15.75" customHeight="1">
      <c r="A780" s="2"/>
      <c r="B780" s="1"/>
      <c r="C780" s="1"/>
      <c r="D780" s="1"/>
      <c r="E780" s="1"/>
      <c r="F780" s="1"/>
      <c r="G780" s="1"/>
      <c r="H780" s="1"/>
      <c r="I780" s="61"/>
      <c r="J780" s="1"/>
      <c r="K780" s="1"/>
    </row>
    <row r="781" spans="1:11" ht="15.75" customHeight="1">
      <c r="A781" s="2"/>
      <c r="B781" s="1"/>
      <c r="C781" s="1"/>
      <c r="D781" s="1"/>
      <c r="E781" s="1"/>
      <c r="F781" s="1"/>
      <c r="G781" s="1"/>
      <c r="H781" s="1"/>
      <c r="I781" s="61"/>
      <c r="J781" s="1"/>
      <c r="K781" s="1"/>
    </row>
    <row r="782" spans="1:11" ht="15.75" customHeight="1">
      <c r="A782" s="2"/>
      <c r="B782" s="1"/>
      <c r="C782" s="1"/>
      <c r="D782" s="1"/>
      <c r="E782" s="1"/>
      <c r="F782" s="1"/>
      <c r="G782" s="1"/>
      <c r="H782" s="1"/>
      <c r="I782" s="61"/>
      <c r="J782" s="1"/>
      <c r="K782" s="1"/>
    </row>
    <row r="783" spans="1:11" ht="15.75" customHeight="1">
      <c r="A783" s="2"/>
      <c r="B783" s="1"/>
      <c r="C783" s="1"/>
      <c r="D783" s="1"/>
      <c r="E783" s="1"/>
      <c r="F783" s="1"/>
      <c r="G783" s="1"/>
      <c r="H783" s="1"/>
      <c r="I783" s="61"/>
      <c r="J783" s="1"/>
      <c r="K783" s="1"/>
    </row>
    <row r="784" spans="1:11" ht="15.75" customHeight="1">
      <c r="A784" s="2"/>
      <c r="B784" s="1"/>
      <c r="C784" s="1"/>
      <c r="D784" s="1"/>
      <c r="E784" s="1"/>
      <c r="F784" s="1"/>
      <c r="G784" s="1"/>
      <c r="H784" s="1"/>
      <c r="I784" s="61"/>
      <c r="J784" s="1"/>
      <c r="K784" s="1"/>
    </row>
    <row r="785" spans="1:11" ht="15.75" customHeight="1">
      <c r="A785" s="2"/>
      <c r="B785" s="1"/>
      <c r="C785" s="1"/>
      <c r="D785" s="1"/>
      <c r="E785" s="1"/>
      <c r="F785" s="1"/>
      <c r="G785" s="1"/>
      <c r="H785" s="1"/>
      <c r="I785" s="61"/>
      <c r="J785" s="1"/>
      <c r="K785" s="1"/>
    </row>
    <row r="786" spans="1:11" ht="15.75" customHeight="1">
      <c r="A786" s="2"/>
      <c r="B786" s="1"/>
      <c r="C786" s="1"/>
      <c r="D786" s="1"/>
      <c r="E786" s="1"/>
      <c r="F786" s="1"/>
      <c r="G786" s="1"/>
      <c r="H786" s="1"/>
      <c r="I786" s="61"/>
      <c r="J786" s="1"/>
      <c r="K786" s="1"/>
    </row>
    <row r="787" spans="1:11" ht="15.75" customHeight="1">
      <c r="A787" s="2"/>
      <c r="B787" s="1"/>
      <c r="C787" s="1"/>
      <c r="D787" s="1"/>
      <c r="E787" s="1"/>
      <c r="F787" s="1"/>
      <c r="G787" s="1"/>
      <c r="H787" s="1"/>
      <c r="I787" s="61"/>
      <c r="J787" s="1"/>
      <c r="K787" s="1"/>
    </row>
    <row r="788" spans="1:11" ht="15.75" customHeight="1">
      <c r="A788" s="2"/>
      <c r="B788" s="1"/>
      <c r="C788" s="1"/>
      <c r="D788" s="1"/>
      <c r="E788" s="1"/>
      <c r="F788" s="1"/>
      <c r="G788" s="1"/>
      <c r="H788" s="1"/>
      <c r="I788" s="61"/>
      <c r="J788" s="1"/>
      <c r="K788" s="1"/>
    </row>
    <row r="789" spans="1:11" ht="15.75" customHeight="1">
      <c r="A789" s="2"/>
      <c r="B789" s="1"/>
      <c r="C789" s="1"/>
      <c r="D789" s="1"/>
      <c r="E789" s="1"/>
      <c r="F789" s="1"/>
      <c r="G789" s="1"/>
      <c r="H789" s="1"/>
      <c r="I789" s="61"/>
      <c r="J789" s="1"/>
      <c r="K789" s="1"/>
    </row>
    <row r="790" spans="1:11" ht="15.75" customHeight="1">
      <c r="A790" s="2"/>
      <c r="B790" s="1"/>
      <c r="C790" s="1"/>
      <c r="D790" s="1"/>
      <c r="E790" s="1"/>
      <c r="F790" s="1"/>
      <c r="G790" s="1"/>
      <c r="H790" s="1"/>
      <c r="I790" s="61"/>
      <c r="J790" s="1"/>
      <c r="K790" s="1"/>
    </row>
    <row r="791" spans="1:11" ht="15.75" customHeight="1">
      <c r="A791" s="2"/>
      <c r="B791" s="1"/>
      <c r="C791" s="1"/>
      <c r="D791" s="1"/>
      <c r="E791" s="1"/>
      <c r="F791" s="1"/>
      <c r="G791" s="1"/>
      <c r="H791" s="1"/>
      <c r="I791" s="61"/>
      <c r="J791" s="1"/>
      <c r="K791" s="1"/>
    </row>
    <row r="792" spans="1:11" ht="15.75" customHeight="1">
      <c r="A792" s="2"/>
      <c r="B792" s="1"/>
      <c r="C792" s="1"/>
      <c r="D792" s="1"/>
      <c r="E792" s="1"/>
      <c r="F792" s="1"/>
      <c r="G792" s="1"/>
      <c r="H792" s="1"/>
      <c r="I792" s="61"/>
      <c r="J792" s="1"/>
      <c r="K792" s="1"/>
    </row>
    <row r="793" spans="1:11" ht="15.75" customHeight="1">
      <c r="A793" s="2"/>
      <c r="B793" s="1"/>
      <c r="C793" s="1"/>
      <c r="D793" s="1"/>
      <c r="E793" s="1"/>
      <c r="F793" s="1"/>
      <c r="G793" s="1"/>
      <c r="H793" s="1"/>
      <c r="I793" s="61"/>
      <c r="J793" s="1"/>
      <c r="K793" s="1"/>
    </row>
    <row r="794" spans="1:11" ht="15.75" customHeight="1">
      <c r="A794" s="2"/>
      <c r="B794" s="1"/>
      <c r="C794" s="1"/>
      <c r="D794" s="1"/>
      <c r="E794" s="1"/>
      <c r="F794" s="1"/>
      <c r="G794" s="1"/>
      <c r="H794" s="1"/>
      <c r="I794" s="61"/>
      <c r="J794" s="1"/>
      <c r="K794" s="1"/>
    </row>
    <row r="795" spans="1:11" ht="15.75" customHeight="1">
      <c r="A795" s="2"/>
      <c r="B795" s="1"/>
      <c r="C795" s="1"/>
      <c r="D795" s="1"/>
      <c r="E795" s="1"/>
      <c r="F795" s="1"/>
      <c r="G795" s="1"/>
      <c r="H795" s="1"/>
      <c r="I795" s="61"/>
      <c r="J795" s="1"/>
      <c r="K795" s="1"/>
    </row>
    <row r="796" spans="1:11" ht="15.75" customHeight="1">
      <c r="A796" s="2"/>
      <c r="B796" s="1"/>
      <c r="C796" s="1"/>
      <c r="D796" s="1"/>
      <c r="E796" s="1"/>
      <c r="F796" s="1"/>
      <c r="G796" s="1"/>
      <c r="H796" s="1"/>
      <c r="I796" s="61"/>
      <c r="J796" s="1"/>
      <c r="K796" s="1"/>
    </row>
    <row r="797" spans="1:11" ht="15.75" customHeight="1">
      <c r="A797" s="2"/>
      <c r="B797" s="1"/>
      <c r="C797" s="1"/>
      <c r="D797" s="1"/>
      <c r="E797" s="1"/>
      <c r="F797" s="1"/>
      <c r="G797" s="1"/>
      <c r="H797" s="1"/>
      <c r="I797" s="61"/>
      <c r="J797" s="1"/>
      <c r="K797" s="1"/>
    </row>
    <row r="798" spans="1:11" ht="15.75" customHeight="1">
      <c r="A798" s="2"/>
      <c r="B798" s="1"/>
      <c r="C798" s="1"/>
      <c r="D798" s="1"/>
      <c r="E798" s="1"/>
      <c r="F798" s="1"/>
      <c r="G798" s="1"/>
      <c r="H798" s="1"/>
      <c r="I798" s="61"/>
      <c r="J798" s="1"/>
      <c r="K798" s="1"/>
    </row>
    <row r="799" spans="1:11" ht="15.75" customHeight="1">
      <c r="A799" s="2"/>
      <c r="B799" s="1"/>
      <c r="C799" s="1"/>
      <c r="D799" s="1"/>
      <c r="E799" s="1"/>
      <c r="F799" s="1"/>
      <c r="G799" s="1"/>
      <c r="H799" s="1"/>
      <c r="I799" s="61"/>
      <c r="J799" s="1"/>
      <c r="K799" s="1"/>
    </row>
    <row r="800" spans="1:11" ht="15.75" customHeight="1">
      <c r="A800" s="2"/>
      <c r="B800" s="1"/>
      <c r="C800" s="1"/>
      <c r="D800" s="1"/>
      <c r="E800" s="1"/>
      <c r="F800" s="1"/>
      <c r="G800" s="1"/>
      <c r="H800" s="1"/>
      <c r="I800" s="61"/>
      <c r="J800" s="1"/>
      <c r="K800" s="1"/>
    </row>
    <row r="801" spans="1:11" ht="15.75" customHeight="1">
      <c r="A801" s="2"/>
      <c r="B801" s="1"/>
      <c r="C801" s="1"/>
      <c r="D801" s="1"/>
      <c r="E801" s="1"/>
      <c r="F801" s="1"/>
      <c r="G801" s="1"/>
      <c r="H801" s="1"/>
      <c r="I801" s="61"/>
      <c r="J801" s="1"/>
      <c r="K801" s="1"/>
    </row>
    <row r="802" spans="1:11" ht="15.75" customHeight="1">
      <c r="A802" s="2"/>
      <c r="B802" s="1"/>
      <c r="C802" s="1"/>
      <c r="D802" s="1"/>
      <c r="E802" s="1"/>
      <c r="F802" s="1"/>
      <c r="G802" s="1"/>
      <c r="H802" s="1"/>
      <c r="I802" s="61"/>
      <c r="J802" s="1"/>
      <c r="K802" s="1"/>
    </row>
    <row r="803" spans="1:11" ht="15.75" customHeight="1">
      <c r="A803" s="2"/>
      <c r="B803" s="1"/>
      <c r="C803" s="1"/>
      <c r="D803" s="1"/>
      <c r="E803" s="1"/>
      <c r="F803" s="1"/>
      <c r="G803" s="1"/>
      <c r="H803" s="1"/>
      <c r="I803" s="61"/>
      <c r="J803" s="1"/>
      <c r="K803" s="1"/>
    </row>
    <row r="804" spans="1:11" ht="15.75" customHeight="1">
      <c r="A804" s="2"/>
      <c r="B804" s="1"/>
      <c r="C804" s="1"/>
      <c r="D804" s="1"/>
      <c r="E804" s="1"/>
      <c r="F804" s="1"/>
      <c r="G804" s="1"/>
      <c r="H804" s="1"/>
      <c r="I804" s="61"/>
      <c r="J804" s="1"/>
      <c r="K804" s="1"/>
    </row>
    <row r="805" spans="1:11" ht="15.75" customHeight="1">
      <c r="A805" s="2"/>
      <c r="B805" s="1"/>
      <c r="C805" s="1"/>
      <c r="D805" s="1"/>
      <c r="E805" s="1"/>
      <c r="F805" s="1"/>
      <c r="G805" s="1"/>
      <c r="H805" s="1"/>
      <c r="I805" s="61"/>
      <c r="J805" s="1"/>
      <c r="K805" s="1"/>
    </row>
    <row r="806" spans="1:11" ht="15.75" customHeight="1">
      <c r="A806" s="2"/>
      <c r="B806" s="1"/>
      <c r="C806" s="1"/>
      <c r="D806" s="1"/>
      <c r="E806" s="1"/>
      <c r="F806" s="1"/>
      <c r="G806" s="1"/>
      <c r="H806" s="1"/>
      <c r="I806" s="61"/>
      <c r="J806" s="1"/>
      <c r="K806" s="1"/>
    </row>
    <row r="807" spans="1:11" ht="15.75" customHeight="1">
      <c r="A807" s="2"/>
      <c r="B807" s="1"/>
      <c r="C807" s="1"/>
      <c r="D807" s="1"/>
      <c r="E807" s="1"/>
      <c r="F807" s="1"/>
      <c r="G807" s="1"/>
      <c r="H807" s="1"/>
      <c r="I807" s="61"/>
      <c r="J807" s="1"/>
      <c r="K807" s="1"/>
    </row>
    <row r="808" spans="1:11" ht="15.75" customHeight="1">
      <c r="A808" s="2"/>
      <c r="B808" s="1"/>
      <c r="C808" s="1"/>
      <c r="D808" s="1"/>
      <c r="E808" s="1"/>
      <c r="F808" s="1"/>
      <c r="G808" s="1"/>
      <c r="H808" s="1"/>
      <c r="I808" s="61"/>
      <c r="J808" s="1"/>
      <c r="K808" s="1"/>
    </row>
    <row r="809" spans="1:11" ht="15.75" customHeight="1">
      <c r="A809" s="2"/>
      <c r="B809" s="1"/>
      <c r="C809" s="1"/>
      <c r="D809" s="1"/>
      <c r="E809" s="1"/>
      <c r="F809" s="1"/>
      <c r="G809" s="1"/>
      <c r="H809" s="1"/>
      <c r="I809" s="61"/>
      <c r="J809" s="1"/>
      <c r="K809" s="1"/>
    </row>
    <row r="810" spans="1:11" ht="15.75" customHeight="1">
      <c r="A810" s="2"/>
      <c r="B810" s="1"/>
      <c r="C810" s="1"/>
      <c r="D810" s="1"/>
      <c r="E810" s="1"/>
      <c r="F810" s="1"/>
      <c r="G810" s="1"/>
      <c r="H810" s="1"/>
      <c r="I810" s="61"/>
      <c r="J810" s="1"/>
      <c r="K810" s="1"/>
    </row>
    <row r="811" spans="1:11" ht="15.75" customHeight="1">
      <c r="A811" s="2"/>
      <c r="B811" s="1"/>
      <c r="C811" s="1"/>
      <c r="D811" s="1"/>
      <c r="E811" s="1"/>
      <c r="F811" s="1"/>
      <c r="G811" s="1"/>
      <c r="H811" s="1"/>
      <c r="I811" s="61"/>
      <c r="J811" s="1"/>
      <c r="K811" s="1"/>
    </row>
    <row r="812" spans="1:11" ht="15.75" customHeight="1">
      <c r="A812" s="2"/>
      <c r="B812" s="1"/>
      <c r="C812" s="1"/>
      <c r="D812" s="1"/>
      <c r="E812" s="1"/>
      <c r="F812" s="1"/>
      <c r="G812" s="1"/>
      <c r="H812" s="1"/>
      <c r="I812" s="61"/>
      <c r="J812" s="1"/>
      <c r="K812" s="1"/>
    </row>
    <row r="813" spans="1:11" ht="15.75" customHeight="1">
      <c r="A813" s="2"/>
      <c r="B813" s="1"/>
      <c r="C813" s="1"/>
      <c r="D813" s="1"/>
      <c r="E813" s="1"/>
      <c r="F813" s="1"/>
      <c r="G813" s="1"/>
      <c r="H813" s="1"/>
      <c r="I813" s="61"/>
      <c r="J813" s="1"/>
      <c r="K813" s="1"/>
    </row>
    <row r="814" spans="1:11" ht="15.75" customHeight="1">
      <c r="A814" s="2"/>
      <c r="B814" s="1"/>
      <c r="C814" s="1"/>
      <c r="D814" s="1"/>
      <c r="E814" s="1"/>
      <c r="F814" s="1"/>
      <c r="G814" s="1"/>
      <c r="H814" s="1"/>
      <c r="I814" s="61"/>
      <c r="J814" s="1"/>
      <c r="K814" s="1"/>
    </row>
    <row r="815" spans="1:11" ht="15.75" customHeight="1">
      <c r="A815" s="2"/>
      <c r="B815" s="1"/>
      <c r="C815" s="1"/>
      <c r="D815" s="1"/>
      <c r="E815" s="1"/>
      <c r="F815" s="1"/>
      <c r="G815" s="1"/>
      <c r="H815" s="1"/>
      <c r="I815" s="61"/>
      <c r="J815" s="1"/>
      <c r="K815" s="1"/>
    </row>
    <row r="816" spans="1:11" ht="15.75" customHeight="1">
      <c r="A816" s="2"/>
      <c r="B816" s="1"/>
      <c r="C816" s="1"/>
      <c r="D816" s="1"/>
      <c r="E816" s="1"/>
      <c r="F816" s="1"/>
      <c r="G816" s="1"/>
      <c r="H816" s="1"/>
      <c r="I816" s="61"/>
      <c r="J816" s="1"/>
      <c r="K816" s="1"/>
    </row>
    <row r="817" spans="1:11" ht="15.75" customHeight="1">
      <c r="A817" s="2"/>
      <c r="B817" s="1"/>
      <c r="C817" s="1"/>
      <c r="D817" s="1"/>
      <c r="E817" s="1"/>
      <c r="F817" s="1"/>
      <c r="G817" s="1"/>
      <c r="H817" s="1"/>
      <c r="I817" s="61"/>
      <c r="J817" s="1"/>
      <c r="K817" s="1"/>
    </row>
    <row r="818" spans="1:11" ht="15.75" customHeight="1">
      <c r="A818" s="2"/>
      <c r="B818" s="1"/>
      <c r="C818" s="1"/>
      <c r="D818" s="1"/>
      <c r="E818" s="1"/>
      <c r="F818" s="1"/>
      <c r="G818" s="1"/>
      <c r="H818" s="1"/>
      <c r="I818" s="61"/>
      <c r="J818" s="1"/>
      <c r="K818" s="1"/>
    </row>
    <row r="819" spans="1:11" ht="15.75" customHeight="1">
      <c r="A819" s="2"/>
      <c r="B819" s="1"/>
      <c r="C819" s="1"/>
      <c r="D819" s="1"/>
      <c r="E819" s="1"/>
      <c r="F819" s="1"/>
      <c r="G819" s="1"/>
      <c r="H819" s="1"/>
      <c r="I819" s="61"/>
      <c r="J819" s="1"/>
      <c r="K819" s="1"/>
    </row>
    <row r="820" spans="1:11" ht="15.75" customHeight="1">
      <c r="A820" s="2"/>
      <c r="B820" s="1"/>
      <c r="C820" s="1"/>
      <c r="D820" s="1"/>
      <c r="E820" s="1"/>
      <c r="F820" s="1"/>
      <c r="G820" s="1"/>
      <c r="H820" s="1"/>
      <c r="I820" s="61"/>
      <c r="J820" s="1"/>
      <c r="K820" s="1"/>
    </row>
    <row r="821" spans="1:11" ht="15.75" customHeight="1">
      <c r="A821" s="2"/>
      <c r="B821" s="1"/>
      <c r="C821" s="1"/>
      <c r="D821" s="1"/>
      <c r="E821" s="1"/>
      <c r="F821" s="1"/>
      <c r="G821" s="1"/>
      <c r="H821" s="1"/>
      <c r="I821" s="61"/>
      <c r="J821" s="1"/>
      <c r="K821" s="1"/>
    </row>
    <row r="822" spans="1:11" ht="15.75" customHeight="1">
      <c r="A822" s="2"/>
      <c r="B822" s="1"/>
      <c r="C822" s="1"/>
      <c r="D822" s="1"/>
      <c r="E822" s="1"/>
      <c r="F822" s="1"/>
      <c r="G822" s="1"/>
      <c r="H822" s="1"/>
      <c r="I822" s="61"/>
      <c r="J822" s="1"/>
      <c r="K822" s="1"/>
    </row>
    <row r="823" spans="1:11" ht="15.75" customHeight="1">
      <c r="A823" s="2"/>
      <c r="B823" s="1"/>
      <c r="C823" s="1"/>
      <c r="D823" s="1"/>
      <c r="E823" s="1"/>
      <c r="F823" s="1"/>
      <c r="G823" s="1"/>
      <c r="H823" s="1"/>
      <c r="I823" s="61"/>
      <c r="J823" s="1"/>
      <c r="K823" s="1"/>
    </row>
    <row r="824" spans="1:11" ht="15.75" customHeight="1">
      <c r="A824" s="2"/>
      <c r="B824" s="1"/>
      <c r="C824" s="1"/>
      <c r="D824" s="1"/>
      <c r="E824" s="1"/>
      <c r="F824" s="1"/>
      <c r="G824" s="1"/>
      <c r="H824" s="1"/>
      <c r="I824" s="61"/>
      <c r="J824" s="1"/>
      <c r="K824" s="1"/>
    </row>
    <row r="825" spans="1:11" ht="15.75" customHeight="1">
      <c r="A825" s="2"/>
      <c r="B825" s="1"/>
      <c r="C825" s="1"/>
      <c r="D825" s="1"/>
      <c r="E825" s="1"/>
      <c r="F825" s="1"/>
      <c r="G825" s="1"/>
      <c r="H825" s="1"/>
      <c r="I825" s="61"/>
      <c r="J825" s="1"/>
      <c r="K825" s="1"/>
    </row>
    <row r="826" spans="1:11" ht="15.75" customHeight="1">
      <c r="A826" s="2"/>
      <c r="B826" s="1"/>
      <c r="C826" s="1"/>
      <c r="D826" s="1"/>
      <c r="E826" s="1"/>
      <c r="F826" s="1"/>
      <c r="G826" s="1"/>
      <c r="H826" s="1"/>
      <c r="I826" s="61"/>
      <c r="J826" s="1"/>
      <c r="K826" s="1"/>
    </row>
    <row r="827" spans="1:11" ht="15.75" customHeight="1">
      <c r="A827" s="2"/>
      <c r="B827" s="1"/>
      <c r="C827" s="1"/>
      <c r="D827" s="1"/>
      <c r="E827" s="1"/>
      <c r="F827" s="1"/>
      <c r="G827" s="1"/>
      <c r="H827" s="1"/>
      <c r="I827" s="61"/>
      <c r="J827" s="1"/>
      <c r="K827" s="1"/>
    </row>
    <row r="828" spans="1:11" ht="15.75" customHeight="1">
      <c r="A828" s="2"/>
      <c r="B828" s="1"/>
      <c r="C828" s="1"/>
      <c r="D828" s="1"/>
      <c r="E828" s="1"/>
      <c r="F828" s="1"/>
      <c r="G828" s="1"/>
      <c r="H828" s="1"/>
      <c r="I828" s="61"/>
      <c r="J828" s="1"/>
      <c r="K828" s="1"/>
    </row>
    <row r="829" spans="1:11" ht="15.75" customHeight="1">
      <c r="A829" s="2"/>
      <c r="B829" s="1"/>
      <c r="C829" s="1"/>
      <c r="D829" s="1"/>
      <c r="E829" s="1"/>
      <c r="F829" s="1"/>
      <c r="G829" s="1"/>
      <c r="H829" s="1"/>
      <c r="I829" s="61"/>
      <c r="J829" s="1"/>
      <c r="K829" s="1"/>
    </row>
    <row r="830" spans="1:11" ht="15.75" customHeight="1">
      <c r="A830" s="2"/>
      <c r="B830" s="1"/>
      <c r="C830" s="1"/>
      <c r="D830" s="1"/>
      <c r="E830" s="1"/>
      <c r="F830" s="1"/>
      <c r="G830" s="1"/>
      <c r="H830" s="1"/>
      <c r="I830" s="61"/>
      <c r="J830" s="1"/>
      <c r="K830" s="1"/>
    </row>
    <row r="831" spans="1:11" ht="15.75" customHeight="1">
      <c r="A831" s="2"/>
      <c r="B831" s="1"/>
      <c r="C831" s="1"/>
      <c r="D831" s="1"/>
      <c r="E831" s="1"/>
      <c r="F831" s="1"/>
      <c r="G831" s="1"/>
      <c r="H831" s="1"/>
      <c r="I831" s="61"/>
      <c r="J831" s="1"/>
      <c r="K831" s="1"/>
    </row>
    <row r="832" spans="1:11" ht="15.75" customHeight="1">
      <c r="A832" s="2"/>
      <c r="B832" s="1"/>
      <c r="C832" s="1"/>
      <c r="D832" s="1"/>
      <c r="E832" s="1"/>
      <c r="F832" s="1"/>
      <c r="G832" s="1"/>
      <c r="H832" s="1"/>
      <c r="I832" s="61"/>
      <c r="J832" s="1"/>
      <c r="K832" s="1"/>
    </row>
    <row r="833" spans="1:11" ht="15.75" customHeight="1">
      <c r="A833" s="2"/>
      <c r="B833" s="1"/>
      <c r="C833" s="1"/>
      <c r="D833" s="1"/>
      <c r="E833" s="1"/>
      <c r="F833" s="1"/>
      <c r="G833" s="1"/>
      <c r="H833" s="1"/>
      <c r="I833" s="61"/>
      <c r="J833" s="1"/>
      <c r="K833" s="1"/>
    </row>
    <row r="834" spans="1:11" ht="15.75" customHeight="1">
      <c r="A834" s="2"/>
      <c r="B834" s="1"/>
      <c r="C834" s="1"/>
      <c r="D834" s="1"/>
      <c r="E834" s="1"/>
      <c r="F834" s="1"/>
      <c r="G834" s="1"/>
      <c r="H834" s="1"/>
      <c r="I834" s="61"/>
      <c r="J834" s="1"/>
      <c r="K834" s="1"/>
    </row>
    <row r="835" spans="1:11" ht="15.75" customHeight="1">
      <c r="A835" s="2"/>
      <c r="B835" s="1"/>
      <c r="C835" s="1"/>
      <c r="D835" s="1"/>
      <c r="E835" s="1"/>
      <c r="F835" s="1"/>
      <c r="G835" s="1"/>
      <c r="H835" s="1"/>
      <c r="I835" s="61"/>
      <c r="J835" s="1"/>
      <c r="K835" s="1"/>
    </row>
    <row r="836" spans="1:11" ht="15.75" customHeight="1">
      <c r="A836" s="2"/>
      <c r="B836" s="1"/>
      <c r="C836" s="1"/>
      <c r="D836" s="1"/>
      <c r="E836" s="1"/>
      <c r="F836" s="1"/>
      <c r="G836" s="1"/>
      <c r="H836" s="1"/>
      <c r="I836" s="61"/>
      <c r="J836" s="1"/>
      <c r="K836" s="1"/>
    </row>
    <row r="837" spans="1:11" ht="15.75" customHeight="1">
      <c r="A837" s="2"/>
      <c r="B837" s="1"/>
      <c r="C837" s="1"/>
      <c r="D837" s="1"/>
      <c r="E837" s="1"/>
      <c r="F837" s="1"/>
      <c r="G837" s="1"/>
      <c r="H837" s="1"/>
      <c r="I837" s="61"/>
      <c r="J837" s="1"/>
      <c r="K837" s="1"/>
    </row>
    <row r="838" spans="1:11" ht="15.75" customHeight="1">
      <c r="A838" s="2"/>
      <c r="B838" s="1"/>
      <c r="C838" s="1"/>
      <c r="D838" s="1"/>
      <c r="E838" s="1"/>
      <c r="F838" s="1"/>
      <c r="G838" s="1"/>
      <c r="H838" s="1"/>
      <c r="I838" s="61"/>
      <c r="J838" s="1"/>
      <c r="K838" s="1"/>
    </row>
    <row r="839" spans="1:11" ht="15.75" customHeight="1">
      <c r="A839" s="2"/>
      <c r="B839" s="1"/>
      <c r="C839" s="1"/>
      <c r="D839" s="1"/>
      <c r="E839" s="1"/>
      <c r="F839" s="1"/>
      <c r="G839" s="1"/>
      <c r="H839" s="1"/>
      <c r="I839" s="61"/>
      <c r="J839" s="1"/>
      <c r="K839" s="1"/>
    </row>
    <row r="840" spans="1:11" ht="15.75" customHeight="1">
      <c r="A840" s="2"/>
      <c r="B840" s="1"/>
      <c r="C840" s="1"/>
      <c r="D840" s="1"/>
      <c r="E840" s="1"/>
      <c r="F840" s="1"/>
      <c r="G840" s="1"/>
      <c r="H840" s="1"/>
      <c r="I840" s="61"/>
      <c r="J840" s="1"/>
      <c r="K840" s="1"/>
    </row>
    <row r="841" spans="1:11" ht="15.75" customHeight="1">
      <c r="A841" s="2"/>
      <c r="B841" s="1"/>
      <c r="C841" s="1"/>
      <c r="D841" s="1"/>
      <c r="E841" s="1"/>
      <c r="F841" s="1"/>
      <c r="G841" s="1"/>
      <c r="H841" s="1"/>
      <c r="I841" s="61"/>
      <c r="J841" s="1"/>
      <c r="K841" s="1"/>
    </row>
    <row r="842" spans="1:11" ht="15.75" customHeight="1">
      <c r="A842" s="2"/>
      <c r="B842" s="1"/>
      <c r="C842" s="1"/>
      <c r="D842" s="1"/>
      <c r="E842" s="1"/>
      <c r="F842" s="1"/>
      <c r="G842" s="1"/>
      <c r="H842" s="1"/>
      <c r="I842" s="61"/>
      <c r="J842" s="1"/>
      <c r="K842" s="1"/>
    </row>
    <row r="843" spans="1:11" ht="15.75" customHeight="1">
      <c r="A843" s="2"/>
      <c r="B843" s="1"/>
      <c r="C843" s="1"/>
      <c r="D843" s="1"/>
      <c r="E843" s="1"/>
      <c r="F843" s="1"/>
      <c r="G843" s="1"/>
      <c r="H843" s="1"/>
      <c r="I843" s="61"/>
      <c r="J843" s="1"/>
      <c r="K843" s="1"/>
    </row>
    <row r="844" spans="1:11" ht="15.75" customHeight="1">
      <c r="A844" s="2"/>
      <c r="B844" s="1"/>
      <c r="C844" s="1"/>
      <c r="D844" s="1"/>
      <c r="E844" s="1"/>
      <c r="F844" s="1"/>
      <c r="G844" s="1"/>
      <c r="H844" s="1"/>
      <c r="I844" s="61"/>
      <c r="J844" s="1"/>
      <c r="K844" s="1"/>
    </row>
    <row r="845" spans="1:11" ht="15.75" customHeight="1">
      <c r="A845" s="2"/>
      <c r="B845" s="1"/>
      <c r="C845" s="1"/>
      <c r="D845" s="1"/>
      <c r="E845" s="1"/>
      <c r="F845" s="1"/>
      <c r="G845" s="1"/>
      <c r="H845" s="1"/>
      <c r="I845" s="61"/>
      <c r="J845" s="1"/>
      <c r="K845" s="1"/>
    </row>
    <row r="846" spans="1:11" ht="15.75" customHeight="1">
      <c r="A846" s="2"/>
      <c r="B846" s="1"/>
      <c r="C846" s="1"/>
      <c r="D846" s="1"/>
      <c r="E846" s="1"/>
      <c r="F846" s="1"/>
      <c r="G846" s="1"/>
      <c r="H846" s="1"/>
      <c r="I846" s="61"/>
      <c r="J846" s="1"/>
      <c r="K846" s="1"/>
    </row>
    <row r="847" spans="1:11" ht="15.75" customHeight="1">
      <c r="A847" s="2"/>
      <c r="B847" s="1"/>
      <c r="C847" s="1"/>
      <c r="D847" s="1"/>
      <c r="E847" s="1"/>
      <c r="F847" s="1"/>
      <c r="G847" s="1"/>
      <c r="H847" s="1"/>
      <c r="I847" s="61"/>
      <c r="J847" s="1"/>
      <c r="K847" s="1"/>
    </row>
    <row r="848" spans="1:11" ht="15.75" customHeight="1">
      <c r="A848" s="2"/>
      <c r="B848" s="1"/>
      <c r="C848" s="1"/>
      <c r="D848" s="1"/>
      <c r="E848" s="1"/>
      <c r="F848" s="1"/>
      <c r="G848" s="1"/>
      <c r="H848" s="1"/>
      <c r="I848" s="61"/>
      <c r="J848" s="1"/>
      <c r="K848" s="1"/>
    </row>
    <row r="849" spans="1:11" ht="15.75" customHeight="1">
      <c r="A849" s="2"/>
      <c r="B849" s="1"/>
      <c r="C849" s="1"/>
      <c r="D849" s="1"/>
      <c r="E849" s="1"/>
      <c r="F849" s="1"/>
      <c r="G849" s="1"/>
      <c r="H849" s="1"/>
      <c r="I849" s="61"/>
      <c r="J849" s="1"/>
      <c r="K849" s="1"/>
    </row>
    <row r="850" spans="1:11" ht="15.75" customHeight="1">
      <c r="A850" s="2"/>
      <c r="B850" s="1"/>
      <c r="C850" s="1"/>
      <c r="D850" s="1"/>
      <c r="E850" s="1"/>
      <c r="F850" s="1"/>
      <c r="G850" s="1"/>
      <c r="H850" s="1"/>
      <c r="I850" s="61"/>
      <c r="J850" s="1"/>
      <c r="K850" s="1"/>
    </row>
    <row r="851" spans="1:11" ht="15.75" customHeight="1">
      <c r="A851" s="2"/>
      <c r="B851" s="1"/>
      <c r="C851" s="1"/>
      <c r="D851" s="1"/>
      <c r="E851" s="1"/>
      <c r="F851" s="1"/>
      <c r="G851" s="1"/>
      <c r="H851" s="1"/>
      <c r="I851" s="61"/>
      <c r="J851" s="1"/>
      <c r="K851" s="1"/>
    </row>
    <row r="852" spans="1:11" ht="15.75" customHeight="1">
      <c r="A852" s="2"/>
      <c r="B852" s="1"/>
      <c r="C852" s="1"/>
      <c r="D852" s="1"/>
      <c r="E852" s="1"/>
      <c r="F852" s="1"/>
      <c r="G852" s="1"/>
      <c r="H852" s="1"/>
      <c r="I852" s="61"/>
      <c r="J852" s="1"/>
      <c r="K852" s="1"/>
    </row>
    <row r="853" spans="1:11" ht="15.75" customHeight="1">
      <c r="A853" s="2"/>
      <c r="B853" s="1"/>
      <c r="C853" s="1"/>
      <c r="D853" s="1"/>
      <c r="E853" s="1"/>
      <c r="F853" s="1"/>
      <c r="G853" s="1"/>
      <c r="H853" s="1"/>
      <c r="I853" s="61"/>
      <c r="J853" s="1"/>
      <c r="K853" s="1"/>
    </row>
    <row r="854" spans="1:11" ht="15.75" customHeight="1">
      <c r="A854" s="2"/>
      <c r="B854" s="1"/>
      <c r="C854" s="1"/>
      <c r="D854" s="1"/>
      <c r="E854" s="1"/>
      <c r="F854" s="1"/>
      <c r="G854" s="1"/>
      <c r="H854" s="1"/>
      <c r="I854" s="61"/>
      <c r="J854" s="1"/>
      <c r="K854" s="1"/>
    </row>
    <row r="855" spans="1:11" ht="15.75" customHeight="1">
      <c r="A855" s="2"/>
      <c r="B855" s="1"/>
      <c r="C855" s="1"/>
      <c r="D855" s="1"/>
      <c r="E855" s="1"/>
      <c r="F855" s="1"/>
      <c r="G855" s="1"/>
      <c r="H855" s="1"/>
      <c r="I855" s="61"/>
      <c r="J855" s="1"/>
      <c r="K855" s="1"/>
    </row>
    <row r="856" spans="1:11" ht="15.75" customHeight="1">
      <c r="A856" s="2"/>
      <c r="B856" s="1"/>
      <c r="C856" s="1"/>
      <c r="D856" s="1"/>
      <c r="E856" s="1"/>
      <c r="F856" s="1"/>
      <c r="G856" s="1"/>
      <c r="H856" s="1"/>
      <c r="I856" s="61"/>
      <c r="J856" s="1"/>
      <c r="K856" s="1"/>
    </row>
    <row r="857" spans="1:11" ht="15.75" customHeight="1">
      <c r="A857" s="2"/>
      <c r="B857" s="1"/>
      <c r="C857" s="1"/>
      <c r="D857" s="1"/>
      <c r="E857" s="1"/>
      <c r="F857" s="1"/>
      <c r="G857" s="1"/>
      <c r="H857" s="1"/>
      <c r="I857" s="61"/>
      <c r="J857" s="1"/>
      <c r="K857" s="1"/>
    </row>
    <row r="858" spans="1:11" ht="15.75" customHeight="1">
      <c r="A858" s="2"/>
      <c r="B858" s="1"/>
      <c r="C858" s="1"/>
      <c r="D858" s="1"/>
      <c r="E858" s="1"/>
      <c r="F858" s="1"/>
      <c r="G858" s="1"/>
      <c r="H858" s="1"/>
      <c r="I858" s="61"/>
      <c r="J858" s="1"/>
      <c r="K858" s="1"/>
    </row>
    <row r="859" spans="1:11" ht="15.75" customHeight="1">
      <c r="A859" s="2"/>
      <c r="B859" s="1"/>
      <c r="C859" s="1"/>
      <c r="D859" s="1"/>
      <c r="E859" s="1"/>
      <c r="F859" s="1"/>
      <c r="G859" s="1"/>
      <c r="H859" s="1"/>
      <c r="I859" s="61"/>
      <c r="J859" s="1"/>
      <c r="K859" s="1"/>
    </row>
    <row r="860" spans="1:11" ht="15.75" customHeight="1">
      <c r="A860" s="2"/>
      <c r="B860" s="1"/>
      <c r="C860" s="1"/>
      <c r="D860" s="1"/>
      <c r="E860" s="1"/>
      <c r="F860" s="1"/>
      <c r="G860" s="1"/>
      <c r="H860" s="1"/>
      <c r="I860" s="61"/>
      <c r="J860" s="1"/>
      <c r="K860" s="1"/>
    </row>
    <row r="861" spans="1:11" ht="15.75" customHeight="1">
      <c r="A861" s="2"/>
      <c r="B861" s="1"/>
      <c r="C861" s="1"/>
      <c r="D861" s="1"/>
      <c r="E861" s="1"/>
      <c r="F861" s="1"/>
      <c r="G861" s="1"/>
      <c r="H861" s="1"/>
      <c r="I861" s="61"/>
      <c r="J861" s="1"/>
      <c r="K861" s="1"/>
    </row>
    <row r="862" spans="1:11" ht="15.75" customHeight="1">
      <c r="A862" s="2"/>
      <c r="B862" s="1"/>
      <c r="C862" s="1"/>
      <c r="D862" s="1"/>
      <c r="E862" s="1"/>
      <c r="F862" s="1"/>
      <c r="G862" s="1"/>
      <c r="H862" s="1"/>
      <c r="I862" s="61"/>
      <c r="J862" s="1"/>
      <c r="K862" s="1"/>
    </row>
    <row r="863" spans="1:11" ht="15.75" customHeight="1">
      <c r="A863" s="2"/>
      <c r="B863" s="1"/>
      <c r="C863" s="1"/>
      <c r="D863" s="1"/>
      <c r="E863" s="1"/>
      <c r="F863" s="1"/>
      <c r="G863" s="1"/>
      <c r="H863" s="1"/>
      <c r="I863" s="61"/>
      <c r="J863" s="1"/>
      <c r="K863" s="1"/>
    </row>
    <row r="864" spans="1:11" ht="15.75" customHeight="1">
      <c r="A864" s="2"/>
      <c r="B864" s="1"/>
      <c r="C864" s="1"/>
      <c r="D864" s="1"/>
      <c r="E864" s="1"/>
      <c r="F864" s="1"/>
      <c r="G864" s="1"/>
      <c r="H864" s="1"/>
      <c r="I864" s="61"/>
      <c r="J864" s="1"/>
      <c r="K864" s="1"/>
    </row>
    <row r="865" spans="1:11" ht="15.75" customHeight="1">
      <c r="A865" s="2"/>
      <c r="B865" s="1"/>
      <c r="C865" s="1"/>
      <c r="D865" s="1"/>
      <c r="E865" s="1"/>
      <c r="F865" s="1"/>
      <c r="G865" s="1"/>
      <c r="H865" s="1"/>
      <c r="I865" s="61"/>
      <c r="J865" s="1"/>
      <c r="K865" s="1"/>
    </row>
    <row r="866" spans="1:11" ht="15.75" customHeight="1">
      <c r="A866" s="2"/>
      <c r="B866" s="1"/>
      <c r="C866" s="1"/>
      <c r="D866" s="1"/>
      <c r="E866" s="1"/>
      <c r="F866" s="1"/>
      <c r="G866" s="1"/>
      <c r="H866" s="1"/>
      <c r="I866" s="61"/>
      <c r="J866" s="1"/>
      <c r="K866" s="1"/>
    </row>
    <row r="867" spans="1:11" ht="15.75" customHeight="1">
      <c r="A867" s="2"/>
      <c r="B867" s="1"/>
      <c r="C867" s="1"/>
      <c r="D867" s="1"/>
      <c r="E867" s="1"/>
      <c r="F867" s="1"/>
      <c r="G867" s="1"/>
      <c r="H867" s="1"/>
      <c r="I867" s="61"/>
      <c r="J867" s="1"/>
      <c r="K867" s="1"/>
    </row>
    <row r="868" spans="1:11" ht="15.75" customHeight="1">
      <c r="A868" s="2"/>
      <c r="B868" s="1"/>
      <c r="C868" s="1"/>
      <c r="D868" s="1"/>
      <c r="E868" s="1"/>
      <c r="F868" s="1"/>
      <c r="G868" s="1"/>
      <c r="H868" s="1"/>
      <c r="I868" s="61"/>
      <c r="J868" s="1"/>
      <c r="K868" s="1"/>
    </row>
    <row r="869" spans="1:11" ht="15.75" customHeight="1">
      <c r="A869" s="2"/>
      <c r="B869" s="1"/>
      <c r="C869" s="1"/>
      <c r="D869" s="1"/>
      <c r="E869" s="1"/>
      <c r="F869" s="1"/>
      <c r="G869" s="1"/>
      <c r="H869" s="1"/>
      <c r="I869" s="61"/>
      <c r="J869" s="1"/>
      <c r="K869" s="1"/>
    </row>
    <row r="870" spans="1:11" ht="15.75" customHeight="1">
      <c r="A870" s="2"/>
      <c r="B870" s="1"/>
      <c r="C870" s="1"/>
      <c r="D870" s="1"/>
      <c r="E870" s="1"/>
      <c r="F870" s="1"/>
      <c r="G870" s="1"/>
      <c r="H870" s="1"/>
      <c r="I870" s="61"/>
      <c r="J870" s="1"/>
      <c r="K870" s="1"/>
    </row>
    <row r="871" spans="1:11" ht="15.75" customHeight="1">
      <c r="A871" s="2"/>
      <c r="B871" s="1"/>
      <c r="C871" s="1"/>
      <c r="D871" s="1"/>
      <c r="E871" s="1"/>
      <c r="F871" s="1"/>
      <c r="G871" s="1"/>
      <c r="H871" s="1"/>
      <c r="I871" s="61"/>
      <c r="J871" s="1"/>
      <c r="K871" s="1"/>
    </row>
    <row r="872" spans="1:11" ht="15.75" customHeight="1">
      <c r="A872" s="2"/>
      <c r="B872" s="1"/>
      <c r="C872" s="1"/>
      <c r="D872" s="1"/>
      <c r="E872" s="1"/>
      <c r="F872" s="1"/>
      <c r="G872" s="1"/>
      <c r="H872" s="1"/>
      <c r="I872" s="61"/>
      <c r="J872" s="1"/>
      <c r="K872" s="1"/>
    </row>
    <row r="873" spans="1:11" ht="15.75" customHeight="1">
      <c r="A873" s="2"/>
      <c r="B873" s="1"/>
      <c r="C873" s="1"/>
      <c r="D873" s="1"/>
      <c r="E873" s="1"/>
      <c r="F873" s="1"/>
      <c r="G873" s="1"/>
      <c r="H873" s="1"/>
      <c r="I873" s="61"/>
      <c r="J873" s="1"/>
      <c r="K873" s="1"/>
    </row>
    <row r="874" spans="1:11" ht="15.75" customHeight="1">
      <c r="A874" s="2"/>
      <c r="B874" s="1"/>
      <c r="C874" s="1"/>
      <c r="D874" s="1"/>
      <c r="E874" s="1"/>
      <c r="F874" s="1"/>
      <c r="G874" s="1"/>
      <c r="H874" s="1"/>
      <c r="I874" s="61"/>
      <c r="J874" s="1"/>
      <c r="K874" s="1"/>
    </row>
    <row r="875" spans="1:11" ht="15.75" customHeight="1">
      <c r="A875" s="2"/>
      <c r="B875" s="1"/>
      <c r="C875" s="1"/>
      <c r="D875" s="1"/>
      <c r="E875" s="1"/>
      <c r="F875" s="1"/>
      <c r="G875" s="1"/>
      <c r="H875" s="1"/>
      <c r="I875" s="61"/>
      <c r="J875" s="1"/>
      <c r="K875" s="1"/>
    </row>
    <row r="876" spans="1:11" ht="15.75" customHeight="1">
      <c r="A876" s="2"/>
      <c r="B876" s="1"/>
      <c r="C876" s="1"/>
      <c r="D876" s="1"/>
      <c r="E876" s="1"/>
      <c r="F876" s="1"/>
      <c r="G876" s="1"/>
      <c r="H876" s="1"/>
      <c r="I876" s="61"/>
      <c r="J876" s="1"/>
      <c r="K876" s="1"/>
    </row>
    <row r="877" spans="1:11" ht="15.75" customHeight="1">
      <c r="A877" s="2"/>
      <c r="B877" s="1"/>
      <c r="C877" s="1"/>
      <c r="D877" s="1"/>
      <c r="E877" s="1"/>
      <c r="F877" s="1"/>
      <c r="G877" s="1"/>
      <c r="H877" s="1"/>
      <c r="I877" s="61"/>
      <c r="J877" s="1"/>
      <c r="K877" s="1"/>
    </row>
    <row r="878" spans="1:11" ht="15.75" customHeight="1">
      <c r="A878" s="2"/>
      <c r="B878" s="1"/>
      <c r="C878" s="1"/>
      <c r="D878" s="1"/>
      <c r="E878" s="1"/>
      <c r="F878" s="1"/>
      <c r="G878" s="1"/>
      <c r="H878" s="1"/>
      <c r="I878" s="61"/>
      <c r="J878" s="1"/>
      <c r="K878" s="1"/>
    </row>
    <row r="879" spans="1:11" ht="15.75" customHeight="1">
      <c r="A879" s="2"/>
      <c r="B879" s="1"/>
      <c r="C879" s="1"/>
      <c r="D879" s="1"/>
      <c r="E879" s="1"/>
      <c r="F879" s="1"/>
      <c r="G879" s="1"/>
      <c r="H879" s="1"/>
      <c r="I879" s="61"/>
      <c r="J879" s="1"/>
      <c r="K879" s="1"/>
    </row>
    <row r="880" spans="1:11" ht="15.75" customHeight="1">
      <c r="A880" s="2"/>
      <c r="B880" s="1"/>
      <c r="C880" s="1"/>
      <c r="D880" s="1"/>
      <c r="E880" s="1"/>
      <c r="F880" s="1"/>
      <c r="G880" s="1"/>
      <c r="H880" s="1"/>
      <c r="I880" s="61"/>
      <c r="J880" s="1"/>
      <c r="K880" s="1"/>
    </row>
    <row r="881" spans="1:11" ht="15.75" customHeight="1">
      <c r="A881" s="2"/>
      <c r="B881" s="1"/>
      <c r="C881" s="1"/>
      <c r="D881" s="1"/>
      <c r="E881" s="1"/>
      <c r="F881" s="1"/>
      <c r="G881" s="1"/>
      <c r="H881" s="1"/>
      <c r="I881" s="61"/>
      <c r="J881" s="1"/>
      <c r="K881" s="1"/>
    </row>
    <row r="882" spans="1:11" ht="15.75" customHeight="1">
      <c r="A882" s="2"/>
      <c r="B882" s="1"/>
      <c r="C882" s="1"/>
      <c r="D882" s="1"/>
      <c r="E882" s="1"/>
      <c r="F882" s="1"/>
      <c r="G882" s="1"/>
      <c r="H882" s="1"/>
      <c r="I882" s="61"/>
      <c r="J882" s="1"/>
      <c r="K882" s="1"/>
    </row>
    <row r="883" spans="1:11" ht="15.75" customHeight="1">
      <c r="A883" s="2"/>
      <c r="B883" s="1"/>
      <c r="C883" s="1"/>
      <c r="D883" s="1"/>
      <c r="E883" s="1"/>
      <c r="F883" s="1"/>
      <c r="G883" s="1"/>
      <c r="H883" s="1"/>
      <c r="I883" s="61"/>
      <c r="J883" s="1"/>
      <c r="K883" s="1"/>
    </row>
    <row r="884" spans="1:11" ht="15.75" customHeight="1">
      <c r="A884" s="2"/>
      <c r="B884" s="1"/>
      <c r="C884" s="1"/>
      <c r="D884" s="1"/>
      <c r="E884" s="1"/>
      <c r="F884" s="1"/>
      <c r="G884" s="1"/>
      <c r="H884" s="1"/>
      <c r="I884" s="61"/>
      <c r="J884" s="1"/>
      <c r="K884" s="1"/>
    </row>
    <row r="885" spans="1:11" ht="15.75" customHeight="1">
      <c r="A885" s="2"/>
      <c r="B885" s="1"/>
      <c r="C885" s="1"/>
      <c r="D885" s="1"/>
      <c r="E885" s="1"/>
      <c r="F885" s="1"/>
      <c r="G885" s="1"/>
      <c r="H885" s="1"/>
      <c r="I885" s="61"/>
      <c r="J885" s="1"/>
      <c r="K885" s="1"/>
    </row>
    <row r="886" spans="1:11" ht="15.75" customHeight="1">
      <c r="A886" s="2"/>
      <c r="B886" s="1"/>
      <c r="C886" s="1"/>
      <c r="D886" s="1"/>
      <c r="E886" s="1"/>
      <c r="F886" s="1"/>
      <c r="G886" s="1"/>
      <c r="H886" s="1"/>
      <c r="I886" s="61"/>
      <c r="J886" s="1"/>
      <c r="K886" s="1"/>
    </row>
    <row r="887" spans="1:11" ht="15.75" customHeight="1">
      <c r="A887" s="2"/>
      <c r="B887" s="1"/>
      <c r="C887" s="1"/>
      <c r="D887" s="1"/>
      <c r="E887" s="1"/>
      <c r="F887" s="1"/>
      <c r="G887" s="1"/>
      <c r="H887" s="1"/>
      <c r="I887" s="61"/>
      <c r="J887" s="1"/>
      <c r="K887" s="1"/>
    </row>
    <row r="888" spans="1:11" ht="15.75" customHeight="1">
      <c r="A888" s="2"/>
      <c r="B888" s="1"/>
      <c r="C888" s="1"/>
      <c r="D888" s="1"/>
      <c r="E888" s="1"/>
      <c r="F888" s="1"/>
      <c r="G888" s="1"/>
      <c r="H888" s="1"/>
      <c r="I888" s="61"/>
      <c r="J888" s="1"/>
      <c r="K888" s="1"/>
    </row>
    <row r="889" spans="1:11" ht="15.75" customHeight="1">
      <c r="A889" s="2"/>
      <c r="B889" s="1"/>
      <c r="C889" s="1"/>
      <c r="D889" s="1"/>
      <c r="E889" s="1"/>
      <c r="F889" s="1"/>
      <c r="G889" s="1"/>
      <c r="H889" s="1"/>
      <c r="I889" s="61"/>
      <c r="J889" s="1"/>
      <c r="K889" s="1"/>
    </row>
    <row r="890" spans="1:11" ht="15.75" customHeight="1">
      <c r="A890" s="2"/>
      <c r="B890" s="1"/>
      <c r="C890" s="1"/>
      <c r="D890" s="1"/>
      <c r="E890" s="1"/>
      <c r="F890" s="1"/>
      <c r="G890" s="1"/>
      <c r="H890" s="1"/>
      <c r="I890" s="61"/>
      <c r="J890" s="1"/>
      <c r="K890" s="1"/>
    </row>
    <row r="891" spans="1:11" ht="15.75" customHeight="1">
      <c r="A891" s="2"/>
      <c r="B891" s="1"/>
      <c r="C891" s="1"/>
      <c r="D891" s="1"/>
      <c r="E891" s="1"/>
      <c r="F891" s="1"/>
      <c r="G891" s="1"/>
      <c r="H891" s="1"/>
      <c r="I891" s="61"/>
      <c r="J891" s="1"/>
      <c r="K891" s="1"/>
    </row>
    <row r="892" spans="1:11" ht="15.75" customHeight="1">
      <c r="A892" s="2"/>
      <c r="B892" s="1"/>
      <c r="C892" s="1"/>
      <c r="D892" s="1"/>
      <c r="E892" s="1"/>
      <c r="F892" s="1"/>
      <c r="G892" s="1"/>
      <c r="H892" s="1"/>
      <c r="I892" s="61"/>
      <c r="J892" s="1"/>
      <c r="K892" s="1"/>
    </row>
    <row r="893" spans="1:11" ht="15.75" customHeight="1">
      <c r="A893" s="2"/>
      <c r="B893" s="1"/>
      <c r="C893" s="1"/>
      <c r="D893" s="1"/>
      <c r="E893" s="1"/>
      <c r="F893" s="1"/>
      <c r="G893" s="1"/>
      <c r="H893" s="1"/>
      <c r="I893" s="61"/>
      <c r="J893" s="1"/>
      <c r="K893" s="1"/>
    </row>
    <row r="894" spans="1:11" ht="15.75" customHeight="1">
      <c r="A894" s="2"/>
      <c r="B894" s="1"/>
      <c r="C894" s="1"/>
      <c r="D894" s="1"/>
      <c r="E894" s="1"/>
      <c r="F894" s="1"/>
      <c r="G894" s="1"/>
      <c r="H894" s="1"/>
      <c r="I894" s="61"/>
      <c r="J894" s="1"/>
      <c r="K894" s="1"/>
    </row>
    <row r="895" spans="1:11" ht="15.75" customHeight="1">
      <c r="A895" s="2"/>
      <c r="B895" s="1"/>
      <c r="C895" s="1"/>
      <c r="D895" s="1"/>
      <c r="E895" s="1"/>
      <c r="F895" s="1"/>
      <c r="G895" s="1"/>
      <c r="H895" s="1"/>
      <c r="I895" s="61"/>
      <c r="J895" s="1"/>
      <c r="K895" s="1"/>
    </row>
    <row r="896" spans="1:11" ht="15.75" customHeight="1">
      <c r="A896" s="2"/>
      <c r="B896" s="1"/>
      <c r="C896" s="1"/>
      <c r="D896" s="1"/>
      <c r="E896" s="1"/>
      <c r="F896" s="1"/>
      <c r="G896" s="1"/>
      <c r="H896" s="1"/>
      <c r="I896" s="61"/>
      <c r="J896" s="1"/>
      <c r="K896" s="1"/>
    </row>
    <row r="897" spans="1:11" ht="15.75" customHeight="1">
      <c r="A897" s="2"/>
      <c r="B897" s="1"/>
      <c r="C897" s="1"/>
      <c r="D897" s="1"/>
      <c r="E897" s="1"/>
      <c r="F897" s="1"/>
      <c r="G897" s="1"/>
      <c r="H897" s="1"/>
      <c r="I897" s="61"/>
      <c r="J897" s="1"/>
      <c r="K897" s="1"/>
    </row>
    <row r="898" spans="1:11" ht="15.75" customHeight="1">
      <c r="A898" s="2"/>
      <c r="B898" s="1"/>
      <c r="C898" s="1"/>
      <c r="D898" s="1"/>
      <c r="E898" s="1"/>
      <c r="F898" s="1"/>
      <c r="G898" s="1"/>
      <c r="H898" s="1"/>
      <c r="I898" s="61"/>
      <c r="J898" s="1"/>
      <c r="K898" s="1"/>
    </row>
    <row r="899" spans="1:11" ht="15.75" customHeight="1">
      <c r="A899" s="2"/>
      <c r="B899" s="1"/>
      <c r="C899" s="1"/>
      <c r="D899" s="1"/>
      <c r="E899" s="1"/>
      <c r="F899" s="1"/>
      <c r="G899" s="1"/>
      <c r="H899" s="1"/>
      <c r="I899" s="61"/>
      <c r="J899" s="1"/>
      <c r="K899" s="1"/>
    </row>
    <row r="900" spans="1:11" ht="15.75" customHeight="1">
      <c r="A900" s="2"/>
      <c r="B900" s="1"/>
      <c r="C900" s="1"/>
      <c r="D900" s="1"/>
      <c r="E900" s="1"/>
      <c r="F900" s="1"/>
      <c r="G900" s="1"/>
      <c r="H900" s="1"/>
      <c r="I900" s="61"/>
      <c r="J900" s="1"/>
      <c r="K900" s="1"/>
    </row>
    <row r="901" spans="1:11" ht="15.75" customHeight="1">
      <c r="A901" s="2"/>
      <c r="B901" s="1"/>
      <c r="C901" s="1"/>
      <c r="D901" s="1"/>
      <c r="E901" s="1"/>
      <c r="F901" s="1"/>
      <c r="G901" s="1"/>
      <c r="H901" s="1"/>
      <c r="I901" s="61"/>
      <c r="J901" s="1"/>
      <c r="K901" s="1"/>
    </row>
    <row r="902" spans="1:11" ht="15.75" customHeight="1">
      <c r="A902" s="2"/>
      <c r="B902" s="1"/>
      <c r="C902" s="1"/>
      <c r="D902" s="1"/>
      <c r="E902" s="1"/>
      <c r="F902" s="1"/>
      <c r="G902" s="1"/>
      <c r="H902" s="1"/>
      <c r="I902" s="61"/>
      <c r="J902" s="1"/>
      <c r="K902" s="1"/>
    </row>
    <row r="903" spans="1:11" ht="15.75" customHeight="1">
      <c r="A903" s="2"/>
      <c r="B903" s="1"/>
      <c r="C903" s="1"/>
      <c r="D903" s="1"/>
      <c r="E903" s="1"/>
      <c r="F903" s="1"/>
      <c r="G903" s="1"/>
      <c r="H903" s="1"/>
      <c r="I903" s="61"/>
      <c r="J903" s="1"/>
      <c r="K903" s="1"/>
    </row>
    <row r="904" spans="1:11" ht="15.75" customHeight="1">
      <c r="A904" s="2"/>
      <c r="B904" s="1"/>
      <c r="C904" s="1"/>
      <c r="D904" s="1"/>
      <c r="E904" s="1"/>
      <c r="F904" s="1"/>
      <c r="G904" s="1"/>
      <c r="H904" s="1"/>
      <c r="I904" s="61"/>
      <c r="J904" s="1"/>
      <c r="K904" s="1"/>
    </row>
    <row r="905" spans="1:11" ht="15.75" customHeight="1">
      <c r="A905" s="2"/>
      <c r="B905" s="1"/>
      <c r="C905" s="1"/>
      <c r="D905" s="1"/>
      <c r="E905" s="1"/>
      <c r="F905" s="1"/>
      <c r="G905" s="1"/>
      <c r="H905" s="1"/>
      <c r="I905" s="61"/>
      <c r="J905" s="1"/>
      <c r="K905" s="1"/>
    </row>
    <row r="906" spans="1:11" ht="15.75" customHeight="1">
      <c r="A906" s="2"/>
      <c r="B906" s="1"/>
      <c r="C906" s="1"/>
      <c r="D906" s="1"/>
      <c r="E906" s="1"/>
      <c r="F906" s="1"/>
      <c r="G906" s="1"/>
      <c r="H906" s="1"/>
      <c r="I906" s="61"/>
      <c r="J906" s="1"/>
      <c r="K906" s="1"/>
    </row>
    <row r="907" spans="1:11" ht="15.75" customHeight="1">
      <c r="A907" s="2"/>
      <c r="B907" s="1"/>
      <c r="C907" s="1"/>
      <c r="D907" s="1"/>
      <c r="E907" s="1"/>
      <c r="F907" s="1"/>
      <c r="G907" s="1"/>
      <c r="H907" s="1"/>
      <c r="I907" s="61"/>
      <c r="J907" s="1"/>
      <c r="K907" s="1"/>
    </row>
    <row r="908" spans="1:11" ht="15.75" customHeight="1">
      <c r="A908" s="2"/>
      <c r="B908" s="1"/>
      <c r="C908" s="1"/>
      <c r="D908" s="1"/>
      <c r="E908" s="1"/>
      <c r="F908" s="1"/>
      <c r="G908" s="1"/>
      <c r="H908" s="1"/>
      <c r="I908" s="61"/>
      <c r="J908" s="1"/>
      <c r="K908" s="1"/>
    </row>
    <row r="909" spans="1:11" ht="15.75" customHeight="1">
      <c r="A909" s="2"/>
      <c r="B909" s="1"/>
      <c r="C909" s="1"/>
      <c r="D909" s="1"/>
      <c r="E909" s="1"/>
      <c r="F909" s="1"/>
      <c r="G909" s="1"/>
      <c r="H909" s="1"/>
      <c r="I909" s="61"/>
      <c r="J909" s="1"/>
      <c r="K909" s="1"/>
    </row>
    <row r="910" spans="1:11" ht="15.75" customHeight="1">
      <c r="A910" s="2"/>
      <c r="B910" s="1"/>
      <c r="C910" s="1"/>
      <c r="D910" s="1"/>
      <c r="E910" s="1"/>
      <c r="F910" s="1"/>
      <c r="G910" s="1"/>
      <c r="H910" s="1"/>
      <c r="I910" s="61"/>
      <c r="J910" s="1"/>
      <c r="K910" s="1"/>
    </row>
    <row r="911" spans="1:11" ht="15.75" customHeight="1">
      <c r="A911" s="2"/>
      <c r="B911" s="1"/>
      <c r="C911" s="1"/>
      <c r="D911" s="1"/>
      <c r="E911" s="1"/>
      <c r="F911" s="1"/>
      <c r="G911" s="1"/>
      <c r="H911" s="1"/>
      <c r="I911" s="61"/>
      <c r="J911" s="1"/>
      <c r="K911" s="1"/>
    </row>
    <row r="912" spans="1:11" ht="15.75" customHeight="1">
      <c r="A912" s="2"/>
      <c r="B912" s="1"/>
      <c r="C912" s="1"/>
      <c r="D912" s="1"/>
      <c r="E912" s="1"/>
      <c r="F912" s="1"/>
      <c r="G912" s="1"/>
      <c r="H912" s="1"/>
      <c r="I912" s="61"/>
      <c r="J912" s="1"/>
      <c r="K912" s="1"/>
    </row>
    <row r="913" spans="1:11" ht="15.75" customHeight="1">
      <c r="A913" s="2"/>
      <c r="B913" s="1"/>
      <c r="C913" s="1"/>
      <c r="D913" s="1"/>
      <c r="E913" s="1"/>
      <c r="F913" s="1"/>
      <c r="G913" s="1"/>
      <c r="H913" s="1"/>
      <c r="I913" s="61"/>
      <c r="J913" s="1"/>
      <c r="K913" s="1"/>
    </row>
    <row r="914" spans="1:11" ht="15.75" customHeight="1">
      <c r="A914" s="2"/>
      <c r="B914" s="1"/>
      <c r="C914" s="1"/>
      <c r="D914" s="1"/>
      <c r="E914" s="1"/>
      <c r="F914" s="1"/>
      <c r="G914" s="1"/>
      <c r="H914" s="1"/>
      <c r="I914" s="61"/>
      <c r="J914" s="1"/>
      <c r="K914" s="1"/>
    </row>
    <row r="915" spans="1:11" ht="15.75" customHeight="1">
      <c r="A915" s="2"/>
      <c r="B915" s="1"/>
      <c r="C915" s="1"/>
      <c r="D915" s="1"/>
      <c r="E915" s="1"/>
      <c r="F915" s="1"/>
      <c r="G915" s="1"/>
      <c r="H915" s="1"/>
      <c r="I915" s="61"/>
      <c r="J915" s="1"/>
      <c r="K915" s="1"/>
    </row>
    <row r="916" spans="1:11" ht="15.75" customHeight="1">
      <c r="A916" s="2"/>
      <c r="B916" s="1"/>
      <c r="C916" s="1"/>
      <c r="D916" s="1"/>
      <c r="E916" s="1"/>
      <c r="F916" s="1"/>
      <c r="G916" s="1"/>
      <c r="H916" s="1"/>
      <c r="I916" s="61"/>
      <c r="J916" s="1"/>
      <c r="K916" s="1"/>
    </row>
    <row r="917" spans="1:11" ht="15.75" customHeight="1">
      <c r="A917" s="2"/>
      <c r="B917" s="1"/>
      <c r="C917" s="1"/>
      <c r="D917" s="1"/>
      <c r="E917" s="1"/>
      <c r="F917" s="1"/>
      <c r="G917" s="1"/>
      <c r="H917" s="1"/>
      <c r="I917" s="61"/>
      <c r="J917" s="1"/>
      <c r="K917" s="1"/>
    </row>
    <row r="918" spans="1:11" ht="15.75" customHeight="1">
      <c r="A918" s="2"/>
      <c r="B918" s="1"/>
      <c r="C918" s="1"/>
      <c r="D918" s="1"/>
      <c r="E918" s="1"/>
      <c r="F918" s="1"/>
      <c r="G918" s="1"/>
      <c r="H918" s="1"/>
      <c r="I918" s="61"/>
      <c r="J918" s="1"/>
      <c r="K918" s="1"/>
    </row>
    <row r="919" spans="1:11" ht="15.75" customHeight="1">
      <c r="A919" s="2"/>
      <c r="B919" s="1"/>
      <c r="C919" s="1"/>
      <c r="D919" s="1"/>
      <c r="E919" s="1"/>
      <c r="F919" s="1"/>
      <c r="G919" s="1"/>
      <c r="H919" s="1"/>
      <c r="I919" s="61"/>
      <c r="J919" s="1"/>
      <c r="K919" s="1"/>
    </row>
    <row r="920" spans="1:11" ht="15.75" customHeight="1">
      <c r="A920" s="2"/>
      <c r="B920" s="1"/>
      <c r="C920" s="1"/>
      <c r="D920" s="1"/>
      <c r="E920" s="1"/>
      <c r="F920" s="1"/>
      <c r="G920" s="1"/>
      <c r="H920" s="1"/>
      <c r="I920" s="61"/>
      <c r="J920" s="1"/>
      <c r="K920" s="1"/>
    </row>
    <row r="921" spans="1:11" ht="15.75" customHeight="1">
      <c r="A921" s="2"/>
      <c r="B921" s="1"/>
      <c r="C921" s="1"/>
      <c r="D921" s="1"/>
      <c r="E921" s="1"/>
      <c r="F921" s="1"/>
      <c r="G921" s="1"/>
      <c r="H921" s="1"/>
      <c r="I921" s="61"/>
      <c r="J921" s="1"/>
      <c r="K921" s="1"/>
    </row>
    <row r="922" spans="1:11" ht="15.75" customHeight="1">
      <c r="A922" s="2"/>
      <c r="B922" s="1"/>
      <c r="C922" s="1"/>
      <c r="D922" s="1"/>
      <c r="E922" s="1"/>
      <c r="F922" s="1"/>
      <c r="G922" s="1"/>
      <c r="H922" s="1"/>
      <c r="I922" s="61"/>
      <c r="J922" s="1"/>
      <c r="K922" s="1"/>
    </row>
    <row r="923" spans="1:11" ht="15.75" customHeight="1">
      <c r="A923" s="2"/>
      <c r="B923" s="1"/>
      <c r="C923" s="1"/>
      <c r="D923" s="1"/>
      <c r="E923" s="1"/>
      <c r="F923" s="1"/>
      <c r="G923" s="1"/>
      <c r="H923" s="1"/>
      <c r="I923" s="61"/>
      <c r="J923" s="1"/>
      <c r="K923" s="1"/>
    </row>
    <row r="924" spans="1:11" ht="15.75" customHeight="1">
      <c r="A924" s="2"/>
      <c r="B924" s="1"/>
      <c r="C924" s="1"/>
      <c r="D924" s="1"/>
      <c r="E924" s="1"/>
      <c r="F924" s="1"/>
      <c r="G924" s="1"/>
      <c r="H924" s="1"/>
      <c r="I924" s="61"/>
      <c r="J924" s="1"/>
      <c r="K924" s="1"/>
    </row>
    <row r="925" spans="1:11" ht="15.75" customHeight="1">
      <c r="A925" s="2"/>
      <c r="B925" s="1"/>
      <c r="C925" s="1"/>
      <c r="D925" s="1"/>
      <c r="E925" s="1"/>
      <c r="F925" s="1"/>
      <c r="G925" s="1"/>
      <c r="H925" s="1"/>
      <c r="I925" s="61"/>
      <c r="J925" s="1"/>
      <c r="K925" s="1"/>
    </row>
    <row r="926" spans="1:11" ht="15.75" customHeight="1">
      <c r="A926" s="2"/>
      <c r="B926" s="1"/>
      <c r="C926" s="1"/>
      <c r="D926" s="1"/>
      <c r="E926" s="1"/>
      <c r="F926" s="1"/>
      <c r="G926" s="1"/>
      <c r="H926" s="1"/>
      <c r="I926" s="61"/>
      <c r="J926" s="1"/>
      <c r="K926" s="1"/>
    </row>
    <row r="927" spans="1:11" ht="15.75" customHeight="1">
      <c r="A927" s="2"/>
      <c r="B927" s="1"/>
      <c r="C927" s="1"/>
      <c r="D927" s="1"/>
      <c r="E927" s="1"/>
      <c r="F927" s="1"/>
      <c r="G927" s="1"/>
      <c r="H927" s="1"/>
      <c r="I927" s="61"/>
      <c r="J927" s="1"/>
      <c r="K927" s="1"/>
    </row>
    <row r="928" spans="1:11" ht="15.75" customHeight="1">
      <c r="A928" s="2"/>
      <c r="B928" s="1"/>
      <c r="C928" s="1"/>
      <c r="D928" s="1"/>
      <c r="E928" s="1"/>
      <c r="F928" s="1"/>
      <c r="G928" s="1"/>
      <c r="H928" s="1"/>
      <c r="I928" s="61"/>
      <c r="J928" s="1"/>
      <c r="K928" s="1"/>
    </row>
    <row r="929" spans="1:11" ht="15.75" customHeight="1">
      <c r="A929" s="2"/>
      <c r="B929" s="1"/>
      <c r="C929" s="1"/>
      <c r="D929" s="1"/>
      <c r="E929" s="1"/>
      <c r="F929" s="1"/>
      <c r="G929" s="1"/>
      <c r="H929" s="1"/>
      <c r="I929" s="61"/>
      <c r="J929" s="1"/>
      <c r="K929" s="1"/>
    </row>
    <row r="930" spans="1:11" ht="15.75" customHeight="1">
      <c r="A930" s="2"/>
      <c r="B930" s="1"/>
      <c r="C930" s="1"/>
      <c r="D930" s="1"/>
      <c r="E930" s="1"/>
      <c r="F930" s="1"/>
      <c r="G930" s="1"/>
      <c r="H930" s="1"/>
      <c r="I930" s="61"/>
      <c r="J930" s="1"/>
      <c r="K930" s="1"/>
    </row>
    <row r="931" spans="1:11" ht="15.75" customHeight="1">
      <c r="A931" s="2"/>
      <c r="B931" s="1"/>
      <c r="C931" s="1"/>
      <c r="D931" s="1"/>
      <c r="E931" s="1"/>
      <c r="F931" s="1"/>
      <c r="G931" s="1"/>
      <c r="H931" s="1"/>
      <c r="I931" s="61"/>
      <c r="J931" s="1"/>
      <c r="K931" s="1"/>
    </row>
    <row r="932" spans="1:11" ht="15.75" customHeight="1">
      <c r="A932" s="2"/>
      <c r="B932" s="1"/>
      <c r="C932" s="1"/>
      <c r="D932" s="1"/>
      <c r="E932" s="1"/>
      <c r="F932" s="1"/>
      <c r="G932" s="1"/>
      <c r="H932" s="1"/>
      <c r="I932" s="61"/>
      <c r="J932" s="1"/>
      <c r="K932" s="1"/>
    </row>
    <row r="933" spans="1:11" ht="15.75" customHeight="1">
      <c r="A933" s="2"/>
      <c r="B933" s="1"/>
      <c r="C933" s="1"/>
      <c r="D933" s="1"/>
      <c r="E933" s="1"/>
      <c r="F933" s="1"/>
      <c r="G933" s="1"/>
      <c r="H933" s="1"/>
      <c r="I933" s="61"/>
      <c r="J933" s="1"/>
      <c r="K933" s="1"/>
    </row>
    <row r="934" spans="1:11" ht="15.75" customHeight="1">
      <c r="A934" s="2"/>
      <c r="B934" s="1"/>
      <c r="C934" s="1"/>
      <c r="D934" s="1"/>
      <c r="E934" s="1"/>
      <c r="F934" s="1"/>
      <c r="G934" s="1"/>
      <c r="H934" s="1"/>
      <c r="I934" s="61"/>
      <c r="J934" s="1"/>
      <c r="K934" s="1"/>
    </row>
    <row r="935" spans="1:11" ht="15.75" customHeight="1">
      <c r="A935" s="2"/>
      <c r="B935" s="1"/>
      <c r="C935" s="1"/>
      <c r="D935" s="1"/>
      <c r="E935" s="1"/>
      <c r="F935" s="1"/>
      <c r="G935" s="1"/>
      <c r="H935" s="1"/>
      <c r="I935" s="61"/>
      <c r="J935" s="1"/>
      <c r="K935" s="1"/>
    </row>
    <row r="936" spans="1:11" ht="15.75" customHeight="1">
      <c r="A936" s="2"/>
      <c r="B936" s="1"/>
      <c r="C936" s="1"/>
      <c r="D936" s="1"/>
      <c r="E936" s="1"/>
      <c r="F936" s="1"/>
      <c r="G936" s="1"/>
      <c r="H936" s="1"/>
      <c r="I936" s="61"/>
      <c r="J936" s="1"/>
      <c r="K936" s="1"/>
    </row>
    <row r="937" spans="1:11" ht="15.75" customHeight="1">
      <c r="A937" s="2"/>
      <c r="B937" s="1"/>
      <c r="C937" s="1"/>
      <c r="D937" s="1"/>
      <c r="E937" s="1"/>
      <c r="F937" s="1"/>
      <c r="G937" s="1"/>
      <c r="H937" s="1"/>
      <c r="I937" s="61"/>
      <c r="J937" s="1"/>
      <c r="K937" s="1"/>
    </row>
    <row r="938" spans="1:11" ht="15.75" customHeight="1">
      <c r="A938" s="2"/>
      <c r="B938" s="1"/>
      <c r="C938" s="1"/>
      <c r="D938" s="1"/>
      <c r="E938" s="1"/>
      <c r="F938" s="1"/>
      <c r="G938" s="1"/>
      <c r="H938" s="1"/>
      <c r="I938" s="61"/>
      <c r="J938" s="1"/>
      <c r="K938" s="1"/>
    </row>
    <row r="939" spans="1:11" ht="15.75" customHeight="1">
      <c r="A939" s="2"/>
      <c r="B939" s="1"/>
      <c r="C939" s="1"/>
      <c r="D939" s="1"/>
      <c r="E939" s="1"/>
      <c r="F939" s="1"/>
      <c r="G939" s="1"/>
      <c r="H939" s="1"/>
      <c r="I939" s="61"/>
      <c r="J939" s="1"/>
      <c r="K939" s="1"/>
    </row>
    <row r="940" spans="1:11" ht="15.75" customHeight="1">
      <c r="A940" s="2"/>
      <c r="B940" s="1"/>
      <c r="C940" s="1"/>
      <c r="D940" s="1"/>
      <c r="E940" s="1"/>
      <c r="F940" s="1"/>
      <c r="G940" s="1"/>
      <c r="H940" s="1"/>
      <c r="I940" s="61"/>
      <c r="J940" s="1"/>
      <c r="K940" s="1"/>
    </row>
    <row r="941" spans="1:11" ht="15.75" customHeight="1">
      <c r="A941" s="2"/>
      <c r="B941" s="1"/>
      <c r="C941" s="1"/>
      <c r="D941" s="1"/>
      <c r="E941" s="1"/>
      <c r="F941" s="1"/>
      <c r="G941" s="1"/>
      <c r="H941" s="1"/>
      <c r="I941" s="61"/>
      <c r="J941" s="1"/>
      <c r="K941" s="1"/>
    </row>
    <row r="942" spans="1:11" ht="15.75" customHeight="1">
      <c r="A942" s="2"/>
      <c r="B942" s="1"/>
      <c r="C942" s="1"/>
      <c r="D942" s="1"/>
      <c r="E942" s="1"/>
      <c r="F942" s="1"/>
      <c r="G942" s="1"/>
      <c r="H942" s="1"/>
      <c r="I942" s="61"/>
      <c r="J942" s="1"/>
      <c r="K942" s="1"/>
    </row>
    <row r="943" spans="1:11" ht="15.75" customHeight="1">
      <c r="A943" s="2"/>
      <c r="B943" s="1"/>
      <c r="C943" s="1"/>
      <c r="D943" s="1"/>
      <c r="E943" s="1"/>
      <c r="F943" s="1"/>
      <c r="G943" s="1"/>
      <c r="H943" s="1"/>
      <c r="I943" s="61"/>
      <c r="J943" s="1"/>
      <c r="K943" s="1"/>
    </row>
    <row r="944" spans="1:11" ht="15.75" customHeight="1">
      <c r="A944" s="2"/>
      <c r="B944" s="1"/>
      <c r="C944" s="1"/>
      <c r="D944" s="1"/>
      <c r="E944" s="1"/>
      <c r="F944" s="1"/>
      <c r="G944" s="1"/>
      <c r="H944" s="1"/>
      <c r="I944" s="61"/>
      <c r="J944" s="1"/>
      <c r="K944" s="1"/>
    </row>
    <row r="945" spans="1:11" ht="15.75" customHeight="1">
      <c r="A945" s="2"/>
      <c r="B945" s="1"/>
      <c r="C945" s="1"/>
      <c r="D945" s="1"/>
      <c r="E945" s="1"/>
      <c r="F945" s="1"/>
      <c r="G945" s="1"/>
      <c r="H945" s="1"/>
      <c r="I945" s="61"/>
      <c r="J945" s="1"/>
      <c r="K945" s="1"/>
    </row>
    <row r="946" spans="1:11" ht="15.75" customHeight="1">
      <c r="A946" s="2"/>
      <c r="B946" s="1"/>
      <c r="C946" s="1"/>
      <c r="D946" s="1"/>
      <c r="E946" s="1"/>
      <c r="F946" s="1"/>
      <c r="G946" s="1"/>
      <c r="H946" s="1"/>
      <c r="I946" s="61"/>
      <c r="J946" s="1"/>
      <c r="K946" s="1"/>
    </row>
    <row r="947" spans="1:11" ht="15.75" customHeight="1">
      <c r="A947" s="2"/>
      <c r="B947" s="1"/>
      <c r="C947" s="1"/>
      <c r="D947" s="1"/>
      <c r="E947" s="1"/>
      <c r="F947" s="1"/>
      <c r="G947" s="1"/>
      <c r="H947" s="1"/>
      <c r="I947" s="61"/>
      <c r="J947" s="1"/>
      <c r="K947" s="1"/>
    </row>
    <row r="948" spans="1:11" ht="15.75" customHeight="1">
      <c r="A948" s="2"/>
      <c r="B948" s="1"/>
      <c r="C948" s="1"/>
      <c r="D948" s="1"/>
      <c r="E948" s="1"/>
      <c r="F948" s="1"/>
      <c r="G948" s="1"/>
      <c r="H948" s="1"/>
      <c r="I948" s="61"/>
      <c r="J948" s="1"/>
      <c r="K948" s="1"/>
    </row>
    <row r="949" spans="1:11" ht="15.75" customHeight="1">
      <c r="A949" s="2"/>
      <c r="B949" s="1"/>
      <c r="C949" s="1"/>
      <c r="D949" s="1"/>
      <c r="E949" s="1"/>
      <c r="F949" s="1"/>
      <c r="G949" s="1"/>
      <c r="H949" s="1"/>
      <c r="I949" s="61"/>
      <c r="J949" s="1"/>
      <c r="K949" s="1"/>
    </row>
    <row r="950" spans="1:11" ht="15.75" customHeight="1">
      <c r="A950" s="2"/>
      <c r="B950" s="1"/>
      <c r="C950" s="1"/>
      <c r="D950" s="1"/>
      <c r="E950" s="1"/>
      <c r="F950" s="1"/>
      <c r="G950" s="1"/>
      <c r="H950" s="1"/>
      <c r="I950" s="61"/>
      <c r="J950" s="1"/>
      <c r="K950" s="1"/>
    </row>
    <row r="951" spans="1:11" ht="15.75" customHeight="1">
      <c r="A951" s="2"/>
      <c r="B951" s="1"/>
      <c r="C951" s="1"/>
      <c r="D951" s="1"/>
      <c r="E951" s="1"/>
      <c r="F951" s="1"/>
      <c r="G951" s="1"/>
      <c r="H951" s="1"/>
      <c r="I951" s="61"/>
      <c r="J951" s="1"/>
      <c r="K951" s="1"/>
    </row>
    <row r="952" spans="1:11" ht="15.75" customHeight="1">
      <c r="A952" s="2"/>
      <c r="B952" s="1"/>
      <c r="C952" s="1"/>
      <c r="D952" s="1"/>
      <c r="E952" s="1"/>
      <c r="F952" s="1"/>
      <c r="G952" s="1"/>
      <c r="H952" s="1"/>
      <c r="I952" s="61"/>
      <c r="J952" s="1"/>
      <c r="K952" s="1"/>
    </row>
    <row r="953" spans="1:11" ht="15.75" customHeight="1">
      <c r="A953" s="2"/>
      <c r="B953" s="1"/>
      <c r="C953" s="1"/>
      <c r="D953" s="1"/>
      <c r="E953" s="1"/>
      <c r="F953" s="1"/>
      <c r="G953" s="1"/>
      <c r="H953" s="1"/>
      <c r="I953" s="61"/>
      <c r="J953" s="1"/>
      <c r="K953" s="1"/>
    </row>
    <row r="954" spans="1:11" ht="15.75" customHeight="1">
      <c r="A954" s="2"/>
      <c r="B954" s="1"/>
      <c r="C954" s="1"/>
      <c r="D954" s="1"/>
      <c r="E954" s="1"/>
      <c r="F954" s="1"/>
      <c r="G954" s="1"/>
      <c r="H954" s="1"/>
      <c r="I954" s="61"/>
      <c r="J954" s="1"/>
      <c r="K954" s="1"/>
    </row>
    <row r="955" spans="1:11" ht="15.75" customHeight="1">
      <c r="A955" s="2"/>
      <c r="B955" s="1"/>
      <c r="C955" s="1"/>
      <c r="D955" s="1"/>
      <c r="E955" s="1"/>
      <c r="F955" s="1"/>
      <c r="G955" s="1"/>
      <c r="H955" s="1"/>
      <c r="I955" s="61"/>
      <c r="J955" s="1"/>
      <c r="K955" s="1"/>
    </row>
    <row r="956" spans="1:11" ht="15.75" customHeight="1">
      <c r="A956" s="2"/>
      <c r="B956" s="1"/>
      <c r="C956" s="1"/>
      <c r="D956" s="1"/>
      <c r="E956" s="1"/>
      <c r="F956" s="1"/>
      <c r="G956" s="1"/>
      <c r="H956" s="1"/>
      <c r="I956" s="61"/>
      <c r="J956" s="1"/>
      <c r="K956" s="1"/>
    </row>
    <row r="957" spans="1:11" ht="15.75" customHeight="1">
      <c r="A957" s="2"/>
      <c r="B957" s="1"/>
      <c r="C957" s="1"/>
      <c r="D957" s="1"/>
      <c r="E957" s="1"/>
      <c r="F957" s="1"/>
      <c r="G957" s="1"/>
      <c r="H957" s="1"/>
      <c r="I957" s="61"/>
      <c r="J957" s="1"/>
      <c r="K957" s="1"/>
    </row>
    <row r="958" spans="1:11" ht="15.75" customHeight="1">
      <c r="A958" s="2"/>
      <c r="B958" s="1"/>
      <c r="C958" s="1"/>
      <c r="D958" s="1"/>
      <c r="E958" s="1"/>
      <c r="F958" s="1"/>
      <c r="G958" s="1"/>
      <c r="H958" s="1"/>
      <c r="I958" s="61"/>
      <c r="J958" s="1"/>
      <c r="K958" s="1"/>
    </row>
    <row r="959" spans="1:11" ht="15.75" customHeight="1">
      <c r="A959" s="2"/>
      <c r="B959" s="1"/>
      <c r="C959" s="1"/>
      <c r="D959" s="1"/>
      <c r="E959" s="1"/>
      <c r="F959" s="1"/>
      <c r="G959" s="1"/>
      <c r="H959" s="1"/>
      <c r="I959" s="61"/>
      <c r="J959" s="1"/>
      <c r="K959" s="1"/>
    </row>
    <row r="960" spans="1:11" ht="15.75" customHeight="1">
      <c r="A960" s="2"/>
      <c r="B960" s="1"/>
      <c r="C960" s="1"/>
      <c r="D960" s="1"/>
      <c r="E960" s="1"/>
      <c r="F960" s="1"/>
      <c r="G960" s="1"/>
      <c r="H960" s="1"/>
      <c r="I960" s="61"/>
      <c r="J960" s="1"/>
      <c r="K960" s="1"/>
    </row>
    <row r="961" spans="1:11" ht="15.75" customHeight="1">
      <c r="A961" s="2"/>
      <c r="B961" s="1"/>
      <c r="C961" s="1"/>
      <c r="D961" s="1"/>
      <c r="E961" s="1"/>
      <c r="F961" s="1"/>
      <c r="G961" s="1"/>
      <c r="H961" s="1"/>
      <c r="I961" s="61"/>
      <c r="J961" s="1"/>
      <c r="K961" s="1"/>
    </row>
    <row r="962" spans="1:11" ht="15.75" customHeight="1">
      <c r="A962" s="2"/>
      <c r="B962" s="1"/>
      <c r="C962" s="1"/>
      <c r="D962" s="1"/>
      <c r="E962" s="1"/>
      <c r="F962" s="1"/>
      <c r="G962" s="1"/>
      <c r="H962" s="1"/>
      <c r="I962" s="61"/>
      <c r="J962" s="1"/>
      <c r="K962" s="1"/>
    </row>
    <row r="963" spans="1:11" ht="15.75" customHeight="1">
      <c r="A963" s="2"/>
      <c r="B963" s="1"/>
      <c r="C963" s="1"/>
      <c r="D963" s="1"/>
      <c r="E963" s="1"/>
      <c r="F963" s="1"/>
      <c r="G963" s="1"/>
      <c r="H963" s="1"/>
      <c r="I963" s="61"/>
      <c r="J963" s="1"/>
      <c r="K963" s="1"/>
    </row>
    <row r="964" spans="1:11" ht="15.75" customHeight="1">
      <c r="A964" s="2"/>
      <c r="B964" s="1"/>
      <c r="C964" s="1"/>
      <c r="D964" s="1"/>
      <c r="E964" s="1"/>
      <c r="F964" s="1"/>
      <c r="G964" s="1"/>
      <c r="H964" s="1"/>
      <c r="I964" s="61"/>
      <c r="J964" s="1"/>
      <c r="K964" s="1"/>
    </row>
    <row r="965" spans="1:11" ht="15.75" customHeight="1">
      <c r="A965" s="2"/>
      <c r="B965" s="1"/>
      <c r="C965" s="1"/>
      <c r="D965" s="1"/>
      <c r="E965" s="1"/>
      <c r="F965" s="1"/>
      <c r="G965" s="1"/>
      <c r="H965" s="1"/>
      <c r="I965" s="61"/>
      <c r="J965" s="1"/>
      <c r="K965" s="1"/>
    </row>
    <row r="966" spans="1:11" ht="15.75" customHeight="1">
      <c r="A966" s="2"/>
      <c r="B966" s="1"/>
      <c r="C966" s="1"/>
      <c r="D966" s="1"/>
      <c r="E966" s="1"/>
      <c r="F966" s="1"/>
      <c r="G966" s="1"/>
      <c r="H966" s="1"/>
      <c r="I966" s="61"/>
      <c r="J966" s="1"/>
      <c r="K966" s="1"/>
    </row>
    <row r="967" spans="1:11" ht="15.75" customHeight="1">
      <c r="A967" s="2"/>
      <c r="B967" s="1"/>
      <c r="C967" s="1"/>
      <c r="D967" s="1"/>
      <c r="E967" s="1"/>
      <c r="F967" s="1"/>
      <c r="G967" s="1"/>
      <c r="H967" s="1"/>
      <c r="I967" s="61"/>
      <c r="J967" s="1"/>
      <c r="K967" s="1"/>
    </row>
    <row r="968" spans="1:11" ht="15.75" customHeight="1">
      <c r="A968" s="2"/>
      <c r="B968" s="1"/>
      <c r="C968" s="1"/>
      <c r="D968" s="1"/>
      <c r="E968" s="1"/>
      <c r="F968" s="1"/>
      <c r="G968" s="1"/>
      <c r="H968" s="1"/>
      <c r="I968" s="61"/>
      <c r="J968" s="1"/>
      <c r="K968" s="1"/>
    </row>
    <row r="969" spans="1:11" ht="15.75" customHeight="1">
      <c r="A969" s="2"/>
      <c r="B969" s="1"/>
      <c r="C969" s="1"/>
      <c r="D969" s="1"/>
      <c r="E969" s="1"/>
      <c r="F969" s="1"/>
      <c r="G969" s="1"/>
      <c r="H969" s="1"/>
      <c r="I969" s="61"/>
      <c r="J969" s="1"/>
      <c r="K969" s="1"/>
    </row>
    <row r="970" spans="1:11" ht="15.75" customHeight="1">
      <c r="A970" s="2"/>
      <c r="B970" s="1"/>
      <c r="C970" s="1"/>
      <c r="D970" s="1"/>
      <c r="E970" s="1"/>
      <c r="F970" s="1"/>
      <c r="G970" s="1"/>
      <c r="H970" s="1"/>
      <c r="I970" s="61"/>
      <c r="J970" s="1"/>
      <c r="K970" s="1"/>
    </row>
    <row r="971" spans="1:11" ht="15.75" customHeight="1">
      <c r="A971" s="2"/>
      <c r="B971" s="1"/>
      <c r="C971" s="1"/>
      <c r="D971" s="1"/>
      <c r="E971" s="1"/>
      <c r="F971" s="1"/>
      <c r="G971" s="1"/>
      <c r="H971" s="1"/>
      <c r="I971" s="61"/>
      <c r="J971" s="1"/>
      <c r="K971" s="1"/>
    </row>
    <row r="972" spans="1:11" ht="15.75" customHeight="1">
      <c r="A972" s="2"/>
      <c r="B972" s="1"/>
      <c r="C972" s="1"/>
      <c r="D972" s="1"/>
      <c r="E972" s="1"/>
      <c r="F972" s="1"/>
      <c r="G972" s="1"/>
      <c r="H972" s="1"/>
      <c r="I972" s="61"/>
      <c r="J972" s="1"/>
      <c r="K972" s="1"/>
    </row>
    <row r="973" spans="1:11" ht="15.75" customHeight="1">
      <c r="A973" s="2"/>
      <c r="B973" s="1"/>
      <c r="C973" s="1"/>
      <c r="D973" s="1"/>
      <c r="E973" s="1"/>
      <c r="F973" s="1"/>
      <c r="G973" s="1"/>
      <c r="H973" s="1"/>
      <c r="I973" s="61"/>
      <c r="J973" s="1"/>
      <c r="K973" s="1"/>
    </row>
    <row r="974" spans="1:11" ht="15.75" customHeight="1">
      <c r="A974" s="2"/>
      <c r="B974" s="1"/>
      <c r="C974" s="1"/>
      <c r="D974" s="1"/>
      <c r="E974" s="1"/>
      <c r="F974" s="1"/>
      <c r="G974" s="1"/>
      <c r="H974" s="1"/>
      <c r="I974" s="61"/>
      <c r="J974" s="1"/>
      <c r="K974" s="1"/>
    </row>
    <row r="975" spans="1:11" ht="15.75" customHeight="1">
      <c r="A975" s="2"/>
      <c r="B975" s="1"/>
      <c r="C975" s="1"/>
      <c r="D975" s="1"/>
      <c r="E975" s="1"/>
      <c r="F975" s="1"/>
      <c r="G975" s="1"/>
      <c r="H975" s="1"/>
      <c r="I975" s="61"/>
      <c r="J975" s="1"/>
      <c r="K975" s="1"/>
    </row>
    <row r="976" spans="1:11" ht="15.75" customHeight="1">
      <c r="A976" s="2"/>
      <c r="B976" s="1"/>
      <c r="C976" s="1"/>
      <c r="D976" s="1"/>
      <c r="E976" s="1"/>
      <c r="F976" s="1"/>
      <c r="G976" s="1"/>
      <c r="H976" s="1"/>
      <c r="I976" s="61"/>
      <c r="J976" s="1"/>
      <c r="K976" s="1"/>
    </row>
    <row r="977" spans="1:11" ht="15.75" customHeight="1">
      <c r="A977" s="2"/>
      <c r="B977" s="1"/>
      <c r="C977" s="1"/>
      <c r="D977" s="1"/>
      <c r="E977" s="1"/>
      <c r="F977" s="1"/>
      <c r="G977" s="1"/>
      <c r="H977" s="1"/>
      <c r="I977" s="61"/>
      <c r="J977" s="1"/>
      <c r="K977" s="1"/>
    </row>
    <row r="978" spans="1:11" ht="15.75" customHeight="1">
      <c r="A978" s="2"/>
      <c r="B978" s="1"/>
      <c r="C978" s="1"/>
      <c r="D978" s="1"/>
      <c r="E978" s="1"/>
      <c r="F978" s="1"/>
      <c r="G978" s="1"/>
      <c r="H978" s="1"/>
      <c r="I978" s="61"/>
      <c r="J978" s="1"/>
      <c r="K978" s="1"/>
    </row>
    <row r="979" spans="1:11" ht="15.75" customHeight="1">
      <c r="A979" s="2"/>
      <c r="B979" s="1"/>
      <c r="C979" s="1"/>
      <c r="D979" s="1"/>
      <c r="E979" s="1"/>
      <c r="F979" s="1"/>
      <c r="G979" s="1"/>
      <c r="H979" s="1"/>
      <c r="I979" s="61"/>
      <c r="J979" s="1"/>
      <c r="K979" s="1"/>
    </row>
    <row r="980" spans="1:11" ht="15.75" customHeight="1">
      <c r="A980" s="2"/>
      <c r="B980" s="1"/>
      <c r="C980" s="1"/>
      <c r="D980" s="1"/>
      <c r="E980" s="1"/>
      <c r="F980" s="1"/>
      <c r="G980" s="1"/>
      <c r="H980" s="1"/>
      <c r="I980" s="61"/>
      <c r="J980" s="1"/>
      <c r="K980" s="1"/>
    </row>
    <row r="981" spans="1:11" ht="15.75" customHeight="1">
      <c r="A981" s="2"/>
      <c r="B981" s="1"/>
      <c r="C981" s="1"/>
      <c r="D981" s="1"/>
      <c r="E981" s="1"/>
      <c r="F981" s="1"/>
      <c r="G981" s="1"/>
      <c r="H981" s="1"/>
      <c r="I981" s="61"/>
      <c r="J981" s="1"/>
      <c r="K981" s="1"/>
    </row>
    <row r="982" spans="1:11" ht="15.75" customHeight="1">
      <c r="A982" s="2"/>
      <c r="B982" s="1"/>
      <c r="C982" s="1"/>
      <c r="D982" s="1"/>
      <c r="E982" s="1"/>
      <c r="F982" s="1"/>
      <c r="G982" s="1"/>
      <c r="H982" s="1"/>
      <c r="I982" s="61"/>
      <c r="J982" s="1"/>
      <c r="K982" s="1"/>
    </row>
    <row r="983" spans="1:11" ht="15.75" customHeight="1">
      <c r="A983" s="2"/>
      <c r="B983" s="1"/>
      <c r="C983" s="1"/>
      <c r="D983" s="1"/>
      <c r="E983" s="1"/>
      <c r="F983" s="1"/>
      <c r="G983" s="1"/>
      <c r="H983" s="1"/>
      <c r="I983" s="61"/>
      <c r="J983" s="1"/>
      <c r="K983" s="1"/>
    </row>
    <row r="984" spans="1:11" ht="15.75" customHeight="1">
      <c r="A984" s="2"/>
      <c r="B984" s="1"/>
      <c r="C984" s="1"/>
      <c r="D984" s="1"/>
      <c r="E984" s="1"/>
      <c r="F984" s="1"/>
      <c r="G984" s="1"/>
      <c r="H984" s="1"/>
      <c r="I984" s="61"/>
      <c r="J984" s="1"/>
      <c r="K984" s="1"/>
    </row>
    <row r="985" spans="1:11" ht="15.75" customHeight="1">
      <c r="A985" s="2"/>
      <c r="B985" s="1"/>
      <c r="C985" s="1"/>
      <c r="D985" s="1"/>
      <c r="E985" s="1"/>
      <c r="F985" s="1"/>
      <c r="G985" s="1"/>
      <c r="H985" s="1"/>
      <c r="I985" s="61"/>
      <c r="J985" s="1"/>
      <c r="K985" s="1"/>
    </row>
    <row r="986" spans="1:11" ht="15.75" customHeight="1">
      <c r="A986" s="2"/>
      <c r="B986" s="1"/>
      <c r="C986" s="1"/>
      <c r="D986" s="1"/>
      <c r="E986" s="1"/>
      <c r="F986" s="1"/>
      <c r="G986" s="1"/>
      <c r="H986" s="1"/>
      <c r="I986" s="61"/>
      <c r="J986" s="1"/>
      <c r="K986" s="1"/>
    </row>
    <row r="987" spans="1:11" ht="15.75" customHeight="1">
      <c r="A987" s="2"/>
      <c r="B987" s="1"/>
      <c r="C987" s="1"/>
      <c r="D987" s="1"/>
      <c r="E987" s="1"/>
      <c r="F987" s="1"/>
      <c r="G987" s="1"/>
      <c r="H987" s="1"/>
      <c r="I987" s="61"/>
      <c r="J987" s="1"/>
      <c r="K987" s="1"/>
    </row>
    <row r="988" spans="1:11" ht="15.75" customHeight="1">
      <c r="A988" s="2"/>
      <c r="B988" s="1"/>
      <c r="C988" s="1"/>
      <c r="D988" s="1"/>
      <c r="E988" s="1"/>
      <c r="F988" s="1"/>
      <c r="G988" s="1"/>
      <c r="H988" s="1"/>
      <c r="I988" s="61"/>
      <c r="J988" s="1"/>
      <c r="K988" s="1"/>
    </row>
    <row r="989" spans="1:11" ht="15.75" customHeight="1">
      <c r="A989" s="2"/>
      <c r="B989" s="1"/>
      <c r="C989" s="1"/>
      <c r="D989" s="1"/>
      <c r="E989" s="1"/>
      <c r="F989" s="1"/>
      <c r="G989" s="1"/>
      <c r="H989" s="1"/>
      <c r="I989" s="61"/>
      <c r="J989" s="1"/>
      <c r="K989" s="1"/>
    </row>
    <row r="990" spans="1:11" ht="15.75" customHeight="1">
      <c r="A990" s="2"/>
      <c r="B990" s="1"/>
      <c r="C990" s="1"/>
      <c r="D990" s="1"/>
      <c r="E990" s="1"/>
      <c r="F990" s="1"/>
      <c r="G990" s="1"/>
      <c r="H990" s="1"/>
      <c r="I990" s="61"/>
      <c r="J990" s="1"/>
      <c r="K990" s="1"/>
    </row>
    <row r="991" spans="1:11" ht="15.75" customHeight="1">
      <c r="A991" s="2"/>
      <c r="B991" s="1"/>
      <c r="C991" s="1"/>
      <c r="D991" s="1"/>
      <c r="E991" s="1"/>
      <c r="F991" s="1"/>
      <c r="G991" s="1"/>
      <c r="H991" s="1"/>
      <c r="I991" s="61"/>
      <c r="J991" s="1"/>
      <c r="K991" s="1"/>
    </row>
    <row r="992" spans="1:11" ht="15.75" customHeight="1">
      <c r="A992" s="2"/>
      <c r="B992" s="1"/>
      <c r="C992" s="1"/>
      <c r="D992" s="1"/>
      <c r="E992" s="1"/>
      <c r="F992" s="1"/>
      <c r="G992" s="1"/>
      <c r="H992" s="1"/>
      <c r="I992" s="61"/>
      <c r="J992" s="1"/>
      <c r="K992" s="1"/>
    </row>
    <row r="993" spans="1:11" ht="15.75" customHeight="1">
      <c r="A993" s="2"/>
      <c r="B993" s="1"/>
      <c r="C993" s="1"/>
      <c r="D993" s="1"/>
      <c r="E993" s="1"/>
      <c r="F993" s="1"/>
      <c r="G993" s="1"/>
      <c r="H993" s="1"/>
      <c r="I993" s="61"/>
      <c r="J993" s="1"/>
      <c r="K993" s="1"/>
    </row>
    <row r="994" spans="1:11" ht="15.75" customHeight="1">
      <c r="A994" s="2"/>
      <c r="B994" s="1"/>
      <c r="C994" s="1"/>
      <c r="D994" s="1"/>
      <c r="E994" s="1"/>
      <c r="F994" s="1"/>
      <c r="G994" s="1"/>
      <c r="H994" s="1"/>
      <c r="I994" s="61"/>
      <c r="J994" s="1"/>
      <c r="K994" s="1"/>
    </row>
    <row r="995" spans="1:11" ht="15.75" customHeight="1">
      <c r="A995" s="2"/>
      <c r="B995" s="1"/>
      <c r="C995" s="1"/>
      <c r="D995" s="1"/>
      <c r="E995" s="1"/>
      <c r="F995" s="1"/>
      <c r="G995" s="1"/>
      <c r="H995" s="1"/>
      <c r="I995" s="61"/>
      <c r="J995" s="1"/>
      <c r="K995" s="1"/>
    </row>
    <row r="996" spans="1:11" ht="15.75" customHeight="1">
      <c r="A996" s="2"/>
      <c r="B996" s="1"/>
      <c r="C996" s="1"/>
      <c r="D996" s="1"/>
      <c r="E996" s="1"/>
      <c r="F996" s="1"/>
      <c r="G996" s="1"/>
      <c r="H996" s="1"/>
      <c r="I996" s="61"/>
      <c r="J996" s="1"/>
      <c r="K996" s="1"/>
    </row>
    <row r="997" spans="1:11" ht="15.75" customHeight="1">
      <c r="A997" s="2"/>
      <c r="B997" s="1"/>
      <c r="C997" s="1"/>
      <c r="D997" s="1"/>
      <c r="E997" s="1"/>
      <c r="F997" s="1"/>
      <c r="G997" s="1"/>
      <c r="H997" s="1"/>
      <c r="I997" s="61"/>
      <c r="J997" s="1"/>
      <c r="K997" s="1"/>
    </row>
    <row r="998" spans="1:11" ht="15.75" customHeight="1">
      <c r="A998" s="2"/>
      <c r="B998" s="1"/>
      <c r="C998" s="1"/>
      <c r="D998" s="1"/>
      <c r="E998" s="1"/>
      <c r="F998" s="1"/>
      <c r="G998" s="1"/>
      <c r="H998" s="1"/>
      <c r="I998" s="61"/>
      <c r="J998" s="1"/>
      <c r="K998" s="1"/>
    </row>
    <row r="999" spans="1:11" ht="15.75" customHeight="1">
      <c r="A999" s="2"/>
      <c r="B999" s="1"/>
      <c r="C999" s="1"/>
      <c r="D999" s="1"/>
      <c r="E999" s="1"/>
      <c r="F999" s="1"/>
      <c r="G999" s="1"/>
      <c r="H999" s="1"/>
      <c r="I999" s="61"/>
      <c r="J999" s="1"/>
      <c r="K999" s="1"/>
    </row>
    <row r="1000" spans="1:11" ht="15.75" customHeight="1">
      <c r="A1000" s="2"/>
      <c r="B1000" s="1"/>
      <c r="C1000" s="1"/>
      <c r="D1000" s="1"/>
      <c r="E1000" s="1"/>
      <c r="F1000" s="1"/>
      <c r="G1000" s="1"/>
      <c r="H1000" s="1"/>
      <c r="I1000" s="61"/>
      <c r="J1000" s="1"/>
      <c r="K1000" s="1"/>
    </row>
  </sheetData>
  <mergeCells count="10">
    <mergeCell ref="F7:H7"/>
    <mergeCell ref="E247:H247"/>
    <mergeCell ref="E248:H248"/>
    <mergeCell ref="A1:K1"/>
    <mergeCell ref="A2:K2"/>
    <mergeCell ref="A6:B6"/>
    <mergeCell ref="J7:K7"/>
    <mergeCell ref="A8:B8"/>
    <mergeCell ref="A108:A109"/>
    <mergeCell ref="B108:B109"/>
  </mergeCells>
  <printOptions horizontalCentered="1"/>
  <pageMargins left="0.5" right="0.5" top="0.75" bottom="0.75" header="0" footer="0"/>
  <pageSetup paperSize="5" orientation="landscape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70C0"/>
  </sheetPr>
  <dimension ref="A1:O1000"/>
  <sheetViews>
    <sheetView workbookViewId="0">
      <selection sqref="A1:L1"/>
    </sheetView>
  </sheetViews>
  <sheetFormatPr defaultColWidth="14.42578125" defaultRowHeight="15" customHeight="1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17.140625" customWidth="1"/>
    <col min="8" max="8" width="12.85546875" customWidth="1"/>
    <col min="9" max="9" width="15.28515625" customWidth="1"/>
    <col min="10" max="10" width="10.7109375" customWidth="1"/>
    <col min="11" max="11" width="8.28515625" customWidth="1"/>
    <col min="12" max="12" width="18.5703125" customWidth="1"/>
    <col min="13" max="26" width="8.7109375" customWidth="1"/>
  </cols>
  <sheetData>
    <row r="1" spans="1:15" ht="23.25">
      <c r="A1" s="555" t="s">
        <v>0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</row>
    <row r="2" spans="1:15" ht="18">
      <c r="A2" s="604" t="s">
        <v>4456</v>
      </c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</row>
    <row r="3" spans="1:15">
      <c r="A3" s="2"/>
      <c r="B3" s="3"/>
      <c r="C3" s="71"/>
      <c r="D3" s="3"/>
      <c r="E3" s="3"/>
      <c r="G3" s="3"/>
      <c r="H3" s="71"/>
      <c r="I3" s="45"/>
      <c r="J3" s="72"/>
      <c r="K3" s="557" t="s">
        <v>4457</v>
      </c>
      <c r="L3" s="558"/>
    </row>
    <row r="4" spans="1:15">
      <c r="A4" s="2"/>
      <c r="B4" s="3"/>
      <c r="C4" s="71"/>
      <c r="D4" s="3"/>
      <c r="E4" s="3"/>
      <c r="G4" s="3"/>
      <c r="H4" s="71"/>
      <c r="I4" s="45"/>
      <c r="J4" s="72"/>
      <c r="K4" s="73" t="s">
        <v>4458</v>
      </c>
      <c r="L4" s="294">
        <v>2</v>
      </c>
    </row>
    <row r="5" spans="1:15">
      <c r="A5" s="2"/>
      <c r="B5" s="3"/>
      <c r="C5" s="71"/>
      <c r="D5" s="3"/>
      <c r="E5" s="3"/>
      <c r="G5" s="3"/>
      <c r="H5" s="71"/>
      <c r="I5" s="45"/>
      <c r="J5" s="72"/>
      <c r="K5" s="73" t="s">
        <v>4459</v>
      </c>
      <c r="L5" s="294">
        <v>1</v>
      </c>
    </row>
    <row r="6" spans="1:15" ht="18">
      <c r="A6" s="567" t="s">
        <v>360</v>
      </c>
      <c r="B6" s="560"/>
      <c r="C6" s="75"/>
      <c r="D6" s="3"/>
      <c r="E6" s="10"/>
      <c r="F6" s="76"/>
      <c r="G6" s="3"/>
      <c r="H6" s="71"/>
      <c r="I6" s="45"/>
      <c r="J6" s="72"/>
      <c r="K6" s="77" t="s">
        <v>4460</v>
      </c>
      <c r="L6" s="53"/>
    </row>
    <row r="7" spans="1:15">
      <c r="A7" s="11"/>
      <c r="B7" s="12"/>
      <c r="C7" s="78" t="s">
        <v>362</v>
      </c>
      <c r="D7" s="14"/>
      <c r="E7" s="14"/>
      <c r="F7" s="79" t="s">
        <v>363</v>
      </c>
      <c r="G7" s="78" t="s">
        <v>364</v>
      </c>
      <c r="H7" s="563" t="s">
        <v>365</v>
      </c>
      <c r="I7" s="558"/>
      <c r="J7" s="80"/>
      <c r="K7" s="550" t="s">
        <v>8</v>
      </c>
      <c r="L7" s="551"/>
    </row>
    <row r="8" spans="1:15">
      <c r="A8" s="565" t="s">
        <v>366</v>
      </c>
      <c r="B8" s="566"/>
      <c r="C8" s="79" t="s">
        <v>367</v>
      </c>
      <c r="D8" s="17" t="s">
        <v>11</v>
      </c>
      <c r="E8" s="18" t="s">
        <v>12</v>
      </c>
      <c r="F8" s="79" t="s">
        <v>368</v>
      </c>
      <c r="G8" s="81" t="s">
        <v>369</v>
      </c>
      <c r="H8" s="82"/>
      <c r="I8" s="83" t="s">
        <v>14</v>
      </c>
      <c r="J8" s="84" t="s">
        <v>15</v>
      </c>
      <c r="K8" s="24"/>
      <c r="L8" s="85"/>
    </row>
    <row r="9" spans="1:15">
      <c r="A9" s="25"/>
      <c r="B9" s="26"/>
      <c r="C9" s="79" t="s">
        <v>370</v>
      </c>
      <c r="D9" s="27"/>
      <c r="E9" s="26"/>
      <c r="F9" s="79" t="s">
        <v>371</v>
      </c>
      <c r="G9" s="81" t="s">
        <v>372</v>
      </c>
      <c r="H9" s="86" t="s">
        <v>17</v>
      </c>
      <c r="I9" s="83" t="s">
        <v>18</v>
      </c>
      <c r="J9" s="87"/>
      <c r="K9" s="17" t="s">
        <v>19</v>
      </c>
      <c r="L9" s="17" t="s">
        <v>20</v>
      </c>
    </row>
    <row r="10" spans="1:15">
      <c r="A10" s="30"/>
      <c r="B10" s="31"/>
      <c r="C10" s="88"/>
      <c r="D10" s="33"/>
      <c r="E10" s="33"/>
      <c r="F10" s="89" t="s">
        <v>373</v>
      </c>
      <c r="G10" s="38"/>
      <c r="H10" s="90"/>
      <c r="I10" s="91" t="s">
        <v>374</v>
      </c>
      <c r="J10" s="92"/>
      <c r="K10" s="34"/>
      <c r="L10" s="38" t="s">
        <v>22</v>
      </c>
    </row>
    <row r="11" spans="1:15">
      <c r="A11" s="39" t="s">
        <v>23</v>
      </c>
      <c r="B11" s="57"/>
      <c r="C11" s="93"/>
      <c r="D11" s="57"/>
      <c r="E11" s="57"/>
      <c r="F11" s="40"/>
      <c r="G11" s="57"/>
      <c r="H11" s="93"/>
      <c r="I11" s="44"/>
      <c r="J11" s="94"/>
      <c r="K11" s="40"/>
      <c r="L11" s="40"/>
    </row>
    <row r="12" spans="1:15">
      <c r="A12" s="494">
        <v>11</v>
      </c>
      <c r="B12" s="277" t="s">
        <v>1983</v>
      </c>
      <c r="C12" s="277"/>
      <c r="D12" s="277"/>
      <c r="E12" s="277" t="s">
        <v>78</v>
      </c>
      <c r="F12" s="495" t="s">
        <v>2882</v>
      </c>
      <c r="G12" s="496" t="s">
        <v>1984</v>
      </c>
      <c r="H12" s="497" t="s">
        <v>29</v>
      </c>
      <c r="I12" s="498">
        <v>7000</v>
      </c>
      <c r="J12" s="499" t="s">
        <v>101</v>
      </c>
      <c r="K12" s="500" t="s">
        <v>30</v>
      </c>
      <c r="L12" s="277" t="s">
        <v>31</v>
      </c>
      <c r="M12" s="208" t="s">
        <v>161</v>
      </c>
    </row>
    <row r="13" spans="1:15">
      <c r="A13" s="501">
        <v>17</v>
      </c>
      <c r="B13" s="502" t="s">
        <v>392</v>
      </c>
      <c r="C13" s="503"/>
      <c r="D13" s="502"/>
      <c r="E13" s="502" t="s">
        <v>394</v>
      </c>
      <c r="F13" s="503"/>
      <c r="G13" s="502" t="s">
        <v>395</v>
      </c>
      <c r="H13" s="504" t="s">
        <v>29</v>
      </c>
      <c r="I13" s="505">
        <v>6000</v>
      </c>
      <c r="J13" s="503" t="s">
        <v>101</v>
      </c>
      <c r="K13" s="502" t="s">
        <v>30</v>
      </c>
      <c r="L13" s="503" t="s">
        <v>31</v>
      </c>
      <c r="M13" s="208" t="s">
        <v>161</v>
      </c>
      <c r="O13" s="65"/>
    </row>
    <row r="14" spans="1:15">
      <c r="A14" s="431">
        <v>22</v>
      </c>
      <c r="B14" s="439" t="s">
        <v>1048</v>
      </c>
      <c r="C14" s="439"/>
      <c r="D14" s="439"/>
      <c r="E14" s="439" t="s">
        <v>1049</v>
      </c>
      <c r="F14" s="40"/>
      <c r="G14" s="439" t="s">
        <v>4461</v>
      </c>
      <c r="H14" s="506" t="s">
        <v>29</v>
      </c>
      <c r="I14" s="200">
        <v>11900</v>
      </c>
      <c r="J14" s="507" t="s">
        <v>101</v>
      </c>
      <c r="K14" s="439" t="s">
        <v>30</v>
      </c>
      <c r="L14" s="439" t="s">
        <v>31</v>
      </c>
      <c r="O14" s="65">
        <f>I14+I15</f>
        <v>41900</v>
      </c>
    </row>
    <row r="15" spans="1:15">
      <c r="A15" s="431">
        <v>23</v>
      </c>
      <c r="B15" s="439" t="s">
        <v>1983</v>
      </c>
      <c r="C15" s="40"/>
      <c r="D15" s="439"/>
      <c r="E15" s="439" t="s">
        <v>78</v>
      </c>
      <c r="F15" s="49" t="s">
        <v>2882</v>
      </c>
      <c r="G15" s="439" t="s">
        <v>1984</v>
      </c>
      <c r="H15" s="508" t="s">
        <v>29</v>
      </c>
      <c r="I15" s="200">
        <v>30000</v>
      </c>
      <c r="J15" s="40" t="s">
        <v>101</v>
      </c>
      <c r="K15" s="439" t="s">
        <v>30</v>
      </c>
      <c r="L15" s="439" t="s">
        <v>31</v>
      </c>
      <c r="O15" s="65"/>
    </row>
    <row r="16" spans="1:15">
      <c r="I16" s="63"/>
      <c r="J16" s="63"/>
    </row>
    <row r="17" spans="2:10">
      <c r="I17" s="111" t="s">
        <v>335</v>
      </c>
      <c r="J17" s="63"/>
    </row>
    <row r="18" spans="2:10">
      <c r="I18" s="63" t="s">
        <v>338</v>
      </c>
      <c r="J18" s="63"/>
    </row>
    <row r="19" spans="2:10">
      <c r="B19" s="157" t="s">
        <v>336</v>
      </c>
      <c r="E19" s="157" t="s">
        <v>337</v>
      </c>
      <c r="I19" s="63" t="s">
        <v>340</v>
      </c>
      <c r="J19" s="291">
        <v>37800</v>
      </c>
    </row>
    <row r="20" spans="2:10">
      <c r="I20" s="63" t="s">
        <v>342</v>
      </c>
      <c r="J20" s="292">
        <v>0</v>
      </c>
    </row>
    <row r="21" spans="2:10" ht="15.75" customHeight="1">
      <c r="I21" s="63" t="s">
        <v>4462</v>
      </c>
      <c r="J21" s="292">
        <v>20</v>
      </c>
    </row>
    <row r="22" spans="2:10" ht="15.75" customHeight="1">
      <c r="B22" s="70" t="s">
        <v>343</v>
      </c>
      <c r="E22" s="568" t="s">
        <v>344</v>
      </c>
      <c r="F22" s="553"/>
      <c r="G22" s="553"/>
      <c r="H22" s="553"/>
      <c r="I22" s="63" t="s">
        <v>349</v>
      </c>
      <c r="J22" s="292">
        <v>0</v>
      </c>
    </row>
    <row r="23" spans="2:10" ht="15.75" customHeight="1">
      <c r="B23" s="157" t="s">
        <v>347</v>
      </c>
      <c r="E23" s="552" t="s">
        <v>348</v>
      </c>
      <c r="F23" s="553"/>
      <c r="G23" s="553"/>
      <c r="H23" s="553"/>
      <c r="I23" s="63" t="s">
        <v>406</v>
      </c>
      <c r="J23" s="292">
        <v>0</v>
      </c>
    </row>
    <row r="24" spans="2:10" ht="15.75" customHeight="1">
      <c r="I24" s="63" t="s">
        <v>353</v>
      </c>
      <c r="J24" s="293"/>
    </row>
    <row r="25" spans="2:10" ht="15.75" customHeight="1">
      <c r="I25" s="4" t="s">
        <v>407</v>
      </c>
      <c r="J25" s="291"/>
    </row>
    <row r="26" spans="2:10" ht="15.75" customHeight="1">
      <c r="I26" s="4" t="s">
        <v>4463</v>
      </c>
      <c r="J26" s="291"/>
    </row>
    <row r="27" spans="2:10" ht="15.75" customHeight="1"/>
    <row r="28" spans="2:10" ht="15.75" customHeight="1"/>
    <row r="29" spans="2:10" ht="15.75" customHeight="1"/>
    <row r="30" spans="2:10" ht="15.75" customHeight="1"/>
    <row r="31" spans="2:10" ht="15.75" customHeight="1"/>
    <row r="32" spans="2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E22:H22"/>
    <mergeCell ref="E23:H23"/>
    <mergeCell ref="A1:L1"/>
    <mergeCell ref="A2:L2"/>
    <mergeCell ref="K3:L3"/>
    <mergeCell ref="A6:B6"/>
    <mergeCell ref="H7:I7"/>
    <mergeCell ref="K7:L7"/>
    <mergeCell ref="A8:B8"/>
  </mergeCells>
  <printOptions horizontalCentered="1"/>
  <pageMargins left="0.25" right="0.25" top="0.75" bottom="0.75" header="0" footer="0"/>
  <pageSetup scale="90" orientation="landscape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70C0"/>
  </sheetPr>
  <dimension ref="A1:Z1000"/>
  <sheetViews>
    <sheetView workbookViewId="0">
      <selection sqref="A1:I1"/>
    </sheetView>
  </sheetViews>
  <sheetFormatPr defaultColWidth="14.42578125" defaultRowHeight="15" customHeight="1"/>
  <cols>
    <col min="1" max="1" width="4.7109375" customWidth="1"/>
    <col min="2" max="2" width="26.5703125" customWidth="1"/>
    <col min="3" max="3" width="7.28515625" customWidth="1"/>
    <col min="4" max="4" width="16.140625" customWidth="1"/>
    <col min="5" max="5" width="14.5703125" customWidth="1"/>
    <col min="6" max="6" width="14.28515625" customWidth="1"/>
    <col min="7" max="7" width="14" customWidth="1"/>
    <col min="8" max="8" width="16.42578125" customWidth="1"/>
    <col min="9" max="9" width="16.85546875" customWidth="1"/>
    <col min="10" max="10" width="9.5703125" customWidth="1"/>
    <col min="11" max="11" width="17.85546875" customWidth="1"/>
    <col min="12" max="12" width="8.7109375" customWidth="1"/>
    <col min="13" max="13" width="11.5703125" customWidth="1"/>
    <col min="14" max="26" width="8.7109375" customWidth="1"/>
  </cols>
  <sheetData>
    <row r="1" spans="1:13" ht="23.25">
      <c r="A1" s="555" t="s">
        <v>0</v>
      </c>
      <c r="B1" s="553"/>
      <c r="C1" s="553"/>
      <c r="D1" s="553"/>
      <c r="E1" s="553"/>
      <c r="F1" s="553"/>
      <c r="G1" s="553"/>
      <c r="H1" s="553"/>
      <c r="I1" s="553"/>
      <c r="J1" s="8"/>
      <c r="K1" s="1"/>
    </row>
    <row r="2" spans="1:13" ht="18">
      <c r="A2" s="2"/>
      <c r="B2" s="3"/>
      <c r="C2" s="604" t="s">
        <v>4464</v>
      </c>
      <c r="D2" s="553"/>
      <c r="E2" s="553"/>
      <c r="F2" s="553"/>
      <c r="G2" s="553"/>
      <c r="H2" s="5"/>
      <c r="I2" s="6"/>
      <c r="J2" s="509"/>
      <c r="K2" s="76"/>
    </row>
    <row r="3" spans="1:13">
      <c r="A3" s="2"/>
      <c r="B3" s="3"/>
      <c r="C3" s="4"/>
      <c r="D3" s="3"/>
      <c r="E3" s="3"/>
      <c r="F3" s="1"/>
      <c r="G3" s="4"/>
      <c r="H3" s="5"/>
      <c r="I3" s="6"/>
      <c r="J3" s="442" t="s">
        <v>4465</v>
      </c>
      <c r="K3" s="472"/>
    </row>
    <row r="4" spans="1:13">
      <c r="A4" s="2"/>
      <c r="B4" s="3"/>
      <c r="C4" s="4"/>
      <c r="D4" s="3"/>
      <c r="E4" s="3"/>
      <c r="F4" s="1"/>
      <c r="G4" s="4"/>
      <c r="H4" s="5"/>
      <c r="I4" s="7"/>
      <c r="J4" s="8" t="s">
        <v>3</v>
      </c>
      <c r="K4" s="248">
        <v>154</v>
      </c>
    </row>
    <row r="5" spans="1:13">
      <c r="A5" s="2"/>
      <c r="B5" s="3"/>
      <c r="C5" s="4"/>
      <c r="D5" s="3"/>
      <c r="E5" s="3"/>
      <c r="F5" s="1"/>
      <c r="G5" s="4"/>
      <c r="H5" s="5"/>
      <c r="I5" s="7"/>
      <c r="J5" s="8" t="s">
        <v>4</v>
      </c>
      <c r="K5" s="248">
        <v>34</v>
      </c>
    </row>
    <row r="6" spans="1:13">
      <c r="A6" s="559" t="s">
        <v>5</v>
      </c>
      <c r="B6" s="560"/>
      <c r="C6" s="4"/>
      <c r="D6" s="3"/>
      <c r="E6" s="10"/>
      <c r="F6" s="1"/>
      <c r="G6" s="4"/>
      <c r="H6" s="5"/>
      <c r="I6" s="6"/>
      <c r="J6" s="77" t="s">
        <v>4466</v>
      </c>
      <c r="K6" s="473"/>
    </row>
    <row r="7" spans="1:13">
      <c r="A7" s="11"/>
      <c r="B7" s="12"/>
      <c r="C7" s="13"/>
      <c r="D7" s="14"/>
      <c r="E7" s="14"/>
      <c r="F7" s="563" t="s">
        <v>7</v>
      </c>
      <c r="G7" s="564"/>
      <c r="H7" s="558"/>
      <c r="I7" s="15"/>
      <c r="J7" s="550" t="s">
        <v>8</v>
      </c>
      <c r="K7" s="551"/>
    </row>
    <row r="8" spans="1:13">
      <c r="A8" s="565" t="s">
        <v>9</v>
      </c>
      <c r="B8" s="566"/>
      <c r="C8" s="16" t="s">
        <v>10</v>
      </c>
      <c r="D8" s="17" t="s">
        <v>11</v>
      </c>
      <c r="E8" s="18" t="s">
        <v>12</v>
      </c>
      <c r="F8" s="19" t="s">
        <v>13</v>
      </c>
      <c r="G8" s="20"/>
      <c r="H8" s="21" t="s">
        <v>14</v>
      </c>
      <c r="I8" s="22" t="s">
        <v>15</v>
      </c>
      <c r="J8" s="23"/>
      <c r="K8" s="24"/>
    </row>
    <row r="9" spans="1:13">
      <c r="A9" s="25"/>
      <c r="B9" s="26"/>
      <c r="C9" s="20"/>
      <c r="D9" s="27"/>
      <c r="E9" s="26"/>
      <c r="F9" s="28" t="s">
        <v>16</v>
      </c>
      <c r="G9" s="16" t="s">
        <v>17</v>
      </c>
      <c r="H9" s="21" t="s">
        <v>18</v>
      </c>
      <c r="I9" s="29"/>
      <c r="J9" s="17" t="s">
        <v>19</v>
      </c>
      <c r="K9" s="17" t="s">
        <v>20</v>
      </c>
    </row>
    <row r="10" spans="1:13">
      <c r="A10" s="30"/>
      <c r="B10" s="31"/>
      <c r="C10" s="32"/>
      <c r="D10" s="33"/>
      <c r="E10" s="33"/>
      <c r="F10" s="34"/>
      <c r="G10" s="35"/>
      <c r="H10" s="36" t="s">
        <v>21</v>
      </c>
      <c r="I10" s="37"/>
      <c r="J10" s="34"/>
      <c r="K10" s="38" t="s">
        <v>22</v>
      </c>
    </row>
    <row r="11" spans="1:13">
      <c r="A11" s="510" t="s">
        <v>23</v>
      </c>
      <c r="B11" s="40"/>
      <c r="C11" s="40"/>
      <c r="D11" s="40"/>
      <c r="E11" s="40"/>
      <c r="F11" s="40"/>
      <c r="G11" s="40"/>
      <c r="H11" s="40"/>
      <c r="I11" s="41"/>
      <c r="J11" s="40"/>
      <c r="K11" s="40"/>
    </row>
    <row r="12" spans="1:13">
      <c r="A12" s="42">
        <v>4</v>
      </c>
      <c r="B12" s="40" t="s">
        <v>4467</v>
      </c>
      <c r="C12" s="40" t="s">
        <v>25</v>
      </c>
      <c r="D12" s="40" t="s">
        <v>1262</v>
      </c>
      <c r="E12" s="40" t="s">
        <v>60</v>
      </c>
      <c r="F12" s="40"/>
      <c r="G12" s="40" t="s">
        <v>29</v>
      </c>
      <c r="H12" s="44">
        <v>1500</v>
      </c>
      <c r="I12" s="41">
        <v>300</v>
      </c>
      <c r="J12" s="40" t="s">
        <v>30</v>
      </c>
      <c r="K12" s="40" t="s">
        <v>31</v>
      </c>
      <c r="M12" s="157">
        <v>250</v>
      </c>
    </row>
    <row r="13" spans="1:13">
      <c r="A13" s="42">
        <v>4</v>
      </c>
      <c r="B13" s="40" t="s">
        <v>3598</v>
      </c>
      <c r="C13" s="40" t="s">
        <v>25</v>
      </c>
      <c r="D13" s="40" t="s">
        <v>2459</v>
      </c>
      <c r="E13" s="40" t="s">
        <v>46</v>
      </c>
      <c r="F13" s="40"/>
      <c r="G13" s="40" t="s">
        <v>29</v>
      </c>
      <c r="H13" s="44">
        <v>400</v>
      </c>
      <c r="I13" s="41">
        <v>80</v>
      </c>
      <c r="J13" s="40" t="s">
        <v>30</v>
      </c>
      <c r="K13" s="40" t="s">
        <v>31</v>
      </c>
      <c r="M13" s="157">
        <v>80</v>
      </c>
    </row>
    <row r="14" spans="1:13">
      <c r="A14" s="42">
        <v>4</v>
      </c>
      <c r="B14" s="40" t="s">
        <v>1204</v>
      </c>
      <c r="C14" s="40" t="s">
        <v>25</v>
      </c>
      <c r="D14" s="40" t="s">
        <v>548</v>
      </c>
      <c r="E14" s="40" t="s">
        <v>42</v>
      </c>
      <c r="F14" s="40"/>
      <c r="G14" s="40" t="s">
        <v>29</v>
      </c>
      <c r="H14" s="44">
        <v>250</v>
      </c>
      <c r="I14" s="41">
        <v>75</v>
      </c>
      <c r="J14" s="40" t="s">
        <v>30</v>
      </c>
      <c r="K14" s="40" t="s">
        <v>31</v>
      </c>
      <c r="M14" s="157">
        <v>75</v>
      </c>
    </row>
    <row r="15" spans="1:13">
      <c r="A15" s="42">
        <v>4</v>
      </c>
      <c r="B15" s="40" t="s">
        <v>2663</v>
      </c>
      <c r="C15" s="40" t="s">
        <v>25</v>
      </c>
      <c r="D15" s="40" t="s">
        <v>947</v>
      </c>
      <c r="E15" s="40" t="s">
        <v>42</v>
      </c>
      <c r="F15" s="40"/>
      <c r="G15" s="40" t="s">
        <v>29</v>
      </c>
      <c r="H15" s="44">
        <v>400</v>
      </c>
      <c r="I15" s="41">
        <v>80</v>
      </c>
      <c r="J15" s="40" t="s">
        <v>30</v>
      </c>
      <c r="K15" s="40" t="s">
        <v>31</v>
      </c>
      <c r="M15" s="157">
        <v>80</v>
      </c>
    </row>
    <row r="16" spans="1:13">
      <c r="A16" s="42">
        <v>4</v>
      </c>
      <c r="B16" s="40" t="s">
        <v>1636</v>
      </c>
      <c r="C16" s="40" t="s">
        <v>25</v>
      </c>
      <c r="D16" s="40" t="s">
        <v>4468</v>
      </c>
      <c r="E16" s="40" t="s">
        <v>318</v>
      </c>
      <c r="F16" s="40"/>
      <c r="G16" s="40" t="s">
        <v>29</v>
      </c>
      <c r="H16" s="44">
        <v>300</v>
      </c>
      <c r="I16" s="41">
        <v>60</v>
      </c>
      <c r="J16" s="40" t="s">
        <v>30</v>
      </c>
      <c r="K16" s="40" t="s">
        <v>31</v>
      </c>
      <c r="M16" s="157">
        <v>300</v>
      </c>
    </row>
    <row r="17" spans="1:13">
      <c r="A17" s="42">
        <v>4</v>
      </c>
      <c r="B17" s="40" t="s">
        <v>4469</v>
      </c>
      <c r="C17" s="40" t="s">
        <v>25</v>
      </c>
      <c r="D17" s="40" t="s">
        <v>1418</v>
      </c>
      <c r="E17" s="40" t="s">
        <v>284</v>
      </c>
      <c r="F17" s="40"/>
      <c r="G17" s="40" t="s">
        <v>29</v>
      </c>
      <c r="H17" s="44">
        <v>150</v>
      </c>
      <c r="I17" s="41">
        <v>45</v>
      </c>
      <c r="J17" s="40" t="s">
        <v>30</v>
      </c>
      <c r="K17" s="40" t="s">
        <v>31</v>
      </c>
    </row>
    <row r="18" spans="1:13">
      <c r="A18" s="42">
        <v>4</v>
      </c>
      <c r="B18" s="40" t="s">
        <v>4470</v>
      </c>
      <c r="C18" s="40" t="s">
        <v>25</v>
      </c>
      <c r="D18" s="40" t="s">
        <v>1831</v>
      </c>
      <c r="E18" s="40" t="s">
        <v>311</v>
      </c>
      <c r="F18" s="40"/>
      <c r="G18" s="40" t="s">
        <v>321</v>
      </c>
      <c r="H18" s="44">
        <v>53</v>
      </c>
      <c r="I18" s="41">
        <v>159</v>
      </c>
      <c r="J18" s="40"/>
      <c r="K18" s="40" t="s">
        <v>31</v>
      </c>
    </row>
    <row r="19" spans="1:13">
      <c r="A19" s="42">
        <v>4</v>
      </c>
      <c r="B19" s="40" t="s">
        <v>4471</v>
      </c>
      <c r="C19" s="40" t="s">
        <v>25</v>
      </c>
      <c r="D19" s="40" t="s">
        <v>1190</v>
      </c>
      <c r="E19" s="40" t="s">
        <v>42</v>
      </c>
      <c r="F19" s="40"/>
      <c r="G19" s="40" t="s">
        <v>29</v>
      </c>
      <c r="H19" s="44">
        <v>200</v>
      </c>
      <c r="I19" s="41">
        <v>40</v>
      </c>
      <c r="J19" s="40" t="s">
        <v>30</v>
      </c>
      <c r="K19" s="40" t="s">
        <v>31</v>
      </c>
    </row>
    <row r="20" spans="1:13">
      <c r="A20" s="42">
        <v>4</v>
      </c>
      <c r="B20" s="40" t="s">
        <v>4472</v>
      </c>
      <c r="C20" s="40" t="s">
        <v>59</v>
      </c>
      <c r="D20" s="40" t="s">
        <v>89</v>
      </c>
      <c r="E20" s="40" t="s">
        <v>46</v>
      </c>
      <c r="F20" s="40"/>
      <c r="G20" s="40" t="s">
        <v>29</v>
      </c>
      <c r="H20" s="44">
        <v>750</v>
      </c>
      <c r="I20" s="41">
        <v>150</v>
      </c>
      <c r="J20" s="40" t="s">
        <v>30</v>
      </c>
      <c r="K20" s="40" t="s">
        <v>31</v>
      </c>
    </row>
    <row r="21" spans="1:13" ht="15.75" customHeight="1">
      <c r="A21" s="42">
        <v>4</v>
      </c>
      <c r="B21" s="40" t="s">
        <v>741</v>
      </c>
      <c r="C21" s="40" t="s">
        <v>25</v>
      </c>
      <c r="D21" s="40" t="s">
        <v>742</v>
      </c>
      <c r="E21" s="40" t="s">
        <v>311</v>
      </c>
      <c r="F21" s="40"/>
      <c r="G21" s="40" t="s">
        <v>29</v>
      </c>
      <c r="H21" s="44">
        <v>700</v>
      </c>
      <c r="I21" s="41">
        <v>140</v>
      </c>
      <c r="J21" s="40" t="s">
        <v>30</v>
      </c>
      <c r="K21" s="40" t="s">
        <v>31</v>
      </c>
    </row>
    <row r="22" spans="1:13" ht="15.75" customHeight="1">
      <c r="A22" s="42">
        <v>4</v>
      </c>
      <c r="B22" s="40" t="s">
        <v>4473</v>
      </c>
      <c r="C22" s="40" t="s">
        <v>25</v>
      </c>
      <c r="D22" s="40" t="s">
        <v>4474</v>
      </c>
      <c r="E22" s="40" t="s">
        <v>38</v>
      </c>
      <c r="F22" s="40"/>
      <c r="G22" s="40" t="s">
        <v>29</v>
      </c>
      <c r="H22" s="44">
        <v>250</v>
      </c>
      <c r="I22" s="41">
        <v>75</v>
      </c>
      <c r="J22" s="40" t="s">
        <v>30</v>
      </c>
      <c r="K22" s="40" t="s">
        <v>31</v>
      </c>
      <c r="M22" s="157">
        <v>50</v>
      </c>
    </row>
    <row r="23" spans="1:13" ht="15.75" customHeight="1">
      <c r="A23" s="42">
        <v>4</v>
      </c>
      <c r="B23" s="40" t="s">
        <v>4475</v>
      </c>
      <c r="C23" s="40" t="s">
        <v>25</v>
      </c>
      <c r="D23" s="40" t="s">
        <v>843</v>
      </c>
      <c r="E23" s="40" t="s">
        <v>533</v>
      </c>
      <c r="F23" s="40"/>
      <c r="G23" s="40" t="s">
        <v>29</v>
      </c>
      <c r="H23" s="44">
        <v>400</v>
      </c>
      <c r="I23" s="41">
        <v>120</v>
      </c>
      <c r="J23" s="40" t="s">
        <v>30</v>
      </c>
      <c r="K23" s="40" t="s">
        <v>31</v>
      </c>
      <c r="M23" s="157">
        <v>300</v>
      </c>
    </row>
    <row r="24" spans="1:13" ht="15.75" customHeight="1">
      <c r="A24" s="42">
        <v>4</v>
      </c>
      <c r="B24" s="40" t="s">
        <v>4476</v>
      </c>
      <c r="C24" s="40" t="s">
        <v>59</v>
      </c>
      <c r="D24" s="40" t="s">
        <v>2451</v>
      </c>
      <c r="E24" s="40" t="s">
        <v>96</v>
      </c>
      <c r="F24" s="40"/>
      <c r="G24" s="40" t="s">
        <v>142</v>
      </c>
      <c r="H24" s="44">
        <v>30</v>
      </c>
      <c r="I24" s="41" t="s">
        <v>101</v>
      </c>
      <c r="J24" s="40"/>
      <c r="K24" s="40" t="s">
        <v>31</v>
      </c>
    </row>
    <row r="25" spans="1:13" ht="15.75" customHeight="1">
      <c r="A25" s="42">
        <v>4</v>
      </c>
      <c r="B25" s="40" t="s">
        <v>1732</v>
      </c>
      <c r="C25" s="40" t="s">
        <v>25</v>
      </c>
      <c r="D25" s="40" t="s">
        <v>2459</v>
      </c>
      <c r="E25" s="40" t="s">
        <v>46</v>
      </c>
      <c r="F25" s="40"/>
      <c r="G25" s="40" t="s">
        <v>29</v>
      </c>
      <c r="H25" s="44">
        <v>1000</v>
      </c>
      <c r="I25" s="41">
        <v>200</v>
      </c>
      <c r="J25" s="40" t="s">
        <v>30</v>
      </c>
      <c r="K25" s="40" t="s">
        <v>31</v>
      </c>
    </row>
    <row r="26" spans="1:13" ht="15.75" customHeight="1">
      <c r="A26" s="42">
        <v>4</v>
      </c>
      <c r="B26" s="40" t="s">
        <v>4477</v>
      </c>
      <c r="C26" s="40" t="s">
        <v>25</v>
      </c>
      <c r="D26" s="40" t="s">
        <v>68</v>
      </c>
      <c r="E26" s="40" t="s">
        <v>38</v>
      </c>
      <c r="F26" s="40"/>
      <c r="G26" s="40" t="s">
        <v>29</v>
      </c>
      <c r="H26" s="44">
        <v>1000</v>
      </c>
      <c r="I26" s="41">
        <v>200</v>
      </c>
      <c r="J26" s="40" t="s">
        <v>30</v>
      </c>
      <c r="K26" s="40" t="s">
        <v>31</v>
      </c>
      <c r="M26" s="157">
        <v>200</v>
      </c>
    </row>
    <row r="27" spans="1:13" ht="15.75" customHeight="1">
      <c r="A27" s="42">
        <v>4</v>
      </c>
      <c r="B27" s="40" t="s">
        <v>3968</v>
      </c>
      <c r="C27" s="40" t="s">
        <v>59</v>
      </c>
      <c r="D27" s="40" t="s">
        <v>99</v>
      </c>
      <c r="E27" s="40" t="s">
        <v>42</v>
      </c>
      <c r="F27" s="40"/>
      <c r="G27" s="40" t="s">
        <v>29</v>
      </c>
      <c r="H27" s="44">
        <v>1000</v>
      </c>
      <c r="I27" s="41">
        <v>200</v>
      </c>
      <c r="J27" s="40" t="s">
        <v>30</v>
      </c>
      <c r="K27" s="40" t="s">
        <v>31</v>
      </c>
      <c r="M27" s="157">
        <v>300</v>
      </c>
    </row>
    <row r="28" spans="1:13" ht="15.75" customHeight="1">
      <c r="A28" s="42">
        <v>4</v>
      </c>
      <c r="B28" s="40" t="s">
        <v>4478</v>
      </c>
      <c r="C28" s="40" t="s">
        <v>25</v>
      </c>
      <c r="D28" s="40" t="s">
        <v>2233</v>
      </c>
      <c r="E28" s="40" t="s">
        <v>50</v>
      </c>
      <c r="F28" s="40"/>
      <c r="G28" s="40" t="s">
        <v>29</v>
      </c>
      <c r="H28" s="44">
        <v>1000</v>
      </c>
      <c r="I28" s="41">
        <v>200</v>
      </c>
      <c r="J28" s="40" t="s">
        <v>30</v>
      </c>
      <c r="K28" s="40" t="s">
        <v>31</v>
      </c>
      <c r="M28" s="157">
        <v>450</v>
      </c>
    </row>
    <row r="29" spans="1:13" ht="15.75" customHeight="1">
      <c r="A29" s="42">
        <v>4</v>
      </c>
      <c r="B29" s="40" t="s">
        <v>4479</v>
      </c>
      <c r="C29" s="40" t="s">
        <v>25</v>
      </c>
      <c r="D29" s="40" t="s">
        <v>2233</v>
      </c>
      <c r="E29" s="40" t="s">
        <v>50</v>
      </c>
      <c r="F29" s="40"/>
      <c r="G29" s="40" t="s">
        <v>29</v>
      </c>
      <c r="H29" s="44">
        <v>1000</v>
      </c>
      <c r="I29" s="41">
        <v>200</v>
      </c>
      <c r="J29" s="40" t="s">
        <v>30</v>
      </c>
      <c r="K29" s="40" t="s">
        <v>31</v>
      </c>
      <c r="M29" s="157">
        <v>205</v>
      </c>
    </row>
    <row r="30" spans="1:13" ht="15.75" customHeight="1">
      <c r="A30" s="42">
        <v>4</v>
      </c>
      <c r="B30" s="40" t="s">
        <v>4480</v>
      </c>
      <c r="C30" s="40" t="s">
        <v>25</v>
      </c>
      <c r="D30" s="40" t="s">
        <v>1143</v>
      </c>
      <c r="E30" s="40" t="s">
        <v>258</v>
      </c>
      <c r="F30" s="40"/>
      <c r="G30" s="40" t="s">
        <v>29</v>
      </c>
      <c r="H30" s="44">
        <v>1000</v>
      </c>
      <c r="I30" s="41">
        <v>200</v>
      </c>
      <c r="J30" s="40" t="s">
        <v>30</v>
      </c>
      <c r="K30" s="40" t="s">
        <v>31</v>
      </c>
    </row>
    <row r="31" spans="1:13" ht="15.75" customHeight="1">
      <c r="A31" s="42">
        <v>4</v>
      </c>
      <c r="B31" s="40" t="s">
        <v>4481</v>
      </c>
      <c r="C31" s="40" t="s">
        <v>25</v>
      </c>
      <c r="D31" s="40" t="s">
        <v>706</v>
      </c>
      <c r="E31" s="40" t="s">
        <v>46</v>
      </c>
      <c r="F31" s="40"/>
      <c r="G31" s="40" t="s">
        <v>29</v>
      </c>
      <c r="H31" s="44">
        <v>1000</v>
      </c>
      <c r="I31" s="41">
        <v>200</v>
      </c>
      <c r="J31" s="40" t="s">
        <v>30</v>
      </c>
      <c r="K31" s="40" t="s">
        <v>31</v>
      </c>
    </row>
    <row r="32" spans="1:13" ht="15.75" customHeight="1">
      <c r="A32" s="610">
        <v>4</v>
      </c>
      <c r="B32" s="612" t="s">
        <v>4482</v>
      </c>
      <c r="C32" s="612" t="s">
        <v>25</v>
      </c>
      <c r="D32" s="612" t="s">
        <v>4483</v>
      </c>
      <c r="E32" s="612" t="s">
        <v>4484</v>
      </c>
      <c r="F32" s="613"/>
      <c r="G32" s="40" t="s">
        <v>29</v>
      </c>
      <c r="H32" s="44">
        <v>300</v>
      </c>
      <c r="I32" s="41">
        <v>60</v>
      </c>
      <c r="J32" s="612" t="s">
        <v>30</v>
      </c>
      <c r="K32" s="612" t="s">
        <v>31</v>
      </c>
      <c r="M32" s="157">
        <v>180</v>
      </c>
    </row>
    <row r="33" spans="1:26" ht="15.75" customHeight="1">
      <c r="A33" s="571"/>
      <c r="B33" s="571"/>
      <c r="C33" s="571"/>
      <c r="D33" s="571"/>
      <c r="E33" s="571"/>
      <c r="F33" s="571"/>
      <c r="G33" s="40" t="s">
        <v>116</v>
      </c>
      <c r="H33" s="44">
        <v>1000</v>
      </c>
      <c r="I33" s="41">
        <v>1000</v>
      </c>
      <c r="J33" s="571"/>
      <c r="K33" s="571"/>
    </row>
    <row r="34" spans="1:26" ht="15.75" customHeight="1">
      <c r="A34" s="42">
        <v>4</v>
      </c>
      <c r="B34" s="40" t="s">
        <v>4485</v>
      </c>
      <c r="C34" s="40" t="s">
        <v>25</v>
      </c>
      <c r="D34" s="40" t="s">
        <v>843</v>
      </c>
      <c r="E34" s="40" t="s">
        <v>249</v>
      </c>
      <c r="F34" s="40"/>
      <c r="G34" s="40" t="s">
        <v>29</v>
      </c>
      <c r="H34" s="44">
        <v>650</v>
      </c>
      <c r="I34" s="41">
        <v>130</v>
      </c>
      <c r="J34" s="40" t="s">
        <v>30</v>
      </c>
      <c r="K34" s="40" t="s">
        <v>31</v>
      </c>
      <c r="M34" s="157">
        <v>200</v>
      </c>
    </row>
    <row r="35" spans="1:26" ht="15.75" customHeight="1">
      <c r="A35" s="42">
        <v>4</v>
      </c>
      <c r="B35" s="40" t="s">
        <v>4486</v>
      </c>
      <c r="C35" s="40" t="s">
        <v>25</v>
      </c>
      <c r="D35" s="40" t="s">
        <v>55</v>
      </c>
      <c r="E35" s="40" t="s">
        <v>96</v>
      </c>
      <c r="F35" s="40"/>
      <c r="G35" s="40" t="s">
        <v>29</v>
      </c>
      <c r="H35" s="44">
        <v>300</v>
      </c>
      <c r="I35" s="41">
        <v>60</v>
      </c>
      <c r="J35" s="40" t="s">
        <v>30</v>
      </c>
      <c r="K35" s="40" t="s">
        <v>31</v>
      </c>
    </row>
    <row r="36" spans="1:26" ht="15.75" customHeight="1">
      <c r="A36" s="42">
        <v>4</v>
      </c>
      <c r="B36" s="40" t="s">
        <v>3357</v>
      </c>
      <c r="C36" s="40" t="s">
        <v>59</v>
      </c>
      <c r="D36" s="40" t="s">
        <v>1505</v>
      </c>
      <c r="E36" s="40" t="s">
        <v>42</v>
      </c>
      <c r="F36" s="40"/>
      <c r="G36" s="40" t="s">
        <v>29</v>
      </c>
      <c r="H36" s="44">
        <v>300</v>
      </c>
      <c r="I36" s="41">
        <v>60</v>
      </c>
      <c r="J36" s="40" t="s">
        <v>30</v>
      </c>
      <c r="K36" s="40" t="s">
        <v>31</v>
      </c>
      <c r="M36" s="157">
        <v>100</v>
      </c>
    </row>
    <row r="37" spans="1:26" ht="15.75" customHeight="1">
      <c r="A37" s="42">
        <v>4</v>
      </c>
      <c r="B37" s="40" t="s">
        <v>2220</v>
      </c>
      <c r="C37" s="40" t="s">
        <v>25</v>
      </c>
      <c r="D37" s="40" t="s">
        <v>1961</v>
      </c>
      <c r="E37" s="40" t="s">
        <v>311</v>
      </c>
      <c r="F37" s="40"/>
      <c r="G37" s="40" t="s">
        <v>29</v>
      </c>
      <c r="H37" s="44">
        <v>300</v>
      </c>
      <c r="I37" s="41">
        <v>60</v>
      </c>
      <c r="J37" s="40" t="s">
        <v>30</v>
      </c>
      <c r="K37" s="40" t="s">
        <v>31</v>
      </c>
    </row>
    <row r="38" spans="1:26" ht="15.75" customHeight="1">
      <c r="A38" s="47">
        <v>4</v>
      </c>
      <c r="B38" s="48" t="s">
        <v>4487</v>
      </c>
      <c r="C38" s="48" t="s">
        <v>25</v>
      </c>
      <c r="D38" s="48" t="s">
        <v>3033</v>
      </c>
      <c r="E38" s="48" t="s">
        <v>141</v>
      </c>
      <c r="F38" s="48"/>
      <c r="G38" s="48" t="s">
        <v>29</v>
      </c>
      <c r="H38" s="50">
        <v>1250</v>
      </c>
      <c r="I38" s="51" t="s">
        <v>101</v>
      </c>
      <c r="J38" s="48" t="s">
        <v>30</v>
      </c>
      <c r="K38" s="48" t="s">
        <v>31</v>
      </c>
    </row>
    <row r="39" spans="1:26" ht="15.75" customHeight="1">
      <c r="A39" s="52">
        <v>5</v>
      </c>
      <c r="B39" s="53" t="s">
        <v>4488</v>
      </c>
      <c r="C39" s="53" t="s">
        <v>59</v>
      </c>
      <c r="D39" s="53" t="s">
        <v>581</v>
      </c>
      <c r="E39" s="53" t="s">
        <v>46</v>
      </c>
      <c r="F39" s="53"/>
      <c r="G39" s="53" t="s">
        <v>29</v>
      </c>
      <c r="H39" s="54">
        <v>500</v>
      </c>
      <c r="I39" s="55">
        <v>100</v>
      </c>
      <c r="J39" s="53" t="s">
        <v>30</v>
      </c>
      <c r="K39" s="53" t="s">
        <v>31</v>
      </c>
    </row>
    <row r="40" spans="1:26" ht="15.75" customHeight="1">
      <c r="A40" s="42">
        <v>5</v>
      </c>
      <c r="B40" s="40" t="s">
        <v>4489</v>
      </c>
      <c r="C40" s="40" t="s">
        <v>25</v>
      </c>
      <c r="D40" s="40" t="s">
        <v>77</v>
      </c>
      <c r="E40" s="40" t="s">
        <v>78</v>
      </c>
      <c r="F40" s="40"/>
      <c r="G40" s="40" t="s">
        <v>29</v>
      </c>
      <c r="H40" s="44">
        <v>500</v>
      </c>
      <c r="I40" s="41">
        <v>100</v>
      </c>
      <c r="J40" s="40" t="s">
        <v>30</v>
      </c>
      <c r="K40" s="40" t="s">
        <v>31</v>
      </c>
    </row>
    <row r="41" spans="1:26" ht="15.75" customHeight="1">
      <c r="A41" s="42">
        <v>5</v>
      </c>
      <c r="B41" s="40" t="s">
        <v>4490</v>
      </c>
      <c r="C41" s="40" t="s">
        <v>25</v>
      </c>
      <c r="D41" s="40" t="s">
        <v>843</v>
      </c>
      <c r="E41" s="40" t="s">
        <v>249</v>
      </c>
      <c r="F41" s="40"/>
      <c r="G41" s="40" t="s">
        <v>29</v>
      </c>
      <c r="H41" s="44">
        <v>500</v>
      </c>
      <c r="I41" s="41">
        <v>100</v>
      </c>
      <c r="J41" s="40" t="s">
        <v>30</v>
      </c>
      <c r="K41" s="40" t="s">
        <v>31</v>
      </c>
      <c r="L41" s="45"/>
    </row>
    <row r="42" spans="1:26" ht="15.75" customHeight="1">
      <c r="A42" s="42">
        <v>5</v>
      </c>
      <c r="B42" s="40" t="s">
        <v>4491</v>
      </c>
      <c r="C42" s="40" t="s">
        <v>25</v>
      </c>
      <c r="D42" s="40" t="s">
        <v>600</v>
      </c>
      <c r="E42" s="40" t="s">
        <v>60</v>
      </c>
      <c r="F42" s="40"/>
      <c r="G42" s="40" t="s">
        <v>29</v>
      </c>
      <c r="H42" s="44">
        <v>500</v>
      </c>
      <c r="I42" s="41">
        <v>100</v>
      </c>
      <c r="J42" s="40" t="s">
        <v>30</v>
      </c>
      <c r="K42" s="40" t="s">
        <v>31</v>
      </c>
    </row>
    <row r="43" spans="1:26" ht="15.75" customHeight="1">
      <c r="A43" s="42">
        <v>5</v>
      </c>
      <c r="B43" s="40" t="s">
        <v>3886</v>
      </c>
      <c r="C43" s="40" t="s">
        <v>25</v>
      </c>
      <c r="D43" s="40" t="s">
        <v>3242</v>
      </c>
      <c r="E43" s="40" t="s">
        <v>870</v>
      </c>
      <c r="F43" s="40"/>
      <c r="G43" s="40" t="s">
        <v>29</v>
      </c>
      <c r="H43" s="44">
        <v>500</v>
      </c>
      <c r="I43" s="41">
        <v>100</v>
      </c>
      <c r="J43" s="40" t="s">
        <v>30</v>
      </c>
      <c r="K43" s="40" t="s">
        <v>31</v>
      </c>
      <c r="M43" s="157">
        <v>150</v>
      </c>
    </row>
    <row r="44" spans="1:26" ht="15.75" customHeight="1">
      <c r="A44" s="42">
        <v>5</v>
      </c>
      <c r="B44" s="40" t="s">
        <v>4492</v>
      </c>
      <c r="C44" s="40" t="s">
        <v>25</v>
      </c>
      <c r="D44" s="40" t="s">
        <v>303</v>
      </c>
      <c r="E44" s="40" t="s">
        <v>96</v>
      </c>
      <c r="F44" s="40"/>
      <c r="G44" s="40" t="s">
        <v>29</v>
      </c>
      <c r="H44" s="44">
        <v>500</v>
      </c>
      <c r="I44" s="41">
        <v>100</v>
      </c>
      <c r="J44" s="40" t="s">
        <v>30</v>
      </c>
      <c r="K44" s="40" t="s">
        <v>31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42">
        <v>5</v>
      </c>
      <c r="B45" s="40" t="s">
        <v>884</v>
      </c>
      <c r="C45" s="40" t="s">
        <v>25</v>
      </c>
      <c r="D45" s="40" t="s">
        <v>3216</v>
      </c>
      <c r="E45" s="40" t="s">
        <v>870</v>
      </c>
      <c r="F45" s="40"/>
      <c r="G45" s="40" t="s">
        <v>29</v>
      </c>
      <c r="H45" s="44">
        <v>500</v>
      </c>
      <c r="I45" s="41">
        <v>100</v>
      </c>
      <c r="J45" s="40" t="s">
        <v>30</v>
      </c>
      <c r="K45" s="40" t="s">
        <v>31</v>
      </c>
      <c r="L45" s="45"/>
      <c r="M45" s="157">
        <v>150</v>
      </c>
    </row>
    <row r="46" spans="1:26" ht="15.75" customHeight="1">
      <c r="A46" s="42">
        <v>5</v>
      </c>
      <c r="B46" s="40" t="s">
        <v>4493</v>
      </c>
      <c r="C46" s="40" t="s">
        <v>25</v>
      </c>
      <c r="D46" s="40" t="s">
        <v>176</v>
      </c>
      <c r="E46" s="40" t="s">
        <v>38</v>
      </c>
      <c r="F46" s="40"/>
      <c r="G46" s="40" t="s">
        <v>29</v>
      </c>
      <c r="H46" s="44">
        <v>500</v>
      </c>
      <c r="I46" s="41">
        <v>100</v>
      </c>
      <c r="J46" s="40" t="s">
        <v>30</v>
      </c>
      <c r="K46" s="40" t="s">
        <v>31</v>
      </c>
      <c r="M46" s="157">
        <v>100</v>
      </c>
    </row>
    <row r="47" spans="1:26" ht="15.75" customHeight="1">
      <c r="A47" s="42">
        <v>5</v>
      </c>
      <c r="B47" s="40" t="s">
        <v>2393</v>
      </c>
      <c r="C47" s="40" t="s">
        <v>25</v>
      </c>
      <c r="D47" s="40" t="s">
        <v>176</v>
      </c>
      <c r="E47" s="40" t="s">
        <v>38</v>
      </c>
      <c r="F47" s="40"/>
      <c r="G47" s="40" t="s">
        <v>29</v>
      </c>
      <c r="H47" s="44">
        <v>500</v>
      </c>
      <c r="I47" s="41">
        <v>100</v>
      </c>
      <c r="J47" s="40" t="s">
        <v>30</v>
      </c>
      <c r="K47" s="40" t="s">
        <v>31</v>
      </c>
      <c r="M47" s="157">
        <v>900</v>
      </c>
    </row>
    <row r="48" spans="1:26" ht="15.75" customHeight="1">
      <c r="A48" s="42">
        <v>5</v>
      </c>
      <c r="B48" s="40" t="s">
        <v>4494</v>
      </c>
      <c r="C48" s="40" t="s">
        <v>59</v>
      </c>
      <c r="D48" s="40" t="s">
        <v>33</v>
      </c>
      <c r="E48" s="40" t="s">
        <v>540</v>
      </c>
      <c r="F48" s="40"/>
      <c r="G48" s="40" t="s">
        <v>29</v>
      </c>
      <c r="H48" s="44">
        <v>500</v>
      </c>
      <c r="I48" s="41" t="s">
        <v>101</v>
      </c>
      <c r="J48" s="40" t="s">
        <v>30</v>
      </c>
      <c r="K48" s="40" t="s">
        <v>31</v>
      </c>
      <c r="M48" s="157">
        <v>100</v>
      </c>
    </row>
    <row r="49" spans="1:13" ht="15.75" customHeight="1">
      <c r="A49" s="42">
        <v>5</v>
      </c>
      <c r="B49" s="40" t="s">
        <v>4495</v>
      </c>
      <c r="C49" s="40" t="s">
        <v>59</v>
      </c>
      <c r="D49" s="40" t="s">
        <v>95</v>
      </c>
      <c r="E49" s="40" t="s">
        <v>96</v>
      </c>
      <c r="F49" s="40"/>
      <c r="G49" s="40" t="s">
        <v>29</v>
      </c>
      <c r="H49" s="44">
        <v>500</v>
      </c>
      <c r="I49" s="41" t="s">
        <v>101</v>
      </c>
      <c r="J49" s="40" t="s">
        <v>30</v>
      </c>
      <c r="K49" s="40" t="s">
        <v>31</v>
      </c>
    </row>
    <row r="50" spans="1:13" ht="15.75" customHeight="1">
      <c r="A50" s="511">
        <v>5</v>
      </c>
      <c r="B50" s="40" t="s">
        <v>4496</v>
      </c>
      <c r="C50" s="40" t="s">
        <v>25</v>
      </c>
      <c r="D50" s="40" t="s">
        <v>95</v>
      </c>
      <c r="E50" s="40" t="s">
        <v>96</v>
      </c>
      <c r="F50" s="40"/>
      <c r="G50" s="40" t="s">
        <v>29</v>
      </c>
      <c r="H50" s="44">
        <v>400</v>
      </c>
      <c r="I50" s="41" t="s">
        <v>101</v>
      </c>
      <c r="J50" s="40" t="s">
        <v>30</v>
      </c>
      <c r="K50" s="40" t="s">
        <v>31</v>
      </c>
    </row>
    <row r="51" spans="1:13" ht="15.75" customHeight="1">
      <c r="A51" s="52">
        <v>5</v>
      </c>
      <c r="B51" s="53" t="s">
        <v>4497</v>
      </c>
      <c r="C51" s="53" t="s">
        <v>25</v>
      </c>
      <c r="D51" s="53" t="s">
        <v>1704</v>
      </c>
      <c r="E51" s="53" t="s">
        <v>38</v>
      </c>
      <c r="F51" s="53"/>
      <c r="G51" s="53" t="s">
        <v>29</v>
      </c>
      <c r="H51" s="54">
        <v>500</v>
      </c>
      <c r="I51" s="55">
        <v>100</v>
      </c>
      <c r="J51" s="53" t="s">
        <v>30</v>
      </c>
      <c r="K51" s="53" t="s">
        <v>31</v>
      </c>
      <c r="M51" s="157">
        <v>150</v>
      </c>
    </row>
    <row r="52" spans="1:13" ht="15.75" customHeight="1">
      <c r="A52" s="610">
        <v>5</v>
      </c>
      <c r="B52" s="612" t="s">
        <v>4498</v>
      </c>
      <c r="C52" s="612" t="s">
        <v>25</v>
      </c>
      <c r="D52" s="612" t="s">
        <v>95</v>
      </c>
      <c r="E52" s="612" t="s">
        <v>96</v>
      </c>
      <c r="F52" s="616"/>
      <c r="G52" s="40" t="s">
        <v>29</v>
      </c>
      <c r="H52" s="44">
        <v>500</v>
      </c>
      <c r="I52" s="41" t="s">
        <v>101</v>
      </c>
      <c r="J52" s="612" t="s">
        <v>30</v>
      </c>
      <c r="K52" s="612" t="s">
        <v>31</v>
      </c>
    </row>
    <row r="53" spans="1:13" ht="15.75" customHeight="1">
      <c r="A53" s="571"/>
      <c r="B53" s="571"/>
      <c r="C53" s="571"/>
      <c r="D53" s="571"/>
      <c r="E53" s="571"/>
      <c r="F53" s="571"/>
      <c r="G53" s="40" t="s">
        <v>29</v>
      </c>
      <c r="H53" s="44">
        <v>500</v>
      </c>
      <c r="I53" s="41">
        <v>100</v>
      </c>
      <c r="J53" s="571"/>
      <c r="K53" s="571"/>
      <c r="L53" s="45"/>
      <c r="M53" s="157">
        <v>100</v>
      </c>
    </row>
    <row r="54" spans="1:13" ht="15.75" customHeight="1">
      <c r="A54" s="42">
        <v>5</v>
      </c>
      <c r="B54" s="40" t="s">
        <v>4499</v>
      </c>
      <c r="C54" s="40" t="s">
        <v>25</v>
      </c>
      <c r="D54" s="40" t="s">
        <v>4500</v>
      </c>
      <c r="E54" s="40" t="s">
        <v>42</v>
      </c>
      <c r="F54" s="40"/>
      <c r="G54" s="40" t="s">
        <v>29</v>
      </c>
      <c r="H54" s="44">
        <v>500</v>
      </c>
      <c r="I54" s="41">
        <v>100</v>
      </c>
      <c r="J54" s="40" t="s">
        <v>30</v>
      </c>
      <c r="K54" s="40" t="s">
        <v>31</v>
      </c>
    </row>
    <row r="55" spans="1:13" ht="15.75" customHeight="1">
      <c r="A55" s="42">
        <v>5</v>
      </c>
      <c r="B55" s="40" t="s">
        <v>4501</v>
      </c>
      <c r="C55" s="40" t="s">
        <v>25</v>
      </c>
      <c r="D55" s="40" t="s">
        <v>548</v>
      </c>
      <c r="E55" s="40" t="s">
        <v>42</v>
      </c>
      <c r="F55" s="40"/>
      <c r="G55" s="40" t="s">
        <v>29</v>
      </c>
      <c r="H55" s="44">
        <v>500</v>
      </c>
      <c r="I55" s="41">
        <v>100</v>
      </c>
      <c r="J55" s="40" t="s">
        <v>30</v>
      </c>
      <c r="K55" s="40" t="s">
        <v>31</v>
      </c>
      <c r="M55" s="157">
        <v>100</v>
      </c>
    </row>
    <row r="56" spans="1:13" ht="15.75" customHeight="1">
      <c r="A56" s="42">
        <v>5</v>
      </c>
      <c r="B56" s="40" t="s">
        <v>4502</v>
      </c>
      <c r="C56" s="40" t="s">
        <v>25</v>
      </c>
      <c r="D56" s="40" t="s">
        <v>1190</v>
      </c>
      <c r="E56" s="40" t="s">
        <v>42</v>
      </c>
      <c r="F56" s="40"/>
      <c r="G56" s="40" t="s">
        <v>29</v>
      </c>
      <c r="H56" s="44">
        <v>500</v>
      </c>
      <c r="I56" s="41">
        <v>100</v>
      </c>
      <c r="J56" s="40" t="s">
        <v>30</v>
      </c>
      <c r="K56" s="40" t="s">
        <v>31</v>
      </c>
      <c r="M56" s="157">
        <v>100</v>
      </c>
    </row>
    <row r="57" spans="1:13" ht="15.75" customHeight="1">
      <c r="A57" s="42">
        <v>5</v>
      </c>
      <c r="B57" s="40" t="s">
        <v>4503</v>
      </c>
      <c r="C57" s="40" t="s">
        <v>25</v>
      </c>
      <c r="D57" s="40" t="s">
        <v>235</v>
      </c>
      <c r="E57" s="40" t="s">
        <v>78</v>
      </c>
      <c r="F57" s="40"/>
      <c r="G57" s="40" t="s">
        <v>29</v>
      </c>
      <c r="H57" s="44">
        <v>500</v>
      </c>
      <c r="I57" s="41">
        <v>100</v>
      </c>
      <c r="J57" s="40" t="s">
        <v>30</v>
      </c>
      <c r="K57" s="40" t="s">
        <v>31</v>
      </c>
      <c r="L57" s="45"/>
      <c r="M57" s="157">
        <v>150</v>
      </c>
    </row>
    <row r="58" spans="1:13" ht="15.75" customHeight="1">
      <c r="A58" s="42">
        <v>5</v>
      </c>
      <c r="B58" s="40" t="s">
        <v>184</v>
      </c>
      <c r="C58" s="40" t="s">
        <v>25</v>
      </c>
      <c r="D58" s="40" t="s">
        <v>185</v>
      </c>
      <c r="E58" s="40" t="s">
        <v>42</v>
      </c>
      <c r="F58" s="40"/>
      <c r="G58" s="40" t="s">
        <v>29</v>
      </c>
      <c r="H58" s="44">
        <v>500</v>
      </c>
      <c r="I58" s="41">
        <v>100</v>
      </c>
      <c r="J58" s="40" t="s">
        <v>30</v>
      </c>
      <c r="K58" s="40" t="s">
        <v>31</v>
      </c>
    </row>
    <row r="59" spans="1:13" ht="15.75" customHeight="1">
      <c r="A59" s="42">
        <v>5</v>
      </c>
      <c r="B59" s="40" t="s">
        <v>1948</v>
      </c>
      <c r="C59" s="40" t="s">
        <v>25</v>
      </c>
      <c r="D59" s="40" t="s">
        <v>1675</v>
      </c>
      <c r="E59" s="40" t="s">
        <v>42</v>
      </c>
      <c r="F59" s="40"/>
      <c r="G59" s="40" t="s">
        <v>29</v>
      </c>
      <c r="H59" s="44">
        <v>500</v>
      </c>
      <c r="I59" s="41">
        <v>100</v>
      </c>
      <c r="J59" s="40" t="s">
        <v>30</v>
      </c>
      <c r="K59" s="40" t="s">
        <v>31</v>
      </c>
    </row>
    <row r="60" spans="1:13" ht="15.75" customHeight="1">
      <c r="A60" s="42">
        <v>5</v>
      </c>
      <c r="B60" s="40" t="s">
        <v>4504</v>
      </c>
      <c r="C60" s="40" t="s">
        <v>59</v>
      </c>
      <c r="D60" s="40" t="s">
        <v>63</v>
      </c>
      <c r="E60" s="40" t="s">
        <v>96</v>
      </c>
      <c r="F60" s="40"/>
      <c r="G60" s="40" t="s">
        <v>29</v>
      </c>
      <c r="H60" s="44">
        <v>500</v>
      </c>
      <c r="I60" s="41">
        <v>100</v>
      </c>
      <c r="J60" s="40" t="s">
        <v>30</v>
      </c>
      <c r="K60" s="40" t="s">
        <v>31</v>
      </c>
    </row>
    <row r="61" spans="1:13" ht="15.75" customHeight="1">
      <c r="A61" s="42">
        <v>5</v>
      </c>
      <c r="B61" s="40" t="s">
        <v>1167</v>
      </c>
      <c r="C61" s="40" t="s">
        <v>59</v>
      </c>
      <c r="D61" s="40" t="s">
        <v>700</v>
      </c>
      <c r="E61" s="40" t="s">
        <v>46</v>
      </c>
      <c r="F61" s="40"/>
      <c r="G61" s="40" t="s">
        <v>29</v>
      </c>
      <c r="H61" s="44">
        <v>500</v>
      </c>
      <c r="I61" s="41">
        <v>100</v>
      </c>
      <c r="J61" s="40" t="s">
        <v>30</v>
      </c>
      <c r="K61" s="40" t="s">
        <v>31</v>
      </c>
      <c r="M61" s="157">
        <v>200</v>
      </c>
    </row>
    <row r="62" spans="1:13" ht="15.75" customHeight="1">
      <c r="A62" s="42">
        <v>5</v>
      </c>
      <c r="B62" s="40" t="s">
        <v>4505</v>
      </c>
      <c r="C62" s="40" t="s">
        <v>59</v>
      </c>
      <c r="D62" s="40" t="s">
        <v>637</v>
      </c>
      <c r="E62" s="40" t="s">
        <v>46</v>
      </c>
      <c r="F62" s="40"/>
      <c r="G62" s="40" t="s">
        <v>29</v>
      </c>
      <c r="H62" s="44">
        <v>500</v>
      </c>
      <c r="I62" s="41">
        <v>100</v>
      </c>
      <c r="J62" s="40" t="s">
        <v>30</v>
      </c>
      <c r="K62" s="40" t="s">
        <v>31</v>
      </c>
      <c r="M62" s="157">
        <v>300</v>
      </c>
    </row>
    <row r="63" spans="1:13" ht="15.75" customHeight="1">
      <c r="A63" s="42">
        <v>5</v>
      </c>
      <c r="B63" s="40" t="s">
        <v>4506</v>
      </c>
      <c r="C63" s="40" t="s">
        <v>25</v>
      </c>
      <c r="D63" s="40" t="s">
        <v>303</v>
      </c>
      <c r="E63" s="40" t="s">
        <v>96</v>
      </c>
      <c r="F63" s="40"/>
      <c r="G63" s="40" t="s">
        <v>29</v>
      </c>
      <c r="H63" s="44">
        <v>500</v>
      </c>
      <c r="I63" s="41">
        <v>100</v>
      </c>
      <c r="J63" s="40" t="s">
        <v>30</v>
      </c>
      <c r="K63" s="40" t="s">
        <v>31</v>
      </c>
      <c r="M63" s="157">
        <v>300</v>
      </c>
    </row>
    <row r="64" spans="1:13" ht="15.75" customHeight="1">
      <c r="A64" s="42">
        <v>5</v>
      </c>
      <c r="B64" s="40" t="s">
        <v>4507</v>
      </c>
      <c r="C64" s="40" t="s">
        <v>25</v>
      </c>
      <c r="D64" s="40" t="s">
        <v>4508</v>
      </c>
      <c r="E64" s="40" t="s">
        <v>311</v>
      </c>
      <c r="F64" s="40"/>
      <c r="G64" s="40" t="s">
        <v>29</v>
      </c>
      <c r="H64" s="44">
        <v>500</v>
      </c>
      <c r="I64" s="41">
        <v>100</v>
      </c>
      <c r="J64" s="40" t="s">
        <v>30</v>
      </c>
      <c r="K64" s="40" t="s">
        <v>31</v>
      </c>
      <c r="M64" s="157">
        <v>40</v>
      </c>
    </row>
    <row r="65" spans="1:13" ht="15.75" customHeight="1">
      <c r="A65" s="42">
        <v>6</v>
      </c>
      <c r="B65" s="40" t="s">
        <v>1384</v>
      </c>
      <c r="C65" s="40" t="s">
        <v>59</v>
      </c>
      <c r="D65" s="40" t="s">
        <v>86</v>
      </c>
      <c r="E65" s="40" t="s">
        <v>42</v>
      </c>
      <c r="F65" s="40"/>
      <c r="G65" s="40" t="s">
        <v>29</v>
      </c>
      <c r="H65" s="44">
        <v>6000</v>
      </c>
      <c r="I65" s="41">
        <v>1200</v>
      </c>
      <c r="J65" s="40" t="s">
        <v>30</v>
      </c>
      <c r="K65" s="40" t="s">
        <v>31</v>
      </c>
    </row>
    <row r="66" spans="1:13" ht="15.75" customHeight="1">
      <c r="A66" s="42">
        <v>6</v>
      </c>
      <c r="B66" s="40" t="s">
        <v>3023</v>
      </c>
      <c r="C66" s="40" t="s">
        <v>25</v>
      </c>
      <c r="D66" s="40" t="s">
        <v>41</v>
      </c>
      <c r="E66" s="40" t="s">
        <v>42</v>
      </c>
      <c r="F66" s="40"/>
      <c r="G66" s="40" t="s">
        <v>29</v>
      </c>
      <c r="H66" s="44">
        <v>2000</v>
      </c>
      <c r="I66" s="41">
        <v>400</v>
      </c>
      <c r="J66" s="40" t="s">
        <v>30</v>
      </c>
      <c r="K66" s="40" t="s">
        <v>31</v>
      </c>
      <c r="M66" s="157">
        <v>400</v>
      </c>
    </row>
    <row r="67" spans="1:13" ht="15.75" customHeight="1">
      <c r="A67" s="42">
        <v>6</v>
      </c>
      <c r="B67" s="40" t="s">
        <v>4509</v>
      </c>
      <c r="C67" s="40" t="s">
        <v>25</v>
      </c>
      <c r="D67" s="40" t="s">
        <v>2000</v>
      </c>
      <c r="E67" s="40" t="s">
        <v>318</v>
      </c>
      <c r="F67" s="40"/>
      <c r="G67" s="40" t="s">
        <v>29</v>
      </c>
      <c r="H67" s="44">
        <v>2000</v>
      </c>
      <c r="I67" s="41">
        <v>400</v>
      </c>
      <c r="J67" s="40" t="s">
        <v>30</v>
      </c>
      <c r="K67" s="40" t="s">
        <v>31</v>
      </c>
    </row>
    <row r="68" spans="1:13" ht="15.75" customHeight="1">
      <c r="A68" s="42">
        <v>6</v>
      </c>
      <c r="B68" s="40" t="s">
        <v>4510</v>
      </c>
      <c r="C68" s="40" t="s">
        <v>25</v>
      </c>
      <c r="D68" s="40" t="s">
        <v>1637</v>
      </c>
      <c r="E68" s="40" t="s">
        <v>141</v>
      </c>
      <c r="F68" s="40"/>
      <c r="G68" s="40" t="s">
        <v>29</v>
      </c>
      <c r="H68" s="44">
        <v>6000</v>
      </c>
      <c r="I68" s="41">
        <v>1200</v>
      </c>
      <c r="J68" s="40" t="s">
        <v>30</v>
      </c>
      <c r="K68" s="40" t="s">
        <v>31</v>
      </c>
    </row>
    <row r="69" spans="1:13" ht="15.75" customHeight="1">
      <c r="A69" s="42">
        <v>6</v>
      </c>
      <c r="B69" s="40" t="s">
        <v>4511</v>
      </c>
      <c r="C69" s="40" t="s">
        <v>25</v>
      </c>
      <c r="D69" s="40" t="s">
        <v>1511</v>
      </c>
      <c r="E69" s="40" t="s">
        <v>34</v>
      </c>
      <c r="F69" s="40"/>
      <c r="G69" s="40" t="s">
        <v>29</v>
      </c>
      <c r="H69" s="44">
        <v>5000</v>
      </c>
      <c r="I69" s="41">
        <v>1000</v>
      </c>
      <c r="J69" s="40" t="s">
        <v>30</v>
      </c>
      <c r="K69" s="40" t="s">
        <v>31</v>
      </c>
    </row>
    <row r="70" spans="1:13" ht="15.75" customHeight="1">
      <c r="A70" s="42">
        <v>6</v>
      </c>
      <c r="B70" s="40" t="s">
        <v>4512</v>
      </c>
      <c r="C70" s="40" t="s">
        <v>25</v>
      </c>
      <c r="D70" s="40" t="s">
        <v>92</v>
      </c>
      <c r="E70" s="40" t="s">
        <v>34</v>
      </c>
      <c r="F70" s="40"/>
      <c r="G70" s="40" t="s">
        <v>29</v>
      </c>
      <c r="H70" s="44">
        <v>2000</v>
      </c>
      <c r="I70" s="41">
        <v>400</v>
      </c>
      <c r="J70" s="40" t="s">
        <v>30</v>
      </c>
      <c r="K70" s="40" t="s">
        <v>31</v>
      </c>
      <c r="M70" s="157">
        <v>7000</v>
      </c>
    </row>
    <row r="71" spans="1:13" ht="15.75" customHeight="1">
      <c r="A71" s="42">
        <v>6</v>
      </c>
      <c r="B71" s="40" t="s">
        <v>4513</v>
      </c>
      <c r="C71" s="40" t="s">
        <v>59</v>
      </c>
      <c r="D71" s="40" t="s">
        <v>77</v>
      </c>
      <c r="E71" s="40" t="s">
        <v>78</v>
      </c>
      <c r="F71" s="40"/>
      <c r="G71" s="40" t="s">
        <v>29</v>
      </c>
      <c r="H71" s="44">
        <v>2000</v>
      </c>
      <c r="I71" s="41">
        <v>400</v>
      </c>
      <c r="J71" s="40" t="s">
        <v>30</v>
      </c>
      <c r="K71" s="40" t="s">
        <v>31</v>
      </c>
      <c r="M71" s="157">
        <v>150</v>
      </c>
    </row>
    <row r="72" spans="1:13" ht="15.75" customHeight="1">
      <c r="A72" s="42">
        <v>6</v>
      </c>
      <c r="B72" s="40" t="s">
        <v>2385</v>
      </c>
      <c r="C72" s="40" t="s">
        <v>25</v>
      </c>
      <c r="D72" s="40" t="s">
        <v>2532</v>
      </c>
      <c r="E72" s="40" t="s">
        <v>50</v>
      </c>
      <c r="F72" s="40"/>
      <c r="G72" s="40" t="s">
        <v>29</v>
      </c>
      <c r="H72" s="44">
        <v>100</v>
      </c>
      <c r="I72" s="41">
        <v>20</v>
      </c>
      <c r="J72" s="40" t="s">
        <v>30</v>
      </c>
      <c r="K72" s="40" t="s">
        <v>31</v>
      </c>
    </row>
    <row r="73" spans="1:13" ht="15.75" customHeight="1">
      <c r="A73" s="42">
        <v>6</v>
      </c>
      <c r="B73" s="40" t="s">
        <v>4514</v>
      </c>
      <c r="C73" s="40" t="s">
        <v>25</v>
      </c>
      <c r="D73" s="40" t="s">
        <v>55</v>
      </c>
      <c r="E73" s="40" t="s">
        <v>38</v>
      </c>
      <c r="F73" s="40"/>
      <c r="G73" s="40" t="s">
        <v>29</v>
      </c>
      <c r="H73" s="44">
        <v>180</v>
      </c>
      <c r="I73" s="41">
        <v>36</v>
      </c>
      <c r="J73" s="40" t="s">
        <v>30</v>
      </c>
      <c r="K73" s="40" t="s">
        <v>31</v>
      </c>
    </row>
    <row r="74" spans="1:13" ht="15.75" customHeight="1">
      <c r="A74" s="42">
        <v>6</v>
      </c>
      <c r="B74" s="40" t="s">
        <v>4515</v>
      </c>
      <c r="C74" s="40" t="s">
        <v>59</v>
      </c>
      <c r="D74" s="40" t="s">
        <v>103</v>
      </c>
      <c r="E74" s="40" t="s">
        <v>141</v>
      </c>
      <c r="F74" s="40"/>
      <c r="G74" s="40" t="s">
        <v>29</v>
      </c>
      <c r="H74" s="44">
        <v>300</v>
      </c>
      <c r="I74" s="41">
        <v>60</v>
      </c>
      <c r="J74" s="40" t="s">
        <v>30</v>
      </c>
      <c r="K74" s="40" t="s">
        <v>31</v>
      </c>
      <c r="M74" s="157">
        <v>100</v>
      </c>
    </row>
    <row r="75" spans="1:13" ht="15.75" customHeight="1">
      <c r="A75" s="610">
        <v>6</v>
      </c>
      <c r="B75" s="612" t="s">
        <v>3833</v>
      </c>
      <c r="C75" s="612" t="s">
        <v>25</v>
      </c>
      <c r="D75" s="612" t="s">
        <v>2978</v>
      </c>
      <c r="E75" s="612" t="s">
        <v>50</v>
      </c>
      <c r="F75" s="613"/>
      <c r="G75" s="40" t="s">
        <v>29</v>
      </c>
      <c r="H75" s="44">
        <v>600</v>
      </c>
      <c r="I75" s="41">
        <v>120</v>
      </c>
      <c r="J75" s="612" t="s">
        <v>30</v>
      </c>
      <c r="K75" s="612" t="s">
        <v>31</v>
      </c>
      <c r="M75" s="157">
        <v>120</v>
      </c>
    </row>
    <row r="76" spans="1:13" ht="15.75" customHeight="1">
      <c r="A76" s="571"/>
      <c r="B76" s="571"/>
      <c r="C76" s="571"/>
      <c r="D76" s="571"/>
      <c r="E76" s="571"/>
      <c r="F76" s="571"/>
      <c r="G76" s="40" t="s">
        <v>142</v>
      </c>
      <c r="H76" s="44">
        <v>20</v>
      </c>
      <c r="I76" s="41">
        <v>100</v>
      </c>
      <c r="J76" s="571"/>
      <c r="K76" s="571"/>
    </row>
    <row r="77" spans="1:13" ht="15.75" customHeight="1">
      <c r="A77" s="284">
        <v>6</v>
      </c>
      <c r="B77" s="40" t="s">
        <v>2152</v>
      </c>
      <c r="C77" s="40" t="s">
        <v>25</v>
      </c>
      <c r="D77" s="40" t="s">
        <v>86</v>
      </c>
      <c r="E77" s="40" t="s">
        <v>42</v>
      </c>
      <c r="F77" s="40"/>
      <c r="G77" s="40" t="s">
        <v>29</v>
      </c>
      <c r="H77" s="44">
        <v>3000</v>
      </c>
      <c r="I77" s="41" t="s">
        <v>101</v>
      </c>
      <c r="J77" s="40" t="s">
        <v>30</v>
      </c>
      <c r="K77" s="40" t="s">
        <v>31</v>
      </c>
    </row>
    <row r="78" spans="1:13" ht="15.75" customHeight="1">
      <c r="A78" s="42">
        <v>6</v>
      </c>
      <c r="B78" s="40" t="s">
        <v>4516</v>
      </c>
      <c r="C78" s="40" t="s">
        <v>25</v>
      </c>
      <c r="D78" s="40" t="s">
        <v>2223</v>
      </c>
      <c r="E78" s="40" t="s">
        <v>42</v>
      </c>
      <c r="F78" s="40"/>
      <c r="G78" s="40" t="s">
        <v>142</v>
      </c>
      <c r="H78" s="44">
        <v>100</v>
      </c>
      <c r="I78" s="41">
        <v>500</v>
      </c>
      <c r="J78" s="40" t="s">
        <v>30</v>
      </c>
      <c r="K78" s="40" t="s">
        <v>31</v>
      </c>
    </row>
    <row r="79" spans="1:13" ht="15.75" customHeight="1">
      <c r="A79" s="42">
        <v>6</v>
      </c>
      <c r="B79" s="40" t="s">
        <v>4517</v>
      </c>
      <c r="C79" s="40" t="s">
        <v>59</v>
      </c>
      <c r="D79" s="40" t="s">
        <v>63</v>
      </c>
      <c r="E79" s="40" t="s">
        <v>60</v>
      </c>
      <c r="F79" s="40"/>
      <c r="G79" s="40" t="s">
        <v>29</v>
      </c>
      <c r="H79" s="44">
        <v>2000</v>
      </c>
      <c r="I79" s="41">
        <v>400</v>
      </c>
      <c r="J79" s="40" t="s">
        <v>30</v>
      </c>
      <c r="K79" s="40" t="s">
        <v>31</v>
      </c>
      <c r="M79" s="157">
        <v>900</v>
      </c>
    </row>
    <row r="80" spans="1:13" ht="15.75" customHeight="1">
      <c r="A80" s="42">
        <v>6</v>
      </c>
      <c r="B80" s="40" t="s">
        <v>4518</v>
      </c>
      <c r="C80" s="40" t="s">
        <v>25</v>
      </c>
      <c r="D80" s="40" t="s">
        <v>742</v>
      </c>
      <c r="E80" s="40" t="s">
        <v>311</v>
      </c>
      <c r="F80" s="40"/>
      <c r="G80" s="40" t="s">
        <v>29</v>
      </c>
      <c r="H80" s="44">
        <v>2000</v>
      </c>
      <c r="I80" s="41">
        <v>400</v>
      </c>
      <c r="J80" s="40" t="s">
        <v>30</v>
      </c>
      <c r="K80" s="40" t="s">
        <v>31</v>
      </c>
    </row>
    <row r="81" spans="1:13" ht="15.75" customHeight="1">
      <c r="A81" s="610">
        <v>6</v>
      </c>
      <c r="B81" s="612" t="s">
        <v>4519</v>
      </c>
      <c r="C81" s="612" t="s">
        <v>25</v>
      </c>
      <c r="D81" s="612" t="s">
        <v>103</v>
      </c>
      <c r="E81" s="612" t="s">
        <v>46</v>
      </c>
      <c r="F81" s="613"/>
      <c r="G81" s="40" t="s">
        <v>29</v>
      </c>
      <c r="H81" s="44">
        <v>150</v>
      </c>
      <c r="I81" s="41">
        <v>30</v>
      </c>
      <c r="J81" s="612" t="s">
        <v>30</v>
      </c>
      <c r="K81" s="612" t="s">
        <v>31</v>
      </c>
    </row>
    <row r="82" spans="1:13" ht="15.75" customHeight="1">
      <c r="A82" s="571"/>
      <c r="B82" s="571"/>
      <c r="C82" s="571"/>
      <c r="D82" s="571"/>
      <c r="E82" s="571"/>
      <c r="F82" s="571"/>
      <c r="G82" s="40" t="s">
        <v>142</v>
      </c>
      <c r="H82" s="44">
        <v>20</v>
      </c>
      <c r="I82" s="41">
        <v>100</v>
      </c>
      <c r="J82" s="571"/>
      <c r="K82" s="571"/>
    </row>
    <row r="83" spans="1:13" ht="15.75" customHeight="1">
      <c r="A83" s="42">
        <v>6</v>
      </c>
      <c r="B83" s="40" t="s">
        <v>4520</v>
      </c>
      <c r="C83" s="40" t="s">
        <v>25</v>
      </c>
      <c r="D83" s="40" t="s">
        <v>89</v>
      </c>
      <c r="E83" s="40" t="s">
        <v>333</v>
      </c>
      <c r="F83" s="40"/>
      <c r="G83" s="40" t="s">
        <v>29</v>
      </c>
      <c r="H83" s="44">
        <v>300</v>
      </c>
      <c r="I83" s="41">
        <v>60</v>
      </c>
      <c r="J83" s="40" t="s">
        <v>30</v>
      </c>
      <c r="K83" s="40" t="s">
        <v>31</v>
      </c>
      <c r="M83" s="157">
        <v>64</v>
      </c>
    </row>
    <row r="84" spans="1:13" ht="15.75" customHeight="1">
      <c r="A84" s="42">
        <v>6</v>
      </c>
      <c r="B84" s="40" t="s">
        <v>4521</v>
      </c>
      <c r="C84" s="40" t="s">
        <v>25</v>
      </c>
      <c r="D84" s="40" t="s">
        <v>1069</v>
      </c>
      <c r="E84" s="40" t="s">
        <v>96</v>
      </c>
      <c r="F84" s="40"/>
      <c r="G84" s="40" t="s">
        <v>142</v>
      </c>
      <c r="H84" s="44">
        <v>40</v>
      </c>
      <c r="I84" s="41">
        <v>200</v>
      </c>
      <c r="J84" s="40"/>
      <c r="K84" s="40" t="s">
        <v>31</v>
      </c>
    </row>
    <row r="85" spans="1:13" ht="15.75" customHeight="1">
      <c r="A85" s="42">
        <v>6</v>
      </c>
      <c r="B85" s="40" t="s">
        <v>4522</v>
      </c>
      <c r="C85" s="40" t="s">
        <v>25</v>
      </c>
      <c r="D85" s="40" t="s">
        <v>63</v>
      </c>
      <c r="E85" s="40" t="s">
        <v>96</v>
      </c>
      <c r="F85" s="40"/>
      <c r="G85" s="40" t="s">
        <v>142</v>
      </c>
      <c r="H85" s="44">
        <v>50</v>
      </c>
      <c r="I85" s="41">
        <v>250</v>
      </c>
      <c r="J85" s="40"/>
      <c r="K85" s="40" t="s">
        <v>31</v>
      </c>
    </row>
    <row r="86" spans="1:13" ht="15.75" customHeight="1">
      <c r="A86" s="42">
        <v>6</v>
      </c>
      <c r="B86" s="40" t="s">
        <v>4523</v>
      </c>
      <c r="C86" s="40" t="s">
        <v>25</v>
      </c>
      <c r="D86" s="40" t="s">
        <v>4524</v>
      </c>
      <c r="E86" s="40" t="s">
        <v>50</v>
      </c>
      <c r="F86" s="40"/>
      <c r="G86" s="40" t="s">
        <v>142</v>
      </c>
      <c r="H86" s="44">
        <v>35</v>
      </c>
      <c r="I86" s="41">
        <v>175</v>
      </c>
      <c r="J86" s="40"/>
      <c r="K86" s="40" t="s">
        <v>31</v>
      </c>
    </row>
    <row r="87" spans="1:13" ht="15.75" customHeight="1">
      <c r="A87" s="42">
        <v>6</v>
      </c>
      <c r="B87" s="40" t="s">
        <v>4525</v>
      </c>
      <c r="C87" s="40" t="s">
        <v>25</v>
      </c>
      <c r="D87" s="40" t="s">
        <v>655</v>
      </c>
      <c r="E87" s="40" t="s">
        <v>42</v>
      </c>
      <c r="F87" s="40"/>
      <c r="G87" s="40" t="s">
        <v>142</v>
      </c>
      <c r="H87" s="44">
        <v>20</v>
      </c>
      <c r="I87" s="41">
        <v>100</v>
      </c>
      <c r="J87" s="40"/>
      <c r="K87" s="40" t="s">
        <v>31</v>
      </c>
      <c r="L87" s="45"/>
    </row>
    <row r="88" spans="1:13" ht="15.75" customHeight="1">
      <c r="A88" s="42">
        <v>6</v>
      </c>
      <c r="B88" s="40" t="s">
        <v>4526</v>
      </c>
      <c r="C88" s="40" t="s">
        <v>25</v>
      </c>
      <c r="D88" s="40" t="s">
        <v>655</v>
      </c>
      <c r="E88" s="40" t="s">
        <v>42</v>
      </c>
      <c r="F88" s="40"/>
      <c r="G88" s="40" t="s">
        <v>142</v>
      </c>
      <c r="H88" s="44">
        <v>30</v>
      </c>
      <c r="I88" s="41">
        <v>150</v>
      </c>
      <c r="J88" s="40"/>
      <c r="K88" s="40" t="s">
        <v>31</v>
      </c>
    </row>
    <row r="89" spans="1:13" ht="15.75" customHeight="1">
      <c r="A89" s="610">
        <v>6</v>
      </c>
      <c r="B89" s="612" t="s">
        <v>3755</v>
      </c>
      <c r="C89" s="612" t="s">
        <v>59</v>
      </c>
      <c r="D89" s="612" t="s">
        <v>86</v>
      </c>
      <c r="E89" s="612" t="s">
        <v>42</v>
      </c>
      <c r="F89" s="613"/>
      <c r="G89" s="40" t="s">
        <v>29</v>
      </c>
      <c r="H89" s="44">
        <v>20000</v>
      </c>
      <c r="I89" s="41">
        <v>4000</v>
      </c>
      <c r="J89" s="612" t="s">
        <v>30</v>
      </c>
      <c r="K89" s="612" t="s">
        <v>31</v>
      </c>
      <c r="M89" s="157">
        <v>4000</v>
      </c>
    </row>
    <row r="90" spans="1:13" ht="15.75" customHeight="1">
      <c r="A90" s="571"/>
      <c r="B90" s="571"/>
      <c r="C90" s="571"/>
      <c r="D90" s="571"/>
      <c r="E90" s="571"/>
      <c r="F90" s="571"/>
      <c r="G90" s="40" t="s">
        <v>142</v>
      </c>
      <c r="H90" s="44">
        <v>20</v>
      </c>
      <c r="I90" s="41">
        <v>100</v>
      </c>
      <c r="J90" s="571"/>
      <c r="K90" s="571"/>
    </row>
    <row r="91" spans="1:13" ht="15.75" customHeight="1">
      <c r="A91" s="42">
        <v>7</v>
      </c>
      <c r="B91" s="40" t="s">
        <v>1357</v>
      </c>
      <c r="C91" s="40" t="s">
        <v>25</v>
      </c>
      <c r="D91" s="40" t="s">
        <v>263</v>
      </c>
      <c r="E91" s="40" t="s">
        <v>42</v>
      </c>
      <c r="F91" s="40"/>
      <c r="G91" s="40" t="s">
        <v>29</v>
      </c>
      <c r="H91" s="44">
        <v>200</v>
      </c>
      <c r="I91" s="41">
        <v>40</v>
      </c>
      <c r="J91" s="40" t="s">
        <v>30</v>
      </c>
      <c r="K91" s="40" t="s">
        <v>31</v>
      </c>
      <c r="M91" s="157">
        <v>48</v>
      </c>
    </row>
    <row r="92" spans="1:13" ht="15.75" customHeight="1">
      <c r="A92" s="42">
        <v>7</v>
      </c>
      <c r="B92" s="40" t="s">
        <v>4527</v>
      </c>
      <c r="C92" s="40" t="s">
        <v>25</v>
      </c>
      <c r="D92" s="40" t="s">
        <v>1675</v>
      </c>
      <c r="E92" s="40" t="s">
        <v>42</v>
      </c>
      <c r="F92" s="40"/>
      <c r="G92" s="40" t="s">
        <v>29</v>
      </c>
      <c r="H92" s="44">
        <v>200</v>
      </c>
      <c r="I92" s="41">
        <v>40</v>
      </c>
      <c r="J92" s="40" t="s">
        <v>30</v>
      </c>
      <c r="K92" s="40" t="s">
        <v>31</v>
      </c>
      <c r="M92" s="157">
        <v>40</v>
      </c>
    </row>
    <row r="93" spans="1:13" ht="15.75" customHeight="1">
      <c r="A93" s="42">
        <v>7</v>
      </c>
      <c r="B93" s="40" t="s">
        <v>2181</v>
      </c>
      <c r="C93" s="40" t="s">
        <v>25</v>
      </c>
      <c r="D93" s="40" t="s">
        <v>1839</v>
      </c>
      <c r="E93" s="40" t="s">
        <v>38</v>
      </c>
      <c r="F93" s="40"/>
      <c r="G93" s="40" t="s">
        <v>29</v>
      </c>
      <c r="H93" s="44">
        <v>200</v>
      </c>
      <c r="I93" s="41">
        <v>40</v>
      </c>
      <c r="J93" s="40" t="s">
        <v>30</v>
      </c>
      <c r="K93" s="40" t="s">
        <v>31</v>
      </c>
    </row>
    <row r="94" spans="1:13" ht="15.75" customHeight="1">
      <c r="A94" s="42">
        <v>7</v>
      </c>
      <c r="B94" s="40" t="s">
        <v>4528</v>
      </c>
      <c r="C94" s="40" t="s">
        <v>25</v>
      </c>
      <c r="D94" s="40" t="s">
        <v>831</v>
      </c>
      <c r="E94" s="40" t="s">
        <v>50</v>
      </c>
      <c r="F94" s="40"/>
      <c r="G94" s="40" t="s">
        <v>29</v>
      </c>
      <c r="H94" s="44">
        <v>200</v>
      </c>
      <c r="I94" s="41">
        <v>40</v>
      </c>
      <c r="J94" s="40" t="s">
        <v>30</v>
      </c>
      <c r="K94" s="40" t="s">
        <v>31</v>
      </c>
    </row>
    <row r="95" spans="1:13" ht="15.75" customHeight="1">
      <c r="A95" s="610">
        <v>7</v>
      </c>
      <c r="B95" s="612" t="s">
        <v>4529</v>
      </c>
      <c r="C95" s="612" t="s">
        <v>25</v>
      </c>
      <c r="D95" s="612" t="s">
        <v>68</v>
      </c>
      <c r="E95" s="612" t="s">
        <v>78</v>
      </c>
      <c r="F95" s="613"/>
      <c r="G95" s="40" t="s">
        <v>29</v>
      </c>
      <c r="H95" s="44">
        <v>1000</v>
      </c>
      <c r="I95" s="41">
        <v>200</v>
      </c>
      <c r="J95" s="612" t="s">
        <v>30</v>
      </c>
      <c r="K95" s="612" t="s">
        <v>31</v>
      </c>
      <c r="M95" s="157">
        <v>300</v>
      </c>
    </row>
    <row r="96" spans="1:13" ht="15.75" customHeight="1">
      <c r="A96" s="571"/>
      <c r="B96" s="571"/>
      <c r="C96" s="571"/>
      <c r="D96" s="571"/>
      <c r="E96" s="571"/>
      <c r="F96" s="571"/>
      <c r="G96" s="40" t="s">
        <v>142</v>
      </c>
      <c r="H96" s="44">
        <v>15</v>
      </c>
      <c r="I96" s="41">
        <v>75</v>
      </c>
      <c r="J96" s="571"/>
      <c r="K96" s="571"/>
    </row>
    <row r="97" spans="1:13" ht="15.75" customHeight="1">
      <c r="A97" s="42">
        <v>7</v>
      </c>
      <c r="B97" s="40" t="s">
        <v>1402</v>
      </c>
      <c r="C97" s="40" t="s">
        <v>25</v>
      </c>
      <c r="D97" s="40" t="s">
        <v>1403</v>
      </c>
      <c r="E97" s="40" t="s">
        <v>46</v>
      </c>
      <c r="F97" s="40"/>
      <c r="G97" s="40" t="s">
        <v>142</v>
      </c>
      <c r="H97" s="44">
        <v>120</v>
      </c>
      <c r="I97" s="41">
        <v>600</v>
      </c>
      <c r="J97" s="40"/>
      <c r="K97" s="40" t="s">
        <v>31</v>
      </c>
    </row>
    <row r="98" spans="1:13" ht="15.75" customHeight="1">
      <c r="A98" s="42">
        <v>7</v>
      </c>
      <c r="B98" s="40" t="s">
        <v>1064</v>
      </c>
      <c r="C98" s="40" t="s">
        <v>25</v>
      </c>
      <c r="D98" s="40" t="s">
        <v>706</v>
      </c>
      <c r="E98" s="40" t="s">
        <v>46</v>
      </c>
      <c r="F98" s="40"/>
      <c r="G98" s="40" t="s">
        <v>29</v>
      </c>
      <c r="H98" s="44">
        <v>500</v>
      </c>
      <c r="I98" s="41">
        <v>100</v>
      </c>
      <c r="J98" s="40" t="s">
        <v>30</v>
      </c>
      <c r="K98" s="40" t="s">
        <v>31</v>
      </c>
      <c r="M98" s="157">
        <v>400</v>
      </c>
    </row>
    <row r="99" spans="1:13" ht="15.75" customHeight="1">
      <c r="A99" s="42">
        <v>7</v>
      </c>
      <c r="B99" s="40" t="s">
        <v>4530</v>
      </c>
      <c r="C99" s="40" t="s">
        <v>25</v>
      </c>
      <c r="D99" s="40" t="s">
        <v>4531</v>
      </c>
      <c r="E99" s="40" t="s">
        <v>50</v>
      </c>
      <c r="F99" s="40"/>
      <c r="G99" s="40" t="s">
        <v>29</v>
      </c>
      <c r="H99" s="200">
        <v>500</v>
      </c>
      <c r="I99" s="41">
        <v>100</v>
      </c>
      <c r="J99" s="40" t="s">
        <v>30</v>
      </c>
      <c r="K99" s="40" t="s">
        <v>31</v>
      </c>
      <c r="M99" s="157">
        <v>400</v>
      </c>
    </row>
    <row r="100" spans="1:13" ht="15.75" customHeight="1">
      <c r="A100" s="42">
        <v>7</v>
      </c>
      <c r="B100" s="40" t="s">
        <v>4532</v>
      </c>
      <c r="C100" s="40" t="s">
        <v>25</v>
      </c>
      <c r="D100" s="40" t="s">
        <v>1961</v>
      </c>
      <c r="E100" s="40" t="s">
        <v>311</v>
      </c>
      <c r="F100" s="40"/>
      <c r="G100" s="40" t="s">
        <v>29</v>
      </c>
      <c r="H100" s="200">
        <v>500</v>
      </c>
      <c r="I100" s="41">
        <v>100</v>
      </c>
      <c r="J100" s="40" t="s">
        <v>30</v>
      </c>
      <c r="K100" s="40" t="s">
        <v>31</v>
      </c>
    </row>
    <row r="101" spans="1:13" ht="15.75" customHeight="1">
      <c r="A101" s="42">
        <v>7</v>
      </c>
      <c r="B101" s="40" t="s">
        <v>4533</v>
      </c>
      <c r="C101" s="40" t="s">
        <v>25</v>
      </c>
      <c r="D101" s="40" t="s">
        <v>831</v>
      </c>
      <c r="E101" s="40" t="s">
        <v>50</v>
      </c>
      <c r="F101" s="40"/>
      <c r="G101" s="40" t="s">
        <v>29</v>
      </c>
      <c r="H101" s="200">
        <v>500</v>
      </c>
      <c r="I101" s="41">
        <v>100</v>
      </c>
      <c r="J101" s="40" t="s">
        <v>30</v>
      </c>
      <c r="K101" s="40" t="s">
        <v>31</v>
      </c>
      <c r="M101" s="157">
        <v>1200</v>
      </c>
    </row>
    <row r="102" spans="1:13" ht="15.75" customHeight="1">
      <c r="A102" s="42">
        <v>7</v>
      </c>
      <c r="B102" s="40" t="s">
        <v>3003</v>
      </c>
      <c r="C102" s="40" t="s">
        <v>25</v>
      </c>
      <c r="D102" s="40" t="s">
        <v>2767</v>
      </c>
      <c r="E102" s="40" t="s">
        <v>50</v>
      </c>
      <c r="F102" s="40"/>
      <c r="G102" s="40" t="s">
        <v>29</v>
      </c>
      <c r="H102" s="200">
        <v>500</v>
      </c>
      <c r="I102" s="41">
        <v>100</v>
      </c>
      <c r="J102" s="40" t="s">
        <v>30</v>
      </c>
      <c r="K102" s="40" t="s">
        <v>31</v>
      </c>
      <c r="M102" s="157">
        <v>100</v>
      </c>
    </row>
    <row r="103" spans="1:13" ht="15.75" customHeight="1">
      <c r="A103" s="42">
        <v>7</v>
      </c>
      <c r="B103" s="40" t="s">
        <v>4534</v>
      </c>
      <c r="C103" s="40" t="s">
        <v>59</v>
      </c>
      <c r="D103" s="40" t="s">
        <v>700</v>
      </c>
      <c r="E103" s="40" t="s">
        <v>46</v>
      </c>
      <c r="F103" s="40"/>
      <c r="G103" s="40" t="s">
        <v>29</v>
      </c>
      <c r="H103" s="200">
        <v>500</v>
      </c>
      <c r="I103" s="41">
        <v>100</v>
      </c>
      <c r="J103" s="40" t="s">
        <v>30</v>
      </c>
      <c r="K103" s="40" t="s">
        <v>31</v>
      </c>
      <c r="M103" s="157">
        <v>100</v>
      </c>
    </row>
    <row r="104" spans="1:13" ht="15.75" customHeight="1">
      <c r="A104" s="610">
        <v>8</v>
      </c>
      <c r="B104" s="612" t="s">
        <v>2355</v>
      </c>
      <c r="C104" s="612" t="s">
        <v>25</v>
      </c>
      <c r="D104" s="612" t="s">
        <v>2356</v>
      </c>
      <c r="E104" s="612" t="s">
        <v>1308</v>
      </c>
      <c r="F104" s="613"/>
      <c r="G104" s="40" t="s">
        <v>29</v>
      </c>
      <c r="H104" s="200">
        <v>1000</v>
      </c>
      <c r="I104" s="41">
        <v>200</v>
      </c>
      <c r="J104" s="612" t="s">
        <v>30</v>
      </c>
      <c r="K104" s="612" t="s">
        <v>31</v>
      </c>
    </row>
    <row r="105" spans="1:13" ht="15.75" customHeight="1">
      <c r="A105" s="571"/>
      <c r="B105" s="571"/>
      <c r="C105" s="571"/>
      <c r="D105" s="571"/>
      <c r="E105" s="571"/>
      <c r="F105" s="571"/>
      <c r="G105" s="40" t="s">
        <v>142</v>
      </c>
      <c r="H105" s="200">
        <v>600</v>
      </c>
      <c r="I105" s="41">
        <v>3000</v>
      </c>
      <c r="J105" s="571"/>
      <c r="K105" s="571"/>
    </row>
    <row r="106" spans="1:13" ht="15.75" customHeight="1">
      <c r="A106" s="42">
        <v>8</v>
      </c>
      <c r="B106" s="40" t="s">
        <v>4535</v>
      </c>
      <c r="C106" s="40" t="s">
        <v>25</v>
      </c>
      <c r="D106" s="40" t="s">
        <v>332</v>
      </c>
      <c r="E106" s="40" t="s">
        <v>46</v>
      </c>
      <c r="F106" s="40"/>
      <c r="G106" s="40" t="s">
        <v>142</v>
      </c>
      <c r="H106" s="200">
        <v>50</v>
      </c>
      <c r="I106" s="41">
        <v>250</v>
      </c>
      <c r="J106" s="40"/>
      <c r="K106" s="40" t="s">
        <v>31</v>
      </c>
    </row>
    <row r="107" spans="1:13" ht="15.75" customHeight="1">
      <c r="A107" s="42">
        <v>8</v>
      </c>
      <c r="B107" s="40" t="s">
        <v>4536</v>
      </c>
      <c r="C107" s="40" t="s">
        <v>25</v>
      </c>
      <c r="D107" s="40" t="s">
        <v>4537</v>
      </c>
      <c r="E107" s="40" t="s">
        <v>768</v>
      </c>
      <c r="F107" s="40"/>
      <c r="G107" s="40" t="s">
        <v>142</v>
      </c>
      <c r="H107" s="200">
        <v>100</v>
      </c>
      <c r="I107" s="41">
        <v>500</v>
      </c>
      <c r="J107" s="40"/>
      <c r="K107" s="40" t="s">
        <v>31</v>
      </c>
    </row>
    <row r="108" spans="1:13" ht="15.75" customHeight="1">
      <c r="A108" s="42">
        <v>8</v>
      </c>
      <c r="B108" s="40" t="s">
        <v>4538</v>
      </c>
      <c r="C108" s="40" t="s">
        <v>25</v>
      </c>
      <c r="D108" s="40" t="s">
        <v>1675</v>
      </c>
      <c r="E108" s="40" t="s">
        <v>42</v>
      </c>
      <c r="F108" s="40"/>
      <c r="G108" s="40" t="s">
        <v>29</v>
      </c>
      <c r="H108" s="200">
        <v>1000</v>
      </c>
      <c r="I108" s="41">
        <v>200</v>
      </c>
      <c r="J108" s="40" t="s">
        <v>30</v>
      </c>
      <c r="K108" s="40" t="s">
        <v>31</v>
      </c>
    </row>
    <row r="109" spans="1:13" ht="15.75" customHeight="1">
      <c r="A109" s="42">
        <v>8</v>
      </c>
      <c r="B109" s="40" t="s">
        <v>4539</v>
      </c>
      <c r="C109" s="40" t="s">
        <v>59</v>
      </c>
      <c r="D109" s="40" t="s">
        <v>706</v>
      </c>
      <c r="E109" s="40" t="s">
        <v>38</v>
      </c>
      <c r="F109" s="40"/>
      <c r="G109" s="40" t="s">
        <v>29</v>
      </c>
      <c r="H109" s="200">
        <v>2000</v>
      </c>
      <c r="I109" s="41">
        <v>400</v>
      </c>
      <c r="J109" s="40" t="s">
        <v>30</v>
      </c>
      <c r="K109" s="40" t="s">
        <v>31</v>
      </c>
    </row>
    <row r="110" spans="1:13" ht="15.75" customHeight="1">
      <c r="A110" s="42">
        <v>8</v>
      </c>
      <c r="B110" s="40" t="s">
        <v>4540</v>
      </c>
      <c r="C110" s="40" t="s">
        <v>25</v>
      </c>
      <c r="D110" s="40" t="s">
        <v>103</v>
      </c>
      <c r="E110" s="40" t="s">
        <v>46</v>
      </c>
      <c r="F110" s="40"/>
      <c r="G110" s="40" t="s">
        <v>29</v>
      </c>
      <c r="H110" s="200">
        <v>2000</v>
      </c>
      <c r="I110" s="41">
        <v>400</v>
      </c>
      <c r="J110" s="40" t="s">
        <v>30</v>
      </c>
      <c r="K110" s="40" t="s">
        <v>31</v>
      </c>
      <c r="M110" s="157">
        <v>1000</v>
      </c>
    </row>
    <row r="111" spans="1:13" ht="15.75" customHeight="1">
      <c r="A111" s="42">
        <v>8</v>
      </c>
      <c r="B111" s="40" t="s">
        <v>4541</v>
      </c>
      <c r="C111" s="40" t="s">
        <v>25</v>
      </c>
      <c r="D111" s="40" t="s">
        <v>4094</v>
      </c>
      <c r="E111" s="40" t="s">
        <v>242</v>
      </c>
      <c r="F111" s="40"/>
      <c r="G111" s="40" t="s">
        <v>29</v>
      </c>
      <c r="H111" s="200">
        <v>2500</v>
      </c>
      <c r="I111" s="41">
        <v>500</v>
      </c>
      <c r="J111" s="40" t="s">
        <v>30</v>
      </c>
      <c r="K111" s="40" t="s">
        <v>31</v>
      </c>
      <c r="M111" s="157">
        <v>450</v>
      </c>
    </row>
    <row r="112" spans="1:13" ht="15.75" customHeight="1">
      <c r="A112" s="610">
        <v>8</v>
      </c>
      <c r="B112" s="612" t="s">
        <v>4542</v>
      </c>
      <c r="C112" s="612" t="s">
        <v>25</v>
      </c>
      <c r="D112" s="612" t="s">
        <v>50</v>
      </c>
      <c r="E112" s="612" t="s">
        <v>258</v>
      </c>
      <c r="F112" s="613"/>
      <c r="G112" s="40" t="s">
        <v>29</v>
      </c>
      <c r="H112" s="200">
        <v>500</v>
      </c>
      <c r="I112" s="41" t="s">
        <v>101</v>
      </c>
      <c r="J112" s="612" t="s">
        <v>30</v>
      </c>
      <c r="K112" s="612" t="s">
        <v>31</v>
      </c>
      <c r="M112" s="157">
        <v>2400</v>
      </c>
    </row>
    <row r="113" spans="1:13" ht="15.75" customHeight="1">
      <c r="A113" s="571"/>
      <c r="B113" s="571"/>
      <c r="C113" s="571"/>
      <c r="D113" s="571"/>
      <c r="E113" s="571"/>
      <c r="F113" s="571"/>
      <c r="G113" s="40" t="s">
        <v>29</v>
      </c>
      <c r="H113" s="200">
        <v>2500</v>
      </c>
      <c r="I113" s="41">
        <v>500</v>
      </c>
      <c r="J113" s="571"/>
      <c r="K113" s="571"/>
    </row>
    <row r="114" spans="1:13" ht="15.75" customHeight="1">
      <c r="A114" s="42">
        <v>8</v>
      </c>
      <c r="B114" s="40" t="s">
        <v>4543</v>
      </c>
      <c r="C114" s="40" t="s">
        <v>59</v>
      </c>
      <c r="D114" s="40" t="s">
        <v>27</v>
      </c>
      <c r="E114" s="40" t="s">
        <v>60</v>
      </c>
      <c r="F114" s="40"/>
      <c r="G114" s="40" t="s">
        <v>29</v>
      </c>
      <c r="H114" s="200">
        <v>3000</v>
      </c>
      <c r="I114" s="41">
        <v>600</v>
      </c>
      <c r="J114" s="40" t="s">
        <v>30</v>
      </c>
      <c r="K114" s="40" t="s">
        <v>31</v>
      </c>
      <c r="M114" s="157">
        <v>600</v>
      </c>
    </row>
    <row r="115" spans="1:13" ht="15.75" customHeight="1">
      <c r="A115" s="42">
        <v>8</v>
      </c>
      <c r="B115" s="40" t="s">
        <v>4544</v>
      </c>
      <c r="C115" s="40" t="s">
        <v>25</v>
      </c>
      <c r="D115" s="40" t="s">
        <v>123</v>
      </c>
      <c r="E115" s="40" t="s">
        <v>96</v>
      </c>
      <c r="F115" s="40"/>
      <c r="G115" s="40" t="s">
        <v>29</v>
      </c>
      <c r="H115" s="200">
        <v>3000</v>
      </c>
      <c r="I115" s="41">
        <v>600</v>
      </c>
      <c r="J115" s="40" t="s">
        <v>30</v>
      </c>
      <c r="K115" s="40" t="s">
        <v>31</v>
      </c>
      <c r="M115" s="157">
        <v>600</v>
      </c>
    </row>
    <row r="116" spans="1:13" ht="15.75" customHeight="1">
      <c r="A116" s="42">
        <v>8</v>
      </c>
      <c r="B116" s="40" t="s">
        <v>4545</v>
      </c>
      <c r="C116" s="40" t="s">
        <v>25</v>
      </c>
      <c r="D116" s="40" t="s">
        <v>99</v>
      </c>
      <c r="E116" s="40" t="s">
        <v>42</v>
      </c>
      <c r="F116" s="40"/>
      <c r="G116" s="40" t="s">
        <v>29</v>
      </c>
      <c r="H116" s="200">
        <v>4000</v>
      </c>
      <c r="I116" s="41">
        <v>800</v>
      </c>
      <c r="J116" s="40" t="s">
        <v>30</v>
      </c>
      <c r="K116" s="40" t="s">
        <v>31</v>
      </c>
      <c r="M116" s="157">
        <v>600</v>
      </c>
    </row>
    <row r="117" spans="1:13" ht="15.75" customHeight="1">
      <c r="A117" s="42">
        <v>8</v>
      </c>
      <c r="B117" s="40" t="s">
        <v>4546</v>
      </c>
      <c r="C117" s="40" t="s">
        <v>25</v>
      </c>
      <c r="D117" s="40" t="s">
        <v>55</v>
      </c>
      <c r="E117" s="40" t="s">
        <v>96</v>
      </c>
      <c r="F117" s="40"/>
      <c r="G117" s="40" t="s">
        <v>29</v>
      </c>
      <c r="H117" s="200">
        <v>4000</v>
      </c>
      <c r="I117" s="41">
        <v>800</v>
      </c>
      <c r="J117" s="40" t="s">
        <v>30</v>
      </c>
      <c r="K117" s="40" t="s">
        <v>31</v>
      </c>
      <c r="M117" s="157">
        <v>1600</v>
      </c>
    </row>
    <row r="118" spans="1:13" ht="15.75" customHeight="1">
      <c r="A118" s="42">
        <v>8</v>
      </c>
      <c r="B118" s="40" t="s">
        <v>104</v>
      </c>
      <c r="C118" s="40" t="s">
        <v>25</v>
      </c>
      <c r="D118" s="40" t="s">
        <v>1287</v>
      </c>
      <c r="E118" s="40" t="s">
        <v>42</v>
      </c>
      <c r="F118" s="40"/>
      <c r="G118" s="40" t="s">
        <v>29</v>
      </c>
      <c r="H118" s="200">
        <v>4000</v>
      </c>
      <c r="I118" s="41">
        <v>800</v>
      </c>
      <c r="J118" s="40" t="s">
        <v>30</v>
      </c>
      <c r="K118" s="40" t="s">
        <v>31</v>
      </c>
    </row>
    <row r="119" spans="1:13" ht="15.75" customHeight="1">
      <c r="A119" s="610">
        <v>8</v>
      </c>
      <c r="B119" s="612" t="s">
        <v>4547</v>
      </c>
      <c r="C119" s="612" t="s">
        <v>25</v>
      </c>
      <c r="D119" s="612" t="s">
        <v>63</v>
      </c>
      <c r="E119" s="612" t="s">
        <v>141</v>
      </c>
      <c r="F119" s="613"/>
      <c r="G119" s="40" t="s">
        <v>29</v>
      </c>
      <c r="H119" s="200">
        <v>15000</v>
      </c>
      <c r="I119" s="41">
        <v>3000</v>
      </c>
      <c r="J119" s="612" t="s">
        <v>30</v>
      </c>
      <c r="K119" s="612" t="s">
        <v>31</v>
      </c>
    </row>
    <row r="120" spans="1:13" ht="15.75" customHeight="1">
      <c r="A120" s="571"/>
      <c r="B120" s="571"/>
      <c r="C120" s="571"/>
      <c r="D120" s="571"/>
      <c r="E120" s="571"/>
      <c r="F120" s="571"/>
      <c r="G120" s="40" t="s">
        <v>142</v>
      </c>
      <c r="H120" s="200">
        <v>80</v>
      </c>
      <c r="I120" s="41">
        <v>400</v>
      </c>
      <c r="J120" s="571"/>
      <c r="K120" s="571"/>
    </row>
    <row r="121" spans="1:13" ht="15.75" customHeight="1">
      <c r="A121" s="42">
        <v>8</v>
      </c>
      <c r="B121" s="40" t="s">
        <v>3401</v>
      </c>
      <c r="C121" s="40" t="s">
        <v>25</v>
      </c>
      <c r="D121" s="40" t="s">
        <v>33</v>
      </c>
      <c r="E121" s="40" t="s">
        <v>34</v>
      </c>
      <c r="F121" s="40"/>
      <c r="G121" s="40" t="s">
        <v>29</v>
      </c>
      <c r="H121" s="200">
        <v>12000</v>
      </c>
      <c r="I121" s="41">
        <v>2400</v>
      </c>
      <c r="J121" s="40" t="s">
        <v>30</v>
      </c>
      <c r="K121" s="40" t="s">
        <v>31</v>
      </c>
      <c r="M121" s="157">
        <v>1500</v>
      </c>
    </row>
    <row r="122" spans="1:13" ht="15.75" customHeight="1">
      <c r="A122" s="42">
        <v>8</v>
      </c>
      <c r="B122" s="40" t="s">
        <v>4548</v>
      </c>
      <c r="C122" s="40" t="s">
        <v>25</v>
      </c>
      <c r="D122" s="40" t="s">
        <v>86</v>
      </c>
      <c r="E122" s="40" t="s">
        <v>42</v>
      </c>
      <c r="F122" s="40"/>
      <c r="G122" s="40" t="s">
        <v>29</v>
      </c>
      <c r="H122" s="200">
        <v>14000</v>
      </c>
      <c r="I122" s="41">
        <v>2800</v>
      </c>
      <c r="J122" s="40" t="s">
        <v>30</v>
      </c>
      <c r="K122" s="40" t="s">
        <v>31</v>
      </c>
    </row>
    <row r="123" spans="1:13" ht="15.75" customHeight="1">
      <c r="A123" s="42">
        <v>8</v>
      </c>
      <c r="B123" s="40" t="s">
        <v>4521</v>
      </c>
      <c r="C123" s="40" t="s">
        <v>25</v>
      </c>
      <c r="D123" s="40" t="s">
        <v>1069</v>
      </c>
      <c r="E123" s="40" t="s">
        <v>96</v>
      </c>
      <c r="F123" s="40"/>
      <c r="G123" s="40" t="s">
        <v>142</v>
      </c>
      <c r="H123" s="200">
        <v>90</v>
      </c>
      <c r="I123" s="41">
        <v>450</v>
      </c>
      <c r="J123" s="40"/>
      <c r="K123" s="40" t="s">
        <v>31</v>
      </c>
    </row>
    <row r="124" spans="1:13" ht="15.75" customHeight="1">
      <c r="A124" s="42">
        <v>8</v>
      </c>
      <c r="B124" s="40" t="s">
        <v>4549</v>
      </c>
      <c r="C124" s="40" t="s">
        <v>59</v>
      </c>
      <c r="D124" s="40" t="s">
        <v>1304</v>
      </c>
      <c r="E124" s="40" t="s">
        <v>141</v>
      </c>
      <c r="F124" s="40"/>
      <c r="G124" s="40" t="s">
        <v>142</v>
      </c>
      <c r="H124" s="200">
        <v>40</v>
      </c>
      <c r="I124" s="41">
        <v>200</v>
      </c>
      <c r="J124" s="40"/>
      <c r="K124" s="40" t="s">
        <v>31</v>
      </c>
    </row>
    <row r="125" spans="1:13" ht="15.75" customHeight="1">
      <c r="A125" s="42">
        <v>8</v>
      </c>
      <c r="B125" s="40" t="s">
        <v>4550</v>
      </c>
      <c r="C125" s="40" t="s">
        <v>25</v>
      </c>
      <c r="D125" s="40" t="s">
        <v>176</v>
      </c>
      <c r="E125" s="40" t="s">
        <v>38</v>
      </c>
      <c r="F125" s="40"/>
      <c r="G125" s="40" t="s">
        <v>142</v>
      </c>
      <c r="H125" s="200">
        <v>60</v>
      </c>
      <c r="I125" s="41">
        <v>300</v>
      </c>
      <c r="J125" s="40"/>
      <c r="K125" s="40" t="s">
        <v>31</v>
      </c>
    </row>
    <row r="126" spans="1:13" ht="15.75" customHeight="1">
      <c r="A126" s="42">
        <v>8</v>
      </c>
      <c r="B126" s="40" t="s">
        <v>4551</v>
      </c>
      <c r="C126" s="40" t="s">
        <v>25</v>
      </c>
      <c r="D126" s="40" t="s">
        <v>1816</v>
      </c>
      <c r="E126" s="40" t="s">
        <v>96</v>
      </c>
      <c r="F126" s="40"/>
      <c r="G126" s="40" t="s">
        <v>29</v>
      </c>
      <c r="H126" s="200">
        <v>600</v>
      </c>
      <c r="I126" s="41">
        <v>120</v>
      </c>
      <c r="J126" s="40" t="s">
        <v>30</v>
      </c>
      <c r="K126" s="40" t="s">
        <v>31</v>
      </c>
    </row>
    <row r="127" spans="1:13" ht="15.75" customHeight="1">
      <c r="A127" s="42">
        <v>12</v>
      </c>
      <c r="B127" s="40" t="s">
        <v>3707</v>
      </c>
      <c r="C127" s="40" t="s">
        <v>25</v>
      </c>
      <c r="D127" s="40" t="s">
        <v>263</v>
      </c>
      <c r="E127" s="40" t="s">
        <v>42</v>
      </c>
      <c r="F127" s="40"/>
      <c r="G127" s="40" t="s">
        <v>29</v>
      </c>
      <c r="H127" s="200">
        <v>2500</v>
      </c>
      <c r="I127" s="41">
        <v>500</v>
      </c>
      <c r="J127" s="40" t="s">
        <v>30</v>
      </c>
      <c r="K127" s="40" t="s">
        <v>31</v>
      </c>
      <c r="M127" s="157">
        <v>50</v>
      </c>
    </row>
    <row r="128" spans="1:13" ht="15.75" customHeight="1">
      <c r="A128" s="42">
        <v>12</v>
      </c>
      <c r="B128" s="40" t="s">
        <v>4552</v>
      </c>
      <c r="C128" s="40" t="s">
        <v>25</v>
      </c>
      <c r="D128" s="40" t="s">
        <v>63</v>
      </c>
      <c r="E128" s="40" t="s">
        <v>141</v>
      </c>
      <c r="F128" s="40"/>
      <c r="G128" s="40" t="s">
        <v>29</v>
      </c>
      <c r="H128" s="200">
        <v>3000</v>
      </c>
      <c r="I128" s="41">
        <v>600</v>
      </c>
      <c r="J128" s="40" t="s">
        <v>30</v>
      </c>
      <c r="K128" s="40" t="s">
        <v>31</v>
      </c>
      <c r="M128" s="157">
        <v>700</v>
      </c>
    </row>
    <row r="129" spans="1:13" ht="15.75" customHeight="1">
      <c r="A129" s="42">
        <v>12</v>
      </c>
      <c r="B129" s="40" t="s">
        <v>2152</v>
      </c>
      <c r="C129" s="40" t="s">
        <v>25</v>
      </c>
      <c r="D129" s="40" t="s">
        <v>63</v>
      </c>
      <c r="E129" s="40" t="s">
        <v>50</v>
      </c>
      <c r="F129" s="40"/>
      <c r="G129" s="40" t="s">
        <v>29</v>
      </c>
      <c r="H129" s="200">
        <v>2000</v>
      </c>
      <c r="I129" s="41">
        <v>400</v>
      </c>
      <c r="J129" s="40" t="s">
        <v>30</v>
      </c>
      <c r="K129" s="40" t="s">
        <v>31</v>
      </c>
      <c r="M129" s="157">
        <v>400</v>
      </c>
    </row>
    <row r="130" spans="1:13" ht="15.75" customHeight="1">
      <c r="A130" s="42">
        <v>12</v>
      </c>
      <c r="B130" s="40" t="s">
        <v>4553</v>
      </c>
      <c r="C130" s="40" t="s">
        <v>25</v>
      </c>
      <c r="D130" s="40" t="s">
        <v>89</v>
      </c>
      <c r="E130" s="40" t="s">
        <v>46</v>
      </c>
      <c r="F130" s="40"/>
      <c r="G130" s="40" t="s">
        <v>29</v>
      </c>
      <c r="H130" s="200">
        <v>300</v>
      </c>
      <c r="I130" s="41">
        <v>120</v>
      </c>
      <c r="J130" s="40" t="s">
        <v>30</v>
      </c>
      <c r="K130" s="40" t="s">
        <v>31</v>
      </c>
      <c r="M130" s="157">
        <v>500</v>
      </c>
    </row>
    <row r="131" spans="1:13" ht="15.75" customHeight="1">
      <c r="A131" s="42">
        <v>12</v>
      </c>
      <c r="B131" s="40" t="s">
        <v>4554</v>
      </c>
      <c r="C131" s="40" t="s">
        <v>25</v>
      </c>
      <c r="D131" s="40" t="s">
        <v>1190</v>
      </c>
      <c r="E131" s="40" t="s">
        <v>42</v>
      </c>
      <c r="F131" s="40"/>
      <c r="G131" s="40" t="s">
        <v>29</v>
      </c>
      <c r="H131" s="200">
        <v>200</v>
      </c>
      <c r="I131" s="41">
        <v>40</v>
      </c>
      <c r="J131" s="40" t="s">
        <v>30</v>
      </c>
      <c r="K131" s="40" t="s">
        <v>31</v>
      </c>
      <c r="M131" s="157">
        <v>50</v>
      </c>
    </row>
    <row r="132" spans="1:13" ht="15.75" customHeight="1">
      <c r="A132" s="42">
        <v>12</v>
      </c>
      <c r="B132" s="40" t="s">
        <v>3153</v>
      </c>
      <c r="C132" s="40" t="s">
        <v>25</v>
      </c>
      <c r="D132" s="40" t="s">
        <v>86</v>
      </c>
      <c r="E132" s="40" t="s">
        <v>42</v>
      </c>
      <c r="F132" s="40"/>
      <c r="G132" s="40" t="s">
        <v>29</v>
      </c>
      <c r="H132" s="200">
        <v>12000</v>
      </c>
      <c r="I132" s="41">
        <v>2400</v>
      </c>
      <c r="J132" s="40" t="s">
        <v>30</v>
      </c>
      <c r="K132" s="40" t="s">
        <v>31</v>
      </c>
      <c r="M132" s="157">
        <v>3000</v>
      </c>
    </row>
    <row r="133" spans="1:13" ht="15.75" customHeight="1">
      <c r="A133" s="42">
        <v>12</v>
      </c>
      <c r="B133" s="40" t="s">
        <v>1402</v>
      </c>
      <c r="C133" s="40" t="s">
        <v>25</v>
      </c>
      <c r="D133" s="40" t="s">
        <v>1403</v>
      </c>
      <c r="E133" s="40" t="s">
        <v>46</v>
      </c>
      <c r="F133" s="40"/>
      <c r="G133" s="40" t="s">
        <v>142</v>
      </c>
      <c r="H133" s="200">
        <v>70</v>
      </c>
      <c r="I133" s="41">
        <v>350</v>
      </c>
      <c r="J133" s="40"/>
      <c r="K133" s="40" t="s">
        <v>31</v>
      </c>
    </row>
    <row r="134" spans="1:13" ht="15.75" customHeight="1">
      <c r="A134" s="42">
        <v>12</v>
      </c>
      <c r="B134" s="40" t="s">
        <v>4555</v>
      </c>
      <c r="C134" s="40" t="s">
        <v>25</v>
      </c>
      <c r="D134" s="40" t="s">
        <v>548</v>
      </c>
      <c r="E134" s="40" t="s">
        <v>42</v>
      </c>
      <c r="F134" s="40"/>
      <c r="G134" s="40" t="s">
        <v>142</v>
      </c>
      <c r="H134" s="200">
        <v>20</v>
      </c>
      <c r="I134" s="41">
        <v>100</v>
      </c>
      <c r="J134" s="40"/>
      <c r="K134" s="40" t="s">
        <v>31</v>
      </c>
    </row>
    <row r="135" spans="1:13" ht="15.75" customHeight="1">
      <c r="A135" s="42">
        <v>12</v>
      </c>
      <c r="B135" s="40" t="s">
        <v>4556</v>
      </c>
      <c r="C135" s="40" t="s">
        <v>25</v>
      </c>
      <c r="D135" s="40" t="s">
        <v>548</v>
      </c>
      <c r="E135" s="40" t="s">
        <v>42</v>
      </c>
      <c r="F135" s="40"/>
      <c r="G135" s="40" t="s">
        <v>142</v>
      </c>
      <c r="H135" s="200">
        <v>115</v>
      </c>
      <c r="I135" s="41">
        <v>575</v>
      </c>
      <c r="J135" s="40"/>
      <c r="K135" s="40" t="s">
        <v>31</v>
      </c>
    </row>
    <row r="136" spans="1:13" ht="15.75" customHeight="1">
      <c r="A136" s="42">
        <v>12</v>
      </c>
      <c r="B136" s="40" t="s">
        <v>4557</v>
      </c>
      <c r="C136" s="40" t="s">
        <v>25</v>
      </c>
      <c r="D136" s="40" t="s">
        <v>1505</v>
      </c>
      <c r="E136" s="40" t="s">
        <v>42</v>
      </c>
      <c r="F136" s="40"/>
      <c r="G136" s="40" t="s">
        <v>142</v>
      </c>
      <c r="H136" s="200">
        <v>80</v>
      </c>
      <c r="I136" s="41">
        <v>400</v>
      </c>
      <c r="J136" s="40"/>
      <c r="K136" s="40" t="s">
        <v>31</v>
      </c>
    </row>
    <row r="137" spans="1:13" ht="15.75" customHeight="1">
      <c r="A137" s="42">
        <v>12</v>
      </c>
      <c r="B137" s="40" t="s">
        <v>4558</v>
      </c>
      <c r="C137" s="40" t="s">
        <v>59</v>
      </c>
      <c r="D137" s="40" t="s">
        <v>245</v>
      </c>
      <c r="E137" s="40" t="s">
        <v>150</v>
      </c>
      <c r="F137" s="40"/>
      <c r="G137" s="40" t="s">
        <v>142</v>
      </c>
      <c r="H137" s="200">
        <v>137</v>
      </c>
      <c r="I137" s="41">
        <v>685</v>
      </c>
      <c r="J137" s="40"/>
      <c r="K137" s="40" t="s">
        <v>31</v>
      </c>
    </row>
    <row r="138" spans="1:13" ht="15.75" customHeight="1">
      <c r="A138" s="42">
        <v>12</v>
      </c>
      <c r="B138" s="40" t="s">
        <v>4559</v>
      </c>
      <c r="C138" s="40" t="s">
        <v>59</v>
      </c>
      <c r="D138" s="40" t="s">
        <v>1854</v>
      </c>
      <c r="E138" s="40" t="s">
        <v>249</v>
      </c>
      <c r="F138" s="40"/>
      <c r="G138" s="40" t="s">
        <v>142</v>
      </c>
      <c r="H138" s="200">
        <v>200</v>
      </c>
      <c r="I138" s="41">
        <v>1000</v>
      </c>
      <c r="J138" s="40"/>
      <c r="K138" s="40" t="s">
        <v>31</v>
      </c>
    </row>
    <row r="139" spans="1:13" ht="15.75" customHeight="1">
      <c r="A139" s="42">
        <v>12</v>
      </c>
      <c r="B139" s="40" t="s">
        <v>4560</v>
      </c>
      <c r="C139" s="40" t="s">
        <v>25</v>
      </c>
      <c r="D139" s="40" t="s">
        <v>55</v>
      </c>
      <c r="E139" s="40" t="s">
        <v>96</v>
      </c>
      <c r="F139" s="40"/>
      <c r="G139" s="40" t="s">
        <v>29</v>
      </c>
      <c r="H139" s="200">
        <v>5000</v>
      </c>
      <c r="I139" s="41">
        <v>1000</v>
      </c>
      <c r="J139" s="40" t="s">
        <v>30</v>
      </c>
      <c r="K139" s="40" t="s">
        <v>31</v>
      </c>
    </row>
    <row r="140" spans="1:13" ht="15.75" customHeight="1">
      <c r="A140" s="42">
        <v>12</v>
      </c>
      <c r="B140" s="40" t="s">
        <v>2524</v>
      </c>
      <c r="C140" s="40" t="s">
        <v>25</v>
      </c>
      <c r="D140" s="40" t="s">
        <v>2380</v>
      </c>
      <c r="E140" s="40" t="s">
        <v>318</v>
      </c>
      <c r="F140" s="40"/>
      <c r="G140" s="40" t="s">
        <v>29</v>
      </c>
      <c r="H140" s="200">
        <v>5000</v>
      </c>
      <c r="I140" s="41">
        <v>1000</v>
      </c>
      <c r="J140" s="40" t="s">
        <v>30</v>
      </c>
      <c r="K140" s="40" t="s">
        <v>31</v>
      </c>
      <c r="M140" s="157">
        <v>2000</v>
      </c>
    </row>
    <row r="141" spans="1:13" ht="15.75" customHeight="1">
      <c r="A141" s="42">
        <v>12</v>
      </c>
      <c r="B141" s="40" t="s">
        <v>4561</v>
      </c>
      <c r="C141" s="40" t="s">
        <v>25</v>
      </c>
      <c r="D141" s="40" t="s">
        <v>4562</v>
      </c>
      <c r="E141" s="40" t="s">
        <v>1743</v>
      </c>
      <c r="F141" s="40"/>
      <c r="G141" s="40" t="s">
        <v>29</v>
      </c>
      <c r="H141" s="200">
        <v>10000</v>
      </c>
      <c r="I141" s="41">
        <v>2000</v>
      </c>
      <c r="J141" s="40" t="s">
        <v>30</v>
      </c>
      <c r="K141" s="40" t="s">
        <v>31</v>
      </c>
      <c r="M141" s="157">
        <v>2500</v>
      </c>
    </row>
    <row r="142" spans="1:13" ht="15.75" customHeight="1">
      <c r="A142" s="42">
        <v>12</v>
      </c>
      <c r="B142" s="40" t="s">
        <v>4563</v>
      </c>
      <c r="C142" s="40" t="s">
        <v>25</v>
      </c>
      <c r="D142" s="40" t="s">
        <v>1336</v>
      </c>
      <c r="E142" s="40" t="s">
        <v>38</v>
      </c>
      <c r="F142" s="40"/>
      <c r="G142" s="40" t="s">
        <v>29</v>
      </c>
      <c r="H142" s="200">
        <v>500</v>
      </c>
      <c r="I142" s="41">
        <v>100</v>
      </c>
      <c r="J142" s="40" t="s">
        <v>30</v>
      </c>
      <c r="K142" s="40" t="s">
        <v>31</v>
      </c>
      <c r="M142" s="157">
        <v>300</v>
      </c>
    </row>
    <row r="143" spans="1:13" ht="15.75" customHeight="1">
      <c r="A143" s="42">
        <v>13</v>
      </c>
      <c r="B143" s="40" t="s">
        <v>4564</v>
      </c>
      <c r="C143" s="40" t="s">
        <v>25</v>
      </c>
      <c r="D143" s="40" t="s">
        <v>68</v>
      </c>
      <c r="E143" s="40" t="s">
        <v>78</v>
      </c>
      <c r="F143" s="40"/>
      <c r="G143" s="40" t="s">
        <v>29</v>
      </c>
      <c r="H143" s="200">
        <v>500</v>
      </c>
      <c r="I143" s="41">
        <v>100</v>
      </c>
      <c r="J143" s="40" t="s">
        <v>30</v>
      </c>
      <c r="K143" s="40" t="s">
        <v>31</v>
      </c>
      <c r="M143" s="157">
        <v>100</v>
      </c>
    </row>
    <row r="144" spans="1:13" ht="15.75" customHeight="1">
      <c r="A144" s="42">
        <v>13</v>
      </c>
      <c r="B144" s="40" t="s">
        <v>4565</v>
      </c>
      <c r="C144" s="40" t="s">
        <v>25</v>
      </c>
      <c r="D144" s="40" t="s">
        <v>2627</v>
      </c>
      <c r="E144" s="40" t="s">
        <v>103</v>
      </c>
      <c r="F144" s="40"/>
      <c r="G144" s="40" t="s">
        <v>29</v>
      </c>
      <c r="H144" s="200">
        <v>500</v>
      </c>
      <c r="I144" s="41">
        <v>100</v>
      </c>
      <c r="J144" s="40" t="s">
        <v>30</v>
      </c>
      <c r="K144" s="40" t="s">
        <v>31</v>
      </c>
      <c r="M144" s="157">
        <v>100</v>
      </c>
    </row>
    <row r="145" spans="1:17" ht="15.75" customHeight="1">
      <c r="A145" s="42">
        <v>13</v>
      </c>
      <c r="B145" s="40" t="s">
        <v>4566</v>
      </c>
      <c r="C145" s="40" t="s">
        <v>25</v>
      </c>
      <c r="D145" s="40" t="s">
        <v>4567</v>
      </c>
      <c r="E145" s="40" t="s">
        <v>130</v>
      </c>
      <c r="F145" s="40"/>
      <c r="G145" s="40" t="s">
        <v>29</v>
      </c>
      <c r="H145" s="200">
        <v>500</v>
      </c>
      <c r="I145" s="41">
        <v>100</v>
      </c>
      <c r="J145" s="40" t="s">
        <v>30</v>
      </c>
      <c r="K145" s="40" t="s">
        <v>31</v>
      </c>
      <c r="M145" s="157">
        <v>200</v>
      </c>
    </row>
    <row r="146" spans="1:17" ht="15.75" customHeight="1">
      <c r="A146" s="42">
        <v>13</v>
      </c>
      <c r="B146" s="40" t="s">
        <v>4568</v>
      </c>
      <c r="C146" s="40" t="s">
        <v>25</v>
      </c>
      <c r="D146" s="40" t="s">
        <v>1854</v>
      </c>
      <c r="E146" s="40" t="s">
        <v>249</v>
      </c>
      <c r="F146" s="40"/>
      <c r="G146" s="40" t="s">
        <v>29</v>
      </c>
      <c r="H146" s="200">
        <v>500</v>
      </c>
      <c r="I146" s="41">
        <v>100</v>
      </c>
      <c r="J146" s="40" t="s">
        <v>30</v>
      </c>
      <c r="K146" s="40" t="s">
        <v>31</v>
      </c>
      <c r="M146" s="157">
        <v>200</v>
      </c>
    </row>
    <row r="147" spans="1:17" ht="15.75" customHeight="1">
      <c r="A147" s="42">
        <v>13</v>
      </c>
      <c r="B147" s="40" t="s">
        <v>4569</v>
      </c>
      <c r="C147" s="40" t="s">
        <v>25</v>
      </c>
      <c r="D147" s="40" t="s">
        <v>669</v>
      </c>
      <c r="E147" s="40" t="s">
        <v>50</v>
      </c>
      <c r="F147" s="40"/>
      <c r="G147" s="40" t="s">
        <v>29</v>
      </c>
      <c r="H147" s="200">
        <v>500</v>
      </c>
      <c r="I147" s="41">
        <v>100</v>
      </c>
      <c r="J147" s="40" t="s">
        <v>30</v>
      </c>
      <c r="K147" s="40" t="s">
        <v>31</v>
      </c>
      <c r="M147" s="157">
        <v>900</v>
      </c>
    </row>
    <row r="148" spans="1:17" ht="15.75" customHeight="1">
      <c r="A148" s="42">
        <v>13</v>
      </c>
      <c r="B148" s="40" t="s">
        <v>4570</v>
      </c>
      <c r="C148" s="40" t="s">
        <v>25</v>
      </c>
      <c r="D148" s="40" t="s">
        <v>532</v>
      </c>
      <c r="E148" s="40" t="s">
        <v>38</v>
      </c>
      <c r="F148" s="40"/>
      <c r="G148" s="40" t="s">
        <v>29</v>
      </c>
      <c r="H148" s="200">
        <v>500</v>
      </c>
      <c r="I148" s="41">
        <v>100</v>
      </c>
      <c r="J148" s="40" t="s">
        <v>30</v>
      </c>
      <c r="K148" s="40" t="s">
        <v>31</v>
      </c>
      <c r="M148" s="157">
        <v>100</v>
      </c>
    </row>
    <row r="149" spans="1:17" ht="15.75" customHeight="1">
      <c r="A149" s="42">
        <v>13</v>
      </c>
      <c r="B149" s="40" t="s">
        <v>4571</v>
      </c>
      <c r="C149" s="40" t="s">
        <v>25</v>
      </c>
      <c r="D149" s="40" t="s">
        <v>950</v>
      </c>
      <c r="E149" s="40" t="s">
        <v>96</v>
      </c>
      <c r="F149" s="40"/>
      <c r="G149" s="40" t="s">
        <v>29</v>
      </c>
      <c r="H149" s="200">
        <v>500</v>
      </c>
      <c r="I149" s="41">
        <v>100</v>
      </c>
      <c r="J149" s="40" t="s">
        <v>30</v>
      </c>
      <c r="K149" s="40" t="s">
        <v>31</v>
      </c>
    </row>
    <row r="150" spans="1:17" ht="15.75" customHeight="1">
      <c r="A150" s="42">
        <v>13</v>
      </c>
      <c r="B150" s="40" t="s">
        <v>4572</v>
      </c>
      <c r="C150" s="40" t="s">
        <v>59</v>
      </c>
      <c r="D150" s="40" t="s">
        <v>141</v>
      </c>
      <c r="E150" s="40" t="s">
        <v>27</v>
      </c>
      <c r="F150" s="40"/>
      <c r="G150" s="40" t="s">
        <v>29</v>
      </c>
      <c r="H150" s="200">
        <v>500</v>
      </c>
      <c r="I150" s="41">
        <v>100</v>
      </c>
      <c r="J150" s="40" t="s">
        <v>30</v>
      </c>
      <c r="K150" s="40" t="s">
        <v>31</v>
      </c>
    </row>
    <row r="151" spans="1:17" ht="15.75" customHeight="1">
      <c r="A151" s="42">
        <v>13</v>
      </c>
      <c r="B151" s="40" t="s">
        <v>1674</v>
      </c>
      <c r="C151" s="40" t="s">
        <v>25</v>
      </c>
      <c r="D151" s="40" t="s">
        <v>1675</v>
      </c>
      <c r="E151" s="40" t="s">
        <v>42</v>
      </c>
      <c r="F151" s="40"/>
      <c r="G151" s="40" t="s">
        <v>29</v>
      </c>
      <c r="H151" s="200">
        <v>500</v>
      </c>
      <c r="I151" s="41">
        <v>100</v>
      </c>
      <c r="J151" s="40" t="s">
        <v>30</v>
      </c>
      <c r="K151" s="40" t="s">
        <v>31</v>
      </c>
    </row>
    <row r="152" spans="1:17" ht="15.75" customHeight="1">
      <c r="A152" s="42">
        <v>13</v>
      </c>
      <c r="B152" s="40" t="s">
        <v>4573</v>
      </c>
      <c r="C152" s="40" t="s">
        <v>59</v>
      </c>
      <c r="D152" s="40" t="s">
        <v>3198</v>
      </c>
      <c r="E152" s="40" t="s">
        <v>27</v>
      </c>
      <c r="F152" s="40"/>
      <c r="G152" s="40" t="s">
        <v>29</v>
      </c>
      <c r="H152" s="200">
        <v>500</v>
      </c>
      <c r="I152" s="41">
        <v>100</v>
      </c>
      <c r="J152" s="40" t="s">
        <v>30</v>
      </c>
      <c r="K152" s="40" t="s">
        <v>31</v>
      </c>
    </row>
    <row r="153" spans="1:17" ht="15.75" customHeight="1">
      <c r="A153" s="42">
        <v>13</v>
      </c>
      <c r="B153" s="40" t="s">
        <v>4574</v>
      </c>
      <c r="C153" s="40" t="s">
        <v>25</v>
      </c>
      <c r="D153" s="40" t="s">
        <v>950</v>
      </c>
      <c r="E153" s="40" t="s">
        <v>96</v>
      </c>
      <c r="F153" s="40"/>
      <c r="G153" s="40" t="s">
        <v>29</v>
      </c>
      <c r="H153" s="200">
        <v>500</v>
      </c>
      <c r="I153" s="41">
        <v>100</v>
      </c>
      <c r="J153" s="40" t="s">
        <v>30</v>
      </c>
      <c r="K153" s="40" t="s">
        <v>31</v>
      </c>
    </row>
    <row r="154" spans="1:17" ht="15.75" customHeight="1">
      <c r="A154" s="42">
        <v>13</v>
      </c>
      <c r="B154" s="40" t="s">
        <v>4575</v>
      </c>
      <c r="C154" s="40" t="s">
        <v>59</v>
      </c>
      <c r="D154" s="40" t="s">
        <v>118</v>
      </c>
      <c r="E154" s="40" t="s">
        <v>119</v>
      </c>
      <c r="F154" s="40"/>
      <c r="G154" s="40" t="s">
        <v>29</v>
      </c>
      <c r="H154" s="200">
        <v>500</v>
      </c>
      <c r="I154" s="41">
        <v>100</v>
      </c>
      <c r="J154" s="40" t="s">
        <v>30</v>
      </c>
      <c r="K154" s="40" t="s">
        <v>31</v>
      </c>
      <c r="M154" s="157">
        <v>200</v>
      </c>
    </row>
    <row r="155" spans="1:17" ht="15.75" customHeight="1">
      <c r="A155" s="284">
        <v>13</v>
      </c>
      <c r="B155" s="40" t="s">
        <v>4576</v>
      </c>
      <c r="C155" s="40" t="s">
        <v>25</v>
      </c>
      <c r="D155" s="40" t="s">
        <v>4044</v>
      </c>
      <c r="E155" s="40" t="s">
        <v>540</v>
      </c>
      <c r="F155" s="40"/>
      <c r="G155" s="40" t="s">
        <v>29</v>
      </c>
      <c r="H155" s="200">
        <v>500</v>
      </c>
      <c r="I155" s="41">
        <v>100</v>
      </c>
      <c r="J155" s="40" t="s">
        <v>30</v>
      </c>
      <c r="K155" s="40" t="s">
        <v>31</v>
      </c>
    </row>
    <row r="156" spans="1:17" ht="15.75" customHeight="1">
      <c r="A156" s="610">
        <v>14</v>
      </c>
      <c r="B156" s="612" t="s">
        <v>4577</v>
      </c>
      <c r="C156" s="612" t="s">
        <v>25</v>
      </c>
      <c r="D156" s="612" t="s">
        <v>63</v>
      </c>
      <c r="E156" s="612" t="s">
        <v>216</v>
      </c>
      <c r="F156" s="613"/>
      <c r="G156" s="40" t="s">
        <v>29</v>
      </c>
      <c r="H156" s="200">
        <v>1000</v>
      </c>
      <c r="I156" s="41">
        <v>200</v>
      </c>
      <c r="J156" s="610" t="s">
        <v>30</v>
      </c>
      <c r="K156" s="610" t="s">
        <v>31</v>
      </c>
    </row>
    <row r="157" spans="1:17" ht="15.75" customHeight="1">
      <c r="A157" s="570"/>
      <c r="B157" s="570"/>
      <c r="C157" s="570"/>
      <c r="D157" s="570"/>
      <c r="E157" s="570"/>
      <c r="F157" s="570"/>
      <c r="G157" s="40" t="s">
        <v>29</v>
      </c>
      <c r="H157" s="200">
        <v>250</v>
      </c>
      <c r="I157" s="41">
        <v>100</v>
      </c>
      <c r="J157" s="570"/>
      <c r="K157" s="570"/>
    </row>
    <row r="158" spans="1:17" ht="15.75" customHeight="1">
      <c r="A158" s="570"/>
      <c r="B158" s="570"/>
      <c r="C158" s="570"/>
      <c r="D158" s="570"/>
      <c r="E158" s="570"/>
      <c r="F158" s="570"/>
      <c r="G158" s="40" t="s">
        <v>142</v>
      </c>
      <c r="H158" s="200">
        <v>200</v>
      </c>
      <c r="I158" s="41">
        <v>1000</v>
      </c>
      <c r="J158" s="570"/>
      <c r="K158" s="570"/>
      <c r="Q158" s="65"/>
    </row>
    <row r="159" spans="1:17" ht="15.75" customHeight="1">
      <c r="A159" s="571"/>
      <c r="B159" s="571"/>
      <c r="C159" s="571"/>
      <c r="D159" s="571"/>
      <c r="E159" s="571"/>
      <c r="F159" s="571"/>
      <c r="G159" s="40" t="s">
        <v>321</v>
      </c>
      <c r="H159" s="200">
        <v>150</v>
      </c>
      <c r="I159" s="41">
        <v>450</v>
      </c>
      <c r="J159" s="571"/>
      <c r="K159" s="571"/>
    </row>
    <row r="160" spans="1:17" ht="15.75" customHeight="1">
      <c r="A160" s="42">
        <v>14</v>
      </c>
      <c r="B160" s="40" t="s">
        <v>4578</v>
      </c>
      <c r="C160" s="40" t="s">
        <v>59</v>
      </c>
      <c r="D160" s="40" t="s">
        <v>947</v>
      </c>
      <c r="E160" s="40" t="s">
        <v>42</v>
      </c>
      <c r="F160" s="40"/>
      <c r="G160" s="40" t="s">
        <v>29</v>
      </c>
      <c r="H160" s="200">
        <v>6000</v>
      </c>
      <c r="I160" s="41">
        <v>1200</v>
      </c>
      <c r="J160" s="40" t="s">
        <v>30</v>
      </c>
      <c r="K160" s="40" t="s">
        <v>31</v>
      </c>
      <c r="Q160" s="65"/>
    </row>
    <row r="161" spans="1:13" ht="15.75" customHeight="1">
      <c r="A161" s="42">
        <v>14</v>
      </c>
      <c r="B161" s="40" t="s">
        <v>973</v>
      </c>
      <c r="C161" s="40" t="s">
        <v>25</v>
      </c>
      <c r="D161" s="40" t="s">
        <v>974</v>
      </c>
      <c r="E161" s="40" t="s">
        <v>870</v>
      </c>
      <c r="F161" s="40"/>
      <c r="G161" s="40" t="s">
        <v>29</v>
      </c>
      <c r="H161" s="200">
        <v>6000</v>
      </c>
      <c r="I161" s="41">
        <v>1200</v>
      </c>
      <c r="J161" s="40" t="s">
        <v>30</v>
      </c>
      <c r="K161" s="40" t="s">
        <v>31</v>
      </c>
      <c r="M161" s="157">
        <v>1250</v>
      </c>
    </row>
    <row r="162" spans="1:13" ht="15.75" customHeight="1">
      <c r="A162" s="42">
        <v>14</v>
      </c>
      <c r="B162" s="40" t="s">
        <v>4579</v>
      </c>
      <c r="C162" s="40" t="s">
        <v>25</v>
      </c>
      <c r="D162" s="40" t="s">
        <v>303</v>
      </c>
      <c r="E162" s="40" t="s">
        <v>96</v>
      </c>
      <c r="F162" s="40"/>
      <c r="G162" s="40" t="s">
        <v>116</v>
      </c>
      <c r="H162" s="200">
        <v>6000</v>
      </c>
      <c r="I162" s="41">
        <v>6000</v>
      </c>
      <c r="J162" s="40" t="s">
        <v>30</v>
      </c>
      <c r="K162" s="40" t="s">
        <v>31</v>
      </c>
      <c r="M162" s="157">
        <v>3000</v>
      </c>
    </row>
    <row r="163" spans="1:13" ht="15.75" customHeight="1">
      <c r="A163" s="42">
        <v>14</v>
      </c>
      <c r="B163" s="40" t="s">
        <v>4580</v>
      </c>
      <c r="C163" s="40" t="s">
        <v>59</v>
      </c>
      <c r="D163" s="40" t="s">
        <v>585</v>
      </c>
      <c r="E163" s="40" t="s">
        <v>249</v>
      </c>
      <c r="F163" s="40"/>
      <c r="G163" s="40" t="s">
        <v>29</v>
      </c>
      <c r="H163" s="200">
        <v>2000</v>
      </c>
      <c r="I163" s="41">
        <v>600</v>
      </c>
      <c r="J163" s="40" t="s">
        <v>30</v>
      </c>
      <c r="K163" s="40" t="s">
        <v>31</v>
      </c>
      <c r="M163" s="157">
        <v>300</v>
      </c>
    </row>
    <row r="164" spans="1:13" ht="15.75" customHeight="1">
      <c r="A164" s="42">
        <v>15</v>
      </c>
      <c r="B164" s="40" t="s">
        <v>4521</v>
      </c>
      <c r="C164" s="40" t="s">
        <v>25</v>
      </c>
      <c r="D164" s="40" t="s">
        <v>1069</v>
      </c>
      <c r="E164" s="40" t="s">
        <v>96</v>
      </c>
      <c r="F164" s="40"/>
      <c r="G164" s="40" t="s">
        <v>142</v>
      </c>
      <c r="H164" s="200">
        <v>40</v>
      </c>
      <c r="I164" s="41">
        <v>200</v>
      </c>
      <c r="J164" s="40" t="s">
        <v>30</v>
      </c>
      <c r="K164" s="40" t="s">
        <v>31</v>
      </c>
    </row>
    <row r="165" spans="1:13" ht="15.75" customHeight="1">
      <c r="A165" s="42">
        <v>15</v>
      </c>
      <c r="B165" s="40" t="s">
        <v>4581</v>
      </c>
      <c r="C165" s="40" t="s">
        <v>25</v>
      </c>
      <c r="D165" s="40" t="s">
        <v>1137</v>
      </c>
      <c r="E165" s="40" t="s">
        <v>4582</v>
      </c>
      <c r="F165" s="40"/>
      <c r="G165" s="40" t="s">
        <v>29</v>
      </c>
      <c r="H165" s="200">
        <v>100</v>
      </c>
      <c r="I165" s="41">
        <v>40</v>
      </c>
      <c r="J165" s="40" t="s">
        <v>30</v>
      </c>
      <c r="K165" s="40" t="s">
        <v>31</v>
      </c>
      <c r="M165" s="157">
        <v>25</v>
      </c>
    </row>
    <row r="166" spans="1:13" ht="15.75" customHeight="1">
      <c r="A166" s="42">
        <v>15</v>
      </c>
      <c r="B166" s="40" t="s">
        <v>3263</v>
      </c>
      <c r="C166" s="40" t="s">
        <v>25</v>
      </c>
      <c r="D166" s="40" t="s">
        <v>258</v>
      </c>
      <c r="E166" s="40" t="s">
        <v>130</v>
      </c>
      <c r="F166" s="40"/>
      <c r="G166" s="40" t="s">
        <v>29</v>
      </c>
      <c r="H166" s="200">
        <v>8000</v>
      </c>
      <c r="I166" s="41">
        <v>1600</v>
      </c>
      <c r="J166" s="40" t="s">
        <v>30</v>
      </c>
      <c r="K166" s="40" t="s">
        <v>31</v>
      </c>
      <c r="M166" s="157">
        <v>1500</v>
      </c>
    </row>
    <row r="167" spans="1:13" ht="15.75" customHeight="1">
      <c r="A167" s="42">
        <v>15</v>
      </c>
      <c r="B167" s="40" t="s">
        <v>4583</v>
      </c>
      <c r="C167" s="40" t="s">
        <v>25</v>
      </c>
      <c r="D167" s="40" t="s">
        <v>92</v>
      </c>
      <c r="E167" s="40" t="s">
        <v>46</v>
      </c>
      <c r="F167" s="40"/>
      <c r="G167" s="40" t="s">
        <v>29</v>
      </c>
      <c r="H167" s="200">
        <v>500</v>
      </c>
      <c r="I167" s="41">
        <v>100</v>
      </c>
      <c r="J167" s="40" t="s">
        <v>30</v>
      </c>
      <c r="K167" s="40" t="s">
        <v>31</v>
      </c>
    </row>
    <row r="168" spans="1:13" ht="15.75" customHeight="1">
      <c r="A168" s="42">
        <v>15</v>
      </c>
      <c r="B168" s="40" t="s">
        <v>4394</v>
      </c>
      <c r="C168" s="40" t="s">
        <v>25</v>
      </c>
      <c r="D168" s="40" t="s">
        <v>169</v>
      </c>
      <c r="E168" s="40" t="s">
        <v>78</v>
      </c>
      <c r="F168" s="40"/>
      <c r="G168" s="40" t="s">
        <v>29</v>
      </c>
      <c r="H168" s="200">
        <v>500</v>
      </c>
      <c r="I168" s="41">
        <v>100</v>
      </c>
      <c r="J168" s="40" t="s">
        <v>30</v>
      </c>
      <c r="K168" s="40" t="s">
        <v>31</v>
      </c>
      <c r="M168" s="157">
        <v>200</v>
      </c>
    </row>
    <row r="169" spans="1:13" ht="15.75" customHeight="1">
      <c r="A169" s="42">
        <v>15</v>
      </c>
      <c r="B169" s="40" t="s">
        <v>4584</v>
      </c>
      <c r="C169" s="40" t="s">
        <v>59</v>
      </c>
      <c r="D169" s="40" t="s">
        <v>55</v>
      </c>
      <c r="E169" s="40" t="s">
        <v>56</v>
      </c>
      <c r="F169" s="40"/>
      <c r="G169" s="40" t="s">
        <v>29</v>
      </c>
      <c r="H169" s="200">
        <v>500</v>
      </c>
      <c r="I169" s="41">
        <v>100</v>
      </c>
      <c r="J169" s="40" t="s">
        <v>30</v>
      </c>
      <c r="K169" s="40" t="s">
        <v>31</v>
      </c>
      <c r="M169" s="157">
        <v>150</v>
      </c>
    </row>
    <row r="170" spans="1:13" ht="15.75" customHeight="1">
      <c r="A170" s="42">
        <v>16</v>
      </c>
      <c r="B170" s="40" t="s">
        <v>4585</v>
      </c>
      <c r="C170" s="40" t="s">
        <v>25</v>
      </c>
      <c r="D170" s="40" t="s">
        <v>647</v>
      </c>
      <c r="E170" s="40" t="s">
        <v>96</v>
      </c>
      <c r="F170" s="40"/>
      <c r="G170" s="40" t="s">
        <v>29</v>
      </c>
      <c r="H170" s="200">
        <v>500</v>
      </c>
      <c r="I170" s="41">
        <v>100</v>
      </c>
      <c r="J170" s="40" t="s">
        <v>30</v>
      </c>
      <c r="K170" s="40" t="s">
        <v>31</v>
      </c>
      <c r="M170" s="157">
        <v>100</v>
      </c>
    </row>
    <row r="171" spans="1:13" ht="15.75" customHeight="1">
      <c r="A171" s="42">
        <v>16</v>
      </c>
      <c r="B171" s="40" t="s">
        <v>4586</v>
      </c>
      <c r="C171" s="40" t="s">
        <v>59</v>
      </c>
      <c r="D171" s="40" t="s">
        <v>4587</v>
      </c>
      <c r="E171" s="40" t="s">
        <v>42</v>
      </c>
      <c r="F171" s="40"/>
      <c r="G171" s="40" t="s">
        <v>29</v>
      </c>
      <c r="H171" s="200">
        <v>1100</v>
      </c>
      <c r="I171" s="41">
        <v>220</v>
      </c>
      <c r="J171" s="40" t="s">
        <v>30</v>
      </c>
      <c r="K171" s="40" t="s">
        <v>31</v>
      </c>
      <c r="M171" s="157">
        <v>400</v>
      </c>
    </row>
    <row r="172" spans="1:13" ht="15.75" customHeight="1">
      <c r="A172" s="42">
        <v>16</v>
      </c>
      <c r="B172" s="40" t="s">
        <v>4588</v>
      </c>
      <c r="C172" s="40" t="s">
        <v>25</v>
      </c>
      <c r="D172" s="40" t="s">
        <v>41</v>
      </c>
      <c r="E172" s="40" t="s">
        <v>42</v>
      </c>
      <c r="F172" s="40"/>
      <c r="G172" s="40" t="s">
        <v>29</v>
      </c>
      <c r="H172" s="200">
        <v>1000</v>
      </c>
      <c r="I172" s="41">
        <v>200</v>
      </c>
      <c r="J172" s="40" t="s">
        <v>30</v>
      </c>
      <c r="K172" s="40" t="s">
        <v>31</v>
      </c>
    </row>
    <row r="173" spans="1:13" ht="15.75" customHeight="1">
      <c r="A173" s="42">
        <v>16</v>
      </c>
      <c r="B173" s="40" t="s">
        <v>4589</v>
      </c>
      <c r="C173" s="40" t="s">
        <v>25</v>
      </c>
      <c r="D173" s="40"/>
      <c r="E173" s="40" t="s">
        <v>34</v>
      </c>
      <c r="F173" s="40"/>
      <c r="G173" s="40" t="s">
        <v>29</v>
      </c>
      <c r="H173" s="200">
        <v>40000</v>
      </c>
      <c r="I173" s="41">
        <v>8000</v>
      </c>
      <c r="J173" s="40" t="s">
        <v>30</v>
      </c>
      <c r="K173" s="40" t="s">
        <v>31</v>
      </c>
    </row>
    <row r="174" spans="1:13" ht="15.75" customHeight="1">
      <c r="A174" s="42">
        <v>16</v>
      </c>
      <c r="B174" s="40" t="s">
        <v>4590</v>
      </c>
      <c r="C174" s="40" t="s">
        <v>25</v>
      </c>
      <c r="D174" s="40" t="s">
        <v>1190</v>
      </c>
      <c r="E174" s="40" t="s">
        <v>42</v>
      </c>
      <c r="F174" s="40"/>
      <c r="G174" s="40" t="s">
        <v>29</v>
      </c>
      <c r="H174" s="200">
        <v>150</v>
      </c>
      <c r="I174" s="41">
        <v>30</v>
      </c>
      <c r="J174" s="40" t="s">
        <v>30</v>
      </c>
      <c r="K174" s="40" t="s">
        <v>31</v>
      </c>
      <c r="M174" s="157">
        <v>20</v>
      </c>
    </row>
    <row r="175" spans="1:13" ht="15.75" customHeight="1">
      <c r="A175" s="42">
        <v>18</v>
      </c>
      <c r="B175" s="40" t="s">
        <v>4591</v>
      </c>
      <c r="C175" s="40" t="s">
        <v>25</v>
      </c>
      <c r="D175" s="40" t="s">
        <v>103</v>
      </c>
      <c r="E175" s="40" t="s">
        <v>141</v>
      </c>
      <c r="F175" s="40"/>
      <c r="G175" s="40" t="s">
        <v>29</v>
      </c>
      <c r="H175" s="200">
        <v>3000</v>
      </c>
      <c r="I175" s="41">
        <v>600</v>
      </c>
      <c r="J175" s="40" t="s">
        <v>30</v>
      </c>
      <c r="K175" s="40" t="s">
        <v>31</v>
      </c>
      <c r="M175" s="157">
        <v>900</v>
      </c>
    </row>
    <row r="176" spans="1:13" ht="15.75" customHeight="1">
      <c r="A176" s="42">
        <v>18</v>
      </c>
      <c r="B176" s="40" t="s">
        <v>4592</v>
      </c>
      <c r="C176" s="40" t="s">
        <v>25</v>
      </c>
      <c r="D176" s="40" t="s">
        <v>669</v>
      </c>
      <c r="E176" s="40" t="s">
        <v>56</v>
      </c>
      <c r="F176" s="40"/>
      <c r="G176" s="40" t="s">
        <v>29</v>
      </c>
      <c r="H176" s="200">
        <v>5000</v>
      </c>
      <c r="I176" s="41">
        <v>1000</v>
      </c>
      <c r="J176" s="40" t="s">
        <v>30</v>
      </c>
      <c r="K176" s="40" t="s">
        <v>31</v>
      </c>
      <c r="M176" s="157">
        <v>1200</v>
      </c>
    </row>
    <row r="177" spans="1:13" ht="15.75" customHeight="1">
      <c r="A177" s="42">
        <v>18</v>
      </c>
      <c r="B177" s="40" t="s">
        <v>4593</v>
      </c>
      <c r="C177" s="40" t="s">
        <v>25</v>
      </c>
      <c r="D177" s="40" t="s">
        <v>3259</v>
      </c>
      <c r="E177" s="40" t="s">
        <v>130</v>
      </c>
      <c r="F177" s="40"/>
      <c r="G177" s="40" t="s">
        <v>29</v>
      </c>
      <c r="H177" s="200">
        <v>3000</v>
      </c>
      <c r="I177" s="41">
        <v>600</v>
      </c>
      <c r="J177" s="40" t="s">
        <v>30</v>
      </c>
      <c r="K177" s="40" t="s">
        <v>31</v>
      </c>
      <c r="M177" s="157">
        <v>760</v>
      </c>
    </row>
    <row r="178" spans="1:13" ht="15.75" customHeight="1">
      <c r="A178" s="42">
        <v>18</v>
      </c>
      <c r="B178" s="40" t="s">
        <v>4594</v>
      </c>
      <c r="C178" s="40" t="s">
        <v>25</v>
      </c>
      <c r="D178" s="40" t="s">
        <v>4595</v>
      </c>
      <c r="E178" s="40" t="s">
        <v>38</v>
      </c>
      <c r="F178" s="40"/>
      <c r="G178" s="40" t="s">
        <v>29</v>
      </c>
      <c r="H178" s="200">
        <v>500</v>
      </c>
      <c r="I178" s="41">
        <v>100</v>
      </c>
      <c r="J178" s="40" t="s">
        <v>30</v>
      </c>
      <c r="K178" s="40" t="s">
        <v>31</v>
      </c>
    </row>
    <row r="179" spans="1:13" ht="15.75" customHeight="1">
      <c r="A179" s="42">
        <v>19</v>
      </c>
      <c r="B179" s="40" t="s">
        <v>4596</v>
      </c>
      <c r="C179" s="40" t="s">
        <v>25</v>
      </c>
      <c r="D179" s="40" t="s">
        <v>1490</v>
      </c>
      <c r="E179" s="40" t="s">
        <v>38</v>
      </c>
      <c r="F179" s="40"/>
      <c r="G179" s="40" t="s">
        <v>142</v>
      </c>
      <c r="H179" s="200">
        <v>20</v>
      </c>
      <c r="I179" s="41">
        <v>100</v>
      </c>
      <c r="J179" s="40"/>
      <c r="K179" s="40" t="s">
        <v>31</v>
      </c>
    </row>
    <row r="180" spans="1:13" ht="15.75" customHeight="1">
      <c r="A180" s="42">
        <v>19</v>
      </c>
      <c r="B180" s="40" t="s">
        <v>4597</v>
      </c>
      <c r="C180" s="40" t="s">
        <v>25</v>
      </c>
      <c r="D180" s="40" t="s">
        <v>192</v>
      </c>
      <c r="E180" s="40" t="s">
        <v>150</v>
      </c>
      <c r="F180" s="40"/>
      <c r="G180" s="40" t="s">
        <v>29</v>
      </c>
      <c r="H180" s="200">
        <v>500</v>
      </c>
      <c r="I180" s="41">
        <v>100</v>
      </c>
      <c r="J180" s="40" t="s">
        <v>30</v>
      </c>
      <c r="K180" s="40" t="s">
        <v>31</v>
      </c>
      <c r="M180" s="157">
        <v>100</v>
      </c>
    </row>
    <row r="181" spans="1:13" ht="15.75" customHeight="1">
      <c r="A181" s="610">
        <v>19</v>
      </c>
      <c r="B181" s="612" t="s">
        <v>1115</v>
      </c>
      <c r="C181" s="612" t="s">
        <v>59</v>
      </c>
      <c r="D181" s="612" t="s">
        <v>86</v>
      </c>
      <c r="E181" s="612" t="s">
        <v>42</v>
      </c>
      <c r="F181" s="613"/>
      <c r="G181" s="40" t="s">
        <v>29</v>
      </c>
      <c r="H181" s="200">
        <v>5000</v>
      </c>
      <c r="I181" s="41">
        <v>1000</v>
      </c>
      <c r="J181" s="612" t="s">
        <v>30</v>
      </c>
      <c r="K181" s="612" t="s">
        <v>31</v>
      </c>
    </row>
    <row r="182" spans="1:13" ht="15.75" customHeight="1">
      <c r="A182" s="571"/>
      <c r="B182" s="571"/>
      <c r="C182" s="571"/>
      <c r="D182" s="571"/>
      <c r="E182" s="571"/>
      <c r="F182" s="571"/>
      <c r="G182" s="40" t="s">
        <v>142</v>
      </c>
      <c r="H182" s="200">
        <v>5</v>
      </c>
      <c r="I182" s="41">
        <v>25</v>
      </c>
      <c r="J182" s="571"/>
      <c r="K182" s="571"/>
    </row>
    <row r="183" spans="1:13" ht="15.75" customHeight="1">
      <c r="A183" s="42">
        <v>19</v>
      </c>
      <c r="B183" s="40" t="s">
        <v>2152</v>
      </c>
      <c r="C183" s="40" t="s">
        <v>25</v>
      </c>
      <c r="D183" s="40" t="s">
        <v>4598</v>
      </c>
      <c r="E183" s="40" t="s">
        <v>38</v>
      </c>
      <c r="F183" s="40"/>
      <c r="G183" s="40" t="s">
        <v>29</v>
      </c>
      <c r="H183" s="200">
        <v>1000</v>
      </c>
      <c r="I183" s="41">
        <v>200</v>
      </c>
      <c r="J183" s="40" t="s">
        <v>30</v>
      </c>
      <c r="K183" s="40" t="s">
        <v>31</v>
      </c>
      <c r="M183" s="157">
        <v>300</v>
      </c>
    </row>
    <row r="184" spans="1:13" ht="15.75" customHeight="1">
      <c r="A184" s="42">
        <v>20</v>
      </c>
      <c r="B184" s="40" t="s">
        <v>4599</v>
      </c>
      <c r="C184" s="40" t="s">
        <v>25</v>
      </c>
      <c r="D184" s="40" t="s">
        <v>1899</v>
      </c>
      <c r="E184" s="40" t="s">
        <v>318</v>
      </c>
      <c r="F184" s="40"/>
      <c r="G184" s="40" t="s">
        <v>29</v>
      </c>
      <c r="H184" s="200">
        <v>5000</v>
      </c>
      <c r="I184" s="41">
        <v>1000</v>
      </c>
      <c r="J184" s="40" t="s">
        <v>30</v>
      </c>
      <c r="K184" s="40" t="s">
        <v>31</v>
      </c>
    </row>
    <row r="185" spans="1:13" ht="15.75" customHeight="1">
      <c r="A185" s="42">
        <v>20</v>
      </c>
      <c r="B185" s="40" t="s">
        <v>3113</v>
      </c>
      <c r="C185" s="40" t="s">
        <v>25</v>
      </c>
      <c r="D185" s="40" t="s">
        <v>89</v>
      </c>
      <c r="E185" s="40" t="s">
        <v>46</v>
      </c>
      <c r="F185" s="40"/>
      <c r="G185" s="40" t="s">
        <v>29</v>
      </c>
      <c r="H185" s="200">
        <v>500</v>
      </c>
      <c r="I185" s="41">
        <v>100</v>
      </c>
      <c r="J185" s="40" t="s">
        <v>30</v>
      </c>
      <c r="K185" s="40" t="s">
        <v>31</v>
      </c>
    </row>
    <row r="186" spans="1:13" ht="15.75" customHeight="1">
      <c r="A186" s="42">
        <v>20</v>
      </c>
      <c r="B186" s="40" t="s">
        <v>4600</v>
      </c>
      <c r="C186" s="40" t="s">
        <v>25</v>
      </c>
      <c r="D186" s="40" t="s">
        <v>4598</v>
      </c>
      <c r="E186" s="40" t="s">
        <v>1743</v>
      </c>
      <c r="F186" s="40"/>
      <c r="G186" s="40" t="s">
        <v>29</v>
      </c>
      <c r="H186" s="200">
        <v>600</v>
      </c>
      <c r="I186" s="41">
        <v>120</v>
      </c>
      <c r="J186" s="40" t="s">
        <v>30</v>
      </c>
      <c r="K186" s="40" t="s">
        <v>31</v>
      </c>
    </row>
    <row r="187" spans="1:13" ht="15.75" customHeight="1">
      <c r="A187" s="42">
        <v>20</v>
      </c>
      <c r="B187" s="40" t="s">
        <v>4601</v>
      </c>
      <c r="C187" s="40" t="s">
        <v>25</v>
      </c>
      <c r="D187" s="40" t="s">
        <v>1555</v>
      </c>
      <c r="E187" s="40" t="s">
        <v>258</v>
      </c>
      <c r="F187" s="40"/>
      <c r="G187" s="40" t="s">
        <v>29</v>
      </c>
      <c r="H187" s="200">
        <v>1500</v>
      </c>
      <c r="I187" s="41">
        <v>300</v>
      </c>
      <c r="J187" s="40" t="s">
        <v>30</v>
      </c>
      <c r="K187" s="40" t="s">
        <v>31</v>
      </c>
      <c r="M187" s="157">
        <v>300</v>
      </c>
    </row>
    <row r="188" spans="1:13" ht="15.75" customHeight="1">
      <c r="A188" s="42">
        <v>20</v>
      </c>
      <c r="B188" s="40" t="s">
        <v>4602</v>
      </c>
      <c r="C188" s="40" t="s">
        <v>25</v>
      </c>
      <c r="D188" s="40" t="s">
        <v>735</v>
      </c>
      <c r="E188" s="40" t="s">
        <v>318</v>
      </c>
      <c r="F188" s="40"/>
      <c r="G188" s="40" t="s">
        <v>29</v>
      </c>
      <c r="H188" s="200">
        <v>12500</v>
      </c>
      <c r="I188" s="41">
        <v>2500</v>
      </c>
      <c r="J188" s="40" t="s">
        <v>30</v>
      </c>
      <c r="K188" s="40" t="s">
        <v>31</v>
      </c>
      <c r="M188" s="157">
        <v>2500</v>
      </c>
    </row>
    <row r="189" spans="1:13" ht="15.75" customHeight="1">
      <c r="A189" s="42">
        <v>20</v>
      </c>
      <c r="B189" s="40" t="s">
        <v>583</v>
      </c>
      <c r="C189" s="40" t="s">
        <v>25</v>
      </c>
      <c r="D189" s="40" t="s">
        <v>99</v>
      </c>
      <c r="E189" s="40" t="s">
        <v>42</v>
      </c>
      <c r="F189" s="40"/>
      <c r="G189" s="40" t="s">
        <v>29</v>
      </c>
      <c r="H189" s="200">
        <v>7000</v>
      </c>
      <c r="I189" s="41">
        <v>1400</v>
      </c>
      <c r="J189" s="40" t="s">
        <v>30</v>
      </c>
      <c r="K189" s="40" t="s">
        <v>31</v>
      </c>
    </row>
    <row r="190" spans="1:13" ht="15.75" customHeight="1">
      <c r="A190" s="438">
        <v>20</v>
      </c>
      <c r="B190" s="439" t="s">
        <v>4603</v>
      </c>
      <c r="C190" s="40" t="s">
        <v>25</v>
      </c>
      <c r="D190" s="40" t="s">
        <v>176</v>
      </c>
      <c r="E190" s="40" t="s">
        <v>27</v>
      </c>
      <c r="F190" s="40"/>
      <c r="G190" s="40" t="s">
        <v>29</v>
      </c>
      <c r="H190" s="200">
        <v>1000</v>
      </c>
      <c r="I190" s="41">
        <v>200</v>
      </c>
      <c r="J190" s="40" t="s">
        <v>30</v>
      </c>
      <c r="K190" s="40" t="s">
        <v>31</v>
      </c>
      <c r="M190" s="157">
        <v>200</v>
      </c>
    </row>
    <row r="191" spans="1:13" ht="15.75" customHeight="1">
      <c r="A191" s="438">
        <v>20</v>
      </c>
      <c r="B191" s="439" t="s">
        <v>2950</v>
      </c>
      <c r="C191" s="40" t="s">
        <v>25</v>
      </c>
      <c r="D191" s="40" t="s">
        <v>950</v>
      </c>
      <c r="E191" s="40" t="s">
        <v>96</v>
      </c>
      <c r="F191" s="40"/>
      <c r="G191" s="40" t="s">
        <v>29</v>
      </c>
      <c r="H191" s="200">
        <v>300</v>
      </c>
      <c r="I191" s="41">
        <v>60</v>
      </c>
      <c r="J191" s="40" t="s">
        <v>30</v>
      </c>
      <c r="K191" s="40" t="s">
        <v>31</v>
      </c>
      <c r="M191" s="157">
        <v>100</v>
      </c>
    </row>
    <row r="192" spans="1:13" ht="15.75" customHeight="1">
      <c r="A192" s="438">
        <v>20</v>
      </c>
      <c r="B192" s="439" t="s">
        <v>4604</v>
      </c>
      <c r="C192" s="40" t="s">
        <v>25</v>
      </c>
      <c r="D192" s="40" t="s">
        <v>263</v>
      </c>
      <c r="E192" s="40" t="s">
        <v>42</v>
      </c>
      <c r="F192" s="40"/>
      <c r="G192" s="40" t="s">
        <v>29</v>
      </c>
      <c r="H192" s="200">
        <v>150</v>
      </c>
      <c r="I192" s="41">
        <v>30</v>
      </c>
      <c r="J192" s="40" t="s">
        <v>30</v>
      </c>
      <c r="K192" s="40" t="s">
        <v>31</v>
      </c>
    </row>
    <row r="193" spans="1:17" ht="15.75" customHeight="1">
      <c r="A193" s="438">
        <v>20</v>
      </c>
      <c r="B193" s="439" t="s">
        <v>4605</v>
      </c>
      <c r="C193" s="40" t="s">
        <v>59</v>
      </c>
      <c r="D193" s="40" t="s">
        <v>655</v>
      </c>
      <c r="E193" s="40" t="s">
        <v>42</v>
      </c>
      <c r="F193" s="40"/>
      <c r="G193" s="40" t="s">
        <v>142</v>
      </c>
      <c r="H193" s="200">
        <v>30</v>
      </c>
      <c r="I193" s="41">
        <v>150</v>
      </c>
      <c r="J193" s="40"/>
      <c r="K193" s="40" t="s">
        <v>31</v>
      </c>
    </row>
    <row r="194" spans="1:17" ht="15.75" customHeight="1">
      <c r="A194" s="512">
        <v>21</v>
      </c>
      <c r="B194" s="513" t="s">
        <v>4606</v>
      </c>
      <c r="C194" s="285" t="s">
        <v>59</v>
      </c>
      <c r="D194" s="285" t="s">
        <v>4607</v>
      </c>
      <c r="E194" s="285" t="s">
        <v>768</v>
      </c>
      <c r="F194" s="285"/>
      <c r="G194" s="433" t="s">
        <v>1972</v>
      </c>
      <c r="H194" s="514">
        <v>8000</v>
      </c>
      <c r="I194" s="288">
        <v>16000</v>
      </c>
      <c r="J194" s="285" t="s">
        <v>30</v>
      </c>
      <c r="K194" s="285" t="s">
        <v>31</v>
      </c>
    </row>
    <row r="195" spans="1:17" ht="15.75" customHeight="1">
      <c r="A195" s="438">
        <v>21</v>
      </c>
      <c r="B195" s="439" t="s">
        <v>4608</v>
      </c>
      <c r="C195" s="40" t="s">
        <v>59</v>
      </c>
      <c r="D195" s="40" t="s">
        <v>669</v>
      </c>
      <c r="E195" s="40" t="s">
        <v>56</v>
      </c>
      <c r="F195" s="40"/>
      <c r="G195" s="40" t="s">
        <v>29</v>
      </c>
      <c r="H195" s="200">
        <v>5000</v>
      </c>
      <c r="I195" s="41">
        <v>1000</v>
      </c>
      <c r="J195" s="40" t="s">
        <v>30</v>
      </c>
      <c r="K195" s="40" t="s">
        <v>31</v>
      </c>
    </row>
    <row r="196" spans="1:17" ht="15.75" customHeight="1">
      <c r="A196" s="614">
        <v>22</v>
      </c>
      <c r="B196" s="615" t="s">
        <v>1402</v>
      </c>
      <c r="C196" s="612" t="s">
        <v>25</v>
      </c>
      <c r="D196" s="612" t="s">
        <v>1403</v>
      </c>
      <c r="E196" s="612" t="s">
        <v>46</v>
      </c>
      <c r="F196" s="613"/>
      <c r="G196" s="40" t="s">
        <v>29</v>
      </c>
      <c r="H196" s="200">
        <v>8000</v>
      </c>
      <c r="I196" s="41">
        <v>1600</v>
      </c>
      <c r="J196" s="612" t="s">
        <v>30</v>
      </c>
      <c r="K196" s="612" t="s">
        <v>31</v>
      </c>
    </row>
    <row r="197" spans="1:17" ht="15.75" customHeight="1">
      <c r="A197" s="571"/>
      <c r="B197" s="571"/>
      <c r="C197" s="571"/>
      <c r="D197" s="571"/>
      <c r="E197" s="571"/>
      <c r="F197" s="571"/>
      <c r="G197" s="40" t="s">
        <v>142</v>
      </c>
      <c r="H197" s="200">
        <v>150</v>
      </c>
      <c r="I197" s="41">
        <v>750</v>
      </c>
      <c r="J197" s="571"/>
      <c r="K197" s="571"/>
    </row>
    <row r="198" spans="1:17" ht="15.75" customHeight="1">
      <c r="A198" s="438">
        <v>22</v>
      </c>
      <c r="B198" s="439" t="s">
        <v>4609</v>
      </c>
      <c r="C198" s="40" t="s">
        <v>25</v>
      </c>
      <c r="D198" s="40" t="s">
        <v>86</v>
      </c>
      <c r="E198" s="40" t="s">
        <v>42</v>
      </c>
      <c r="F198" s="40"/>
      <c r="G198" s="40" t="s">
        <v>142</v>
      </c>
      <c r="H198" s="200">
        <v>180</v>
      </c>
      <c r="I198" s="41">
        <v>900</v>
      </c>
      <c r="J198" s="40" t="s">
        <v>30</v>
      </c>
      <c r="K198" s="40" t="s">
        <v>31</v>
      </c>
    </row>
    <row r="199" spans="1:17" ht="15.75" customHeight="1">
      <c r="A199" s="438">
        <v>22</v>
      </c>
      <c r="B199" s="439" t="s">
        <v>4192</v>
      </c>
      <c r="C199" s="40" t="s">
        <v>25</v>
      </c>
      <c r="D199" s="40" t="s">
        <v>836</v>
      </c>
      <c r="E199" s="40" t="s">
        <v>42</v>
      </c>
      <c r="F199" s="40"/>
      <c r="G199" s="40" t="s">
        <v>29</v>
      </c>
      <c r="H199" s="200">
        <v>500</v>
      </c>
      <c r="I199" s="41">
        <v>100</v>
      </c>
      <c r="J199" s="40" t="s">
        <v>30</v>
      </c>
      <c r="K199" s="40" t="s">
        <v>31</v>
      </c>
    </row>
    <row r="200" spans="1:17" ht="15.75" customHeight="1">
      <c r="A200" s="438">
        <v>22</v>
      </c>
      <c r="B200" s="439" t="s">
        <v>4610</v>
      </c>
      <c r="C200" s="40" t="s">
        <v>25</v>
      </c>
      <c r="D200" s="40" t="s">
        <v>1304</v>
      </c>
      <c r="E200" s="40" t="s">
        <v>141</v>
      </c>
      <c r="F200" s="40"/>
      <c r="G200" s="40" t="s">
        <v>29</v>
      </c>
      <c r="H200" s="200">
        <v>500</v>
      </c>
      <c r="I200" s="41">
        <v>100</v>
      </c>
      <c r="J200" s="40" t="s">
        <v>30</v>
      </c>
      <c r="K200" s="40" t="s">
        <v>31</v>
      </c>
      <c r="Q200" s="65"/>
    </row>
    <row r="201" spans="1:17" ht="15.75" customHeight="1">
      <c r="A201" s="438">
        <v>22</v>
      </c>
      <c r="B201" s="439" t="s">
        <v>4420</v>
      </c>
      <c r="C201" s="40" t="s">
        <v>25</v>
      </c>
      <c r="D201" s="40" t="s">
        <v>3750</v>
      </c>
      <c r="E201" s="40" t="s">
        <v>103</v>
      </c>
      <c r="F201" s="40"/>
      <c r="G201" s="40" t="s">
        <v>29</v>
      </c>
      <c r="H201" s="200">
        <v>800</v>
      </c>
      <c r="I201" s="41">
        <v>160</v>
      </c>
      <c r="J201" s="40" t="s">
        <v>30</v>
      </c>
      <c r="K201" s="40" t="s">
        <v>31</v>
      </c>
      <c r="Q201" s="65"/>
    </row>
    <row r="202" spans="1:17" ht="15.75" customHeight="1">
      <c r="A202" s="438">
        <v>25</v>
      </c>
      <c r="B202" s="439" t="s">
        <v>4611</v>
      </c>
      <c r="C202" s="40" t="s">
        <v>25</v>
      </c>
      <c r="D202" s="40" t="s">
        <v>3579</v>
      </c>
      <c r="E202" s="40" t="s">
        <v>561</v>
      </c>
      <c r="F202" s="40"/>
      <c r="G202" s="40" t="s">
        <v>29</v>
      </c>
      <c r="H202" s="200">
        <v>6000</v>
      </c>
      <c r="I202" s="41">
        <v>1200</v>
      </c>
      <c r="J202" s="40" t="s">
        <v>30</v>
      </c>
      <c r="K202" s="40" t="s">
        <v>31</v>
      </c>
    </row>
    <row r="203" spans="1:17" ht="15.75" customHeight="1">
      <c r="A203" s="438">
        <v>25</v>
      </c>
      <c r="B203" s="439" t="s">
        <v>4612</v>
      </c>
      <c r="C203" s="40" t="s">
        <v>25</v>
      </c>
      <c r="D203" s="40" t="s">
        <v>258</v>
      </c>
      <c r="E203" s="40" t="s">
        <v>96</v>
      </c>
      <c r="F203" s="40"/>
      <c r="G203" s="40" t="s">
        <v>29</v>
      </c>
      <c r="H203" s="200">
        <v>300</v>
      </c>
      <c r="I203" s="41">
        <v>60</v>
      </c>
      <c r="J203" s="40" t="s">
        <v>30</v>
      </c>
      <c r="K203" s="40" t="s">
        <v>31</v>
      </c>
    </row>
    <row r="204" spans="1:17" ht="15.75" customHeight="1">
      <c r="A204" s="438">
        <v>25</v>
      </c>
      <c r="B204" s="439" t="s">
        <v>4613</v>
      </c>
      <c r="C204" s="40" t="s">
        <v>59</v>
      </c>
      <c r="D204" s="40" t="s">
        <v>548</v>
      </c>
      <c r="E204" s="40" t="s">
        <v>42</v>
      </c>
      <c r="F204" s="40"/>
      <c r="G204" s="40" t="s">
        <v>29</v>
      </c>
      <c r="H204" s="200">
        <v>150</v>
      </c>
      <c r="I204" s="41">
        <v>45</v>
      </c>
      <c r="J204" s="40" t="s">
        <v>30</v>
      </c>
      <c r="K204" s="40" t="s">
        <v>31</v>
      </c>
      <c r="M204" s="157">
        <v>50</v>
      </c>
    </row>
    <row r="205" spans="1:17" ht="15.75" customHeight="1">
      <c r="A205" s="438">
        <v>25</v>
      </c>
      <c r="B205" s="439" t="s">
        <v>4614</v>
      </c>
      <c r="C205" s="40" t="s">
        <v>25</v>
      </c>
      <c r="D205" s="40" t="s">
        <v>55</v>
      </c>
      <c r="E205" s="40" t="s">
        <v>96</v>
      </c>
      <c r="F205" s="40"/>
      <c r="G205" s="40" t="s">
        <v>29</v>
      </c>
      <c r="H205" s="200">
        <v>500</v>
      </c>
      <c r="I205" s="41">
        <v>100</v>
      </c>
      <c r="J205" s="40" t="s">
        <v>30</v>
      </c>
      <c r="K205" s="40" t="s">
        <v>31</v>
      </c>
      <c r="M205" s="157">
        <v>200</v>
      </c>
    </row>
    <row r="206" spans="1:17" ht="15.75" customHeight="1">
      <c r="A206" s="614">
        <v>25</v>
      </c>
      <c r="B206" s="615" t="s">
        <v>4615</v>
      </c>
      <c r="C206" s="612" t="s">
        <v>25</v>
      </c>
      <c r="D206" s="612" t="s">
        <v>55</v>
      </c>
      <c r="E206" s="612" t="s">
        <v>96</v>
      </c>
      <c r="F206" s="613"/>
      <c r="G206" s="40" t="s">
        <v>29</v>
      </c>
      <c r="H206" s="200">
        <v>500</v>
      </c>
      <c r="I206" s="41">
        <v>100</v>
      </c>
      <c r="J206" s="612" t="s">
        <v>30</v>
      </c>
      <c r="K206" s="612" t="s">
        <v>31</v>
      </c>
    </row>
    <row r="207" spans="1:17" ht="15.75" customHeight="1">
      <c r="A207" s="570"/>
      <c r="B207" s="570"/>
      <c r="C207" s="570"/>
      <c r="D207" s="570"/>
      <c r="E207" s="570"/>
      <c r="F207" s="570"/>
      <c r="G207" s="40" t="s">
        <v>142</v>
      </c>
      <c r="H207" s="200">
        <v>20</v>
      </c>
      <c r="I207" s="41">
        <v>100</v>
      </c>
      <c r="J207" s="570"/>
      <c r="K207" s="570"/>
    </row>
    <row r="208" spans="1:17" ht="15.75" customHeight="1">
      <c r="A208" s="571"/>
      <c r="B208" s="571"/>
      <c r="C208" s="571"/>
      <c r="D208" s="571"/>
      <c r="E208" s="571"/>
      <c r="F208" s="571"/>
      <c r="G208" s="40" t="s">
        <v>321</v>
      </c>
      <c r="H208" s="200">
        <v>20</v>
      </c>
      <c r="I208" s="41">
        <v>60</v>
      </c>
      <c r="J208" s="571"/>
      <c r="K208" s="571"/>
    </row>
    <row r="209" spans="1:13" ht="15.75" customHeight="1">
      <c r="A209" s="438">
        <v>25</v>
      </c>
      <c r="B209" s="439" t="s">
        <v>4616</v>
      </c>
      <c r="C209" s="40" t="s">
        <v>25</v>
      </c>
      <c r="D209" s="40" t="s">
        <v>195</v>
      </c>
      <c r="E209" s="40" t="s">
        <v>96</v>
      </c>
      <c r="F209" s="40"/>
      <c r="G209" s="40" t="s">
        <v>29</v>
      </c>
      <c r="H209" s="200">
        <v>500</v>
      </c>
      <c r="I209" s="41">
        <v>100</v>
      </c>
      <c r="J209" s="40" t="s">
        <v>30</v>
      </c>
      <c r="K209" s="40" t="s">
        <v>31</v>
      </c>
      <c r="M209" s="157">
        <v>400</v>
      </c>
    </row>
    <row r="210" spans="1:13" ht="15.75" customHeight="1">
      <c r="A210" s="438">
        <v>25</v>
      </c>
      <c r="B210" s="439" t="s">
        <v>4617</v>
      </c>
      <c r="C210" s="40" t="s">
        <v>25</v>
      </c>
      <c r="D210" s="40" t="s">
        <v>303</v>
      </c>
      <c r="E210" s="40" t="s">
        <v>96</v>
      </c>
      <c r="F210" s="40"/>
      <c r="G210" s="40" t="s">
        <v>29</v>
      </c>
      <c r="H210" s="200">
        <v>500</v>
      </c>
      <c r="I210" s="41">
        <v>100</v>
      </c>
      <c r="J210" s="40" t="s">
        <v>30</v>
      </c>
      <c r="K210" s="40" t="s">
        <v>31</v>
      </c>
      <c r="M210" s="157">
        <v>300</v>
      </c>
    </row>
    <row r="211" spans="1:13" ht="15.75" customHeight="1">
      <c r="A211" s="438">
        <v>25</v>
      </c>
      <c r="B211" s="439" t="s">
        <v>4618</v>
      </c>
      <c r="C211" s="40" t="s">
        <v>25</v>
      </c>
      <c r="D211" s="40" t="s">
        <v>263</v>
      </c>
      <c r="E211" s="40" t="s">
        <v>42</v>
      </c>
      <c r="F211" s="40"/>
      <c r="G211" s="40" t="s">
        <v>29</v>
      </c>
      <c r="H211" s="200">
        <v>2000</v>
      </c>
      <c r="I211" s="41">
        <v>400</v>
      </c>
      <c r="J211" s="40" t="s">
        <v>30</v>
      </c>
      <c r="K211" s="40" t="s">
        <v>31</v>
      </c>
      <c r="M211" s="157">
        <v>300</v>
      </c>
    </row>
    <row r="212" spans="1:13" ht="15.75" customHeight="1">
      <c r="A212" s="438">
        <v>25</v>
      </c>
      <c r="B212" s="439" t="s">
        <v>4619</v>
      </c>
      <c r="C212" s="40" t="s">
        <v>25</v>
      </c>
      <c r="D212" s="40" t="s">
        <v>4620</v>
      </c>
      <c r="E212" s="40" t="s">
        <v>311</v>
      </c>
      <c r="F212" s="40"/>
      <c r="G212" s="40" t="s">
        <v>29</v>
      </c>
      <c r="H212" s="200">
        <v>600</v>
      </c>
      <c r="I212" s="41">
        <v>120</v>
      </c>
      <c r="J212" s="40" t="s">
        <v>30</v>
      </c>
      <c r="K212" s="40" t="s">
        <v>31</v>
      </c>
      <c r="M212" s="157">
        <v>200</v>
      </c>
    </row>
    <row r="213" spans="1:13" ht="15.75" customHeight="1">
      <c r="A213" s="614">
        <v>26</v>
      </c>
      <c r="B213" s="615" t="s">
        <v>1402</v>
      </c>
      <c r="C213" s="612" t="s">
        <v>25</v>
      </c>
      <c r="D213" s="612" t="s">
        <v>1403</v>
      </c>
      <c r="E213" s="612" t="s">
        <v>46</v>
      </c>
      <c r="F213" s="613"/>
      <c r="G213" s="40" t="s">
        <v>29</v>
      </c>
      <c r="H213" s="200">
        <v>300</v>
      </c>
      <c r="I213" s="41">
        <v>120</v>
      </c>
      <c r="J213" s="612" t="s">
        <v>30</v>
      </c>
      <c r="K213" s="612" t="s">
        <v>31</v>
      </c>
    </row>
    <row r="214" spans="1:13" ht="15.75" customHeight="1">
      <c r="A214" s="571"/>
      <c r="B214" s="571"/>
      <c r="C214" s="571"/>
      <c r="D214" s="571"/>
      <c r="E214" s="571"/>
      <c r="F214" s="571"/>
      <c r="G214" s="40" t="s">
        <v>142</v>
      </c>
      <c r="H214" s="200">
        <v>10</v>
      </c>
      <c r="I214" s="41">
        <v>50</v>
      </c>
      <c r="J214" s="571"/>
      <c r="K214" s="571"/>
    </row>
    <row r="215" spans="1:13" ht="15.75" customHeight="1">
      <c r="A215" s="438"/>
      <c r="B215" s="439"/>
      <c r="C215" s="40"/>
      <c r="D215" s="40"/>
      <c r="E215" s="40"/>
      <c r="F215" s="40"/>
      <c r="G215" s="40"/>
      <c r="H215" s="44"/>
      <c r="I215" s="41"/>
      <c r="J215" s="40"/>
      <c r="K215" s="40"/>
      <c r="M215" s="282">
        <f>SUM(M12:M214)</f>
        <v>55737</v>
      </c>
    </row>
    <row r="216" spans="1:13" ht="15.75" customHeight="1">
      <c r="A216" s="1"/>
      <c r="B216" s="1"/>
      <c r="C216" s="1"/>
      <c r="D216" s="1"/>
      <c r="E216" s="1"/>
      <c r="F216" s="1"/>
      <c r="G216" s="1"/>
      <c r="H216" s="45"/>
      <c r="I216" s="61"/>
      <c r="J216" s="1"/>
      <c r="K216" s="1"/>
    </row>
    <row r="217" spans="1:13" ht="15.75" customHeight="1">
      <c r="A217" s="1"/>
      <c r="B217" s="1"/>
      <c r="C217" s="1"/>
      <c r="D217" s="1"/>
      <c r="E217" s="1"/>
      <c r="F217" s="1"/>
      <c r="G217" s="1"/>
      <c r="H217" s="1"/>
      <c r="I217" s="61"/>
      <c r="J217" s="1"/>
      <c r="K217" s="1"/>
    </row>
    <row r="218" spans="1:13" ht="15.75" customHeight="1">
      <c r="A218" s="1"/>
      <c r="B218" s="1"/>
      <c r="C218" s="1"/>
      <c r="D218" s="1"/>
      <c r="E218" s="1"/>
      <c r="F218" s="1"/>
      <c r="G218" s="1"/>
      <c r="H218" s="1"/>
      <c r="I218" s="62" t="s">
        <v>335</v>
      </c>
      <c r="J218" s="63"/>
      <c r="K218" s="1"/>
    </row>
    <row r="219" spans="1:13" ht="16.5" customHeight="1">
      <c r="A219" s="1"/>
      <c r="B219" s="1" t="s">
        <v>336</v>
      </c>
      <c r="C219" s="1"/>
      <c r="D219" s="1"/>
      <c r="E219" s="1" t="s">
        <v>337</v>
      </c>
      <c r="F219" s="1"/>
      <c r="G219" s="1"/>
      <c r="H219" s="1"/>
      <c r="I219" s="6" t="s">
        <v>338</v>
      </c>
      <c r="J219" s="292" t="s">
        <v>4621</v>
      </c>
      <c r="K219" s="1"/>
    </row>
    <row r="220" spans="1:13" ht="15.75" customHeight="1">
      <c r="A220" s="1"/>
      <c r="B220" s="1"/>
      <c r="C220" s="1"/>
      <c r="D220" s="1"/>
      <c r="E220" s="1"/>
      <c r="F220" s="1"/>
      <c r="G220" s="1"/>
      <c r="H220" s="1"/>
      <c r="I220" s="6" t="s">
        <v>340</v>
      </c>
      <c r="J220" s="292" t="s">
        <v>4622</v>
      </c>
      <c r="K220" s="65"/>
    </row>
    <row r="221" spans="1:13" ht="15.75" customHeight="1">
      <c r="A221" s="1"/>
      <c r="B221" s="1"/>
      <c r="C221" s="1"/>
      <c r="D221" s="1"/>
      <c r="E221" s="1"/>
      <c r="F221" s="1"/>
      <c r="G221" s="1"/>
      <c r="H221" s="1"/>
      <c r="I221" s="6" t="s">
        <v>342</v>
      </c>
      <c r="J221" s="292">
        <v>0</v>
      </c>
      <c r="K221" s="1"/>
    </row>
    <row r="222" spans="1:13" ht="15.75" customHeight="1">
      <c r="A222" s="1"/>
      <c r="B222" s="67" t="s">
        <v>343</v>
      </c>
      <c r="C222" s="1"/>
      <c r="D222" s="1"/>
      <c r="E222" s="554" t="s">
        <v>344</v>
      </c>
      <c r="F222" s="553"/>
      <c r="G222" s="553"/>
      <c r="H222" s="553"/>
      <c r="I222" s="6" t="s">
        <v>345</v>
      </c>
      <c r="J222" s="292" t="s">
        <v>4623</v>
      </c>
      <c r="K222" s="1"/>
    </row>
    <row r="223" spans="1:13" ht="15.75" customHeight="1">
      <c r="A223" s="1"/>
      <c r="B223" s="1" t="s">
        <v>347</v>
      </c>
      <c r="C223" s="1"/>
      <c r="D223" s="1"/>
      <c r="E223" s="552" t="s">
        <v>348</v>
      </c>
      <c r="F223" s="553"/>
      <c r="G223" s="553"/>
      <c r="H223" s="553"/>
      <c r="I223" s="6" t="s">
        <v>349</v>
      </c>
      <c r="J223" s="292">
        <v>0</v>
      </c>
      <c r="K223" s="1"/>
    </row>
    <row r="224" spans="1:13" ht="15.75" customHeight="1">
      <c r="A224" s="1"/>
      <c r="B224" s="1"/>
      <c r="C224" s="1"/>
      <c r="D224" s="1"/>
      <c r="E224" s="1"/>
      <c r="F224" s="1"/>
      <c r="G224" s="1"/>
      <c r="H224" s="1"/>
      <c r="I224" s="6" t="s">
        <v>351</v>
      </c>
      <c r="J224" s="475" t="s">
        <v>4624</v>
      </c>
      <c r="K224" s="1"/>
    </row>
    <row r="225" spans="1:11" ht="15.75" customHeight="1">
      <c r="A225" s="1"/>
      <c r="B225" s="1"/>
      <c r="C225" s="1"/>
      <c r="D225" s="1"/>
      <c r="E225" s="1"/>
      <c r="F225" s="1"/>
      <c r="G225" s="1"/>
      <c r="H225" s="1"/>
      <c r="I225" s="6" t="s">
        <v>353</v>
      </c>
      <c r="J225" s="293"/>
      <c r="K225" s="1"/>
    </row>
    <row r="226" spans="1:11" ht="15.75" customHeight="1">
      <c r="A226" s="1"/>
      <c r="B226" s="1"/>
      <c r="C226" s="1"/>
      <c r="D226" s="1"/>
      <c r="E226" s="1"/>
      <c r="F226" s="1"/>
      <c r="G226" s="1"/>
      <c r="H226" s="1"/>
      <c r="I226" s="68" t="s">
        <v>354</v>
      </c>
      <c r="J226" s="291" t="s">
        <v>4625</v>
      </c>
      <c r="K226" s="1"/>
    </row>
    <row r="227" spans="1:11" ht="15.75" customHeight="1">
      <c r="A227" s="1"/>
      <c r="B227" s="1"/>
      <c r="C227" s="1"/>
      <c r="D227" s="1"/>
      <c r="E227" s="1"/>
      <c r="F227" s="1"/>
      <c r="G227" s="1"/>
      <c r="H227" s="1"/>
      <c r="I227" s="68" t="s">
        <v>356</v>
      </c>
      <c r="J227" s="69"/>
      <c r="K227" s="1"/>
    </row>
    <row r="228" spans="1:11" ht="15.75" customHeight="1">
      <c r="A228" s="1"/>
      <c r="B228" s="70"/>
      <c r="C228" s="1"/>
      <c r="D228" s="1"/>
      <c r="E228" s="70"/>
      <c r="F228" s="70"/>
      <c r="G228" s="70"/>
      <c r="H228" s="1"/>
      <c r="I228" s="6"/>
      <c r="J228" s="63"/>
      <c r="K228" s="1"/>
    </row>
    <row r="229" spans="1:11" ht="15.75" customHeight="1">
      <c r="A229" s="1"/>
      <c r="B229" s="1"/>
      <c r="C229" s="1"/>
      <c r="D229" s="1"/>
      <c r="E229" s="1"/>
      <c r="F229" s="1"/>
      <c r="G229" s="1"/>
      <c r="H229" s="1"/>
      <c r="I229" s="6"/>
      <c r="J229" s="63"/>
      <c r="K229" s="1"/>
    </row>
    <row r="230" spans="1:11" ht="15.75" customHeight="1">
      <c r="A230" s="1"/>
      <c r="B230" s="1"/>
      <c r="C230" s="1"/>
      <c r="D230" s="1"/>
      <c r="E230" s="1"/>
      <c r="F230" s="1"/>
      <c r="G230" s="1"/>
      <c r="H230" s="1"/>
      <c r="I230" s="6"/>
      <c r="J230" s="63"/>
      <c r="K230" s="1"/>
    </row>
    <row r="231" spans="1:11" ht="15.75" customHeight="1">
      <c r="A231" s="1"/>
      <c r="B231" s="1"/>
      <c r="C231" s="1"/>
      <c r="D231" s="1"/>
      <c r="E231" s="1"/>
      <c r="F231" s="1"/>
      <c r="G231" s="1"/>
      <c r="H231" s="1"/>
      <c r="I231" s="6"/>
      <c r="J231" s="69"/>
      <c r="K231" s="1"/>
    </row>
    <row r="232" spans="1:11" ht="15.75" customHeight="1">
      <c r="A232" s="1"/>
      <c r="B232" s="1"/>
      <c r="C232" s="1"/>
      <c r="D232" s="1"/>
      <c r="E232" s="1"/>
      <c r="F232" s="1"/>
      <c r="G232" s="1"/>
      <c r="H232" s="1"/>
      <c r="I232" s="6"/>
      <c r="J232" s="69"/>
      <c r="K232" s="1"/>
    </row>
    <row r="233" spans="1:11" ht="15.75" customHeight="1">
      <c r="A233" s="1"/>
      <c r="B233" s="1"/>
      <c r="C233" s="1"/>
      <c r="D233" s="1"/>
      <c r="E233" s="1"/>
      <c r="F233" s="1"/>
      <c r="G233" s="1"/>
      <c r="H233" s="1"/>
      <c r="I233" s="61"/>
      <c r="J233" s="1"/>
      <c r="K233" s="1"/>
    </row>
    <row r="234" spans="1:11" ht="15.75" customHeight="1">
      <c r="A234" s="1"/>
      <c r="B234" s="1"/>
      <c r="C234" s="1"/>
      <c r="D234" s="1"/>
      <c r="E234" s="1"/>
      <c r="F234" s="1"/>
      <c r="G234" s="1"/>
      <c r="H234" s="1"/>
      <c r="I234" s="61"/>
      <c r="J234" s="1"/>
      <c r="K234" s="1"/>
    </row>
    <row r="235" spans="1:11" ht="15.75" customHeight="1">
      <c r="A235" s="1"/>
      <c r="B235" s="1"/>
      <c r="C235" s="1"/>
      <c r="D235" s="1"/>
      <c r="E235" s="1"/>
      <c r="F235" s="1"/>
      <c r="G235" s="1"/>
      <c r="H235" s="1"/>
      <c r="I235" s="61"/>
      <c r="J235" s="1"/>
      <c r="K235" s="1"/>
    </row>
    <row r="236" spans="1:11" ht="15.75" customHeight="1">
      <c r="A236" s="1"/>
      <c r="B236" s="1"/>
      <c r="C236" s="1"/>
      <c r="D236" s="1"/>
      <c r="E236" s="1"/>
      <c r="F236" s="1"/>
      <c r="G236" s="1"/>
      <c r="H236" s="1"/>
      <c r="I236" s="61"/>
      <c r="J236" s="1"/>
      <c r="K236" s="1"/>
    </row>
    <row r="237" spans="1:11" ht="15.75" customHeight="1">
      <c r="A237" s="1"/>
      <c r="B237" s="1"/>
      <c r="C237" s="1"/>
      <c r="D237" s="1"/>
      <c r="E237" s="1"/>
      <c r="F237" s="1"/>
      <c r="G237" s="1"/>
      <c r="H237" s="1"/>
      <c r="I237" s="61"/>
      <c r="J237" s="1"/>
      <c r="K237" s="1"/>
    </row>
    <row r="238" spans="1:11" ht="15.75" customHeight="1">
      <c r="A238" s="1"/>
      <c r="B238" s="1"/>
      <c r="C238" s="1"/>
      <c r="D238" s="1"/>
      <c r="E238" s="1"/>
      <c r="F238" s="1"/>
      <c r="G238" s="1"/>
      <c r="H238" s="1"/>
      <c r="I238" s="61"/>
      <c r="J238" s="1"/>
      <c r="K238" s="1"/>
    </row>
    <row r="239" spans="1:11" ht="15.75" customHeight="1">
      <c r="A239" s="1"/>
      <c r="B239" s="1"/>
      <c r="C239" s="1"/>
      <c r="D239" s="1"/>
      <c r="E239" s="1"/>
      <c r="F239" s="1"/>
      <c r="G239" s="1"/>
      <c r="H239" s="1"/>
      <c r="I239" s="61"/>
      <c r="J239" s="1"/>
      <c r="K239" s="1"/>
    </row>
    <row r="240" spans="1:11" ht="15.75" customHeight="1">
      <c r="A240" s="1"/>
      <c r="B240" s="1"/>
      <c r="C240" s="1"/>
      <c r="D240" s="1"/>
      <c r="E240" s="1"/>
      <c r="F240" s="1"/>
      <c r="G240" s="1"/>
      <c r="H240" s="1"/>
      <c r="I240" s="61"/>
      <c r="J240" s="1"/>
      <c r="K240" s="1"/>
    </row>
    <row r="241" spans="1:12" ht="15.75" customHeight="1">
      <c r="A241" s="1"/>
      <c r="B241" s="1"/>
      <c r="C241" s="1"/>
      <c r="D241" s="1"/>
      <c r="E241" s="1"/>
      <c r="F241" s="1"/>
      <c r="G241" s="1"/>
      <c r="H241" s="1"/>
      <c r="I241" s="61"/>
      <c r="J241" s="1"/>
      <c r="K241" s="1"/>
    </row>
    <row r="242" spans="1:12" ht="15.75" customHeight="1">
      <c r="A242" s="1"/>
      <c r="B242" s="1"/>
      <c r="C242" s="1"/>
      <c r="D242" s="1"/>
      <c r="E242" s="1"/>
      <c r="F242" s="1"/>
      <c r="G242" s="1"/>
      <c r="H242" s="1"/>
      <c r="I242" s="61"/>
      <c r="J242" s="1"/>
      <c r="K242" s="1"/>
    </row>
    <row r="243" spans="1:12" ht="15.75" customHeight="1">
      <c r="A243" s="1"/>
      <c r="B243" s="1"/>
      <c r="C243" s="1"/>
      <c r="D243" s="1"/>
      <c r="E243" s="1"/>
      <c r="F243" s="1"/>
      <c r="G243" s="1"/>
      <c r="H243" s="1"/>
      <c r="I243" s="61"/>
      <c r="J243" s="1"/>
      <c r="K243" s="1"/>
    </row>
    <row r="244" spans="1:12" ht="15.75" customHeight="1">
      <c r="A244" s="1"/>
      <c r="B244" s="1"/>
      <c r="C244" s="1"/>
      <c r="D244" s="1"/>
      <c r="E244" s="1"/>
      <c r="F244" s="1"/>
      <c r="G244" s="1"/>
      <c r="H244" s="1"/>
      <c r="I244" s="61"/>
      <c r="J244" s="1"/>
      <c r="K244" s="1"/>
    </row>
    <row r="245" spans="1:12" ht="15.75" customHeight="1">
      <c r="A245" s="1"/>
      <c r="B245" s="1"/>
      <c r="C245" s="1"/>
      <c r="D245" s="1"/>
      <c r="E245" s="1"/>
      <c r="F245" s="1"/>
      <c r="G245" s="1"/>
      <c r="H245" s="1"/>
      <c r="I245" s="61"/>
      <c r="J245" s="1"/>
      <c r="K245" s="1"/>
    </row>
    <row r="246" spans="1:12" ht="15.75" customHeight="1">
      <c r="A246" s="1"/>
      <c r="B246" s="1"/>
      <c r="C246" s="1"/>
      <c r="D246" s="1"/>
      <c r="E246" s="1"/>
      <c r="F246" s="1"/>
      <c r="G246" s="1"/>
      <c r="H246" s="1"/>
      <c r="I246" s="61"/>
      <c r="J246" s="1"/>
      <c r="K246" s="1"/>
    </row>
    <row r="247" spans="1:12" ht="15.75" customHeight="1">
      <c r="A247" s="1"/>
      <c r="B247" s="1"/>
      <c r="C247" s="1"/>
      <c r="D247" s="1"/>
      <c r="E247" s="1"/>
      <c r="F247" s="1"/>
      <c r="G247" s="1"/>
      <c r="H247" s="1"/>
      <c r="I247" s="61"/>
      <c r="J247" s="1"/>
      <c r="K247" s="1"/>
    </row>
    <row r="248" spans="1:12" ht="15.75" customHeight="1">
      <c r="A248" s="1"/>
      <c r="B248" s="1"/>
      <c r="C248" s="1"/>
      <c r="D248" s="1"/>
      <c r="E248" s="1"/>
      <c r="F248" s="1"/>
      <c r="G248" s="1"/>
      <c r="H248" s="1"/>
      <c r="I248" s="61"/>
      <c r="J248" s="1"/>
      <c r="K248" s="1"/>
    </row>
    <row r="249" spans="1:12" ht="15.75" customHeight="1">
      <c r="A249" s="1"/>
      <c r="B249" s="1"/>
      <c r="C249" s="1"/>
      <c r="D249" s="1"/>
      <c r="E249" s="1"/>
      <c r="F249" s="1"/>
      <c r="G249" s="1"/>
      <c r="H249" s="1"/>
      <c r="I249" s="61"/>
      <c r="J249" s="1"/>
      <c r="K249" s="1"/>
    </row>
    <row r="250" spans="1:12" ht="15.75" customHeight="1">
      <c r="A250" s="1"/>
      <c r="B250" s="1"/>
      <c r="C250" s="1"/>
      <c r="D250" s="1"/>
      <c r="E250" s="1"/>
      <c r="F250" s="1"/>
      <c r="G250" s="1"/>
      <c r="H250" s="1"/>
      <c r="I250" s="61"/>
      <c r="J250" s="1"/>
      <c r="K250" s="1"/>
    </row>
    <row r="251" spans="1:12" ht="15.75" customHeight="1">
      <c r="A251" s="1"/>
      <c r="B251" s="1"/>
      <c r="C251" s="1"/>
      <c r="D251" s="1"/>
      <c r="E251" s="1"/>
      <c r="F251" s="1"/>
      <c r="G251" s="1"/>
      <c r="H251" s="1"/>
      <c r="I251" s="61"/>
      <c r="J251" s="1"/>
      <c r="K251" s="1"/>
    </row>
    <row r="252" spans="1:12" ht="15.75" customHeight="1">
      <c r="A252" s="1"/>
      <c r="B252" s="1"/>
      <c r="C252" s="1"/>
      <c r="D252" s="1"/>
      <c r="E252" s="1"/>
      <c r="F252" s="1"/>
      <c r="G252" s="1"/>
      <c r="H252" s="1"/>
      <c r="I252" s="61"/>
      <c r="J252" s="1"/>
      <c r="K252" s="1"/>
      <c r="L252" s="45"/>
    </row>
    <row r="253" spans="1:12" ht="15.75" customHeight="1">
      <c r="A253" s="1"/>
      <c r="B253" s="1"/>
      <c r="C253" s="1"/>
      <c r="D253" s="1"/>
      <c r="E253" s="1"/>
      <c r="F253" s="1"/>
      <c r="G253" s="1"/>
      <c r="H253" s="1"/>
      <c r="I253" s="61"/>
      <c r="J253" s="1"/>
      <c r="K253" s="1"/>
    </row>
    <row r="254" spans="1:12" ht="15.75" customHeight="1">
      <c r="A254" s="1"/>
      <c r="B254" s="1"/>
      <c r="C254" s="1"/>
      <c r="D254" s="1"/>
      <c r="E254" s="1"/>
      <c r="F254" s="1"/>
      <c r="G254" s="1"/>
      <c r="H254" s="1"/>
      <c r="I254" s="61"/>
      <c r="J254" s="1"/>
      <c r="K254" s="1"/>
    </row>
    <row r="255" spans="1:12" ht="15.75" customHeight="1">
      <c r="A255" s="1"/>
      <c r="B255" s="1"/>
      <c r="C255" s="1"/>
      <c r="D255" s="1"/>
      <c r="E255" s="1"/>
      <c r="F255" s="1"/>
      <c r="G255" s="1"/>
      <c r="H255" s="1"/>
      <c r="I255" s="61"/>
      <c r="J255" s="1"/>
      <c r="K255" s="1"/>
    </row>
    <row r="256" spans="1:12" ht="15.75" customHeight="1">
      <c r="A256" s="1"/>
      <c r="B256" s="1"/>
      <c r="C256" s="1"/>
      <c r="D256" s="1"/>
      <c r="E256" s="1"/>
      <c r="F256" s="1"/>
      <c r="G256" s="1"/>
      <c r="H256" s="1"/>
      <c r="I256" s="61"/>
      <c r="J256" s="1"/>
      <c r="K256" s="1"/>
    </row>
    <row r="257" spans="1:11" ht="15.75" customHeight="1">
      <c r="A257" s="1"/>
      <c r="B257" s="1"/>
      <c r="C257" s="1"/>
      <c r="D257" s="1"/>
      <c r="E257" s="1"/>
      <c r="F257" s="1"/>
      <c r="G257" s="1"/>
      <c r="H257" s="1"/>
      <c r="I257" s="61"/>
      <c r="J257" s="1"/>
      <c r="K257" s="1"/>
    </row>
    <row r="258" spans="1:11" ht="15.75" customHeight="1">
      <c r="A258" s="1"/>
      <c r="B258" s="1"/>
      <c r="C258" s="1"/>
      <c r="D258" s="1"/>
      <c r="E258" s="1"/>
      <c r="F258" s="1"/>
      <c r="G258" s="1"/>
      <c r="H258" s="1"/>
      <c r="I258" s="61"/>
      <c r="J258" s="1"/>
      <c r="K258" s="1"/>
    </row>
    <row r="259" spans="1:11" ht="15.75" customHeight="1">
      <c r="A259" s="1"/>
      <c r="B259" s="1"/>
      <c r="C259" s="1"/>
      <c r="D259" s="1"/>
      <c r="E259" s="1"/>
      <c r="F259" s="1"/>
      <c r="G259" s="1"/>
      <c r="H259" s="1"/>
      <c r="I259" s="61"/>
      <c r="J259" s="1"/>
      <c r="K259" s="1"/>
    </row>
    <row r="260" spans="1:11" ht="15.75" customHeight="1">
      <c r="A260" s="1"/>
      <c r="B260" s="1"/>
      <c r="C260" s="1"/>
      <c r="D260" s="1"/>
      <c r="E260" s="1"/>
      <c r="F260" s="1"/>
      <c r="G260" s="1"/>
      <c r="H260" s="1"/>
      <c r="I260" s="61"/>
      <c r="J260" s="1"/>
      <c r="K260" s="1"/>
    </row>
    <row r="261" spans="1:11" ht="15.75" customHeight="1">
      <c r="A261" s="1"/>
      <c r="B261" s="1"/>
      <c r="C261" s="1"/>
      <c r="D261" s="1"/>
      <c r="E261" s="1"/>
      <c r="F261" s="1"/>
      <c r="G261" s="1"/>
      <c r="H261" s="1"/>
      <c r="I261" s="61"/>
      <c r="J261" s="1"/>
      <c r="K261" s="1"/>
    </row>
    <row r="262" spans="1:11" ht="15.75" customHeight="1">
      <c r="A262" s="1"/>
      <c r="B262" s="1"/>
      <c r="C262" s="1"/>
      <c r="D262" s="1"/>
      <c r="E262" s="1"/>
      <c r="F262" s="1"/>
      <c r="G262" s="1"/>
      <c r="H262" s="1"/>
      <c r="I262" s="61"/>
      <c r="J262" s="1"/>
      <c r="K262" s="1"/>
    </row>
    <row r="263" spans="1:11" ht="15.75" customHeight="1">
      <c r="A263" s="1"/>
      <c r="B263" s="1"/>
      <c r="C263" s="1"/>
      <c r="D263" s="1"/>
      <c r="E263" s="1"/>
      <c r="F263" s="1"/>
      <c r="G263" s="1"/>
      <c r="H263" s="1"/>
      <c r="I263" s="61"/>
      <c r="J263" s="1"/>
      <c r="K263" s="1"/>
    </row>
    <row r="264" spans="1:11" ht="15.75" customHeight="1">
      <c r="A264" s="1"/>
      <c r="B264" s="1"/>
      <c r="C264" s="1"/>
      <c r="D264" s="1"/>
      <c r="E264" s="1"/>
      <c r="F264" s="1"/>
      <c r="G264" s="1"/>
      <c r="H264" s="1"/>
      <c r="I264" s="61"/>
      <c r="J264" s="1"/>
      <c r="K264" s="1"/>
    </row>
    <row r="265" spans="1:11" ht="15.75" customHeight="1">
      <c r="A265" s="1"/>
      <c r="B265" s="1"/>
      <c r="C265" s="1"/>
      <c r="D265" s="1"/>
      <c r="E265" s="1"/>
      <c r="F265" s="1"/>
      <c r="G265" s="1"/>
      <c r="H265" s="1"/>
      <c r="I265" s="61"/>
      <c r="J265" s="1"/>
      <c r="K265" s="1"/>
    </row>
    <row r="266" spans="1:11" ht="15.75" customHeight="1">
      <c r="A266" s="1"/>
      <c r="B266" s="1"/>
      <c r="C266" s="1"/>
      <c r="D266" s="1"/>
      <c r="E266" s="1"/>
      <c r="F266" s="1"/>
      <c r="G266" s="1"/>
      <c r="H266" s="1"/>
      <c r="I266" s="61"/>
      <c r="J266" s="1"/>
      <c r="K266" s="1"/>
    </row>
    <row r="267" spans="1:11" ht="15.75" customHeight="1">
      <c r="A267" s="1"/>
      <c r="B267" s="1"/>
      <c r="C267" s="1"/>
      <c r="D267" s="1"/>
      <c r="E267" s="1"/>
      <c r="F267" s="1"/>
      <c r="G267" s="1"/>
      <c r="H267" s="1"/>
      <c r="I267" s="61"/>
      <c r="J267" s="1"/>
      <c r="K267" s="1"/>
    </row>
    <row r="268" spans="1:11" ht="15.75" customHeight="1">
      <c r="A268" s="1"/>
      <c r="B268" s="1"/>
      <c r="C268" s="1"/>
      <c r="D268" s="1"/>
      <c r="E268" s="1"/>
      <c r="F268" s="1"/>
      <c r="G268" s="1"/>
      <c r="H268" s="1"/>
      <c r="I268" s="61"/>
      <c r="J268" s="1"/>
      <c r="K268" s="1"/>
    </row>
    <row r="269" spans="1:11" ht="15.75" customHeight="1">
      <c r="A269" s="1"/>
      <c r="B269" s="1"/>
      <c r="C269" s="1"/>
      <c r="D269" s="1"/>
      <c r="E269" s="1"/>
      <c r="F269" s="1"/>
      <c r="G269" s="1"/>
      <c r="H269" s="1"/>
      <c r="I269" s="61"/>
      <c r="J269" s="1"/>
      <c r="K269" s="1"/>
    </row>
    <row r="270" spans="1:11" ht="15.75" customHeight="1">
      <c r="A270" s="1"/>
      <c r="B270" s="1"/>
      <c r="C270" s="1"/>
      <c r="D270" s="1"/>
      <c r="E270" s="1"/>
      <c r="F270" s="1"/>
      <c r="G270" s="1"/>
      <c r="H270" s="1"/>
      <c r="I270" s="61"/>
      <c r="J270" s="1"/>
      <c r="K270" s="1"/>
    </row>
    <row r="271" spans="1:11" ht="15.75" customHeight="1">
      <c r="A271" s="1"/>
      <c r="B271" s="1"/>
      <c r="C271" s="1"/>
      <c r="D271" s="1"/>
      <c r="E271" s="1"/>
      <c r="F271" s="1"/>
      <c r="G271" s="1"/>
      <c r="H271" s="1"/>
      <c r="I271" s="61"/>
      <c r="J271" s="1"/>
      <c r="K271" s="1"/>
    </row>
    <row r="272" spans="1:11" ht="15.75" customHeight="1">
      <c r="A272" s="1"/>
      <c r="B272" s="1"/>
      <c r="C272" s="1"/>
      <c r="D272" s="1"/>
      <c r="E272" s="1"/>
      <c r="F272" s="1"/>
      <c r="G272" s="1"/>
      <c r="H272" s="1"/>
      <c r="I272" s="61"/>
      <c r="J272" s="1"/>
      <c r="K272" s="1"/>
    </row>
    <row r="273" spans="1:12" ht="15.75" customHeight="1">
      <c r="A273" s="1"/>
      <c r="B273" s="1"/>
      <c r="C273" s="1"/>
      <c r="D273" s="1"/>
      <c r="E273" s="1"/>
      <c r="F273" s="1"/>
      <c r="G273" s="1"/>
      <c r="H273" s="1"/>
      <c r="I273" s="61"/>
      <c r="J273" s="1"/>
      <c r="K273" s="1"/>
    </row>
    <row r="274" spans="1:12" ht="15.75" customHeight="1">
      <c r="A274" s="1"/>
      <c r="B274" s="1"/>
      <c r="C274" s="1"/>
      <c r="D274" s="1"/>
      <c r="E274" s="1"/>
      <c r="F274" s="1"/>
      <c r="G274" s="1"/>
      <c r="H274" s="1"/>
      <c r="I274" s="61"/>
      <c r="J274" s="1"/>
      <c r="K274" s="1"/>
    </row>
    <row r="275" spans="1:12" ht="15.75" customHeight="1">
      <c r="A275" s="1"/>
      <c r="B275" s="1"/>
      <c r="C275" s="1"/>
      <c r="D275" s="1"/>
      <c r="E275" s="1"/>
      <c r="F275" s="1"/>
      <c r="G275" s="1"/>
      <c r="H275" s="1"/>
      <c r="I275" s="61"/>
      <c r="J275" s="1"/>
      <c r="K275" s="1"/>
      <c r="L275" s="45"/>
    </row>
    <row r="276" spans="1:12" ht="15.75" customHeight="1">
      <c r="A276" s="1"/>
      <c r="B276" s="1"/>
      <c r="C276" s="1"/>
      <c r="D276" s="1"/>
      <c r="E276" s="1"/>
      <c r="F276" s="1"/>
      <c r="G276" s="1"/>
      <c r="H276" s="1"/>
      <c r="I276" s="61"/>
      <c r="J276" s="1"/>
      <c r="K276" s="1"/>
    </row>
    <row r="277" spans="1:12" ht="15.75" customHeight="1">
      <c r="A277" s="1"/>
      <c r="B277" s="1"/>
      <c r="C277" s="1"/>
      <c r="D277" s="1"/>
      <c r="E277" s="1"/>
      <c r="F277" s="1"/>
      <c r="G277" s="1"/>
      <c r="H277" s="1"/>
      <c r="I277" s="61"/>
      <c r="J277" s="1"/>
      <c r="K277" s="1"/>
    </row>
    <row r="278" spans="1:12" ht="15.75" customHeight="1">
      <c r="A278" s="1"/>
      <c r="B278" s="1"/>
      <c r="C278" s="1"/>
      <c r="D278" s="1"/>
      <c r="E278" s="1"/>
      <c r="F278" s="1"/>
      <c r="G278" s="1"/>
      <c r="H278" s="1"/>
      <c r="I278" s="61"/>
      <c r="J278" s="1"/>
      <c r="K278" s="1"/>
    </row>
    <row r="279" spans="1:12" ht="15.75" customHeight="1">
      <c r="A279" s="1"/>
      <c r="B279" s="1"/>
      <c r="C279" s="1"/>
      <c r="D279" s="1"/>
      <c r="E279" s="1"/>
      <c r="F279" s="1"/>
      <c r="G279" s="1"/>
      <c r="H279" s="1"/>
      <c r="I279" s="61"/>
      <c r="J279" s="1"/>
      <c r="K279" s="1"/>
    </row>
    <row r="280" spans="1:12" ht="15.75" customHeight="1">
      <c r="A280" s="1"/>
      <c r="B280" s="1"/>
      <c r="C280" s="1"/>
      <c r="D280" s="1"/>
      <c r="E280" s="1"/>
      <c r="F280" s="1"/>
      <c r="G280" s="1"/>
      <c r="H280" s="1"/>
      <c r="I280" s="61"/>
      <c r="J280" s="1"/>
      <c r="K280" s="1"/>
    </row>
    <row r="281" spans="1:12" ht="15.75" customHeight="1">
      <c r="A281" s="1"/>
      <c r="B281" s="1"/>
      <c r="C281" s="1"/>
      <c r="D281" s="1"/>
      <c r="E281" s="1"/>
      <c r="F281" s="1"/>
      <c r="G281" s="1"/>
      <c r="H281" s="1"/>
      <c r="I281" s="61"/>
      <c r="J281" s="1"/>
      <c r="K281" s="1"/>
    </row>
    <row r="282" spans="1:12" ht="15.75" customHeight="1">
      <c r="A282" s="1"/>
      <c r="B282" s="1"/>
      <c r="C282" s="1"/>
      <c r="D282" s="1"/>
      <c r="E282" s="1"/>
      <c r="F282" s="1"/>
      <c r="G282" s="1"/>
      <c r="H282" s="1"/>
      <c r="I282" s="61"/>
      <c r="J282" s="1"/>
      <c r="K282" s="1"/>
    </row>
    <row r="283" spans="1:12" ht="15.75" customHeight="1">
      <c r="A283" s="1"/>
      <c r="B283" s="1"/>
      <c r="C283" s="1"/>
      <c r="D283" s="1"/>
      <c r="E283" s="1"/>
      <c r="F283" s="1"/>
      <c r="G283" s="1"/>
      <c r="H283" s="1"/>
      <c r="I283" s="61"/>
      <c r="J283" s="1"/>
      <c r="K283" s="1"/>
    </row>
    <row r="284" spans="1:12" ht="15.75" customHeight="1">
      <c r="A284" s="1"/>
      <c r="B284" s="1"/>
      <c r="C284" s="1"/>
      <c r="D284" s="1"/>
      <c r="E284" s="1"/>
      <c r="F284" s="1"/>
      <c r="G284" s="1"/>
      <c r="H284" s="1"/>
      <c r="I284" s="61"/>
      <c r="J284" s="1"/>
      <c r="K284" s="1"/>
    </row>
    <row r="285" spans="1:12" ht="15.75" customHeight="1">
      <c r="A285" s="1"/>
      <c r="B285" s="1"/>
      <c r="C285" s="1"/>
      <c r="D285" s="1"/>
      <c r="E285" s="1"/>
      <c r="F285" s="1"/>
      <c r="G285" s="1"/>
      <c r="H285" s="1"/>
      <c r="I285" s="61"/>
      <c r="J285" s="1"/>
      <c r="K285" s="1"/>
    </row>
    <row r="286" spans="1:12" ht="15.75" customHeight="1">
      <c r="A286" s="1"/>
      <c r="B286" s="1"/>
      <c r="C286" s="1"/>
      <c r="D286" s="1"/>
      <c r="E286" s="1"/>
      <c r="F286" s="1"/>
      <c r="G286" s="1"/>
      <c r="H286" s="1"/>
      <c r="I286" s="61"/>
      <c r="J286" s="1"/>
      <c r="K286" s="1"/>
    </row>
    <row r="287" spans="1:12" ht="15.75" customHeight="1">
      <c r="A287" s="1"/>
      <c r="B287" s="1"/>
      <c r="C287" s="1"/>
      <c r="D287" s="1"/>
      <c r="E287" s="1"/>
      <c r="F287" s="1"/>
      <c r="G287" s="1"/>
      <c r="H287" s="1"/>
      <c r="I287" s="61"/>
      <c r="J287" s="1"/>
      <c r="K287" s="1"/>
    </row>
    <row r="288" spans="1:12" ht="15.75" customHeight="1">
      <c r="A288" s="1"/>
      <c r="B288" s="1"/>
      <c r="C288" s="1"/>
      <c r="D288" s="1"/>
      <c r="E288" s="1"/>
      <c r="F288" s="1"/>
      <c r="G288" s="1"/>
      <c r="H288" s="1"/>
      <c r="I288" s="61"/>
      <c r="J288" s="1"/>
      <c r="K288" s="1"/>
    </row>
    <row r="289" spans="1:11" ht="15.75" customHeight="1">
      <c r="A289" s="1"/>
      <c r="B289" s="1"/>
      <c r="C289" s="1"/>
      <c r="D289" s="1"/>
      <c r="E289" s="1"/>
      <c r="F289" s="1"/>
      <c r="G289" s="1"/>
      <c r="H289" s="1"/>
      <c r="I289" s="61"/>
      <c r="J289" s="1"/>
      <c r="K289" s="1"/>
    </row>
    <row r="290" spans="1:11" ht="15.75" customHeight="1">
      <c r="A290" s="1"/>
      <c r="B290" s="1"/>
      <c r="C290" s="1"/>
      <c r="D290" s="1"/>
      <c r="E290" s="1"/>
      <c r="F290" s="1"/>
      <c r="G290" s="1"/>
      <c r="H290" s="1"/>
      <c r="I290" s="61"/>
      <c r="J290" s="1"/>
      <c r="K290" s="1"/>
    </row>
    <row r="291" spans="1:11" ht="15.75" customHeight="1">
      <c r="A291" s="1"/>
      <c r="B291" s="1"/>
      <c r="C291" s="1"/>
      <c r="D291" s="1"/>
      <c r="E291" s="1"/>
      <c r="F291" s="1"/>
      <c r="G291" s="1"/>
      <c r="H291" s="1"/>
      <c r="I291" s="61"/>
      <c r="J291" s="1"/>
      <c r="K291" s="1"/>
    </row>
    <row r="292" spans="1:11" ht="15.75" customHeight="1">
      <c r="A292" s="1"/>
      <c r="B292" s="1"/>
      <c r="C292" s="1"/>
      <c r="D292" s="1"/>
      <c r="E292" s="1"/>
      <c r="F292" s="1"/>
      <c r="G292" s="1"/>
      <c r="H292" s="1"/>
      <c r="I292" s="61"/>
      <c r="J292" s="1"/>
      <c r="K292" s="1"/>
    </row>
    <row r="293" spans="1:11" ht="15.75" customHeight="1">
      <c r="A293" s="1"/>
      <c r="B293" s="1"/>
      <c r="C293" s="1"/>
      <c r="D293" s="1"/>
      <c r="E293" s="1"/>
      <c r="F293" s="1"/>
      <c r="G293" s="1"/>
      <c r="H293" s="1"/>
      <c r="I293" s="61"/>
      <c r="J293" s="1"/>
      <c r="K293" s="1"/>
    </row>
    <row r="294" spans="1:11" ht="15.75" customHeight="1">
      <c r="A294" s="1"/>
      <c r="B294" s="1"/>
      <c r="C294" s="1"/>
      <c r="D294" s="1"/>
      <c r="E294" s="1"/>
      <c r="F294" s="1"/>
      <c r="G294" s="1"/>
      <c r="H294" s="1"/>
      <c r="I294" s="61"/>
      <c r="J294" s="1"/>
      <c r="K294" s="1"/>
    </row>
    <row r="295" spans="1:11" ht="15.75" customHeight="1">
      <c r="A295" s="1"/>
      <c r="B295" s="1"/>
      <c r="C295" s="1"/>
      <c r="D295" s="1"/>
      <c r="E295" s="1"/>
      <c r="F295" s="1"/>
      <c r="G295" s="1"/>
      <c r="H295" s="1"/>
      <c r="I295" s="61"/>
      <c r="J295" s="1"/>
      <c r="K295" s="1"/>
    </row>
    <row r="296" spans="1:11" ht="15.75" customHeight="1">
      <c r="A296" s="1"/>
      <c r="B296" s="1"/>
      <c r="C296" s="1"/>
      <c r="D296" s="1"/>
      <c r="E296" s="1"/>
      <c r="F296" s="1"/>
      <c r="G296" s="1"/>
      <c r="H296" s="1"/>
      <c r="I296" s="61"/>
      <c r="J296" s="1"/>
      <c r="K296" s="1"/>
    </row>
    <row r="297" spans="1:11" ht="15.75" customHeight="1">
      <c r="A297" s="1"/>
      <c r="B297" s="1"/>
      <c r="C297" s="1"/>
      <c r="D297" s="1"/>
      <c r="E297" s="1"/>
      <c r="F297" s="1"/>
      <c r="G297" s="1"/>
      <c r="H297" s="1"/>
      <c r="I297" s="61"/>
      <c r="J297" s="1"/>
      <c r="K297" s="1"/>
    </row>
    <row r="298" spans="1:11" ht="15.75" customHeight="1">
      <c r="A298" s="1"/>
      <c r="B298" s="1"/>
      <c r="C298" s="1"/>
      <c r="D298" s="1"/>
      <c r="E298" s="1"/>
      <c r="F298" s="1"/>
      <c r="G298" s="1"/>
      <c r="H298" s="1"/>
      <c r="I298" s="61"/>
      <c r="J298" s="1"/>
      <c r="K298" s="1"/>
    </row>
    <row r="299" spans="1:11" ht="15.75" customHeight="1">
      <c r="A299" s="1"/>
      <c r="B299" s="1"/>
      <c r="C299" s="1"/>
      <c r="D299" s="1"/>
      <c r="E299" s="1"/>
      <c r="F299" s="1"/>
      <c r="G299" s="1"/>
      <c r="H299" s="1"/>
      <c r="I299" s="61"/>
      <c r="J299" s="1"/>
      <c r="K299" s="1"/>
    </row>
    <row r="300" spans="1:11" ht="15.75" customHeight="1">
      <c r="A300" s="1"/>
      <c r="B300" s="1"/>
      <c r="C300" s="1"/>
      <c r="D300" s="1"/>
      <c r="E300" s="1"/>
      <c r="F300" s="1"/>
      <c r="G300" s="1"/>
      <c r="H300" s="1"/>
      <c r="I300" s="61"/>
      <c r="J300" s="1"/>
      <c r="K300" s="1"/>
    </row>
    <row r="301" spans="1:11" ht="15.75" customHeight="1">
      <c r="A301" s="1"/>
      <c r="B301" s="1"/>
      <c r="C301" s="1"/>
      <c r="D301" s="1"/>
      <c r="E301" s="1"/>
      <c r="F301" s="1"/>
      <c r="G301" s="1"/>
      <c r="H301" s="1"/>
      <c r="I301" s="61"/>
      <c r="J301" s="1"/>
      <c r="K301" s="1"/>
    </row>
    <row r="302" spans="1:11" ht="15.75" customHeight="1">
      <c r="A302" s="1"/>
      <c r="B302" s="1"/>
      <c r="C302" s="1"/>
      <c r="D302" s="1"/>
      <c r="E302" s="1"/>
      <c r="F302" s="1"/>
      <c r="G302" s="1"/>
      <c r="H302" s="1"/>
      <c r="I302" s="61"/>
      <c r="J302" s="1"/>
      <c r="K302" s="1"/>
    </row>
    <row r="303" spans="1:11" ht="15.75" customHeight="1">
      <c r="A303" s="1"/>
      <c r="B303" s="1"/>
      <c r="C303" s="1"/>
      <c r="D303" s="1"/>
      <c r="E303" s="1"/>
      <c r="F303" s="1"/>
      <c r="G303" s="1"/>
      <c r="H303" s="1"/>
      <c r="I303" s="61"/>
      <c r="J303" s="1"/>
      <c r="K303" s="1"/>
    </row>
    <row r="304" spans="1:11" ht="15.75" customHeight="1">
      <c r="A304" s="1"/>
      <c r="B304" s="1"/>
      <c r="C304" s="1"/>
      <c r="D304" s="1"/>
      <c r="E304" s="1"/>
      <c r="F304" s="1"/>
      <c r="G304" s="1"/>
      <c r="H304" s="1"/>
      <c r="I304" s="61"/>
      <c r="J304" s="1"/>
      <c r="K304" s="1"/>
    </row>
    <row r="305" spans="1:11" ht="15.75" customHeight="1">
      <c r="A305" s="1"/>
      <c r="B305" s="1"/>
      <c r="C305" s="1"/>
      <c r="D305" s="1"/>
      <c r="E305" s="1"/>
      <c r="F305" s="1"/>
      <c r="G305" s="1"/>
      <c r="H305" s="1"/>
      <c r="I305" s="61"/>
      <c r="J305" s="1"/>
      <c r="K305" s="1"/>
    </row>
    <row r="306" spans="1:11" ht="15.75" customHeight="1">
      <c r="A306" s="1"/>
      <c r="B306" s="1"/>
      <c r="C306" s="1"/>
      <c r="D306" s="1"/>
      <c r="E306" s="1"/>
      <c r="F306" s="1"/>
      <c r="G306" s="1"/>
      <c r="H306" s="1"/>
      <c r="I306" s="61"/>
      <c r="J306" s="1"/>
      <c r="K306" s="1"/>
    </row>
    <row r="307" spans="1:11" ht="15.75" customHeight="1">
      <c r="A307" s="1"/>
      <c r="B307" s="1"/>
      <c r="C307" s="1"/>
      <c r="D307" s="1"/>
      <c r="E307" s="1"/>
      <c r="F307" s="1"/>
      <c r="G307" s="1"/>
      <c r="H307" s="1"/>
      <c r="I307" s="61"/>
      <c r="J307" s="1"/>
      <c r="K307" s="1"/>
    </row>
    <row r="308" spans="1:11" ht="15.75" customHeight="1">
      <c r="A308" s="1"/>
      <c r="B308" s="1"/>
      <c r="C308" s="1"/>
      <c r="D308" s="1"/>
      <c r="E308" s="1"/>
      <c r="F308" s="1"/>
      <c r="G308" s="1"/>
      <c r="H308" s="1"/>
      <c r="I308" s="61"/>
      <c r="J308" s="1"/>
      <c r="K308" s="1"/>
    </row>
    <row r="309" spans="1:11" ht="15.75" customHeight="1">
      <c r="A309" s="1"/>
      <c r="B309" s="1"/>
      <c r="C309" s="1"/>
      <c r="D309" s="1"/>
      <c r="E309" s="1"/>
      <c r="F309" s="1"/>
      <c r="G309" s="1"/>
      <c r="H309" s="1"/>
      <c r="I309" s="61"/>
      <c r="J309" s="1"/>
      <c r="K309" s="1"/>
    </row>
    <row r="310" spans="1:11" ht="15.75" customHeight="1">
      <c r="A310" s="1"/>
      <c r="B310" s="1"/>
      <c r="C310" s="1"/>
      <c r="D310" s="1"/>
      <c r="E310" s="1"/>
      <c r="F310" s="1"/>
      <c r="G310" s="1"/>
      <c r="H310" s="1"/>
      <c r="I310" s="61"/>
      <c r="J310" s="1"/>
      <c r="K310" s="1"/>
    </row>
    <row r="311" spans="1:11" ht="15.75" customHeight="1">
      <c r="A311" s="1"/>
      <c r="B311" s="1"/>
      <c r="C311" s="1"/>
      <c r="D311" s="1"/>
      <c r="E311" s="1"/>
      <c r="F311" s="1"/>
      <c r="G311" s="1"/>
      <c r="H311" s="1"/>
      <c r="I311" s="61"/>
      <c r="J311" s="1"/>
      <c r="K311" s="1"/>
    </row>
    <row r="312" spans="1:11" ht="15.75" customHeight="1">
      <c r="A312" s="1"/>
      <c r="B312" s="1"/>
      <c r="C312" s="1"/>
      <c r="D312" s="1"/>
      <c r="E312" s="1"/>
      <c r="F312" s="1"/>
      <c r="G312" s="1"/>
      <c r="H312" s="1"/>
      <c r="I312" s="61"/>
      <c r="J312" s="1"/>
      <c r="K312" s="1"/>
    </row>
    <row r="313" spans="1:11" ht="15.75" customHeight="1">
      <c r="A313" s="1"/>
      <c r="B313" s="1"/>
      <c r="C313" s="1"/>
      <c r="D313" s="1"/>
      <c r="E313" s="1"/>
      <c r="F313" s="1"/>
      <c r="G313" s="1"/>
      <c r="H313" s="1"/>
      <c r="I313" s="61"/>
      <c r="J313" s="1"/>
      <c r="K313" s="1"/>
    </row>
    <row r="314" spans="1:11" ht="15.75" customHeight="1">
      <c r="A314" s="1"/>
      <c r="B314" s="1"/>
      <c r="C314" s="1"/>
      <c r="D314" s="1"/>
      <c r="E314" s="1"/>
      <c r="F314" s="1"/>
      <c r="G314" s="1"/>
      <c r="H314" s="1"/>
      <c r="I314" s="61"/>
      <c r="J314" s="1"/>
      <c r="K314" s="1"/>
    </row>
    <row r="315" spans="1:11" ht="15.75" customHeight="1">
      <c r="A315" s="1"/>
      <c r="B315" s="1"/>
      <c r="C315" s="1"/>
      <c r="D315" s="1"/>
      <c r="E315" s="1"/>
      <c r="F315" s="1"/>
      <c r="G315" s="1"/>
      <c r="H315" s="1"/>
      <c r="I315" s="61"/>
      <c r="J315" s="1"/>
      <c r="K315" s="1"/>
    </row>
    <row r="316" spans="1:11" ht="15.75" customHeight="1">
      <c r="A316" s="1"/>
      <c r="B316" s="1"/>
      <c r="C316" s="1"/>
      <c r="D316" s="1"/>
      <c r="E316" s="1"/>
      <c r="F316" s="1"/>
      <c r="G316" s="1"/>
      <c r="H316" s="1"/>
      <c r="I316" s="61"/>
      <c r="J316" s="1"/>
      <c r="K316" s="1"/>
    </row>
    <row r="317" spans="1:11" ht="15.75" customHeight="1">
      <c r="A317" s="1"/>
      <c r="B317" s="1"/>
      <c r="C317" s="1"/>
      <c r="D317" s="1"/>
      <c r="E317" s="1"/>
      <c r="F317" s="1"/>
      <c r="G317" s="1"/>
      <c r="H317" s="1"/>
      <c r="I317" s="61"/>
      <c r="J317" s="1"/>
      <c r="K317" s="1"/>
    </row>
    <row r="318" spans="1:11" ht="15.75" customHeight="1">
      <c r="A318" s="1"/>
      <c r="B318" s="1"/>
      <c r="C318" s="1"/>
      <c r="D318" s="1"/>
      <c r="E318" s="1"/>
      <c r="F318" s="1"/>
      <c r="G318" s="1"/>
      <c r="H318" s="1"/>
      <c r="I318" s="61"/>
      <c r="J318" s="1"/>
      <c r="K318" s="1"/>
    </row>
    <row r="319" spans="1:11" ht="15.75" customHeight="1">
      <c r="A319" s="1"/>
      <c r="B319" s="1"/>
      <c r="C319" s="1"/>
      <c r="D319" s="1"/>
      <c r="E319" s="1"/>
      <c r="F319" s="1"/>
      <c r="G319" s="1"/>
      <c r="H319" s="1"/>
      <c r="I319" s="61"/>
      <c r="J319" s="1"/>
      <c r="K319" s="1"/>
    </row>
    <row r="320" spans="1:11" ht="15.75" customHeight="1">
      <c r="A320" s="1"/>
      <c r="B320" s="1"/>
      <c r="C320" s="1"/>
      <c r="D320" s="1"/>
      <c r="E320" s="1"/>
      <c r="F320" s="1"/>
      <c r="G320" s="1"/>
      <c r="H320" s="1"/>
      <c r="I320" s="61"/>
      <c r="J320" s="1"/>
      <c r="K320" s="1"/>
    </row>
    <row r="321" spans="1:11" ht="15.75" customHeight="1">
      <c r="A321" s="1"/>
      <c r="B321" s="1"/>
      <c r="C321" s="1"/>
      <c r="D321" s="1"/>
      <c r="E321" s="1"/>
      <c r="F321" s="1"/>
      <c r="G321" s="1"/>
      <c r="H321" s="1"/>
      <c r="I321" s="61"/>
      <c r="J321" s="1"/>
      <c r="K321" s="1"/>
    </row>
    <row r="322" spans="1:11" ht="15.75" customHeight="1">
      <c r="A322" s="1"/>
      <c r="B322" s="1"/>
      <c r="C322" s="1"/>
      <c r="D322" s="1"/>
      <c r="E322" s="1"/>
      <c r="F322" s="1"/>
      <c r="G322" s="1"/>
      <c r="H322" s="1"/>
      <c r="I322" s="61"/>
      <c r="J322" s="1"/>
      <c r="K322" s="1"/>
    </row>
    <row r="323" spans="1:11" ht="15.75" customHeight="1">
      <c r="A323" s="1"/>
      <c r="B323" s="1"/>
      <c r="C323" s="1"/>
      <c r="D323" s="1"/>
      <c r="E323" s="1"/>
      <c r="F323" s="1"/>
      <c r="G323" s="1"/>
      <c r="H323" s="1"/>
      <c r="I323" s="61"/>
      <c r="J323" s="1"/>
      <c r="K323" s="1"/>
    </row>
    <row r="324" spans="1:11" ht="15.75" customHeight="1">
      <c r="A324" s="1"/>
      <c r="B324" s="1"/>
      <c r="C324" s="1"/>
      <c r="D324" s="1"/>
      <c r="E324" s="1"/>
      <c r="F324" s="1"/>
      <c r="G324" s="1"/>
      <c r="H324" s="1"/>
      <c r="I324" s="61"/>
      <c r="J324" s="1"/>
      <c r="K324" s="1"/>
    </row>
    <row r="325" spans="1:11" ht="15.75" customHeight="1">
      <c r="A325" s="1"/>
      <c r="B325" s="1"/>
      <c r="C325" s="1"/>
      <c r="D325" s="1"/>
      <c r="E325" s="1"/>
      <c r="F325" s="1"/>
      <c r="G325" s="1"/>
      <c r="H325" s="1"/>
      <c r="I325" s="61"/>
      <c r="J325" s="1"/>
      <c r="K325" s="1"/>
    </row>
    <row r="326" spans="1:11" ht="15.75" customHeight="1">
      <c r="A326" s="1"/>
      <c r="B326" s="1"/>
      <c r="C326" s="1"/>
      <c r="D326" s="1"/>
      <c r="E326" s="1"/>
      <c r="F326" s="1"/>
      <c r="G326" s="1"/>
      <c r="H326" s="1"/>
      <c r="I326" s="61"/>
      <c r="J326" s="1"/>
      <c r="K326" s="1"/>
    </row>
    <row r="327" spans="1:11" ht="15.75" customHeight="1">
      <c r="A327" s="1"/>
      <c r="B327" s="1"/>
      <c r="C327" s="1"/>
      <c r="D327" s="1"/>
      <c r="E327" s="1"/>
      <c r="F327" s="1"/>
      <c r="G327" s="1"/>
      <c r="H327" s="1"/>
      <c r="I327" s="61"/>
      <c r="J327" s="1"/>
      <c r="K327" s="1"/>
    </row>
    <row r="328" spans="1:11" ht="15.75" customHeight="1">
      <c r="A328" s="1"/>
      <c r="B328" s="1"/>
      <c r="C328" s="1"/>
      <c r="D328" s="1"/>
      <c r="E328" s="1"/>
      <c r="F328" s="1"/>
      <c r="G328" s="1"/>
      <c r="H328" s="1"/>
      <c r="I328" s="61"/>
      <c r="J328" s="1"/>
      <c r="K328" s="1"/>
    </row>
    <row r="329" spans="1:11" ht="15.75" customHeight="1">
      <c r="A329" s="1"/>
      <c r="B329" s="1"/>
      <c r="C329" s="1"/>
      <c r="D329" s="1"/>
      <c r="E329" s="1"/>
      <c r="F329" s="1"/>
      <c r="G329" s="1"/>
      <c r="H329" s="1"/>
      <c r="I329" s="61"/>
      <c r="J329" s="1"/>
      <c r="K329" s="1"/>
    </row>
    <row r="330" spans="1:11" ht="15.75" customHeight="1">
      <c r="A330" s="1"/>
      <c r="B330" s="1"/>
      <c r="C330" s="1"/>
      <c r="D330" s="1"/>
      <c r="E330" s="1"/>
      <c r="F330" s="1"/>
      <c r="G330" s="1"/>
      <c r="H330" s="1"/>
      <c r="I330" s="61"/>
      <c r="J330" s="1"/>
      <c r="K330" s="1"/>
    </row>
    <row r="331" spans="1:11" ht="15.75" customHeight="1">
      <c r="A331" s="1"/>
      <c r="B331" s="1"/>
      <c r="C331" s="1"/>
      <c r="D331" s="1"/>
      <c r="E331" s="1"/>
      <c r="F331" s="1"/>
      <c r="G331" s="1"/>
      <c r="H331" s="1"/>
      <c r="I331" s="61"/>
      <c r="J331" s="1"/>
      <c r="K331" s="1"/>
    </row>
    <row r="332" spans="1:11" ht="15.75" customHeight="1">
      <c r="A332" s="1"/>
      <c r="B332" s="1"/>
      <c r="C332" s="1"/>
      <c r="D332" s="1"/>
      <c r="E332" s="1"/>
      <c r="F332" s="1"/>
      <c r="G332" s="1"/>
      <c r="H332" s="1"/>
      <c r="I332" s="61"/>
      <c r="J332" s="1"/>
      <c r="K332" s="1"/>
    </row>
    <row r="333" spans="1:11" ht="15.75" customHeight="1">
      <c r="A333" s="1"/>
      <c r="B333" s="1"/>
      <c r="C333" s="1"/>
      <c r="D333" s="1"/>
      <c r="E333" s="1"/>
      <c r="F333" s="1"/>
      <c r="G333" s="1"/>
      <c r="H333" s="1"/>
      <c r="I333" s="61"/>
      <c r="J333" s="1"/>
      <c r="K333" s="1"/>
    </row>
    <row r="334" spans="1:11" ht="15.75" customHeight="1">
      <c r="A334" s="1"/>
      <c r="B334" s="1"/>
      <c r="C334" s="1"/>
      <c r="D334" s="1"/>
      <c r="E334" s="1"/>
      <c r="F334" s="1"/>
      <c r="G334" s="1"/>
      <c r="H334" s="1"/>
      <c r="I334" s="61"/>
      <c r="J334" s="1"/>
      <c r="K334" s="1"/>
    </row>
    <row r="335" spans="1:11" ht="15.75" customHeight="1">
      <c r="A335" s="1"/>
      <c r="B335" s="1"/>
      <c r="C335" s="1"/>
      <c r="D335" s="1"/>
      <c r="E335" s="1"/>
      <c r="F335" s="1"/>
      <c r="G335" s="1"/>
      <c r="H335" s="1"/>
      <c r="I335" s="61"/>
      <c r="J335" s="1"/>
      <c r="K335" s="1"/>
    </row>
    <row r="336" spans="1:11" ht="15.75" customHeight="1">
      <c r="A336" s="1"/>
      <c r="B336" s="1"/>
      <c r="C336" s="1"/>
      <c r="D336" s="1"/>
      <c r="E336" s="1"/>
      <c r="F336" s="1"/>
      <c r="G336" s="1"/>
      <c r="H336" s="1"/>
      <c r="I336" s="61"/>
      <c r="J336" s="1"/>
      <c r="K336" s="1"/>
    </row>
    <row r="337" spans="1:11" ht="15.75" customHeight="1">
      <c r="A337" s="1"/>
      <c r="B337" s="1"/>
      <c r="C337" s="1"/>
      <c r="D337" s="1"/>
      <c r="E337" s="1"/>
      <c r="F337" s="1"/>
      <c r="G337" s="1"/>
      <c r="H337" s="1"/>
      <c r="I337" s="61"/>
      <c r="J337" s="1"/>
      <c r="K337" s="1"/>
    </row>
    <row r="338" spans="1:11" ht="15.75" customHeight="1">
      <c r="A338" s="1"/>
      <c r="B338" s="1"/>
      <c r="C338" s="1"/>
      <c r="D338" s="1"/>
      <c r="E338" s="1"/>
      <c r="F338" s="1"/>
      <c r="G338" s="1"/>
      <c r="H338" s="1"/>
      <c r="I338" s="61"/>
      <c r="J338" s="1"/>
      <c r="K338" s="1"/>
    </row>
    <row r="339" spans="1:11" ht="15.75" customHeight="1">
      <c r="A339" s="1"/>
      <c r="B339" s="1"/>
      <c r="C339" s="1"/>
      <c r="D339" s="1"/>
      <c r="E339" s="1"/>
      <c r="F339" s="1"/>
      <c r="G339" s="1"/>
      <c r="H339" s="1"/>
      <c r="I339" s="61"/>
      <c r="J339" s="1"/>
      <c r="K339" s="1"/>
    </row>
    <row r="340" spans="1:11" ht="15.75" customHeight="1">
      <c r="A340" s="1"/>
      <c r="B340" s="1"/>
      <c r="C340" s="1"/>
      <c r="D340" s="1"/>
      <c r="E340" s="1"/>
      <c r="F340" s="1"/>
      <c r="G340" s="1"/>
      <c r="H340" s="1"/>
      <c r="I340" s="61"/>
      <c r="J340" s="1"/>
      <c r="K340" s="1"/>
    </row>
    <row r="341" spans="1:11" ht="15.75" customHeight="1">
      <c r="A341" s="1"/>
      <c r="B341" s="1"/>
      <c r="C341" s="1"/>
      <c r="D341" s="1"/>
      <c r="E341" s="1"/>
      <c r="F341" s="1"/>
      <c r="G341" s="1"/>
      <c r="H341" s="1"/>
      <c r="I341" s="61"/>
      <c r="J341" s="1"/>
      <c r="K341" s="1"/>
    </row>
    <row r="342" spans="1:11" ht="15.75" customHeight="1">
      <c r="A342" s="1"/>
      <c r="B342" s="1"/>
      <c r="C342" s="1"/>
      <c r="D342" s="1"/>
      <c r="E342" s="1"/>
      <c r="F342" s="1"/>
      <c r="G342" s="1"/>
      <c r="H342" s="1"/>
      <c r="I342" s="61"/>
      <c r="J342" s="1"/>
      <c r="K342" s="1"/>
    </row>
    <row r="343" spans="1:11" ht="15.75" customHeight="1">
      <c r="A343" s="1"/>
      <c r="B343" s="1"/>
      <c r="C343" s="1"/>
      <c r="D343" s="1"/>
      <c r="E343" s="1"/>
      <c r="F343" s="1"/>
      <c r="G343" s="1"/>
      <c r="H343" s="1"/>
      <c r="I343" s="61"/>
      <c r="J343" s="1"/>
      <c r="K343" s="1"/>
    </row>
    <row r="344" spans="1:11" ht="15.75" customHeight="1">
      <c r="A344" s="1"/>
      <c r="B344" s="1"/>
      <c r="C344" s="1"/>
      <c r="D344" s="1"/>
      <c r="E344" s="1"/>
      <c r="F344" s="1"/>
      <c r="G344" s="1"/>
      <c r="H344" s="1"/>
      <c r="I344" s="61"/>
      <c r="J344" s="1"/>
      <c r="K344" s="1"/>
    </row>
    <row r="345" spans="1:11" ht="15.75" customHeight="1">
      <c r="A345" s="1"/>
      <c r="B345" s="1"/>
      <c r="C345" s="1"/>
      <c r="D345" s="1"/>
      <c r="E345" s="1"/>
      <c r="F345" s="1"/>
      <c r="G345" s="1"/>
      <c r="H345" s="1"/>
      <c r="I345" s="61"/>
      <c r="J345" s="1"/>
      <c r="K345" s="1"/>
    </row>
    <row r="346" spans="1:11" ht="15.75" customHeight="1">
      <c r="A346" s="1"/>
      <c r="B346" s="1"/>
      <c r="C346" s="1"/>
      <c r="D346" s="1"/>
      <c r="E346" s="1"/>
      <c r="F346" s="1"/>
      <c r="G346" s="1"/>
      <c r="H346" s="1"/>
      <c r="I346" s="61"/>
      <c r="J346" s="1"/>
      <c r="K346" s="1"/>
    </row>
    <row r="347" spans="1:11" ht="15.75" customHeight="1">
      <c r="A347" s="1"/>
      <c r="B347" s="1"/>
      <c r="C347" s="1"/>
      <c r="D347" s="1"/>
      <c r="E347" s="1"/>
      <c r="F347" s="1"/>
      <c r="G347" s="1"/>
      <c r="H347" s="1"/>
      <c r="I347" s="61"/>
      <c r="J347" s="1"/>
      <c r="K347" s="1"/>
    </row>
    <row r="348" spans="1:11" ht="15.75" customHeight="1">
      <c r="A348" s="1"/>
      <c r="B348" s="1"/>
      <c r="C348" s="1"/>
      <c r="D348" s="1"/>
      <c r="E348" s="1"/>
      <c r="F348" s="1"/>
      <c r="G348" s="1"/>
      <c r="H348" s="1"/>
      <c r="I348" s="61"/>
      <c r="J348" s="1"/>
      <c r="K348" s="1"/>
    </row>
    <row r="349" spans="1:11" ht="15.75" customHeight="1">
      <c r="A349" s="1"/>
      <c r="B349" s="1"/>
      <c r="C349" s="1"/>
      <c r="D349" s="1"/>
      <c r="E349" s="1"/>
      <c r="F349" s="1"/>
      <c r="G349" s="1"/>
      <c r="H349" s="1"/>
      <c r="I349" s="61"/>
      <c r="J349" s="1"/>
      <c r="K349" s="1"/>
    </row>
    <row r="350" spans="1:11" ht="15.75" customHeight="1">
      <c r="A350" s="1"/>
      <c r="B350" s="1"/>
      <c r="C350" s="1"/>
      <c r="D350" s="1"/>
      <c r="E350" s="1"/>
      <c r="F350" s="1"/>
      <c r="G350" s="1"/>
      <c r="H350" s="1"/>
      <c r="I350" s="61"/>
      <c r="J350" s="1"/>
      <c r="K350" s="1"/>
    </row>
    <row r="351" spans="1:11" ht="15.75" customHeight="1">
      <c r="A351" s="1"/>
      <c r="B351" s="1"/>
      <c r="C351" s="1"/>
      <c r="D351" s="1"/>
      <c r="E351" s="1"/>
      <c r="F351" s="1"/>
      <c r="G351" s="1"/>
      <c r="H351" s="1"/>
      <c r="I351" s="61"/>
      <c r="J351" s="1"/>
      <c r="K351" s="1"/>
    </row>
    <row r="352" spans="1:11" ht="15.75" customHeight="1">
      <c r="A352" s="1"/>
      <c r="B352" s="1"/>
      <c r="C352" s="1"/>
      <c r="D352" s="1"/>
      <c r="E352" s="1"/>
      <c r="F352" s="1"/>
      <c r="G352" s="1"/>
      <c r="H352" s="1"/>
      <c r="I352" s="61"/>
      <c r="J352" s="1"/>
      <c r="K352" s="1"/>
    </row>
    <row r="353" spans="1:11" ht="15.75" customHeight="1">
      <c r="A353" s="1"/>
      <c r="B353" s="1"/>
      <c r="C353" s="1"/>
      <c r="D353" s="1"/>
      <c r="E353" s="1"/>
      <c r="F353" s="1"/>
      <c r="G353" s="1"/>
      <c r="H353" s="1"/>
      <c r="I353" s="61"/>
      <c r="J353" s="1"/>
      <c r="K353" s="1"/>
    </row>
    <row r="354" spans="1:11" ht="15.75" customHeight="1">
      <c r="A354" s="1"/>
      <c r="B354" s="1"/>
      <c r="C354" s="1"/>
      <c r="D354" s="1"/>
      <c r="E354" s="1"/>
      <c r="F354" s="1"/>
      <c r="G354" s="1"/>
      <c r="H354" s="1"/>
      <c r="I354" s="61"/>
      <c r="J354" s="1"/>
      <c r="K354" s="1"/>
    </row>
    <row r="355" spans="1:11" ht="15.75" customHeight="1">
      <c r="A355" s="1"/>
      <c r="B355" s="1"/>
      <c r="C355" s="1"/>
      <c r="D355" s="1"/>
      <c r="E355" s="1"/>
      <c r="F355" s="1"/>
      <c r="G355" s="1"/>
      <c r="H355" s="1"/>
      <c r="I355" s="61"/>
      <c r="J355" s="1"/>
      <c r="K355" s="1"/>
    </row>
    <row r="356" spans="1:11" ht="15.75" customHeight="1">
      <c r="A356" s="1"/>
      <c r="B356" s="1"/>
      <c r="C356" s="1"/>
      <c r="D356" s="1"/>
      <c r="E356" s="1"/>
      <c r="F356" s="1"/>
      <c r="G356" s="1"/>
      <c r="H356" s="1"/>
      <c r="I356" s="61"/>
      <c r="J356" s="1"/>
      <c r="K356" s="1"/>
    </row>
    <row r="357" spans="1:11" ht="15.75" customHeight="1">
      <c r="A357" s="1"/>
      <c r="B357" s="1"/>
      <c r="C357" s="1"/>
      <c r="D357" s="1"/>
      <c r="E357" s="1"/>
      <c r="F357" s="1"/>
      <c r="G357" s="1"/>
      <c r="H357" s="1"/>
      <c r="I357" s="61"/>
      <c r="J357" s="1"/>
      <c r="K357" s="1"/>
    </row>
    <row r="358" spans="1:11" ht="15.75" customHeight="1">
      <c r="A358" s="1"/>
      <c r="B358" s="1"/>
      <c r="C358" s="1"/>
      <c r="D358" s="1"/>
      <c r="E358" s="1"/>
      <c r="F358" s="1"/>
      <c r="G358" s="1"/>
      <c r="H358" s="1"/>
      <c r="I358" s="61"/>
      <c r="J358" s="1"/>
      <c r="K358" s="1"/>
    </row>
    <row r="359" spans="1:11" ht="15.75" customHeight="1">
      <c r="A359" s="1"/>
      <c r="B359" s="1"/>
      <c r="C359" s="1"/>
      <c r="D359" s="1"/>
      <c r="E359" s="1"/>
      <c r="F359" s="1"/>
      <c r="G359" s="1"/>
      <c r="H359" s="1"/>
      <c r="I359" s="61"/>
      <c r="J359" s="1"/>
      <c r="K359" s="1"/>
    </row>
    <row r="360" spans="1:11" ht="15.75" customHeight="1">
      <c r="A360" s="1"/>
      <c r="B360" s="1"/>
      <c r="C360" s="1"/>
      <c r="D360" s="1"/>
      <c r="E360" s="1"/>
      <c r="F360" s="1"/>
      <c r="G360" s="1"/>
      <c r="H360" s="1"/>
      <c r="I360" s="61"/>
      <c r="J360" s="1"/>
      <c r="K360" s="1"/>
    </row>
    <row r="361" spans="1:11" ht="15.75" customHeight="1">
      <c r="A361" s="1"/>
      <c r="B361" s="1"/>
      <c r="C361" s="1"/>
      <c r="D361" s="1"/>
      <c r="E361" s="1"/>
      <c r="F361" s="1"/>
      <c r="G361" s="1"/>
      <c r="H361" s="1"/>
      <c r="I361" s="61"/>
      <c r="J361" s="1"/>
      <c r="K361" s="1"/>
    </row>
    <row r="362" spans="1:11" ht="15.75" customHeight="1">
      <c r="A362" s="1"/>
      <c r="B362" s="1"/>
      <c r="C362" s="1"/>
      <c r="D362" s="1"/>
      <c r="E362" s="1"/>
      <c r="F362" s="1"/>
      <c r="G362" s="1"/>
      <c r="H362" s="1"/>
      <c r="I362" s="61"/>
      <c r="J362" s="1"/>
      <c r="K362" s="1"/>
    </row>
    <row r="363" spans="1:11" ht="15.75" customHeight="1">
      <c r="A363" s="1"/>
      <c r="B363" s="1"/>
      <c r="C363" s="1"/>
      <c r="D363" s="1"/>
      <c r="E363" s="1"/>
      <c r="F363" s="1"/>
      <c r="G363" s="1"/>
      <c r="H363" s="1"/>
      <c r="I363" s="61"/>
      <c r="J363" s="1"/>
      <c r="K363" s="1"/>
    </row>
    <row r="364" spans="1:11" ht="15.75" customHeight="1">
      <c r="A364" s="1"/>
      <c r="B364" s="1"/>
      <c r="C364" s="1"/>
      <c r="D364" s="1"/>
      <c r="E364" s="1"/>
      <c r="F364" s="1"/>
      <c r="G364" s="1"/>
      <c r="H364" s="1"/>
      <c r="I364" s="61"/>
      <c r="J364" s="1"/>
      <c r="K364" s="1"/>
    </row>
    <row r="365" spans="1:11" ht="15.75" customHeight="1">
      <c r="A365" s="1"/>
      <c r="B365" s="1"/>
      <c r="C365" s="1"/>
      <c r="D365" s="1"/>
      <c r="E365" s="1"/>
      <c r="F365" s="1"/>
      <c r="G365" s="1"/>
      <c r="H365" s="1"/>
      <c r="I365" s="61"/>
      <c r="J365" s="1"/>
      <c r="K365" s="1"/>
    </row>
    <row r="366" spans="1:11" ht="15.75" customHeight="1">
      <c r="A366" s="1"/>
      <c r="B366" s="1"/>
      <c r="C366" s="1"/>
      <c r="D366" s="1"/>
      <c r="E366" s="1"/>
      <c r="F366" s="1"/>
      <c r="G366" s="1"/>
      <c r="H366" s="1"/>
      <c r="I366" s="61"/>
      <c r="J366" s="1"/>
      <c r="K366" s="1"/>
    </row>
    <row r="367" spans="1:11" ht="15.75" customHeight="1">
      <c r="A367" s="1"/>
      <c r="B367" s="1"/>
      <c r="C367" s="1"/>
      <c r="D367" s="1"/>
      <c r="E367" s="1"/>
      <c r="F367" s="1"/>
      <c r="G367" s="1"/>
      <c r="H367" s="1"/>
      <c r="I367" s="61"/>
      <c r="J367" s="1"/>
      <c r="K367" s="1"/>
    </row>
    <row r="368" spans="1:11" ht="15.75" customHeight="1">
      <c r="A368" s="1"/>
      <c r="B368" s="1"/>
      <c r="C368" s="1"/>
      <c r="D368" s="1"/>
      <c r="E368" s="1"/>
      <c r="F368" s="1"/>
      <c r="G368" s="1"/>
      <c r="H368" s="1"/>
      <c r="I368" s="61"/>
      <c r="J368" s="1"/>
      <c r="K368" s="1"/>
    </row>
    <row r="369" spans="1:11" ht="15.75" customHeight="1">
      <c r="A369" s="1"/>
      <c r="B369" s="1"/>
      <c r="C369" s="1"/>
      <c r="D369" s="1"/>
      <c r="E369" s="1"/>
      <c r="F369" s="1"/>
      <c r="G369" s="1"/>
      <c r="H369" s="1"/>
      <c r="I369" s="61"/>
      <c r="J369" s="1"/>
      <c r="K369" s="1"/>
    </row>
    <row r="370" spans="1:11" ht="15.75" customHeight="1">
      <c r="A370" s="1"/>
      <c r="B370" s="1"/>
      <c r="C370" s="1"/>
      <c r="D370" s="1"/>
      <c r="E370" s="1"/>
      <c r="F370" s="1"/>
      <c r="G370" s="1"/>
      <c r="H370" s="1"/>
      <c r="I370" s="61"/>
      <c r="J370" s="1"/>
      <c r="K370" s="1"/>
    </row>
    <row r="371" spans="1:11" ht="15.75" customHeight="1">
      <c r="A371" s="1"/>
      <c r="B371" s="1"/>
      <c r="C371" s="1"/>
      <c r="D371" s="1"/>
      <c r="E371" s="1"/>
      <c r="F371" s="1"/>
      <c r="G371" s="1"/>
      <c r="H371" s="1"/>
      <c r="I371" s="61"/>
      <c r="J371" s="1"/>
      <c r="K371" s="1"/>
    </row>
    <row r="372" spans="1:11" ht="15.75" customHeight="1">
      <c r="A372" s="1"/>
      <c r="B372" s="1"/>
      <c r="C372" s="1"/>
      <c r="D372" s="1"/>
      <c r="E372" s="1"/>
      <c r="F372" s="1"/>
      <c r="G372" s="1"/>
      <c r="H372" s="1"/>
      <c r="I372" s="61"/>
      <c r="J372" s="1"/>
      <c r="K372" s="1"/>
    </row>
    <row r="373" spans="1:11" ht="15.75" customHeight="1">
      <c r="A373" s="1"/>
      <c r="B373" s="1"/>
      <c r="C373" s="1"/>
      <c r="D373" s="1"/>
      <c r="E373" s="1"/>
      <c r="F373" s="1"/>
      <c r="G373" s="1"/>
      <c r="H373" s="1"/>
      <c r="I373" s="61"/>
      <c r="J373" s="1"/>
      <c r="K373" s="1"/>
    </row>
    <row r="374" spans="1:11" ht="15.75" customHeight="1">
      <c r="A374" s="1"/>
      <c r="B374" s="1"/>
      <c r="C374" s="1"/>
      <c r="D374" s="1"/>
      <c r="E374" s="1"/>
      <c r="F374" s="1"/>
      <c r="G374" s="1"/>
      <c r="H374" s="1"/>
      <c r="I374" s="61"/>
      <c r="J374" s="1"/>
      <c r="K374" s="1"/>
    </row>
    <row r="375" spans="1:11" ht="15.75" customHeight="1">
      <c r="A375" s="1"/>
      <c r="B375" s="1"/>
      <c r="C375" s="1"/>
      <c r="D375" s="1"/>
      <c r="E375" s="1"/>
      <c r="F375" s="1"/>
      <c r="G375" s="1"/>
      <c r="H375" s="1"/>
      <c r="I375" s="61"/>
      <c r="J375" s="1"/>
      <c r="K375" s="1"/>
    </row>
    <row r="376" spans="1:11" ht="15.75" customHeight="1">
      <c r="A376" s="1"/>
      <c r="B376" s="1"/>
      <c r="C376" s="1"/>
      <c r="D376" s="1"/>
      <c r="E376" s="1"/>
      <c r="F376" s="1"/>
      <c r="G376" s="1"/>
      <c r="H376" s="1"/>
      <c r="I376" s="61"/>
      <c r="J376" s="1"/>
      <c r="K376" s="1"/>
    </row>
    <row r="377" spans="1:11" ht="15.75" customHeight="1">
      <c r="A377" s="1"/>
      <c r="B377" s="1"/>
      <c r="C377" s="1"/>
      <c r="D377" s="1"/>
      <c r="E377" s="1"/>
      <c r="F377" s="1"/>
      <c r="G377" s="1"/>
      <c r="H377" s="1"/>
      <c r="I377" s="61"/>
      <c r="J377" s="1"/>
      <c r="K377" s="1"/>
    </row>
    <row r="378" spans="1:11" ht="15.75" customHeight="1">
      <c r="A378" s="1"/>
      <c r="B378" s="1"/>
      <c r="C378" s="1"/>
      <c r="D378" s="1"/>
      <c r="E378" s="1"/>
      <c r="F378" s="1"/>
      <c r="G378" s="1"/>
      <c r="H378" s="1"/>
      <c r="I378" s="61"/>
      <c r="J378" s="1"/>
      <c r="K378" s="1"/>
    </row>
    <row r="379" spans="1:11" ht="15.75" customHeight="1">
      <c r="A379" s="1"/>
      <c r="B379" s="1"/>
      <c r="C379" s="1"/>
      <c r="D379" s="1"/>
      <c r="E379" s="1"/>
      <c r="F379" s="1"/>
      <c r="G379" s="1"/>
      <c r="H379" s="1"/>
      <c r="I379" s="61"/>
      <c r="J379" s="1"/>
      <c r="K379" s="1"/>
    </row>
    <row r="380" spans="1:11" ht="15.75" customHeight="1">
      <c r="A380" s="1"/>
      <c r="B380" s="1"/>
      <c r="C380" s="1"/>
      <c r="D380" s="1"/>
      <c r="E380" s="1"/>
      <c r="F380" s="1"/>
      <c r="G380" s="1"/>
      <c r="H380" s="1"/>
      <c r="I380" s="61"/>
      <c r="J380" s="1"/>
      <c r="K380" s="1"/>
    </row>
    <row r="381" spans="1:11" ht="15.75" customHeight="1">
      <c r="A381" s="1"/>
      <c r="B381" s="1"/>
      <c r="C381" s="1"/>
      <c r="D381" s="1"/>
      <c r="E381" s="1"/>
      <c r="F381" s="1"/>
      <c r="G381" s="1"/>
      <c r="H381" s="1"/>
      <c r="I381" s="61"/>
      <c r="J381" s="1"/>
      <c r="K381" s="1"/>
    </row>
    <row r="382" spans="1:11" ht="15.75" customHeight="1">
      <c r="A382" s="1"/>
      <c r="B382" s="1"/>
      <c r="C382" s="1"/>
      <c r="D382" s="1"/>
      <c r="E382" s="1"/>
      <c r="F382" s="1"/>
      <c r="G382" s="1"/>
      <c r="H382" s="1"/>
      <c r="I382" s="61"/>
      <c r="J382" s="1"/>
      <c r="K382" s="1"/>
    </row>
    <row r="383" spans="1:11" ht="15.75" customHeight="1">
      <c r="A383" s="1"/>
      <c r="B383" s="1"/>
      <c r="C383" s="1"/>
      <c r="D383" s="1"/>
      <c r="E383" s="1"/>
      <c r="F383" s="1"/>
      <c r="G383" s="1"/>
      <c r="H383" s="1"/>
      <c r="I383" s="61"/>
      <c r="J383" s="1"/>
      <c r="K383" s="1"/>
    </row>
    <row r="384" spans="1:11" ht="15.75" customHeight="1">
      <c r="A384" s="1"/>
      <c r="B384" s="1"/>
      <c r="C384" s="1"/>
      <c r="D384" s="1"/>
      <c r="E384" s="1"/>
      <c r="F384" s="1"/>
      <c r="G384" s="1"/>
      <c r="H384" s="1"/>
      <c r="I384" s="61"/>
      <c r="J384" s="1"/>
      <c r="K384" s="1"/>
    </row>
    <row r="385" spans="1:11" ht="15.75" customHeight="1">
      <c r="A385" s="1"/>
      <c r="B385" s="1"/>
      <c r="C385" s="1"/>
      <c r="D385" s="1"/>
      <c r="E385" s="1"/>
      <c r="F385" s="1"/>
      <c r="G385" s="1"/>
      <c r="H385" s="1"/>
      <c r="I385" s="61"/>
      <c r="J385" s="1"/>
      <c r="K385" s="1"/>
    </row>
    <row r="386" spans="1:11" ht="15.75" customHeight="1">
      <c r="A386" s="1"/>
      <c r="B386" s="1"/>
      <c r="C386" s="1"/>
      <c r="D386" s="1"/>
      <c r="E386" s="1"/>
      <c r="F386" s="1"/>
      <c r="G386" s="1"/>
      <c r="H386" s="1"/>
      <c r="I386" s="61"/>
      <c r="J386" s="1"/>
      <c r="K386" s="1"/>
    </row>
    <row r="387" spans="1:11" ht="15.75" customHeight="1">
      <c r="A387" s="1"/>
      <c r="B387" s="1"/>
      <c r="C387" s="1"/>
      <c r="D387" s="1"/>
      <c r="E387" s="1"/>
      <c r="F387" s="1"/>
      <c r="G387" s="1"/>
      <c r="H387" s="1"/>
      <c r="I387" s="61"/>
      <c r="J387" s="1"/>
      <c r="K387" s="1"/>
    </row>
    <row r="388" spans="1:11" ht="15.75" customHeight="1">
      <c r="A388" s="1"/>
      <c r="B388" s="1"/>
      <c r="C388" s="1"/>
      <c r="D388" s="1"/>
      <c r="E388" s="1"/>
      <c r="F388" s="1"/>
      <c r="G388" s="1"/>
      <c r="H388" s="1"/>
      <c r="I388" s="61"/>
      <c r="J388" s="1"/>
      <c r="K388" s="1"/>
    </row>
    <row r="389" spans="1:11" ht="15.75" customHeight="1">
      <c r="A389" s="1"/>
      <c r="B389" s="1"/>
      <c r="C389" s="1"/>
      <c r="D389" s="1"/>
      <c r="E389" s="1"/>
      <c r="F389" s="1"/>
      <c r="G389" s="1"/>
      <c r="H389" s="1"/>
      <c r="I389" s="61"/>
      <c r="J389" s="1"/>
      <c r="K389" s="1"/>
    </row>
    <row r="390" spans="1:11" ht="15.75" customHeight="1">
      <c r="A390" s="1"/>
      <c r="B390" s="1"/>
      <c r="C390" s="1"/>
      <c r="D390" s="1"/>
      <c r="E390" s="1"/>
      <c r="F390" s="1"/>
      <c r="G390" s="1"/>
      <c r="H390" s="1"/>
      <c r="I390" s="61"/>
      <c r="J390" s="1"/>
      <c r="K390" s="1"/>
    </row>
    <row r="391" spans="1:11" ht="15.75" customHeight="1">
      <c r="A391" s="1"/>
      <c r="B391" s="1"/>
      <c r="C391" s="1"/>
      <c r="D391" s="1"/>
      <c r="E391" s="1"/>
      <c r="F391" s="1"/>
      <c r="G391" s="1"/>
      <c r="H391" s="1"/>
      <c r="I391" s="61"/>
      <c r="J391" s="1"/>
      <c r="K391" s="1"/>
    </row>
    <row r="392" spans="1:11" ht="15.75" customHeight="1">
      <c r="A392" s="1"/>
      <c r="B392" s="1"/>
      <c r="C392" s="1"/>
      <c r="D392" s="1"/>
      <c r="E392" s="1"/>
      <c r="F392" s="1"/>
      <c r="G392" s="1"/>
      <c r="H392" s="1"/>
      <c r="I392" s="61"/>
      <c r="J392" s="1"/>
      <c r="K392" s="1"/>
    </row>
    <row r="393" spans="1:11" ht="15.75" customHeight="1">
      <c r="A393" s="1"/>
      <c r="B393" s="1"/>
      <c r="C393" s="1"/>
      <c r="D393" s="1"/>
      <c r="E393" s="1"/>
      <c r="F393" s="1"/>
      <c r="G393" s="1"/>
      <c r="H393" s="1"/>
      <c r="I393" s="61"/>
      <c r="J393" s="1"/>
      <c r="K393" s="1"/>
    </row>
    <row r="394" spans="1:11" ht="15.75" customHeight="1">
      <c r="A394" s="1"/>
      <c r="B394" s="1"/>
      <c r="C394" s="1"/>
      <c r="D394" s="1"/>
      <c r="E394" s="1"/>
      <c r="F394" s="1"/>
      <c r="G394" s="1"/>
      <c r="H394" s="1"/>
      <c r="I394" s="61"/>
      <c r="J394" s="1"/>
      <c r="K394" s="1"/>
    </row>
    <row r="395" spans="1:11" ht="15.75" customHeight="1">
      <c r="A395" s="1"/>
      <c r="B395" s="1"/>
      <c r="C395" s="1"/>
      <c r="D395" s="1"/>
      <c r="E395" s="1"/>
      <c r="F395" s="1"/>
      <c r="G395" s="1"/>
      <c r="H395" s="1"/>
      <c r="I395" s="61"/>
      <c r="J395" s="1"/>
      <c r="K395" s="1"/>
    </row>
    <row r="396" spans="1:11" ht="15.75" customHeight="1">
      <c r="A396" s="1"/>
      <c r="B396" s="1"/>
      <c r="C396" s="1"/>
      <c r="D396" s="1"/>
      <c r="E396" s="1"/>
      <c r="F396" s="1"/>
      <c r="G396" s="1"/>
      <c r="H396" s="1"/>
      <c r="I396" s="61"/>
      <c r="J396" s="1"/>
      <c r="K396" s="1"/>
    </row>
    <row r="397" spans="1:11" ht="15.75" customHeight="1">
      <c r="A397" s="1"/>
      <c r="B397" s="1"/>
      <c r="C397" s="1"/>
      <c r="D397" s="1"/>
      <c r="E397" s="1"/>
      <c r="F397" s="1"/>
      <c r="G397" s="1"/>
      <c r="H397" s="1"/>
      <c r="I397" s="61"/>
      <c r="J397" s="1"/>
      <c r="K397" s="1"/>
    </row>
    <row r="398" spans="1:11" ht="15.75" customHeight="1">
      <c r="A398" s="1"/>
      <c r="B398" s="1"/>
      <c r="C398" s="1"/>
      <c r="D398" s="1"/>
      <c r="E398" s="1"/>
      <c r="F398" s="1"/>
      <c r="G398" s="1"/>
      <c r="H398" s="1"/>
      <c r="I398" s="61"/>
      <c r="J398" s="1"/>
      <c r="K398" s="1"/>
    </row>
    <row r="399" spans="1:11" ht="15.75" customHeight="1">
      <c r="A399" s="1"/>
      <c r="B399" s="1"/>
      <c r="C399" s="1"/>
      <c r="D399" s="1"/>
      <c r="E399" s="1"/>
      <c r="F399" s="1"/>
      <c r="G399" s="1"/>
      <c r="H399" s="1"/>
      <c r="I399" s="61"/>
      <c r="J399" s="1"/>
      <c r="K399" s="1"/>
    </row>
    <row r="400" spans="1:11" ht="15.75" customHeight="1">
      <c r="A400" s="1"/>
      <c r="B400" s="1"/>
      <c r="C400" s="1"/>
      <c r="D400" s="1"/>
      <c r="E400" s="1"/>
      <c r="F400" s="1"/>
      <c r="G400" s="1"/>
      <c r="H400" s="1"/>
      <c r="I400" s="61"/>
      <c r="J400" s="1"/>
      <c r="K400" s="1"/>
    </row>
    <row r="401" spans="1:12" ht="15.75" customHeight="1">
      <c r="A401" s="1"/>
      <c r="B401" s="1"/>
      <c r="C401" s="1"/>
      <c r="D401" s="1"/>
      <c r="E401" s="1"/>
      <c r="F401" s="1"/>
      <c r="G401" s="1"/>
      <c r="H401" s="1"/>
      <c r="I401" s="61"/>
      <c r="J401" s="1"/>
      <c r="K401" s="1"/>
    </row>
    <row r="402" spans="1:12" ht="15.75" customHeight="1">
      <c r="A402" s="1"/>
      <c r="B402" s="1"/>
      <c r="C402" s="1"/>
      <c r="D402" s="1"/>
      <c r="E402" s="1"/>
      <c r="F402" s="1"/>
      <c r="G402" s="1"/>
      <c r="H402" s="1"/>
      <c r="I402" s="61"/>
      <c r="J402" s="1"/>
      <c r="K402" s="1"/>
      <c r="L402" s="45"/>
    </row>
    <row r="403" spans="1:12" ht="15.75" customHeight="1">
      <c r="A403" s="1"/>
      <c r="B403" s="1"/>
      <c r="C403" s="1"/>
      <c r="D403" s="1"/>
      <c r="E403" s="1"/>
      <c r="F403" s="1"/>
      <c r="G403" s="1"/>
      <c r="H403" s="1"/>
      <c r="I403" s="61"/>
      <c r="J403" s="1"/>
      <c r="K403" s="1"/>
    </row>
    <row r="404" spans="1:12" ht="15.75" customHeight="1">
      <c r="A404" s="1"/>
      <c r="B404" s="1"/>
      <c r="C404" s="1"/>
      <c r="D404" s="1"/>
      <c r="E404" s="1"/>
      <c r="F404" s="1"/>
      <c r="G404" s="1"/>
      <c r="H404" s="1"/>
      <c r="I404" s="61"/>
      <c r="J404" s="1"/>
      <c r="K404" s="1"/>
    </row>
    <row r="405" spans="1:12" ht="15.75" customHeight="1">
      <c r="A405" s="1"/>
      <c r="B405" s="1"/>
      <c r="C405" s="1"/>
      <c r="D405" s="1"/>
      <c r="E405" s="1"/>
      <c r="F405" s="1"/>
      <c r="G405" s="1"/>
      <c r="H405" s="1"/>
      <c r="I405" s="61"/>
      <c r="J405" s="1"/>
      <c r="K405" s="1"/>
    </row>
    <row r="406" spans="1:12" ht="15.75" customHeight="1">
      <c r="A406" s="1"/>
      <c r="B406" s="1"/>
      <c r="C406" s="1"/>
      <c r="D406" s="1"/>
      <c r="E406" s="1"/>
      <c r="F406" s="1"/>
      <c r="G406" s="1"/>
      <c r="H406" s="1"/>
      <c r="I406" s="61"/>
      <c r="J406" s="1"/>
      <c r="K406" s="1"/>
    </row>
    <row r="407" spans="1:12" ht="15.75" customHeight="1">
      <c r="A407" s="1"/>
      <c r="B407" s="1"/>
      <c r="C407" s="1"/>
      <c r="D407" s="1"/>
      <c r="E407" s="1"/>
      <c r="F407" s="1"/>
      <c r="G407" s="1"/>
      <c r="H407" s="1"/>
      <c r="I407" s="61"/>
      <c r="J407" s="1"/>
      <c r="K407" s="1"/>
    </row>
    <row r="408" spans="1:12" ht="15.75" customHeight="1">
      <c r="A408" s="1"/>
      <c r="B408" s="1"/>
      <c r="C408" s="1"/>
      <c r="D408" s="1"/>
      <c r="E408" s="1"/>
      <c r="F408" s="1"/>
      <c r="G408" s="1"/>
      <c r="H408" s="1"/>
      <c r="I408" s="61"/>
      <c r="J408" s="1"/>
      <c r="K408" s="1"/>
    </row>
    <row r="409" spans="1:12" ht="15.75" customHeight="1">
      <c r="A409" s="1"/>
      <c r="B409" s="1"/>
      <c r="C409" s="1"/>
      <c r="D409" s="1"/>
      <c r="E409" s="1"/>
      <c r="F409" s="1"/>
      <c r="G409" s="1"/>
      <c r="H409" s="1"/>
      <c r="I409" s="61"/>
      <c r="J409" s="1"/>
      <c r="K409" s="1"/>
    </row>
    <row r="410" spans="1:12" ht="15.75" customHeight="1">
      <c r="A410" s="1"/>
      <c r="B410" s="1"/>
      <c r="C410" s="1"/>
      <c r="D410" s="1"/>
      <c r="E410" s="1"/>
      <c r="F410" s="1"/>
      <c r="G410" s="1"/>
      <c r="H410" s="1"/>
      <c r="I410" s="61"/>
      <c r="J410" s="1"/>
      <c r="K410" s="1"/>
    </row>
    <row r="411" spans="1:12" ht="15.75" customHeight="1">
      <c r="A411" s="1"/>
      <c r="B411" s="1"/>
      <c r="C411" s="1"/>
      <c r="D411" s="1"/>
      <c r="E411" s="1"/>
      <c r="F411" s="1"/>
      <c r="G411" s="1"/>
      <c r="H411" s="1"/>
      <c r="I411" s="61"/>
      <c r="J411" s="1"/>
      <c r="K411" s="1"/>
    </row>
    <row r="412" spans="1:12" ht="15.75" customHeight="1">
      <c r="A412" s="1"/>
      <c r="B412" s="1"/>
      <c r="C412" s="1"/>
      <c r="D412" s="1"/>
      <c r="E412" s="1"/>
      <c r="F412" s="1"/>
      <c r="G412" s="1"/>
      <c r="H412" s="1"/>
      <c r="I412" s="61"/>
      <c r="J412" s="1"/>
      <c r="K412" s="1"/>
    </row>
    <row r="413" spans="1:12" ht="15.75" customHeight="1">
      <c r="A413" s="1"/>
      <c r="B413" s="1"/>
      <c r="C413" s="1"/>
      <c r="D413" s="1"/>
      <c r="E413" s="1"/>
      <c r="F413" s="1"/>
      <c r="G413" s="1"/>
      <c r="H413" s="1"/>
      <c r="I413" s="61"/>
      <c r="J413" s="1"/>
      <c r="K413" s="1"/>
    </row>
    <row r="414" spans="1:12" ht="15.75" customHeight="1">
      <c r="A414" s="1"/>
      <c r="B414" s="1"/>
      <c r="C414" s="1"/>
      <c r="D414" s="1"/>
      <c r="E414" s="1"/>
      <c r="F414" s="1"/>
      <c r="G414" s="1"/>
      <c r="H414" s="1"/>
      <c r="I414" s="61"/>
      <c r="J414" s="1"/>
      <c r="K414" s="1"/>
    </row>
    <row r="415" spans="1:12" ht="15.75" customHeight="1">
      <c r="A415" s="1"/>
      <c r="B415" s="1"/>
      <c r="C415" s="1"/>
      <c r="D415" s="1"/>
      <c r="E415" s="1"/>
      <c r="F415" s="1"/>
      <c r="G415" s="1"/>
      <c r="H415" s="1"/>
      <c r="I415" s="61"/>
      <c r="J415" s="1"/>
      <c r="K415" s="1"/>
    </row>
    <row r="416" spans="1:12" ht="15.75" customHeight="1">
      <c r="A416" s="1"/>
      <c r="B416" s="1"/>
      <c r="C416" s="1"/>
      <c r="D416" s="1"/>
      <c r="E416" s="1"/>
      <c r="F416" s="1"/>
      <c r="G416" s="1"/>
      <c r="H416" s="1"/>
      <c r="I416" s="61"/>
      <c r="J416" s="1"/>
      <c r="K416" s="1"/>
    </row>
    <row r="417" spans="1:11" ht="15.75" customHeight="1">
      <c r="A417" s="1"/>
      <c r="B417" s="1"/>
      <c r="C417" s="1"/>
      <c r="D417" s="1"/>
      <c r="E417" s="1"/>
      <c r="F417" s="1"/>
      <c r="G417" s="1"/>
      <c r="H417" s="1"/>
      <c r="I417" s="61"/>
      <c r="J417" s="1"/>
      <c r="K417" s="1"/>
    </row>
    <row r="418" spans="1:11" ht="15.75" customHeight="1">
      <c r="A418" s="1"/>
      <c r="B418" s="1"/>
      <c r="C418" s="1"/>
      <c r="D418" s="1"/>
      <c r="E418" s="1"/>
      <c r="F418" s="1"/>
      <c r="G418" s="1"/>
      <c r="H418" s="1"/>
      <c r="I418" s="61"/>
      <c r="J418" s="1"/>
      <c r="K418" s="1"/>
    </row>
    <row r="419" spans="1:11" ht="15.75" customHeight="1">
      <c r="A419" s="1"/>
      <c r="B419" s="1"/>
      <c r="C419" s="1"/>
      <c r="D419" s="1"/>
      <c r="E419" s="1"/>
      <c r="F419" s="1"/>
      <c r="G419" s="1"/>
      <c r="H419" s="1"/>
      <c r="I419" s="61"/>
      <c r="J419" s="1"/>
      <c r="K419" s="1"/>
    </row>
    <row r="420" spans="1:11" ht="15.75" customHeight="1">
      <c r="A420" s="1"/>
      <c r="B420" s="1"/>
      <c r="C420" s="1"/>
      <c r="D420" s="1"/>
      <c r="E420" s="1"/>
      <c r="F420" s="1"/>
      <c r="G420" s="1"/>
      <c r="H420" s="1"/>
      <c r="I420" s="61"/>
      <c r="J420" s="1"/>
      <c r="K420" s="1"/>
    </row>
    <row r="421" spans="1:11" ht="15.75" customHeight="1">
      <c r="A421" s="1"/>
      <c r="B421" s="1"/>
      <c r="C421" s="1"/>
      <c r="D421" s="1"/>
      <c r="E421" s="1"/>
      <c r="F421" s="1"/>
      <c r="G421" s="1"/>
      <c r="H421" s="1"/>
      <c r="I421" s="61"/>
      <c r="J421" s="1"/>
      <c r="K421" s="1"/>
    </row>
    <row r="422" spans="1:11" ht="15.75" customHeight="1">
      <c r="A422" s="1"/>
      <c r="B422" s="1"/>
      <c r="C422" s="1"/>
      <c r="D422" s="1"/>
      <c r="E422" s="1"/>
      <c r="F422" s="1"/>
      <c r="G422" s="1"/>
      <c r="H422" s="1"/>
      <c r="I422" s="61"/>
      <c r="J422" s="1"/>
      <c r="K422" s="1"/>
    </row>
    <row r="423" spans="1:11" ht="15.75" customHeight="1">
      <c r="A423" s="1"/>
      <c r="B423" s="1"/>
      <c r="C423" s="1"/>
      <c r="D423" s="1"/>
      <c r="E423" s="1"/>
      <c r="F423" s="1"/>
      <c r="G423" s="1"/>
      <c r="H423" s="1"/>
      <c r="I423" s="61"/>
      <c r="J423" s="1"/>
      <c r="K423" s="1"/>
    </row>
    <row r="424" spans="1:11" ht="15.75" customHeight="1">
      <c r="A424" s="1"/>
      <c r="B424" s="1"/>
      <c r="C424" s="1"/>
      <c r="D424" s="1"/>
      <c r="E424" s="1"/>
      <c r="F424" s="1"/>
      <c r="G424" s="1"/>
      <c r="H424" s="1"/>
      <c r="I424" s="61"/>
      <c r="J424" s="1"/>
      <c r="K424" s="1"/>
    </row>
    <row r="425" spans="1:11" ht="15.75" customHeight="1">
      <c r="A425" s="1"/>
      <c r="B425" s="1"/>
      <c r="C425" s="1"/>
      <c r="D425" s="1"/>
      <c r="E425" s="1"/>
      <c r="F425" s="1"/>
      <c r="G425" s="1"/>
      <c r="H425" s="1"/>
      <c r="I425" s="61"/>
      <c r="J425" s="1"/>
      <c r="K425" s="1"/>
    </row>
    <row r="426" spans="1:11" ht="15.75" customHeight="1">
      <c r="A426" s="1"/>
      <c r="B426" s="1"/>
      <c r="C426" s="1"/>
      <c r="D426" s="1"/>
      <c r="E426" s="1"/>
      <c r="F426" s="1"/>
      <c r="G426" s="1"/>
      <c r="H426" s="1"/>
      <c r="I426" s="61"/>
      <c r="J426" s="1"/>
      <c r="K426" s="1"/>
    </row>
    <row r="427" spans="1:11" ht="15.75" customHeight="1">
      <c r="A427" s="1"/>
      <c r="B427" s="1"/>
      <c r="C427" s="1"/>
      <c r="D427" s="1"/>
      <c r="E427" s="1"/>
      <c r="F427" s="1"/>
      <c r="G427" s="1"/>
      <c r="H427" s="1"/>
      <c r="I427" s="61"/>
      <c r="J427" s="1"/>
      <c r="K427" s="1"/>
    </row>
    <row r="428" spans="1:11" ht="15.75" customHeight="1">
      <c r="A428" s="1"/>
      <c r="B428" s="1"/>
      <c r="C428" s="1"/>
      <c r="D428" s="1"/>
      <c r="E428" s="1"/>
      <c r="F428" s="1"/>
      <c r="G428" s="1"/>
      <c r="H428" s="1"/>
      <c r="I428" s="61"/>
      <c r="J428" s="1"/>
      <c r="K428" s="1"/>
    </row>
    <row r="429" spans="1:11" ht="15.75" customHeight="1">
      <c r="A429" s="1"/>
      <c r="B429" s="1"/>
      <c r="C429" s="1"/>
      <c r="D429" s="1"/>
      <c r="E429" s="1"/>
      <c r="F429" s="1"/>
      <c r="G429" s="1"/>
      <c r="H429" s="1"/>
      <c r="I429" s="61"/>
      <c r="J429" s="1"/>
      <c r="K429" s="1"/>
    </row>
    <row r="430" spans="1:11" ht="15.75" customHeight="1">
      <c r="A430" s="1"/>
      <c r="B430" s="1"/>
      <c r="C430" s="1"/>
      <c r="D430" s="1"/>
      <c r="E430" s="1"/>
      <c r="F430" s="1"/>
      <c r="G430" s="1"/>
      <c r="H430" s="1"/>
      <c r="I430" s="61"/>
      <c r="J430" s="1"/>
      <c r="K430" s="1"/>
    </row>
    <row r="431" spans="1:11" ht="15.75" customHeight="1">
      <c r="A431" s="1"/>
      <c r="B431" s="1"/>
      <c r="C431" s="1"/>
      <c r="D431" s="1"/>
      <c r="E431" s="1"/>
      <c r="F431" s="1"/>
      <c r="G431" s="1"/>
      <c r="H431" s="1"/>
      <c r="I431" s="61"/>
      <c r="J431" s="1"/>
      <c r="K431" s="1"/>
    </row>
    <row r="432" spans="1:11" ht="15.75" customHeight="1">
      <c r="A432" s="1"/>
      <c r="B432" s="1"/>
      <c r="C432" s="1"/>
      <c r="D432" s="1"/>
      <c r="E432" s="1"/>
      <c r="F432" s="1"/>
      <c r="G432" s="1"/>
      <c r="H432" s="1"/>
      <c r="I432" s="61"/>
      <c r="J432" s="1"/>
      <c r="K432" s="1"/>
    </row>
    <row r="433" spans="1:11" ht="15.75" customHeight="1">
      <c r="A433" s="1"/>
      <c r="B433" s="1"/>
      <c r="C433" s="1"/>
      <c r="D433" s="1"/>
      <c r="E433" s="1"/>
      <c r="F433" s="1"/>
      <c r="G433" s="1"/>
      <c r="H433" s="1"/>
      <c r="I433" s="61"/>
      <c r="J433" s="1"/>
      <c r="K433" s="1"/>
    </row>
    <row r="434" spans="1:11" ht="15.75" customHeight="1">
      <c r="A434" s="1"/>
      <c r="B434" s="1"/>
      <c r="C434" s="1"/>
      <c r="D434" s="1"/>
      <c r="E434" s="1"/>
      <c r="F434" s="1"/>
      <c r="G434" s="1"/>
      <c r="H434" s="1"/>
      <c r="I434" s="61"/>
      <c r="J434" s="1"/>
      <c r="K434" s="1"/>
    </row>
    <row r="435" spans="1:11" ht="15.75" customHeight="1">
      <c r="A435" s="1"/>
      <c r="B435" s="1"/>
      <c r="C435" s="1"/>
      <c r="D435" s="1"/>
      <c r="E435" s="1"/>
      <c r="F435" s="1"/>
      <c r="G435" s="1"/>
      <c r="H435" s="1"/>
      <c r="I435" s="61"/>
      <c r="J435" s="1"/>
      <c r="K435" s="1"/>
    </row>
    <row r="436" spans="1:11" ht="15.75" customHeight="1">
      <c r="A436" s="1"/>
      <c r="B436" s="1"/>
      <c r="C436" s="1"/>
      <c r="D436" s="1"/>
      <c r="E436" s="1"/>
      <c r="F436" s="1"/>
      <c r="G436" s="1"/>
      <c r="H436" s="1"/>
      <c r="I436" s="61"/>
      <c r="J436" s="1"/>
      <c r="K436" s="1"/>
    </row>
    <row r="437" spans="1:11" ht="15.75" customHeight="1">
      <c r="A437" s="1"/>
      <c r="B437" s="1"/>
      <c r="C437" s="1"/>
      <c r="D437" s="1"/>
      <c r="E437" s="1"/>
      <c r="F437" s="1"/>
      <c r="G437" s="1"/>
      <c r="H437" s="1"/>
      <c r="I437" s="61"/>
      <c r="J437" s="1"/>
      <c r="K437" s="1"/>
    </row>
    <row r="438" spans="1:11" ht="15.75" customHeight="1">
      <c r="A438" s="1"/>
      <c r="B438" s="1"/>
      <c r="C438" s="1"/>
      <c r="D438" s="1"/>
      <c r="E438" s="1"/>
      <c r="F438" s="1"/>
      <c r="G438" s="1"/>
      <c r="H438" s="1"/>
      <c r="I438" s="61"/>
      <c r="J438" s="1"/>
      <c r="K438" s="1"/>
    </row>
    <row r="439" spans="1:11" ht="15.75" customHeight="1">
      <c r="A439" s="1"/>
      <c r="B439" s="1"/>
      <c r="C439" s="1"/>
      <c r="D439" s="1"/>
      <c r="E439" s="1"/>
      <c r="F439" s="1"/>
      <c r="G439" s="1"/>
      <c r="H439" s="1"/>
      <c r="I439" s="61"/>
      <c r="J439" s="1"/>
      <c r="K439" s="1"/>
    </row>
    <row r="440" spans="1:11" ht="15.75" customHeight="1">
      <c r="A440" s="1"/>
      <c r="B440" s="1"/>
      <c r="C440" s="1"/>
      <c r="D440" s="1"/>
      <c r="E440" s="1"/>
      <c r="F440" s="1"/>
      <c r="G440" s="1"/>
      <c r="H440" s="1"/>
      <c r="I440" s="61"/>
      <c r="J440" s="1"/>
      <c r="K440" s="1"/>
    </row>
    <row r="441" spans="1:11" ht="15.75" customHeight="1">
      <c r="A441" s="1"/>
      <c r="B441" s="1"/>
      <c r="C441" s="1"/>
      <c r="D441" s="1"/>
      <c r="E441" s="1"/>
      <c r="F441" s="1"/>
      <c r="G441" s="1"/>
      <c r="H441" s="1"/>
      <c r="I441" s="61"/>
      <c r="J441" s="1"/>
      <c r="K441" s="1"/>
    </row>
    <row r="442" spans="1:11" ht="15.75" customHeight="1">
      <c r="A442" s="1"/>
      <c r="B442" s="1"/>
      <c r="C442" s="1"/>
      <c r="D442" s="1"/>
      <c r="E442" s="1"/>
      <c r="F442" s="1"/>
      <c r="G442" s="1"/>
      <c r="H442" s="1"/>
      <c r="I442" s="61"/>
      <c r="J442" s="1"/>
      <c r="K442" s="1"/>
    </row>
    <row r="443" spans="1:11" ht="15.75" customHeight="1">
      <c r="A443" s="1"/>
      <c r="B443" s="1"/>
      <c r="C443" s="1"/>
      <c r="D443" s="1"/>
      <c r="E443" s="1"/>
      <c r="F443" s="1"/>
      <c r="G443" s="1"/>
      <c r="H443" s="1"/>
      <c r="I443" s="61"/>
      <c r="J443" s="1"/>
      <c r="K443" s="1"/>
    </row>
    <row r="444" spans="1:11" ht="15.75" customHeight="1">
      <c r="A444" s="1"/>
      <c r="B444" s="1"/>
      <c r="C444" s="1"/>
      <c r="D444" s="1"/>
      <c r="E444" s="1"/>
      <c r="F444" s="1"/>
      <c r="G444" s="1"/>
      <c r="H444" s="1"/>
      <c r="I444" s="61"/>
      <c r="J444" s="1"/>
      <c r="K444" s="1"/>
    </row>
    <row r="445" spans="1:11" ht="15.75" customHeight="1">
      <c r="A445" s="1"/>
      <c r="B445" s="1"/>
      <c r="C445" s="1"/>
      <c r="D445" s="1"/>
      <c r="E445" s="1"/>
      <c r="F445" s="1"/>
      <c r="G445" s="1"/>
      <c r="H445" s="1"/>
      <c r="I445" s="61"/>
      <c r="J445" s="1"/>
      <c r="K445" s="1"/>
    </row>
    <row r="446" spans="1:11" ht="15.75" customHeight="1">
      <c r="A446" s="1"/>
      <c r="B446" s="1"/>
      <c r="C446" s="1"/>
      <c r="D446" s="1"/>
      <c r="E446" s="1"/>
      <c r="F446" s="1"/>
      <c r="G446" s="1"/>
      <c r="H446" s="1"/>
      <c r="I446" s="61"/>
      <c r="J446" s="1"/>
      <c r="K446" s="1"/>
    </row>
    <row r="447" spans="1:11" ht="15.75" customHeight="1">
      <c r="A447" s="1"/>
      <c r="B447" s="1"/>
      <c r="C447" s="1"/>
      <c r="D447" s="1"/>
      <c r="E447" s="1"/>
      <c r="F447" s="1"/>
      <c r="G447" s="1"/>
      <c r="H447" s="1"/>
      <c r="I447" s="61"/>
      <c r="J447" s="1"/>
      <c r="K447" s="1"/>
    </row>
    <row r="448" spans="1:11" ht="15.75" customHeight="1">
      <c r="A448" s="1"/>
      <c r="B448" s="1"/>
      <c r="C448" s="1"/>
      <c r="D448" s="1"/>
      <c r="E448" s="1"/>
      <c r="F448" s="1"/>
      <c r="G448" s="1"/>
      <c r="H448" s="1"/>
      <c r="I448" s="61"/>
      <c r="J448" s="1"/>
      <c r="K448" s="1"/>
    </row>
    <row r="449" spans="1:11" ht="15.75" customHeight="1">
      <c r="A449" s="1"/>
      <c r="B449" s="1"/>
      <c r="C449" s="1"/>
      <c r="D449" s="1"/>
      <c r="E449" s="1"/>
      <c r="F449" s="1"/>
      <c r="G449" s="1"/>
      <c r="H449" s="1"/>
      <c r="I449" s="61"/>
      <c r="J449" s="1"/>
      <c r="K449" s="1"/>
    </row>
    <row r="450" spans="1:11" ht="15.75" customHeight="1">
      <c r="A450" s="1"/>
      <c r="B450" s="1"/>
      <c r="C450" s="1"/>
      <c r="D450" s="1"/>
      <c r="E450" s="1"/>
      <c r="F450" s="1"/>
      <c r="G450" s="1"/>
      <c r="H450" s="1"/>
      <c r="I450" s="61"/>
      <c r="J450" s="1"/>
      <c r="K450" s="1"/>
    </row>
    <row r="451" spans="1:11" ht="15.75" customHeight="1">
      <c r="A451" s="1"/>
      <c r="B451" s="1"/>
      <c r="C451" s="1"/>
      <c r="D451" s="1"/>
      <c r="E451" s="1"/>
      <c r="F451" s="1"/>
      <c r="G451" s="1"/>
      <c r="H451" s="1"/>
      <c r="I451" s="61"/>
      <c r="J451" s="1"/>
      <c r="K451" s="1"/>
    </row>
    <row r="452" spans="1:11" ht="15.75" customHeight="1">
      <c r="A452" s="1"/>
      <c r="B452" s="1"/>
      <c r="C452" s="1"/>
      <c r="D452" s="1"/>
      <c r="E452" s="1"/>
      <c r="F452" s="1"/>
      <c r="G452" s="1"/>
      <c r="H452" s="1"/>
      <c r="I452" s="61"/>
      <c r="J452" s="1"/>
      <c r="K452" s="1"/>
    </row>
    <row r="453" spans="1:11" ht="15.75" customHeight="1">
      <c r="A453" s="1"/>
      <c r="B453" s="1"/>
      <c r="C453" s="1"/>
      <c r="D453" s="1"/>
      <c r="E453" s="1"/>
      <c r="F453" s="1"/>
      <c r="G453" s="1"/>
      <c r="H453" s="1"/>
      <c r="I453" s="61"/>
      <c r="J453" s="1"/>
      <c r="K453" s="1"/>
    </row>
    <row r="454" spans="1:11" ht="15.75" customHeight="1">
      <c r="A454" s="1"/>
      <c r="B454" s="1"/>
      <c r="C454" s="1"/>
      <c r="D454" s="1"/>
      <c r="E454" s="1"/>
      <c r="F454" s="1"/>
      <c r="G454" s="1"/>
      <c r="H454" s="1"/>
      <c r="I454" s="61"/>
      <c r="J454" s="1"/>
      <c r="K454" s="1"/>
    </row>
    <row r="455" spans="1:11" ht="15.75" customHeight="1">
      <c r="A455" s="1"/>
      <c r="B455" s="1"/>
      <c r="C455" s="1"/>
      <c r="D455" s="1"/>
      <c r="E455" s="1"/>
      <c r="F455" s="1"/>
      <c r="G455" s="1"/>
      <c r="H455" s="1"/>
      <c r="I455" s="61"/>
      <c r="J455" s="1"/>
      <c r="K455" s="1"/>
    </row>
    <row r="456" spans="1:11" ht="15.75" customHeight="1">
      <c r="A456" s="1"/>
      <c r="B456" s="1"/>
      <c r="C456" s="1"/>
      <c r="D456" s="1"/>
      <c r="E456" s="1"/>
      <c r="F456" s="1"/>
      <c r="G456" s="1"/>
      <c r="H456" s="1"/>
      <c r="I456" s="61"/>
      <c r="J456" s="1"/>
      <c r="K456" s="1"/>
    </row>
    <row r="457" spans="1:11" ht="15.75" customHeight="1">
      <c r="A457" s="1"/>
      <c r="B457" s="1"/>
      <c r="C457" s="1"/>
      <c r="D457" s="1"/>
      <c r="E457" s="1"/>
      <c r="F457" s="1"/>
      <c r="G457" s="1"/>
      <c r="H457" s="1"/>
      <c r="I457" s="61"/>
      <c r="J457" s="1"/>
      <c r="K457" s="1"/>
    </row>
    <row r="458" spans="1:11" ht="15.75" customHeight="1">
      <c r="A458" s="1"/>
      <c r="B458" s="1"/>
      <c r="C458" s="1"/>
      <c r="D458" s="1"/>
      <c r="E458" s="1"/>
      <c r="F458" s="1"/>
      <c r="G458" s="1"/>
      <c r="H458" s="1"/>
      <c r="I458" s="61"/>
      <c r="J458" s="1"/>
      <c r="K458" s="1"/>
    </row>
    <row r="459" spans="1:11" ht="15.75" customHeight="1">
      <c r="A459" s="1"/>
      <c r="B459" s="1"/>
      <c r="C459" s="1"/>
      <c r="D459" s="1"/>
      <c r="E459" s="1"/>
      <c r="F459" s="1"/>
      <c r="G459" s="1"/>
      <c r="H459" s="1"/>
      <c r="I459" s="61"/>
      <c r="J459" s="1"/>
      <c r="K459" s="1"/>
    </row>
    <row r="460" spans="1:11" ht="15.75" customHeight="1">
      <c r="A460" s="1"/>
      <c r="B460" s="1"/>
      <c r="C460" s="1"/>
      <c r="D460" s="1"/>
      <c r="E460" s="1"/>
      <c r="F460" s="1"/>
      <c r="G460" s="1"/>
      <c r="H460" s="1"/>
      <c r="I460" s="61"/>
      <c r="J460" s="1"/>
      <c r="K460" s="1"/>
    </row>
    <row r="461" spans="1:11" ht="15.75" customHeight="1">
      <c r="A461" s="1"/>
      <c r="B461" s="1"/>
      <c r="C461" s="1"/>
      <c r="D461" s="1"/>
      <c r="E461" s="1"/>
      <c r="F461" s="1"/>
      <c r="G461" s="1"/>
      <c r="H461" s="1"/>
      <c r="I461" s="61"/>
      <c r="J461" s="1"/>
      <c r="K461" s="1"/>
    </row>
    <row r="462" spans="1:11" ht="15.75" customHeight="1">
      <c r="A462" s="1"/>
      <c r="B462" s="1"/>
      <c r="C462" s="1"/>
      <c r="D462" s="1"/>
      <c r="E462" s="1"/>
      <c r="F462" s="1"/>
      <c r="G462" s="1"/>
      <c r="H462" s="1"/>
      <c r="I462" s="61"/>
      <c r="J462" s="1"/>
      <c r="K462" s="1"/>
    </row>
    <row r="463" spans="1:11" ht="15.75" customHeight="1">
      <c r="A463" s="1"/>
      <c r="B463" s="1"/>
      <c r="C463" s="1"/>
      <c r="D463" s="1"/>
      <c r="E463" s="1"/>
      <c r="F463" s="1"/>
      <c r="G463" s="1"/>
      <c r="H463" s="1"/>
      <c r="I463" s="61"/>
      <c r="J463" s="1"/>
      <c r="K463" s="1"/>
    </row>
    <row r="464" spans="1:11" ht="15.75" customHeight="1">
      <c r="A464" s="1"/>
      <c r="B464" s="1"/>
      <c r="C464" s="1"/>
      <c r="D464" s="1"/>
      <c r="E464" s="1"/>
      <c r="F464" s="1"/>
      <c r="G464" s="1"/>
      <c r="H464" s="1"/>
      <c r="I464" s="61"/>
      <c r="J464" s="1"/>
      <c r="K464" s="1"/>
    </row>
    <row r="465" spans="1:11" ht="15.75" customHeight="1">
      <c r="A465" s="1"/>
      <c r="B465" s="1"/>
      <c r="C465" s="1"/>
      <c r="D465" s="1"/>
      <c r="E465" s="1"/>
      <c r="F465" s="1"/>
      <c r="G465" s="1"/>
      <c r="H465" s="1"/>
      <c r="I465" s="61"/>
      <c r="J465" s="1"/>
      <c r="K465" s="1"/>
    </row>
    <row r="466" spans="1:11" ht="15.75" customHeight="1">
      <c r="A466" s="1"/>
      <c r="B466" s="1"/>
      <c r="C466" s="1"/>
      <c r="D466" s="1"/>
      <c r="E466" s="1"/>
      <c r="F466" s="1"/>
      <c r="G466" s="1"/>
      <c r="H466" s="1"/>
      <c r="I466" s="61"/>
      <c r="J466" s="1"/>
      <c r="K466" s="1"/>
    </row>
    <row r="467" spans="1:11" ht="15.75" customHeight="1">
      <c r="A467" s="1"/>
      <c r="B467" s="1"/>
      <c r="C467" s="1"/>
      <c r="D467" s="1"/>
      <c r="E467" s="1"/>
      <c r="F467" s="1"/>
      <c r="G467" s="1"/>
      <c r="H467" s="1"/>
      <c r="I467" s="61"/>
      <c r="J467" s="1"/>
      <c r="K467" s="1"/>
    </row>
    <row r="468" spans="1:11" ht="15.75" customHeight="1">
      <c r="A468" s="1"/>
      <c r="B468" s="1"/>
      <c r="C468" s="1"/>
      <c r="D468" s="1"/>
      <c r="E468" s="1"/>
      <c r="F468" s="1"/>
      <c r="G468" s="1"/>
      <c r="H468" s="1"/>
      <c r="I468" s="61"/>
      <c r="J468" s="1"/>
      <c r="K468" s="1"/>
    </row>
    <row r="469" spans="1:11" ht="15.75" customHeight="1">
      <c r="A469" s="1"/>
      <c r="B469" s="1"/>
      <c r="C469" s="1"/>
      <c r="D469" s="1"/>
      <c r="E469" s="1"/>
      <c r="F469" s="1"/>
      <c r="G469" s="1"/>
      <c r="H469" s="1"/>
      <c r="I469" s="61"/>
      <c r="J469" s="1"/>
      <c r="K469" s="1"/>
    </row>
    <row r="470" spans="1:11" ht="15.75" customHeight="1">
      <c r="A470" s="1"/>
      <c r="B470" s="1"/>
      <c r="C470" s="1"/>
      <c r="D470" s="1"/>
      <c r="E470" s="1"/>
      <c r="F470" s="1"/>
      <c r="G470" s="1"/>
      <c r="H470" s="1"/>
      <c r="I470" s="61"/>
      <c r="J470" s="1"/>
      <c r="K470" s="1"/>
    </row>
    <row r="471" spans="1:11" ht="15.75" customHeight="1">
      <c r="A471" s="1"/>
      <c r="B471" s="1"/>
      <c r="C471" s="1"/>
      <c r="D471" s="1"/>
      <c r="E471" s="1"/>
      <c r="F471" s="1"/>
      <c r="G471" s="1"/>
      <c r="H471" s="1"/>
      <c r="I471" s="61"/>
      <c r="J471" s="1"/>
      <c r="K471" s="1"/>
    </row>
    <row r="472" spans="1:11" ht="15.75" customHeight="1">
      <c r="A472" s="1"/>
      <c r="B472" s="1"/>
      <c r="C472" s="1"/>
      <c r="D472" s="1"/>
      <c r="E472" s="1"/>
      <c r="F472" s="1"/>
      <c r="G472" s="1"/>
      <c r="H472" s="1"/>
      <c r="I472" s="61"/>
      <c r="J472" s="1"/>
      <c r="K472" s="1"/>
    </row>
    <row r="473" spans="1:11" ht="15.75" customHeight="1">
      <c r="A473" s="1"/>
      <c r="B473" s="1"/>
      <c r="C473" s="1"/>
      <c r="D473" s="1"/>
      <c r="E473" s="1"/>
      <c r="F473" s="1"/>
      <c r="G473" s="1"/>
      <c r="H473" s="1"/>
      <c r="I473" s="61"/>
      <c r="J473" s="1"/>
      <c r="K473" s="1"/>
    </row>
    <row r="474" spans="1:11" ht="15.75" customHeight="1">
      <c r="A474" s="1"/>
      <c r="B474" s="1"/>
      <c r="C474" s="1"/>
      <c r="D474" s="1"/>
      <c r="E474" s="1"/>
      <c r="F474" s="1"/>
      <c r="G474" s="1"/>
      <c r="H474" s="1"/>
      <c r="I474" s="61"/>
      <c r="J474" s="1"/>
      <c r="K474" s="1"/>
    </row>
    <row r="475" spans="1:11" ht="15.75" customHeight="1">
      <c r="A475" s="1"/>
      <c r="B475" s="1"/>
      <c r="C475" s="1"/>
      <c r="D475" s="1"/>
      <c r="E475" s="1"/>
      <c r="F475" s="1"/>
      <c r="G475" s="1"/>
      <c r="H475" s="1"/>
      <c r="I475" s="61"/>
      <c r="J475" s="1"/>
      <c r="K475" s="1"/>
    </row>
    <row r="476" spans="1:11" ht="15.75" customHeight="1">
      <c r="A476" s="1"/>
      <c r="B476" s="1"/>
      <c r="C476" s="1"/>
      <c r="D476" s="1"/>
      <c r="E476" s="1"/>
      <c r="F476" s="1"/>
      <c r="G476" s="1"/>
      <c r="H476" s="1"/>
      <c r="I476" s="61"/>
      <c r="J476" s="1"/>
      <c r="K476" s="1"/>
    </row>
    <row r="477" spans="1:11" ht="15.75" customHeight="1">
      <c r="A477" s="1"/>
      <c r="B477" s="1"/>
      <c r="C477" s="1"/>
      <c r="D477" s="1"/>
      <c r="E477" s="1"/>
      <c r="F477" s="1"/>
      <c r="G477" s="1"/>
      <c r="H477" s="1"/>
      <c r="I477" s="61"/>
      <c r="J477" s="1"/>
      <c r="K477" s="1"/>
    </row>
    <row r="478" spans="1:11" ht="15.75" customHeight="1">
      <c r="A478" s="1"/>
      <c r="B478" s="1"/>
      <c r="C478" s="1"/>
      <c r="D478" s="1"/>
      <c r="E478" s="1"/>
      <c r="F478" s="1"/>
      <c r="G478" s="1"/>
      <c r="H478" s="1"/>
      <c r="I478" s="61"/>
      <c r="J478" s="1"/>
      <c r="K478" s="1"/>
    </row>
    <row r="479" spans="1:11" ht="15.75" customHeight="1">
      <c r="A479" s="1"/>
      <c r="B479" s="1"/>
      <c r="C479" s="1"/>
      <c r="D479" s="1"/>
      <c r="E479" s="1"/>
      <c r="F479" s="1"/>
      <c r="G479" s="1"/>
      <c r="H479" s="1"/>
      <c r="I479" s="61"/>
      <c r="J479" s="1"/>
      <c r="K479" s="1"/>
    </row>
    <row r="480" spans="1:11" ht="15.75" customHeight="1">
      <c r="A480" s="1"/>
      <c r="B480" s="1"/>
      <c r="C480" s="1"/>
      <c r="D480" s="1"/>
      <c r="E480" s="1"/>
      <c r="F480" s="1"/>
      <c r="G480" s="1"/>
      <c r="H480" s="1"/>
      <c r="I480" s="61"/>
      <c r="J480" s="1"/>
      <c r="K480" s="1"/>
    </row>
    <row r="481" spans="1:11" ht="15.75" customHeight="1">
      <c r="A481" s="1"/>
      <c r="B481" s="1"/>
      <c r="C481" s="1"/>
      <c r="D481" s="1"/>
      <c r="E481" s="1"/>
      <c r="F481" s="1"/>
      <c r="G481" s="1"/>
      <c r="H481" s="1"/>
      <c r="I481" s="61"/>
      <c r="J481" s="1"/>
      <c r="K481" s="1"/>
    </row>
    <row r="482" spans="1:11" ht="15.75" customHeight="1">
      <c r="A482" s="1"/>
      <c r="B482" s="1"/>
      <c r="C482" s="1"/>
      <c r="D482" s="1"/>
      <c r="E482" s="1"/>
      <c r="F482" s="1"/>
      <c r="G482" s="1"/>
      <c r="H482" s="1"/>
      <c r="I482" s="61"/>
      <c r="J482" s="1"/>
      <c r="K482" s="1"/>
    </row>
    <row r="483" spans="1:11" ht="15.75" customHeight="1">
      <c r="A483" s="1"/>
      <c r="B483" s="1"/>
      <c r="C483" s="1"/>
      <c r="D483" s="1"/>
      <c r="E483" s="1"/>
      <c r="F483" s="1"/>
      <c r="G483" s="1"/>
      <c r="H483" s="1"/>
      <c r="I483" s="61"/>
      <c r="J483" s="1"/>
      <c r="K483" s="1"/>
    </row>
    <row r="484" spans="1:11" ht="15.75" customHeight="1">
      <c r="A484" s="1"/>
      <c r="B484" s="1"/>
      <c r="C484" s="1"/>
      <c r="D484" s="1"/>
      <c r="E484" s="1"/>
      <c r="F484" s="1"/>
      <c r="G484" s="1"/>
      <c r="H484" s="1"/>
      <c r="I484" s="61"/>
      <c r="J484" s="1"/>
      <c r="K484" s="1"/>
    </row>
    <row r="485" spans="1:11" ht="15.75" customHeight="1">
      <c r="A485" s="1"/>
      <c r="B485" s="1"/>
      <c r="C485" s="1"/>
      <c r="D485" s="1"/>
      <c r="E485" s="1"/>
      <c r="F485" s="1"/>
      <c r="G485" s="1"/>
      <c r="H485" s="1"/>
      <c r="I485" s="61"/>
      <c r="J485" s="1"/>
      <c r="K485" s="1"/>
    </row>
    <row r="486" spans="1:11" ht="15.75" customHeight="1">
      <c r="A486" s="1"/>
      <c r="B486" s="1"/>
      <c r="C486" s="1"/>
      <c r="D486" s="1"/>
      <c r="E486" s="1"/>
      <c r="F486" s="1"/>
      <c r="G486" s="1"/>
      <c r="H486" s="1"/>
      <c r="I486" s="61"/>
      <c r="J486" s="1"/>
      <c r="K486" s="1"/>
    </row>
    <row r="487" spans="1:11" ht="15.75" customHeight="1">
      <c r="A487" s="1"/>
      <c r="B487" s="1"/>
      <c r="C487" s="1"/>
      <c r="D487" s="1"/>
      <c r="E487" s="1"/>
      <c r="F487" s="1"/>
      <c r="G487" s="1"/>
      <c r="H487" s="1"/>
      <c r="I487" s="61"/>
      <c r="J487" s="1"/>
      <c r="K487" s="1"/>
    </row>
    <row r="488" spans="1:11" ht="15.75" customHeight="1">
      <c r="A488" s="1"/>
      <c r="B488" s="1"/>
      <c r="C488" s="1"/>
      <c r="D488" s="1"/>
      <c r="E488" s="1"/>
      <c r="F488" s="1"/>
      <c r="G488" s="1"/>
      <c r="H488" s="1"/>
      <c r="I488" s="61"/>
      <c r="J488" s="1"/>
      <c r="K488" s="1"/>
    </row>
    <row r="489" spans="1:11" ht="15.75" customHeight="1">
      <c r="A489" s="1"/>
      <c r="B489" s="1"/>
      <c r="C489" s="1"/>
      <c r="D489" s="1"/>
      <c r="E489" s="1"/>
      <c r="F489" s="1"/>
      <c r="G489" s="1"/>
      <c r="H489" s="1"/>
      <c r="I489" s="61"/>
      <c r="J489" s="1"/>
      <c r="K489" s="1"/>
    </row>
    <row r="490" spans="1:11" ht="15.75" customHeight="1">
      <c r="A490" s="1"/>
      <c r="B490" s="1"/>
      <c r="C490" s="1"/>
      <c r="D490" s="1"/>
      <c r="E490" s="1"/>
      <c r="F490" s="1"/>
      <c r="G490" s="1"/>
      <c r="H490" s="1"/>
      <c r="I490" s="61"/>
      <c r="J490" s="1"/>
      <c r="K490" s="1"/>
    </row>
    <row r="491" spans="1:11" ht="15.75" customHeight="1">
      <c r="A491" s="1"/>
      <c r="B491" s="1"/>
      <c r="C491" s="1"/>
      <c r="D491" s="1"/>
      <c r="E491" s="1"/>
      <c r="F491" s="1"/>
      <c r="G491" s="1"/>
      <c r="H491" s="1"/>
      <c r="I491" s="61"/>
      <c r="J491" s="1"/>
      <c r="K491" s="1"/>
    </row>
    <row r="492" spans="1:11" ht="15.75" customHeight="1">
      <c r="A492" s="1"/>
      <c r="B492" s="1"/>
      <c r="C492" s="1"/>
      <c r="D492" s="1"/>
      <c r="E492" s="1"/>
      <c r="F492" s="1"/>
      <c r="G492" s="1"/>
      <c r="H492" s="1"/>
      <c r="I492" s="61"/>
      <c r="J492" s="1"/>
      <c r="K492" s="1"/>
    </row>
    <row r="493" spans="1:11" ht="15.75" customHeight="1">
      <c r="A493" s="1"/>
      <c r="B493" s="1"/>
      <c r="C493" s="1"/>
      <c r="D493" s="1"/>
      <c r="E493" s="1"/>
      <c r="F493" s="1"/>
      <c r="G493" s="1"/>
      <c r="H493" s="1"/>
      <c r="I493" s="61"/>
      <c r="J493" s="1"/>
      <c r="K493" s="1"/>
    </row>
    <row r="494" spans="1:11" ht="15.75" customHeight="1">
      <c r="A494" s="1"/>
      <c r="B494" s="1"/>
      <c r="C494" s="1"/>
      <c r="D494" s="1"/>
      <c r="E494" s="1"/>
      <c r="F494" s="1"/>
      <c r="G494" s="1"/>
      <c r="H494" s="1"/>
      <c r="I494" s="61"/>
      <c r="J494" s="1"/>
      <c r="K494" s="1"/>
    </row>
    <row r="495" spans="1:11" ht="15.75" customHeight="1">
      <c r="A495" s="1"/>
      <c r="B495" s="1"/>
      <c r="C495" s="1"/>
      <c r="D495" s="1"/>
      <c r="E495" s="1"/>
      <c r="F495" s="1"/>
      <c r="G495" s="1"/>
      <c r="H495" s="1"/>
      <c r="I495" s="61"/>
      <c r="J495" s="1"/>
      <c r="K495" s="1"/>
    </row>
    <row r="496" spans="1:11" ht="15.75" customHeight="1">
      <c r="A496" s="1"/>
      <c r="B496" s="1"/>
      <c r="C496" s="1"/>
      <c r="D496" s="1"/>
      <c r="E496" s="1"/>
      <c r="F496" s="1"/>
      <c r="G496" s="1"/>
      <c r="H496" s="1"/>
      <c r="I496" s="61"/>
      <c r="J496" s="1"/>
      <c r="K496" s="1"/>
    </row>
    <row r="497" spans="1:11" ht="15.75" customHeight="1">
      <c r="A497" s="1"/>
      <c r="B497" s="1"/>
      <c r="C497" s="1"/>
      <c r="D497" s="1"/>
      <c r="E497" s="1"/>
      <c r="F497" s="1"/>
      <c r="G497" s="1"/>
      <c r="H497" s="1"/>
      <c r="I497" s="61"/>
      <c r="J497" s="1"/>
      <c r="K497" s="1"/>
    </row>
    <row r="498" spans="1:11" ht="15.75" customHeight="1">
      <c r="A498" s="1"/>
      <c r="B498" s="1"/>
      <c r="C498" s="1"/>
      <c r="D498" s="1"/>
      <c r="E498" s="1"/>
      <c r="F498" s="1"/>
      <c r="G498" s="1"/>
      <c r="H498" s="1"/>
      <c r="I498" s="61"/>
      <c r="J498" s="1"/>
      <c r="K498" s="1"/>
    </row>
    <row r="499" spans="1:11" ht="15.75" customHeight="1">
      <c r="A499" s="1"/>
      <c r="B499" s="1"/>
      <c r="C499" s="1"/>
      <c r="D499" s="1"/>
      <c r="E499" s="1"/>
      <c r="F499" s="1"/>
      <c r="G499" s="1"/>
      <c r="H499" s="1"/>
      <c r="I499" s="61"/>
      <c r="J499" s="1"/>
      <c r="K499" s="1"/>
    </row>
    <row r="500" spans="1:11" ht="15.75" customHeight="1">
      <c r="A500" s="1"/>
      <c r="B500" s="1"/>
      <c r="C500" s="1"/>
      <c r="D500" s="1"/>
      <c r="E500" s="1"/>
      <c r="F500" s="1"/>
      <c r="G500" s="1"/>
      <c r="H500" s="1"/>
      <c r="I500" s="61"/>
      <c r="J500" s="1"/>
      <c r="K500" s="1"/>
    </row>
    <row r="501" spans="1:11" ht="15.75" customHeight="1">
      <c r="A501" s="1"/>
      <c r="B501" s="1"/>
      <c r="C501" s="1"/>
      <c r="D501" s="1"/>
      <c r="E501" s="1"/>
      <c r="F501" s="1"/>
      <c r="G501" s="1"/>
      <c r="H501" s="1"/>
      <c r="I501" s="61"/>
      <c r="J501" s="1"/>
      <c r="K501" s="1"/>
    </row>
    <row r="502" spans="1:11" ht="15.75" customHeight="1">
      <c r="A502" s="1"/>
      <c r="B502" s="1"/>
      <c r="C502" s="1"/>
      <c r="D502" s="1"/>
      <c r="E502" s="1"/>
      <c r="F502" s="1"/>
      <c r="G502" s="1"/>
      <c r="H502" s="1"/>
      <c r="I502" s="61"/>
      <c r="J502" s="1"/>
      <c r="K502" s="1"/>
    </row>
    <row r="503" spans="1:11" ht="15.75" customHeight="1">
      <c r="A503" s="1"/>
      <c r="B503" s="1"/>
      <c r="C503" s="1"/>
      <c r="D503" s="1"/>
      <c r="E503" s="1"/>
      <c r="F503" s="1"/>
      <c r="G503" s="1"/>
      <c r="H503" s="1"/>
      <c r="I503" s="61"/>
      <c r="J503" s="1"/>
      <c r="K503" s="1"/>
    </row>
    <row r="504" spans="1:11" ht="15.75" customHeight="1">
      <c r="A504" s="1"/>
      <c r="B504" s="1"/>
      <c r="C504" s="1"/>
      <c r="D504" s="1"/>
      <c r="E504" s="1"/>
      <c r="F504" s="1"/>
      <c r="G504" s="1"/>
      <c r="H504" s="1"/>
      <c r="I504" s="61"/>
      <c r="J504" s="1"/>
      <c r="K504" s="1"/>
    </row>
    <row r="505" spans="1:11" ht="15.75" customHeight="1">
      <c r="A505" s="1"/>
      <c r="B505" s="1"/>
      <c r="C505" s="1"/>
      <c r="D505" s="1"/>
      <c r="E505" s="1"/>
      <c r="F505" s="1"/>
      <c r="G505" s="1"/>
      <c r="H505" s="1"/>
      <c r="I505" s="61"/>
      <c r="J505" s="1"/>
      <c r="K505" s="1"/>
    </row>
    <row r="506" spans="1:11" ht="15.75" customHeight="1">
      <c r="A506" s="1"/>
      <c r="B506" s="1"/>
      <c r="C506" s="1"/>
      <c r="D506" s="1"/>
      <c r="E506" s="1"/>
      <c r="F506" s="1"/>
      <c r="G506" s="1"/>
      <c r="H506" s="1"/>
      <c r="I506" s="61"/>
      <c r="J506" s="1"/>
      <c r="K506" s="1"/>
    </row>
    <row r="507" spans="1:11" ht="15.75" customHeight="1">
      <c r="A507" s="1"/>
      <c r="B507" s="1"/>
      <c r="C507" s="1"/>
      <c r="D507" s="1"/>
      <c r="E507" s="1"/>
      <c r="F507" s="1"/>
      <c r="G507" s="1"/>
      <c r="H507" s="1"/>
      <c r="I507" s="61"/>
      <c r="J507" s="1"/>
      <c r="K507" s="1"/>
    </row>
    <row r="508" spans="1:11" ht="15.75" customHeight="1">
      <c r="A508" s="1"/>
      <c r="B508" s="1"/>
      <c r="C508" s="1"/>
      <c r="D508" s="1"/>
      <c r="E508" s="1"/>
      <c r="F508" s="1"/>
      <c r="G508" s="1"/>
      <c r="H508" s="1"/>
      <c r="I508" s="61"/>
      <c r="J508" s="1"/>
      <c r="K508" s="1"/>
    </row>
    <row r="509" spans="1:11" ht="15.75" customHeight="1">
      <c r="A509" s="1"/>
      <c r="B509" s="1"/>
      <c r="C509" s="1"/>
      <c r="D509" s="1"/>
      <c r="E509" s="1"/>
      <c r="F509" s="1"/>
      <c r="G509" s="1"/>
      <c r="H509" s="1"/>
      <c r="I509" s="61"/>
      <c r="J509" s="1"/>
      <c r="K509" s="1"/>
    </row>
    <row r="510" spans="1:11" ht="15.75" customHeight="1">
      <c r="A510" s="1"/>
      <c r="B510" s="1"/>
      <c r="C510" s="1"/>
      <c r="D510" s="1"/>
      <c r="E510" s="1"/>
      <c r="F510" s="1"/>
      <c r="G510" s="1"/>
      <c r="H510" s="1"/>
      <c r="I510" s="61"/>
      <c r="J510" s="1"/>
      <c r="K510" s="1"/>
    </row>
    <row r="511" spans="1:11" ht="15.75" customHeight="1">
      <c r="A511" s="1"/>
      <c r="B511" s="1"/>
      <c r="C511" s="1"/>
      <c r="D511" s="1"/>
      <c r="E511" s="1"/>
      <c r="F511" s="1"/>
      <c r="G511" s="1"/>
      <c r="H511" s="1"/>
      <c r="I511" s="61"/>
      <c r="J511" s="1"/>
      <c r="K511" s="1"/>
    </row>
    <row r="512" spans="1:11" ht="15.75" customHeight="1">
      <c r="A512" s="1"/>
      <c r="B512" s="1"/>
      <c r="C512" s="1"/>
      <c r="D512" s="1"/>
      <c r="E512" s="1"/>
      <c r="F512" s="1"/>
      <c r="G512" s="1"/>
      <c r="H512" s="1"/>
      <c r="I512" s="61"/>
      <c r="J512" s="1"/>
      <c r="K512" s="1"/>
    </row>
    <row r="513" spans="1:11" ht="15.75" customHeight="1">
      <c r="A513" s="1"/>
      <c r="B513" s="1"/>
      <c r="C513" s="1"/>
      <c r="D513" s="1"/>
      <c r="E513" s="1"/>
      <c r="F513" s="1"/>
      <c r="G513" s="1"/>
      <c r="H513" s="1"/>
      <c r="I513" s="61"/>
      <c r="J513" s="1"/>
      <c r="K513" s="1"/>
    </row>
    <row r="514" spans="1:11" ht="15.75" customHeight="1">
      <c r="A514" s="1"/>
      <c r="B514" s="1"/>
      <c r="C514" s="1"/>
      <c r="D514" s="1"/>
      <c r="E514" s="1"/>
      <c r="F514" s="1"/>
      <c r="G514" s="1"/>
      <c r="H514" s="1"/>
      <c r="I514" s="61"/>
      <c r="J514" s="1"/>
      <c r="K514" s="1"/>
    </row>
    <row r="515" spans="1:11" ht="15.75" customHeight="1">
      <c r="A515" s="1"/>
      <c r="B515" s="1"/>
      <c r="C515" s="1"/>
      <c r="D515" s="1"/>
      <c r="E515" s="1"/>
      <c r="F515" s="1"/>
      <c r="G515" s="1"/>
      <c r="H515" s="1"/>
      <c r="I515" s="61"/>
      <c r="J515" s="1"/>
      <c r="K515" s="1"/>
    </row>
    <row r="516" spans="1:11" ht="15.75" customHeight="1">
      <c r="A516" s="1"/>
      <c r="B516" s="1"/>
      <c r="C516" s="1"/>
      <c r="D516" s="1"/>
      <c r="E516" s="1"/>
      <c r="F516" s="1"/>
      <c r="G516" s="1"/>
      <c r="H516" s="1"/>
      <c r="I516" s="61"/>
      <c r="J516" s="1"/>
      <c r="K516" s="1"/>
    </row>
    <row r="517" spans="1:11" ht="15.75" customHeight="1">
      <c r="A517" s="1"/>
      <c r="B517" s="1"/>
      <c r="C517" s="1"/>
      <c r="D517" s="1"/>
      <c r="E517" s="1"/>
      <c r="F517" s="1"/>
      <c r="G517" s="1"/>
      <c r="H517" s="1"/>
      <c r="I517" s="61"/>
      <c r="J517" s="1"/>
      <c r="K517" s="1"/>
    </row>
    <row r="518" spans="1:11" ht="15.75" customHeight="1">
      <c r="A518" s="1"/>
      <c r="B518" s="1"/>
      <c r="C518" s="1"/>
      <c r="D518" s="1"/>
      <c r="E518" s="1"/>
      <c r="F518" s="1"/>
      <c r="G518" s="1"/>
      <c r="H518" s="1"/>
      <c r="I518" s="61"/>
      <c r="J518" s="1"/>
      <c r="K518" s="1"/>
    </row>
    <row r="519" spans="1:11" ht="15.75" customHeight="1">
      <c r="A519" s="1"/>
      <c r="B519" s="1"/>
      <c r="C519" s="1"/>
      <c r="D519" s="1"/>
      <c r="E519" s="1"/>
      <c r="F519" s="1"/>
      <c r="G519" s="1"/>
      <c r="H519" s="1"/>
      <c r="I519" s="61"/>
      <c r="J519" s="1"/>
      <c r="K519" s="1"/>
    </row>
    <row r="520" spans="1:11" ht="15.75" customHeight="1">
      <c r="A520" s="1"/>
      <c r="B520" s="1"/>
      <c r="C520" s="1"/>
      <c r="D520" s="1"/>
      <c r="E520" s="1"/>
      <c r="F520" s="1"/>
      <c r="G520" s="1"/>
      <c r="H520" s="1"/>
      <c r="I520" s="61"/>
      <c r="J520" s="1"/>
      <c r="K520" s="1"/>
    </row>
    <row r="521" spans="1:11" ht="15.75" customHeight="1">
      <c r="A521" s="1"/>
      <c r="B521" s="1"/>
      <c r="C521" s="1"/>
      <c r="D521" s="1"/>
      <c r="E521" s="1"/>
      <c r="F521" s="1"/>
      <c r="G521" s="1"/>
      <c r="H521" s="1"/>
      <c r="I521" s="61"/>
      <c r="J521" s="1"/>
      <c r="K521" s="1"/>
    </row>
    <row r="522" spans="1:11" ht="15.75" customHeight="1">
      <c r="A522" s="1"/>
      <c r="B522" s="1"/>
      <c r="C522" s="1"/>
      <c r="D522" s="1"/>
      <c r="E522" s="1"/>
      <c r="F522" s="1"/>
      <c r="G522" s="1"/>
      <c r="H522" s="1"/>
      <c r="I522" s="61"/>
      <c r="J522" s="1"/>
      <c r="K522" s="1"/>
    </row>
    <row r="523" spans="1:11" ht="15.75" customHeight="1">
      <c r="A523" s="1"/>
      <c r="B523" s="1"/>
      <c r="C523" s="1"/>
      <c r="D523" s="1"/>
      <c r="E523" s="1"/>
      <c r="F523" s="1"/>
      <c r="G523" s="1"/>
      <c r="H523" s="1"/>
      <c r="I523" s="61"/>
      <c r="J523" s="1"/>
      <c r="K523" s="1"/>
    </row>
    <row r="524" spans="1:11" ht="15.75" customHeight="1">
      <c r="A524" s="1"/>
      <c r="B524" s="1"/>
      <c r="C524" s="1"/>
      <c r="D524" s="1"/>
      <c r="E524" s="1"/>
      <c r="F524" s="1"/>
      <c r="G524" s="1"/>
      <c r="H524" s="1"/>
      <c r="I524" s="61"/>
      <c r="J524" s="1"/>
      <c r="K524" s="1"/>
    </row>
    <row r="525" spans="1:11" ht="15.75" customHeight="1">
      <c r="A525" s="1"/>
      <c r="B525" s="1"/>
      <c r="C525" s="1"/>
      <c r="D525" s="1"/>
      <c r="E525" s="1"/>
      <c r="F525" s="1"/>
      <c r="G525" s="1"/>
      <c r="H525" s="1"/>
      <c r="I525" s="61"/>
      <c r="J525" s="1"/>
      <c r="K525" s="1"/>
    </row>
    <row r="526" spans="1:11" ht="15.75" customHeight="1">
      <c r="A526" s="1"/>
      <c r="B526" s="1"/>
      <c r="C526" s="1"/>
      <c r="D526" s="1"/>
      <c r="E526" s="1"/>
      <c r="F526" s="1"/>
      <c r="G526" s="1"/>
      <c r="H526" s="1"/>
      <c r="I526" s="61"/>
      <c r="J526" s="1"/>
      <c r="K526" s="1"/>
    </row>
    <row r="527" spans="1:11" ht="15.75" customHeight="1">
      <c r="A527" s="1"/>
      <c r="B527" s="1"/>
      <c r="C527" s="1"/>
      <c r="D527" s="1"/>
      <c r="E527" s="1"/>
      <c r="F527" s="1"/>
      <c r="G527" s="1"/>
      <c r="H527" s="1"/>
      <c r="I527" s="61"/>
      <c r="J527" s="1"/>
      <c r="K527" s="1"/>
    </row>
    <row r="528" spans="1:11" ht="15.75" customHeight="1">
      <c r="A528" s="1"/>
      <c r="B528" s="1"/>
      <c r="C528" s="1"/>
      <c r="D528" s="1"/>
      <c r="E528" s="1"/>
      <c r="F528" s="1"/>
      <c r="G528" s="1"/>
      <c r="H528" s="1"/>
      <c r="I528" s="61"/>
      <c r="J528" s="1"/>
      <c r="K528" s="1"/>
    </row>
    <row r="529" spans="1:11" ht="15.75" customHeight="1">
      <c r="A529" s="1"/>
      <c r="B529" s="1"/>
      <c r="C529" s="1"/>
      <c r="D529" s="1"/>
      <c r="E529" s="1"/>
      <c r="F529" s="1"/>
      <c r="G529" s="1"/>
      <c r="H529" s="1"/>
      <c r="I529" s="61"/>
      <c r="J529" s="1"/>
      <c r="K529" s="1"/>
    </row>
    <row r="530" spans="1:11" ht="15.75" customHeight="1">
      <c r="A530" s="1"/>
      <c r="B530" s="1"/>
      <c r="C530" s="1"/>
      <c r="D530" s="1"/>
      <c r="E530" s="1"/>
      <c r="F530" s="1"/>
      <c r="G530" s="1"/>
      <c r="H530" s="1"/>
      <c r="I530" s="61"/>
      <c r="J530" s="1"/>
      <c r="K530" s="1"/>
    </row>
    <row r="531" spans="1:11" ht="15.75" customHeight="1">
      <c r="A531" s="1"/>
      <c r="B531" s="1"/>
      <c r="C531" s="1"/>
      <c r="D531" s="1"/>
      <c r="E531" s="1"/>
      <c r="F531" s="1"/>
      <c r="G531" s="1"/>
      <c r="H531" s="1"/>
      <c r="I531" s="61"/>
      <c r="J531" s="1"/>
      <c r="K531" s="1"/>
    </row>
    <row r="532" spans="1:11" ht="15.75" customHeight="1">
      <c r="A532" s="1"/>
      <c r="B532" s="1"/>
      <c r="C532" s="1"/>
      <c r="D532" s="1"/>
      <c r="E532" s="1"/>
      <c r="F532" s="1"/>
      <c r="G532" s="1"/>
      <c r="H532" s="1"/>
      <c r="I532" s="61"/>
      <c r="J532" s="1"/>
      <c r="K532" s="1"/>
    </row>
    <row r="533" spans="1:11" ht="15.75" customHeight="1">
      <c r="A533" s="1"/>
      <c r="B533" s="1"/>
      <c r="C533" s="1"/>
      <c r="D533" s="1"/>
      <c r="E533" s="1"/>
      <c r="F533" s="1"/>
      <c r="G533" s="1"/>
      <c r="H533" s="1"/>
      <c r="I533" s="61"/>
      <c r="J533" s="1"/>
      <c r="K533" s="1"/>
    </row>
    <row r="534" spans="1:11" ht="15.75" customHeight="1">
      <c r="A534" s="1"/>
      <c r="B534" s="1"/>
      <c r="C534" s="1"/>
      <c r="D534" s="1"/>
      <c r="E534" s="1"/>
      <c r="F534" s="1"/>
      <c r="G534" s="1"/>
      <c r="H534" s="1"/>
      <c r="I534" s="61"/>
      <c r="J534" s="1"/>
      <c r="K534" s="1"/>
    </row>
    <row r="535" spans="1:11" ht="15.75" customHeight="1">
      <c r="A535" s="1"/>
      <c r="B535" s="1"/>
      <c r="C535" s="1"/>
      <c r="D535" s="1"/>
      <c r="E535" s="1"/>
      <c r="F535" s="1"/>
      <c r="G535" s="1"/>
      <c r="H535" s="1"/>
      <c r="I535" s="61"/>
      <c r="J535" s="1"/>
      <c r="K535" s="1"/>
    </row>
    <row r="536" spans="1:11" ht="15.75" customHeight="1">
      <c r="A536" s="1"/>
      <c r="B536" s="1"/>
      <c r="C536" s="1"/>
      <c r="D536" s="1"/>
      <c r="E536" s="1"/>
      <c r="F536" s="1"/>
      <c r="G536" s="1"/>
      <c r="H536" s="1"/>
      <c r="I536" s="61"/>
      <c r="J536" s="1"/>
      <c r="K536" s="1"/>
    </row>
    <row r="537" spans="1:11" ht="15.75" customHeight="1">
      <c r="A537" s="1"/>
      <c r="B537" s="1"/>
      <c r="C537" s="1"/>
      <c r="D537" s="1"/>
      <c r="E537" s="1"/>
      <c r="F537" s="1"/>
      <c r="G537" s="1"/>
      <c r="H537" s="1"/>
      <c r="I537" s="61"/>
      <c r="J537" s="1"/>
      <c r="K537" s="1"/>
    </row>
    <row r="538" spans="1:11" ht="15.75" customHeight="1">
      <c r="A538" s="1"/>
      <c r="B538" s="1"/>
      <c r="C538" s="1"/>
      <c r="D538" s="1"/>
      <c r="E538" s="1"/>
      <c r="F538" s="1"/>
      <c r="G538" s="1"/>
      <c r="H538" s="1"/>
      <c r="I538" s="61"/>
      <c r="J538" s="1"/>
      <c r="K538" s="1"/>
    </row>
    <row r="539" spans="1:11" ht="15.75" customHeight="1">
      <c r="A539" s="1"/>
      <c r="B539" s="1"/>
      <c r="C539" s="1"/>
      <c r="D539" s="1"/>
      <c r="E539" s="1"/>
      <c r="F539" s="1"/>
      <c r="G539" s="1"/>
      <c r="H539" s="1"/>
      <c r="I539" s="61"/>
      <c r="J539" s="1"/>
      <c r="K539" s="1"/>
    </row>
    <row r="540" spans="1:11" ht="15.75" customHeight="1">
      <c r="A540" s="1"/>
      <c r="B540" s="1"/>
      <c r="C540" s="1"/>
      <c r="D540" s="1"/>
      <c r="E540" s="1"/>
      <c r="F540" s="1"/>
      <c r="G540" s="1"/>
      <c r="H540" s="1"/>
      <c r="I540" s="61"/>
      <c r="J540" s="1"/>
      <c r="K540" s="1"/>
    </row>
    <row r="541" spans="1:11" ht="15.75" customHeight="1">
      <c r="A541" s="1"/>
      <c r="B541" s="1"/>
      <c r="C541" s="1"/>
      <c r="D541" s="1"/>
      <c r="E541" s="1"/>
      <c r="F541" s="1"/>
      <c r="G541" s="1"/>
      <c r="H541" s="1"/>
      <c r="I541" s="61"/>
      <c r="J541" s="1"/>
      <c r="K541" s="1"/>
    </row>
    <row r="542" spans="1:11" ht="15.75" customHeight="1">
      <c r="A542" s="1"/>
      <c r="B542" s="1"/>
      <c r="C542" s="1"/>
      <c r="D542" s="1"/>
      <c r="E542" s="1"/>
      <c r="F542" s="1"/>
      <c r="G542" s="1"/>
      <c r="H542" s="1"/>
      <c r="I542" s="61"/>
      <c r="J542" s="1"/>
      <c r="K542" s="1"/>
    </row>
    <row r="543" spans="1:11" ht="15.75" customHeight="1">
      <c r="A543" s="1"/>
      <c r="B543" s="1"/>
      <c r="C543" s="1"/>
      <c r="D543" s="1"/>
      <c r="E543" s="1"/>
      <c r="F543" s="1"/>
      <c r="G543" s="1"/>
      <c r="H543" s="1"/>
      <c r="I543" s="61"/>
      <c r="J543" s="1"/>
      <c r="K543" s="1"/>
    </row>
    <row r="544" spans="1:11" ht="15.75" customHeight="1">
      <c r="A544" s="1"/>
      <c r="B544" s="1"/>
      <c r="C544" s="1"/>
      <c r="D544" s="1"/>
      <c r="E544" s="1"/>
      <c r="F544" s="1"/>
      <c r="G544" s="1"/>
      <c r="H544" s="1"/>
      <c r="I544" s="61"/>
      <c r="J544" s="1"/>
      <c r="K544" s="1"/>
    </row>
    <row r="545" spans="1:11" ht="15.75" customHeight="1">
      <c r="A545" s="1"/>
      <c r="B545" s="1"/>
      <c r="C545" s="1"/>
      <c r="D545" s="1"/>
      <c r="E545" s="1"/>
      <c r="F545" s="1"/>
      <c r="G545" s="1"/>
      <c r="H545" s="1"/>
      <c r="I545" s="61"/>
      <c r="J545" s="1"/>
      <c r="K545" s="1"/>
    </row>
    <row r="546" spans="1:11" ht="15.75" customHeight="1">
      <c r="A546" s="1"/>
      <c r="B546" s="1"/>
      <c r="C546" s="1"/>
      <c r="D546" s="1"/>
      <c r="E546" s="1"/>
      <c r="F546" s="1"/>
      <c r="G546" s="1"/>
      <c r="H546" s="1"/>
      <c r="I546" s="61"/>
      <c r="J546" s="1"/>
      <c r="K546" s="1"/>
    </row>
    <row r="547" spans="1:11" ht="15.75" customHeight="1">
      <c r="A547" s="1"/>
      <c r="B547" s="1"/>
      <c r="C547" s="1"/>
      <c r="D547" s="1"/>
      <c r="E547" s="1"/>
      <c r="F547" s="1"/>
      <c r="G547" s="1"/>
      <c r="H547" s="1"/>
      <c r="I547" s="61"/>
      <c r="J547" s="1"/>
      <c r="K547" s="1"/>
    </row>
    <row r="548" spans="1:11" ht="15.75" customHeight="1">
      <c r="A548" s="1"/>
      <c r="B548" s="1"/>
      <c r="C548" s="1"/>
      <c r="D548" s="1"/>
      <c r="E548" s="1"/>
      <c r="F548" s="1"/>
      <c r="G548" s="1"/>
      <c r="H548" s="1"/>
      <c r="I548" s="61"/>
      <c r="J548" s="1"/>
      <c r="K548" s="1"/>
    </row>
    <row r="549" spans="1:11" ht="15.75" customHeight="1">
      <c r="A549" s="1"/>
      <c r="B549" s="1"/>
      <c r="C549" s="1"/>
      <c r="D549" s="1"/>
      <c r="E549" s="1"/>
      <c r="F549" s="1"/>
      <c r="G549" s="1"/>
      <c r="H549" s="1"/>
      <c r="I549" s="61"/>
      <c r="J549" s="1"/>
      <c r="K549" s="1"/>
    </row>
    <row r="550" spans="1:11" ht="15.75" customHeight="1">
      <c r="A550" s="1"/>
      <c r="B550" s="1"/>
      <c r="C550" s="1"/>
      <c r="D550" s="1"/>
      <c r="E550" s="1"/>
      <c r="F550" s="1"/>
      <c r="G550" s="1"/>
      <c r="H550" s="1"/>
      <c r="I550" s="61"/>
      <c r="J550" s="1"/>
      <c r="K550" s="1"/>
    </row>
    <row r="551" spans="1:11" ht="15.75" customHeight="1">
      <c r="A551" s="1"/>
      <c r="B551" s="1"/>
      <c r="C551" s="1"/>
      <c r="D551" s="1"/>
      <c r="E551" s="1"/>
      <c r="F551" s="1"/>
      <c r="G551" s="1"/>
      <c r="H551" s="1"/>
      <c r="I551" s="61"/>
      <c r="J551" s="1"/>
      <c r="K551" s="1"/>
    </row>
    <row r="552" spans="1:11" ht="15.75" customHeight="1">
      <c r="A552" s="1"/>
      <c r="B552" s="1"/>
      <c r="C552" s="1"/>
      <c r="D552" s="1"/>
      <c r="E552" s="1"/>
      <c r="F552" s="1"/>
      <c r="G552" s="1"/>
      <c r="H552" s="1"/>
      <c r="I552" s="61"/>
      <c r="J552" s="1"/>
      <c r="K552" s="1"/>
    </row>
    <row r="553" spans="1:11" ht="15.75" customHeight="1">
      <c r="A553" s="1"/>
      <c r="B553" s="1"/>
      <c r="C553" s="1"/>
      <c r="D553" s="1"/>
      <c r="E553" s="1"/>
      <c r="F553" s="1"/>
      <c r="G553" s="1"/>
      <c r="H553" s="1"/>
      <c r="I553" s="61"/>
      <c r="J553" s="1"/>
      <c r="K553" s="1"/>
    </row>
    <row r="554" spans="1:11" ht="15.75" customHeight="1">
      <c r="A554" s="1"/>
      <c r="B554" s="1"/>
      <c r="C554" s="1"/>
      <c r="D554" s="1"/>
      <c r="E554" s="1"/>
      <c r="F554" s="1"/>
      <c r="G554" s="1"/>
      <c r="H554" s="1"/>
      <c r="I554" s="61"/>
      <c r="J554" s="1"/>
      <c r="K554" s="1"/>
    </row>
    <row r="555" spans="1:11" ht="15.75" customHeight="1">
      <c r="A555" s="1"/>
      <c r="B555" s="1"/>
      <c r="C555" s="1"/>
      <c r="D555" s="1"/>
      <c r="E555" s="1"/>
      <c r="F555" s="1"/>
      <c r="G555" s="1"/>
      <c r="H555" s="1"/>
      <c r="I555" s="61"/>
      <c r="J555" s="1"/>
      <c r="K555" s="1"/>
    </row>
    <row r="556" spans="1:11" ht="15.75" customHeight="1">
      <c r="A556" s="1"/>
      <c r="B556" s="1"/>
      <c r="C556" s="1"/>
      <c r="D556" s="1"/>
      <c r="E556" s="1"/>
      <c r="F556" s="1"/>
      <c r="G556" s="1"/>
      <c r="H556" s="1"/>
      <c r="I556" s="61"/>
      <c r="J556" s="1"/>
      <c r="K556" s="1"/>
    </row>
    <row r="557" spans="1:11" ht="15.75" customHeight="1">
      <c r="A557" s="1"/>
      <c r="B557" s="1"/>
      <c r="C557" s="1"/>
      <c r="D557" s="1"/>
      <c r="E557" s="1"/>
      <c r="F557" s="1"/>
      <c r="G557" s="1"/>
      <c r="H557" s="1"/>
      <c r="I557" s="61"/>
      <c r="J557" s="1"/>
      <c r="K557" s="1"/>
    </row>
    <row r="558" spans="1:11" ht="15.75" customHeight="1">
      <c r="A558" s="1"/>
      <c r="B558" s="1"/>
      <c r="C558" s="1"/>
      <c r="D558" s="1"/>
      <c r="E558" s="1"/>
      <c r="F558" s="1"/>
      <c r="G558" s="1"/>
      <c r="H558" s="1"/>
      <c r="I558" s="61"/>
      <c r="J558" s="1"/>
      <c r="K558" s="1"/>
    </row>
    <row r="559" spans="1:11" ht="15.75" customHeight="1">
      <c r="A559" s="1"/>
      <c r="B559" s="1"/>
      <c r="C559" s="1"/>
      <c r="D559" s="1"/>
      <c r="E559" s="1"/>
      <c r="F559" s="1"/>
      <c r="G559" s="1"/>
      <c r="H559" s="1"/>
      <c r="I559" s="61"/>
      <c r="J559" s="1"/>
      <c r="K559" s="1"/>
    </row>
    <row r="560" spans="1:11" ht="15.75" customHeight="1">
      <c r="A560" s="1"/>
      <c r="B560" s="1"/>
      <c r="C560" s="1"/>
      <c r="D560" s="1"/>
      <c r="E560" s="1"/>
      <c r="F560" s="1"/>
      <c r="G560" s="1"/>
      <c r="H560" s="1"/>
      <c r="I560" s="61"/>
      <c r="J560" s="1"/>
      <c r="K560" s="1"/>
    </row>
    <row r="561" spans="1:11" ht="15.75" customHeight="1">
      <c r="A561" s="1"/>
      <c r="B561" s="1"/>
      <c r="C561" s="1"/>
      <c r="D561" s="1"/>
      <c r="E561" s="1"/>
      <c r="F561" s="1"/>
      <c r="G561" s="1"/>
      <c r="H561" s="1"/>
      <c r="I561" s="61"/>
      <c r="J561" s="1"/>
      <c r="K561" s="1"/>
    </row>
    <row r="562" spans="1:11" ht="15.75" customHeight="1">
      <c r="A562" s="1"/>
      <c r="B562" s="1"/>
      <c r="C562" s="1"/>
      <c r="D562" s="1"/>
      <c r="E562" s="1"/>
      <c r="F562" s="1"/>
      <c r="G562" s="1"/>
      <c r="H562" s="1"/>
      <c r="I562" s="61"/>
      <c r="J562" s="1"/>
      <c r="K562" s="1"/>
    </row>
    <row r="563" spans="1:11" ht="15.75" customHeight="1">
      <c r="A563" s="1"/>
      <c r="B563" s="1"/>
      <c r="C563" s="1"/>
      <c r="D563" s="1"/>
      <c r="E563" s="1"/>
      <c r="F563" s="1"/>
      <c r="G563" s="1"/>
      <c r="H563" s="1"/>
      <c r="I563" s="61"/>
      <c r="J563" s="1"/>
      <c r="K563" s="1"/>
    </row>
    <row r="564" spans="1:11" ht="15.75" customHeight="1">
      <c r="A564" s="1"/>
      <c r="B564" s="1"/>
      <c r="C564" s="1"/>
      <c r="D564" s="1"/>
      <c r="E564" s="1"/>
      <c r="F564" s="1"/>
      <c r="G564" s="1"/>
      <c r="H564" s="1"/>
      <c r="I564" s="61"/>
      <c r="J564" s="1"/>
      <c r="K564" s="1"/>
    </row>
    <row r="565" spans="1:11" ht="15.75" customHeight="1">
      <c r="A565" s="1"/>
      <c r="B565" s="1"/>
      <c r="C565" s="1"/>
      <c r="D565" s="1"/>
      <c r="E565" s="1"/>
      <c r="F565" s="1"/>
      <c r="G565" s="1"/>
      <c r="H565" s="1"/>
      <c r="I565" s="61"/>
      <c r="J565" s="1"/>
      <c r="K565" s="1"/>
    </row>
    <row r="566" spans="1:11" ht="15.75" customHeight="1">
      <c r="A566" s="1"/>
      <c r="B566" s="1"/>
      <c r="C566" s="1"/>
      <c r="D566" s="1"/>
      <c r="E566" s="1"/>
      <c r="F566" s="1"/>
      <c r="G566" s="1"/>
      <c r="H566" s="1"/>
      <c r="I566" s="61"/>
      <c r="J566" s="1"/>
      <c r="K566" s="1"/>
    </row>
    <row r="567" spans="1:11" ht="15.75" customHeight="1">
      <c r="A567" s="1"/>
      <c r="B567" s="1"/>
      <c r="C567" s="1"/>
      <c r="D567" s="1"/>
      <c r="E567" s="1"/>
      <c r="F567" s="1"/>
      <c r="G567" s="1"/>
      <c r="H567" s="1"/>
      <c r="I567" s="61"/>
      <c r="J567" s="1"/>
      <c r="K567" s="1"/>
    </row>
    <row r="568" spans="1:11" ht="15.75" customHeight="1">
      <c r="A568" s="1"/>
      <c r="B568" s="1"/>
      <c r="C568" s="1"/>
      <c r="D568" s="1"/>
      <c r="E568" s="1"/>
      <c r="F568" s="1"/>
      <c r="G568" s="1"/>
      <c r="H568" s="1"/>
      <c r="I568" s="61"/>
      <c r="J568" s="1"/>
      <c r="K568" s="1"/>
    </row>
    <row r="569" spans="1:11" ht="15.75" customHeight="1">
      <c r="A569" s="1"/>
      <c r="B569" s="1"/>
      <c r="C569" s="1"/>
      <c r="D569" s="1"/>
      <c r="E569" s="1"/>
      <c r="F569" s="1"/>
      <c r="G569" s="1"/>
      <c r="H569" s="1"/>
      <c r="I569" s="61"/>
      <c r="J569" s="1"/>
      <c r="K569" s="1"/>
    </row>
    <row r="570" spans="1:11" ht="15.75" customHeight="1">
      <c r="A570" s="1"/>
      <c r="B570" s="1"/>
      <c r="C570" s="1"/>
      <c r="D570" s="1"/>
      <c r="E570" s="1"/>
      <c r="F570" s="1"/>
      <c r="G570" s="1"/>
      <c r="H570" s="1"/>
      <c r="I570" s="61"/>
      <c r="J570" s="1"/>
      <c r="K570" s="1"/>
    </row>
    <row r="571" spans="1:11" ht="15.75" customHeight="1">
      <c r="A571" s="1"/>
      <c r="B571" s="1"/>
      <c r="C571" s="1"/>
      <c r="D571" s="1"/>
      <c r="E571" s="1"/>
      <c r="F571" s="1"/>
      <c r="G571" s="1"/>
      <c r="H571" s="1"/>
      <c r="I571" s="61"/>
      <c r="J571" s="1"/>
      <c r="K571" s="1"/>
    </row>
    <row r="572" spans="1:11" ht="15.75" customHeight="1">
      <c r="A572" s="1"/>
      <c r="B572" s="1"/>
      <c r="C572" s="1"/>
      <c r="D572" s="1"/>
      <c r="E572" s="1"/>
      <c r="F572" s="1"/>
      <c r="G572" s="1"/>
      <c r="H572" s="1"/>
      <c r="I572" s="61"/>
      <c r="J572" s="1"/>
      <c r="K572" s="1"/>
    </row>
    <row r="573" spans="1:11" ht="15.75" customHeight="1">
      <c r="A573" s="1"/>
      <c r="B573" s="1"/>
      <c r="C573" s="1"/>
      <c r="D573" s="1"/>
      <c r="E573" s="1"/>
      <c r="F573" s="1"/>
      <c r="G573" s="1"/>
      <c r="H573" s="1"/>
      <c r="I573" s="61"/>
      <c r="J573" s="1"/>
      <c r="K573" s="1"/>
    </row>
    <row r="574" spans="1:11" ht="15.75" customHeight="1">
      <c r="A574" s="1"/>
      <c r="B574" s="1"/>
      <c r="C574" s="1"/>
      <c r="D574" s="1"/>
      <c r="E574" s="1"/>
      <c r="F574" s="1"/>
      <c r="G574" s="1"/>
      <c r="H574" s="1"/>
      <c r="I574" s="61"/>
      <c r="J574" s="1"/>
      <c r="K574" s="1"/>
    </row>
    <row r="575" spans="1:11" ht="15.75" customHeight="1">
      <c r="A575" s="1"/>
      <c r="B575" s="1"/>
      <c r="C575" s="1"/>
      <c r="D575" s="1"/>
      <c r="E575" s="1"/>
      <c r="F575" s="1"/>
      <c r="G575" s="1"/>
      <c r="H575" s="1"/>
      <c r="I575" s="61"/>
      <c r="J575" s="1"/>
      <c r="K575" s="1"/>
    </row>
    <row r="576" spans="1:11" ht="15.75" customHeight="1">
      <c r="A576" s="1"/>
      <c r="B576" s="1"/>
      <c r="C576" s="1"/>
      <c r="D576" s="1"/>
      <c r="E576" s="1"/>
      <c r="F576" s="1"/>
      <c r="G576" s="1"/>
      <c r="H576" s="1"/>
      <c r="I576" s="61"/>
      <c r="J576" s="1"/>
      <c r="K576" s="1"/>
    </row>
    <row r="577" spans="1:11" ht="15.75" customHeight="1">
      <c r="A577" s="1"/>
      <c r="B577" s="1"/>
      <c r="C577" s="1"/>
      <c r="D577" s="1"/>
      <c r="E577" s="1"/>
      <c r="F577" s="1"/>
      <c r="G577" s="1"/>
      <c r="H577" s="1"/>
      <c r="I577" s="61"/>
      <c r="J577" s="1"/>
      <c r="K577" s="1"/>
    </row>
    <row r="578" spans="1:11" ht="15.75" customHeight="1">
      <c r="A578" s="1"/>
      <c r="B578" s="1"/>
      <c r="C578" s="1"/>
      <c r="D578" s="1"/>
      <c r="E578" s="1"/>
      <c r="F578" s="1"/>
      <c r="G578" s="1"/>
      <c r="H578" s="1"/>
      <c r="I578" s="61"/>
      <c r="J578" s="1"/>
      <c r="K578" s="1"/>
    </row>
    <row r="579" spans="1:11" ht="15.75" customHeight="1">
      <c r="A579" s="1"/>
      <c r="B579" s="1"/>
      <c r="C579" s="1"/>
      <c r="D579" s="1"/>
      <c r="E579" s="1"/>
      <c r="F579" s="1"/>
      <c r="G579" s="1"/>
      <c r="H579" s="1"/>
      <c r="I579" s="61"/>
      <c r="J579" s="1"/>
      <c r="K579" s="1"/>
    </row>
    <row r="580" spans="1:11" ht="15.75" customHeight="1">
      <c r="A580" s="1"/>
      <c r="B580" s="1"/>
      <c r="C580" s="1"/>
      <c r="D580" s="1"/>
      <c r="E580" s="1"/>
      <c r="F580" s="1"/>
      <c r="G580" s="1"/>
      <c r="H580" s="1"/>
      <c r="I580" s="61"/>
      <c r="J580" s="1"/>
      <c r="K580" s="1"/>
    </row>
    <row r="581" spans="1:11" ht="15.75" customHeight="1">
      <c r="A581" s="1"/>
      <c r="B581" s="1"/>
      <c r="C581" s="1"/>
      <c r="D581" s="1"/>
      <c r="E581" s="1"/>
      <c r="F581" s="1"/>
      <c r="G581" s="1"/>
      <c r="H581" s="1"/>
      <c r="I581" s="61"/>
      <c r="J581" s="1"/>
      <c r="K581" s="1"/>
    </row>
    <row r="582" spans="1:11" ht="15.75" customHeight="1">
      <c r="A582" s="1"/>
      <c r="B582" s="1"/>
      <c r="C582" s="1"/>
      <c r="D582" s="1"/>
      <c r="E582" s="1"/>
      <c r="F582" s="1"/>
      <c r="G582" s="1"/>
      <c r="H582" s="1"/>
      <c r="I582" s="61"/>
      <c r="J582" s="1"/>
      <c r="K582" s="1"/>
    </row>
    <row r="583" spans="1:11" ht="15.75" customHeight="1">
      <c r="A583" s="1"/>
      <c r="B583" s="1"/>
      <c r="C583" s="1"/>
      <c r="D583" s="1"/>
      <c r="E583" s="1"/>
      <c r="F583" s="1"/>
      <c r="G583" s="1"/>
      <c r="H583" s="1"/>
      <c r="I583" s="61"/>
      <c r="J583" s="1"/>
      <c r="K583" s="1"/>
    </row>
    <row r="584" spans="1:11" ht="15.75" customHeight="1">
      <c r="A584" s="1"/>
      <c r="B584" s="1"/>
      <c r="C584" s="1"/>
      <c r="D584" s="1"/>
      <c r="E584" s="1"/>
      <c r="F584" s="1"/>
      <c r="G584" s="1"/>
      <c r="H584" s="1"/>
      <c r="I584" s="61"/>
      <c r="J584" s="1"/>
      <c r="K584" s="1"/>
    </row>
    <row r="585" spans="1:11" ht="15.75" customHeight="1">
      <c r="A585" s="1"/>
      <c r="B585" s="1"/>
      <c r="C585" s="1"/>
      <c r="D585" s="1"/>
      <c r="E585" s="1"/>
      <c r="F585" s="1"/>
      <c r="G585" s="1"/>
      <c r="H585" s="1"/>
      <c r="I585" s="61"/>
      <c r="J585" s="1"/>
      <c r="K585" s="1"/>
    </row>
    <row r="586" spans="1:11" ht="15.75" customHeight="1">
      <c r="A586" s="1"/>
      <c r="B586" s="1"/>
      <c r="C586" s="1"/>
      <c r="D586" s="1"/>
      <c r="E586" s="1"/>
      <c r="F586" s="1"/>
      <c r="G586" s="1"/>
      <c r="H586" s="1"/>
      <c r="I586" s="61"/>
      <c r="J586" s="1"/>
      <c r="K586" s="1"/>
    </row>
    <row r="587" spans="1:11" ht="15.75" customHeight="1">
      <c r="A587" s="1"/>
      <c r="B587" s="1"/>
      <c r="C587" s="1"/>
      <c r="D587" s="1"/>
      <c r="E587" s="1"/>
      <c r="F587" s="1"/>
      <c r="G587" s="1"/>
      <c r="H587" s="1"/>
      <c r="I587" s="61"/>
      <c r="J587" s="1"/>
      <c r="K587" s="1"/>
    </row>
    <row r="588" spans="1:11" ht="15.75" customHeight="1">
      <c r="A588" s="1"/>
      <c r="B588" s="1"/>
      <c r="C588" s="1"/>
      <c r="D588" s="1"/>
      <c r="E588" s="1"/>
      <c r="F588" s="1"/>
      <c r="G588" s="1"/>
      <c r="H588" s="1"/>
      <c r="I588" s="61"/>
      <c r="J588" s="1"/>
      <c r="K588" s="1"/>
    </row>
    <row r="589" spans="1:11" ht="15.75" customHeight="1">
      <c r="A589" s="1"/>
      <c r="B589" s="1"/>
      <c r="C589" s="1"/>
      <c r="D589" s="1"/>
      <c r="E589" s="1"/>
      <c r="F589" s="1"/>
      <c r="G589" s="1"/>
      <c r="H589" s="1"/>
      <c r="I589" s="61"/>
      <c r="J589" s="1"/>
      <c r="K589" s="1"/>
    </row>
    <row r="590" spans="1:11" ht="15.75" customHeight="1">
      <c r="A590" s="1"/>
      <c r="B590" s="1"/>
      <c r="C590" s="1"/>
      <c r="D590" s="1"/>
      <c r="E590" s="1"/>
      <c r="F590" s="1"/>
      <c r="G590" s="1"/>
      <c r="H590" s="1"/>
      <c r="I590" s="61"/>
      <c r="J590" s="1"/>
      <c r="K590" s="1"/>
    </row>
    <row r="591" spans="1:11" ht="15.75" customHeight="1">
      <c r="A591" s="1"/>
      <c r="B591" s="1"/>
      <c r="C591" s="1"/>
      <c r="D591" s="1"/>
      <c r="E591" s="1"/>
      <c r="F591" s="1"/>
      <c r="G591" s="1"/>
      <c r="H591" s="1"/>
      <c r="I591" s="61"/>
      <c r="J591" s="1"/>
      <c r="K591" s="1"/>
    </row>
    <row r="592" spans="1:11" ht="15.75" customHeight="1">
      <c r="A592" s="1"/>
      <c r="B592" s="1"/>
      <c r="C592" s="1"/>
      <c r="D592" s="1"/>
      <c r="E592" s="1"/>
      <c r="F592" s="1"/>
      <c r="G592" s="1"/>
      <c r="H592" s="1"/>
      <c r="I592" s="61"/>
      <c r="J592" s="1"/>
      <c r="K592" s="1"/>
    </row>
    <row r="593" spans="1:11" ht="15.75" customHeight="1">
      <c r="A593" s="1"/>
      <c r="B593" s="1"/>
      <c r="C593" s="1"/>
      <c r="D593" s="1"/>
      <c r="E593" s="1"/>
      <c r="F593" s="1"/>
      <c r="G593" s="1"/>
      <c r="H593" s="1"/>
      <c r="I593" s="61"/>
      <c r="J593" s="1"/>
      <c r="K593" s="1"/>
    </row>
    <row r="594" spans="1:11" ht="15.75" customHeight="1">
      <c r="A594" s="1"/>
      <c r="B594" s="1"/>
      <c r="C594" s="1"/>
      <c r="D594" s="1"/>
      <c r="E594" s="1"/>
      <c r="F594" s="1"/>
      <c r="G594" s="1"/>
      <c r="H594" s="1"/>
      <c r="I594" s="61"/>
      <c r="J594" s="1"/>
      <c r="K594" s="1"/>
    </row>
    <row r="595" spans="1:11" ht="15.75" customHeight="1">
      <c r="A595" s="1"/>
      <c r="B595" s="1"/>
      <c r="C595" s="1"/>
      <c r="D595" s="1"/>
      <c r="E595" s="1"/>
      <c r="F595" s="1"/>
      <c r="G595" s="1"/>
      <c r="H595" s="1"/>
      <c r="I595" s="61"/>
      <c r="J595" s="1"/>
      <c r="K595" s="1"/>
    </row>
    <row r="596" spans="1:11" ht="15.75" customHeight="1">
      <c r="A596" s="1"/>
      <c r="B596" s="1"/>
      <c r="C596" s="1"/>
      <c r="D596" s="1"/>
      <c r="E596" s="1"/>
      <c r="F596" s="1"/>
      <c r="G596" s="1"/>
      <c r="H596" s="1"/>
      <c r="I596" s="61"/>
      <c r="J596" s="1"/>
      <c r="K596" s="1"/>
    </row>
    <row r="597" spans="1:11" ht="15.75" customHeight="1">
      <c r="A597" s="1"/>
      <c r="B597" s="1"/>
      <c r="C597" s="1"/>
      <c r="D597" s="1"/>
      <c r="E597" s="1"/>
      <c r="F597" s="1"/>
      <c r="G597" s="1"/>
      <c r="H597" s="1"/>
      <c r="I597" s="61"/>
      <c r="J597" s="1"/>
      <c r="K597" s="1"/>
    </row>
    <row r="598" spans="1:11" ht="15.75" customHeight="1">
      <c r="A598" s="1"/>
      <c r="B598" s="1"/>
      <c r="C598" s="1"/>
      <c r="D598" s="1"/>
      <c r="E598" s="1"/>
      <c r="F598" s="1"/>
      <c r="G598" s="1"/>
      <c r="H598" s="1"/>
      <c r="I598" s="61"/>
      <c r="J598" s="1"/>
      <c r="K598" s="1"/>
    </row>
    <row r="599" spans="1:11" ht="15.75" customHeight="1">
      <c r="A599" s="1"/>
      <c r="B599" s="1"/>
      <c r="C599" s="1"/>
      <c r="D599" s="1"/>
      <c r="E599" s="1"/>
      <c r="F599" s="1"/>
      <c r="G599" s="1"/>
      <c r="H599" s="1"/>
      <c r="I599" s="61"/>
      <c r="J599" s="1"/>
      <c r="K599" s="1"/>
    </row>
    <row r="600" spans="1:11" ht="15.75" customHeight="1">
      <c r="A600" s="1"/>
      <c r="B600" s="1"/>
      <c r="C600" s="1"/>
      <c r="D600" s="1"/>
      <c r="E600" s="1"/>
      <c r="F600" s="1"/>
      <c r="G600" s="1"/>
      <c r="H600" s="1"/>
      <c r="I600" s="61"/>
      <c r="J600" s="1"/>
      <c r="K600" s="1"/>
    </row>
    <row r="601" spans="1:11" ht="15.75" customHeight="1">
      <c r="A601" s="1"/>
      <c r="B601" s="1"/>
      <c r="C601" s="1"/>
      <c r="D601" s="1"/>
      <c r="E601" s="1"/>
      <c r="F601" s="1"/>
      <c r="G601" s="1"/>
      <c r="H601" s="1"/>
      <c r="I601" s="61"/>
      <c r="J601" s="1"/>
      <c r="K601" s="1"/>
    </row>
    <row r="602" spans="1:11" ht="15.75" customHeight="1">
      <c r="A602" s="1"/>
      <c r="B602" s="1"/>
      <c r="C602" s="1"/>
      <c r="D602" s="1"/>
      <c r="E602" s="1"/>
      <c r="F602" s="1"/>
      <c r="G602" s="1"/>
      <c r="H602" s="1"/>
      <c r="I602" s="61"/>
      <c r="J602" s="1"/>
      <c r="K602" s="1"/>
    </row>
    <row r="603" spans="1:11" ht="15.75" customHeight="1">
      <c r="A603" s="1"/>
      <c r="B603" s="1"/>
      <c r="C603" s="1"/>
      <c r="D603" s="1"/>
      <c r="E603" s="1"/>
      <c r="F603" s="1"/>
      <c r="G603" s="1"/>
      <c r="H603" s="1"/>
      <c r="I603" s="61"/>
      <c r="J603" s="1"/>
      <c r="K603" s="1"/>
    </row>
    <row r="604" spans="1:11" ht="15.75" customHeight="1">
      <c r="A604" s="1"/>
      <c r="B604" s="1"/>
      <c r="C604" s="1"/>
      <c r="D604" s="1"/>
      <c r="E604" s="1"/>
      <c r="F604" s="1"/>
      <c r="G604" s="1"/>
      <c r="H604" s="1"/>
      <c r="I604" s="61"/>
      <c r="J604" s="1"/>
      <c r="K604" s="1"/>
    </row>
    <row r="605" spans="1:11" ht="15.75" customHeight="1">
      <c r="A605" s="1"/>
      <c r="B605" s="1"/>
      <c r="C605" s="1"/>
      <c r="D605" s="1"/>
      <c r="E605" s="1"/>
      <c r="F605" s="1"/>
      <c r="G605" s="1"/>
      <c r="H605" s="1"/>
      <c r="I605" s="61"/>
      <c r="J605" s="1"/>
      <c r="K605" s="1"/>
    </row>
    <row r="606" spans="1:11" ht="15.75" customHeight="1">
      <c r="A606" s="1"/>
      <c r="B606" s="1"/>
      <c r="C606" s="1"/>
      <c r="D606" s="1"/>
      <c r="E606" s="1"/>
      <c r="F606" s="1"/>
      <c r="G606" s="1"/>
      <c r="H606" s="1"/>
      <c r="I606" s="61"/>
      <c r="J606" s="1"/>
      <c r="K606" s="1"/>
    </row>
    <row r="607" spans="1:11" ht="15.75" customHeight="1">
      <c r="A607" s="1"/>
      <c r="B607" s="1"/>
      <c r="C607" s="1"/>
      <c r="D607" s="1"/>
      <c r="E607" s="1"/>
      <c r="F607" s="1"/>
      <c r="G607" s="1"/>
      <c r="H607" s="1"/>
      <c r="I607" s="61"/>
      <c r="J607" s="1"/>
      <c r="K607" s="1"/>
    </row>
    <row r="608" spans="1:11" ht="15.75" customHeight="1">
      <c r="A608" s="1"/>
      <c r="B608" s="1"/>
      <c r="C608" s="1"/>
      <c r="D608" s="1"/>
      <c r="E608" s="1"/>
      <c r="F608" s="1"/>
      <c r="G608" s="1"/>
      <c r="H608" s="1"/>
      <c r="I608" s="61"/>
      <c r="J608" s="1"/>
      <c r="K608" s="1"/>
    </row>
    <row r="609" spans="1:11" ht="15.75" customHeight="1">
      <c r="A609" s="1"/>
      <c r="B609" s="1"/>
      <c r="C609" s="1"/>
      <c r="D609" s="1"/>
      <c r="E609" s="1"/>
      <c r="F609" s="1"/>
      <c r="G609" s="1"/>
      <c r="H609" s="1"/>
      <c r="I609" s="61"/>
      <c r="J609" s="1"/>
      <c r="K609" s="1"/>
    </row>
    <row r="610" spans="1:11" ht="15.75" customHeight="1">
      <c r="A610" s="1"/>
      <c r="B610" s="1"/>
      <c r="C610" s="1"/>
      <c r="D610" s="1"/>
      <c r="E610" s="1"/>
      <c r="F610" s="1"/>
      <c r="G610" s="1"/>
      <c r="H610" s="1"/>
      <c r="I610" s="61"/>
      <c r="J610" s="1"/>
      <c r="K610" s="1"/>
    </row>
    <row r="611" spans="1:11" ht="15.75" customHeight="1">
      <c r="A611" s="1"/>
      <c r="B611" s="1"/>
      <c r="C611" s="1"/>
      <c r="D611" s="1"/>
      <c r="E611" s="1"/>
      <c r="F611" s="1"/>
      <c r="G611" s="1"/>
      <c r="H611" s="1"/>
      <c r="I611" s="61"/>
      <c r="J611" s="1"/>
      <c r="K611" s="1"/>
    </row>
    <row r="612" spans="1:11" ht="15.75" customHeight="1">
      <c r="A612" s="1"/>
      <c r="B612" s="1"/>
      <c r="C612" s="1"/>
      <c r="D612" s="1"/>
      <c r="E612" s="1"/>
      <c r="F612" s="1"/>
      <c r="G612" s="1"/>
      <c r="H612" s="1"/>
      <c r="I612" s="61"/>
      <c r="J612" s="1"/>
      <c r="K612" s="1"/>
    </row>
    <row r="613" spans="1:11" ht="15.75" customHeight="1">
      <c r="A613" s="1"/>
      <c r="B613" s="1"/>
      <c r="C613" s="1"/>
      <c r="D613" s="1"/>
      <c r="E613" s="1"/>
      <c r="F613" s="1"/>
      <c r="G613" s="1"/>
      <c r="H613" s="1"/>
      <c r="I613" s="61"/>
      <c r="J613" s="1"/>
      <c r="K613" s="1"/>
    </row>
    <row r="614" spans="1:11" ht="15.75" customHeight="1">
      <c r="A614" s="1"/>
      <c r="B614" s="1"/>
      <c r="C614" s="1"/>
      <c r="D614" s="1"/>
      <c r="E614" s="1"/>
      <c r="F614" s="1"/>
      <c r="G614" s="1"/>
      <c r="H614" s="1"/>
      <c r="I614" s="61"/>
      <c r="J614" s="1"/>
      <c r="K614" s="1"/>
    </row>
    <row r="615" spans="1:11" ht="15.75" customHeight="1">
      <c r="A615" s="1"/>
      <c r="B615" s="1"/>
      <c r="C615" s="1"/>
      <c r="D615" s="1"/>
      <c r="E615" s="1"/>
      <c r="F615" s="1"/>
      <c r="G615" s="1"/>
      <c r="H615" s="1"/>
      <c r="I615" s="61"/>
      <c r="J615" s="1"/>
      <c r="K615" s="1"/>
    </row>
    <row r="616" spans="1:11" ht="15.75" customHeight="1">
      <c r="A616" s="1"/>
      <c r="B616" s="1"/>
      <c r="C616" s="1"/>
      <c r="D616" s="1"/>
      <c r="E616" s="1"/>
      <c r="F616" s="1"/>
      <c r="G616" s="1"/>
      <c r="H616" s="1"/>
      <c r="I616" s="61"/>
      <c r="J616" s="1"/>
      <c r="K616" s="1"/>
    </row>
    <row r="617" spans="1:11" ht="15.75" customHeight="1">
      <c r="A617" s="1"/>
      <c r="B617" s="1"/>
      <c r="C617" s="1"/>
      <c r="D617" s="1"/>
      <c r="E617" s="1"/>
      <c r="F617" s="1"/>
      <c r="G617" s="1"/>
      <c r="H617" s="1"/>
      <c r="I617" s="61"/>
      <c r="J617" s="1"/>
      <c r="K617" s="1"/>
    </row>
    <row r="618" spans="1:11" ht="15.75" customHeight="1">
      <c r="A618" s="1"/>
      <c r="B618" s="1"/>
      <c r="C618" s="1"/>
      <c r="D618" s="1"/>
      <c r="E618" s="1"/>
      <c r="F618" s="1"/>
      <c r="G618" s="1"/>
      <c r="H618" s="1"/>
      <c r="I618" s="61"/>
      <c r="J618" s="1"/>
      <c r="K618" s="1"/>
    </row>
    <row r="619" spans="1:11" ht="15.75" customHeight="1">
      <c r="A619" s="1"/>
      <c r="B619" s="1"/>
      <c r="C619" s="1"/>
      <c r="D619" s="1"/>
      <c r="E619" s="1"/>
      <c r="F619" s="1"/>
      <c r="G619" s="1"/>
      <c r="H619" s="1"/>
      <c r="I619" s="61"/>
      <c r="J619" s="1"/>
      <c r="K619" s="1"/>
    </row>
    <row r="620" spans="1:11" ht="15.75" customHeight="1">
      <c r="A620" s="1"/>
      <c r="B620" s="1"/>
      <c r="C620" s="1"/>
      <c r="D620" s="1"/>
      <c r="E620" s="1"/>
      <c r="F620" s="1"/>
      <c r="G620" s="1"/>
      <c r="H620" s="1"/>
      <c r="I620" s="61"/>
      <c r="J620" s="1"/>
      <c r="K620" s="1"/>
    </row>
    <row r="621" spans="1:11" ht="15.75" customHeight="1">
      <c r="A621" s="1"/>
      <c r="B621" s="1"/>
      <c r="C621" s="1"/>
      <c r="D621" s="1"/>
      <c r="E621" s="1"/>
      <c r="F621" s="1"/>
      <c r="G621" s="1"/>
      <c r="H621" s="1"/>
      <c r="I621" s="61"/>
      <c r="J621" s="1"/>
      <c r="K621" s="1"/>
    </row>
    <row r="622" spans="1:11" ht="15.75" customHeight="1">
      <c r="A622" s="1"/>
      <c r="B622" s="1"/>
      <c r="C622" s="1"/>
      <c r="D622" s="1"/>
      <c r="E622" s="1"/>
      <c r="F622" s="1"/>
      <c r="G622" s="1"/>
      <c r="H622" s="1"/>
      <c r="I622" s="61"/>
      <c r="J622" s="1"/>
      <c r="K622" s="1"/>
    </row>
    <row r="623" spans="1:11" ht="15.75" customHeight="1">
      <c r="A623" s="1"/>
      <c r="B623" s="1"/>
      <c r="C623" s="1"/>
      <c r="D623" s="1"/>
      <c r="E623" s="1"/>
      <c r="F623" s="1"/>
      <c r="G623" s="1"/>
      <c r="H623" s="1"/>
      <c r="I623" s="61"/>
      <c r="J623" s="1"/>
      <c r="K623" s="1"/>
    </row>
    <row r="624" spans="1:11" ht="15.75" customHeight="1">
      <c r="A624" s="1"/>
      <c r="B624" s="1"/>
      <c r="C624" s="1"/>
      <c r="D624" s="1"/>
      <c r="E624" s="1"/>
      <c r="F624" s="1"/>
      <c r="G624" s="1"/>
      <c r="H624" s="1"/>
      <c r="I624" s="61"/>
      <c r="J624" s="1"/>
      <c r="K624" s="1"/>
    </row>
    <row r="625" spans="1:11" ht="15.75" customHeight="1">
      <c r="A625" s="1"/>
      <c r="B625" s="1"/>
      <c r="C625" s="1"/>
      <c r="D625" s="1"/>
      <c r="E625" s="1"/>
      <c r="F625" s="1"/>
      <c r="G625" s="1"/>
      <c r="H625" s="1"/>
      <c r="I625" s="61"/>
      <c r="J625" s="1"/>
      <c r="K625" s="1"/>
    </row>
    <row r="626" spans="1:11" ht="15.75" customHeight="1">
      <c r="A626" s="1"/>
      <c r="B626" s="1"/>
      <c r="C626" s="1"/>
      <c r="D626" s="1"/>
      <c r="E626" s="1"/>
      <c r="F626" s="1"/>
      <c r="G626" s="1"/>
      <c r="H626" s="1"/>
      <c r="I626" s="61"/>
      <c r="J626" s="1"/>
      <c r="K626" s="1"/>
    </row>
    <row r="627" spans="1:11" ht="15.75" customHeight="1">
      <c r="A627" s="1"/>
      <c r="B627" s="1"/>
      <c r="C627" s="1"/>
      <c r="D627" s="1"/>
      <c r="E627" s="1"/>
      <c r="F627" s="1"/>
      <c r="G627" s="1"/>
      <c r="H627" s="1"/>
      <c r="I627" s="61"/>
      <c r="J627" s="1"/>
      <c r="K627" s="1"/>
    </row>
    <row r="628" spans="1:11" ht="15.75" customHeight="1">
      <c r="A628" s="1"/>
      <c r="B628" s="1"/>
      <c r="C628" s="1"/>
      <c r="D628" s="1"/>
      <c r="E628" s="1"/>
      <c r="F628" s="1"/>
      <c r="G628" s="1"/>
      <c r="H628" s="1"/>
      <c r="I628" s="61"/>
      <c r="J628" s="1"/>
      <c r="K628" s="1"/>
    </row>
    <row r="629" spans="1:11" ht="15.75" customHeight="1">
      <c r="A629" s="1"/>
      <c r="B629" s="1"/>
      <c r="C629" s="1"/>
      <c r="D629" s="1"/>
      <c r="E629" s="1"/>
      <c r="F629" s="1"/>
      <c r="G629" s="1"/>
      <c r="H629" s="1"/>
      <c r="I629" s="61"/>
      <c r="J629" s="1"/>
      <c r="K629" s="1"/>
    </row>
    <row r="630" spans="1:11" ht="15.75" customHeight="1">
      <c r="A630" s="1"/>
      <c r="B630" s="1"/>
      <c r="C630" s="1"/>
      <c r="D630" s="1"/>
      <c r="E630" s="1"/>
      <c r="F630" s="1"/>
      <c r="G630" s="1"/>
      <c r="H630" s="1"/>
      <c r="I630" s="61"/>
      <c r="J630" s="1"/>
      <c r="K630" s="1"/>
    </row>
    <row r="631" spans="1:11" ht="15.75" customHeight="1">
      <c r="A631" s="1"/>
      <c r="B631" s="1"/>
      <c r="C631" s="1"/>
      <c r="D631" s="1"/>
      <c r="E631" s="1"/>
      <c r="F631" s="1"/>
      <c r="G631" s="1"/>
      <c r="H631" s="1"/>
      <c r="I631" s="61"/>
      <c r="J631" s="1"/>
      <c r="K631" s="1"/>
    </row>
    <row r="632" spans="1:11" ht="15.75" customHeight="1">
      <c r="A632" s="1"/>
      <c r="B632" s="1"/>
      <c r="C632" s="1"/>
      <c r="D632" s="1"/>
      <c r="E632" s="1"/>
      <c r="F632" s="1"/>
      <c r="G632" s="1"/>
      <c r="H632" s="1"/>
      <c r="I632" s="61"/>
      <c r="J632" s="1"/>
      <c r="K632" s="1"/>
    </row>
    <row r="633" spans="1:11" ht="15.75" customHeight="1">
      <c r="A633" s="1"/>
      <c r="B633" s="1"/>
      <c r="C633" s="1"/>
      <c r="D633" s="1"/>
      <c r="E633" s="1"/>
      <c r="F633" s="1"/>
      <c r="G633" s="1"/>
      <c r="H633" s="1"/>
      <c r="I633" s="61"/>
      <c r="J633" s="1"/>
      <c r="K633" s="1"/>
    </row>
    <row r="634" spans="1:11" ht="15.75" customHeight="1">
      <c r="A634" s="1"/>
      <c r="B634" s="1"/>
      <c r="C634" s="1"/>
      <c r="D634" s="1"/>
      <c r="E634" s="1"/>
      <c r="F634" s="1"/>
      <c r="G634" s="1"/>
      <c r="H634" s="1"/>
      <c r="I634" s="61"/>
      <c r="J634" s="1"/>
      <c r="K634" s="1"/>
    </row>
    <row r="635" spans="1:11" ht="15.75" customHeight="1">
      <c r="A635" s="1"/>
      <c r="B635" s="1"/>
      <c r="C635" s="1"/>
      <c r="D635" s="1"/>
      <c r="E635" s="1"/>
      <c r="F635" s="1"/>
      <c r="G635" s="1"/>
      <c r="H635" s="1"/>
      <c r="I635" s="61"/>
      <c r="J635" s="1"/>
      <c r="K635" s="1"/>
    </row>
    <row r="636" spans="1:11" ht="15.75" customHeight="1">
      <c r="A636" s="1"/>
      <c r="B636" s="1"/>
      <c r="C636" s="1"/>
      <c r="D636" s="1"/>
      <c r="E636" s="1"/>
      <c r="F636" s="1"/>
      <c r="G636" s="1"/>
      <c r="H636" s="1"/>
      <c r="I636" s="61"/>
      <c r="J636" s="1"/>
      <c r="K636" s="1"/>
    </row>
    <row r="637" spans="1:11" ht="15.75" customHeight="1">
      <c r="A637" s="1"/>
      <c r="B637" s="1"/>
      <c r="C637" s="1"/>
      <c r="D637" s="1"/>
      <c r="E637" s="1"/>
      <c r="F637" s="1"/>
      <c r="G637" s="1"/>
      <c r="H637" s="1"/>
      <c r="I637" s="61"/>
      <c r="J637" s="1"/>
      <c r="K637" s="1"/>
    </row>
    <row r="638" spans="1:11" ht="15.75" customHeight="1">
      <c r="A638" s="1"/>
      <c r="B638" s="1"/>
      <c r="C638" s="1"/>
      <c r="D638" s="1"/>
      <c r="E638" s="1"/>
      <c r="F638" s="1"/>
      <c r="G638" s="1"/>
      <c r="H638" s="1"/>
      <c r="I638" s="61"/>
      <c r="J638" s="1"/>
      <c r="K638" s="1"/>
    </row>
    <row r="639" spans="1:11" ht="15.75" customHeight="1">
      <c r="A639" s="1"/>
      <c r="B639" s="1"/>
      <c r="C639" s="1"/>
      <c r="D639" s="1"/>
      <c r="E639" s="1"/>
      <c r="F639" s="1"/>
      <c r="G639" s="1"/>
      <c r="H639" s="1"/>
      <c r="I639" s="61"/>
      <c r="J639" s="1"/>
      <c r="K639" s="1"/>
    </row>
    <row r="640" spans="1:11" ht="15.75" customHeight="1">
      <c r="A640" s="1"/>
      <c r="B640" s="1"/>
      <c r="C640" s="1"/>
      <c r="D640" s="1"/>
      <c r="E640" s="1"/>
      <c r="F640" s="1"/>
      <c r="G640" s="1"/>
      <c r="H640" s="1"/>
      <c r="I640" s="61"/>
      <c r="J640" s="1"/>
      <c r="K640" s="1"/>
    </row>
    <row r="641" spans="1:11" ht="15.75" customHeight="1">
      <c r="A641" s="1"/>
      <c r="B641" s="1"/>
      <c r="C641" s="1"/>
      <c r="D641" s="1"/>
      <c r="E641" s="1"/>
      <c r="F641" s="1"/>
      <c r="G641" s="1"/>
      <c r="H641" s="1"/>
      <c r="I641" s="61"/>
      <c r="J641" s="1"/>
      <c r="K641" s="1"/>
    </row>
    <row r="642" spans="1:11" ht="15.75" customHeight="1">
      <c r="A642" s="1"/>
      <c r="B642" s="1"/>
      <c r="C642" s="1"/>
      <c r="D642" s="1"/>
      <c r="E642" s="1"/>
      <c r="F642" s="1"/>
      <c r="G642" s="1"/>
      <c r="H642" s="1"/>
      <c r="I642" s="61"/>
      <c r="J642" s="1"/>
      <c r="K642" s="1"/>
    </row>
    <row r="643" spans="1:11" ht="15.75" customHeight="1">
      <c r="A643" s="1"/>
      <c r="B643" s="1"/>
      <c r="C643" s="1"/>
      <c r="D643" s="1"/>
      <c r="E643" s="1"/>
      <c r="F643" s="1"/>
      <c r="G643" s="1"/>
      <c r="H643" s="1"/>
      <c r="I643" s="61"/>
      <c r="J643" s="1"/>
      <c r="K643" s="1"/>
    </row>
    <row r="644" spans="1:11" ht="15.75" customHeight="1">
      <c r="A644" s="1"/>
      <c r="B644" s="1"/>
      <c r="C644" s="1"/>
      <c r="D644" s="1"/>
      <c r="E644" s="1"/>
      <c r="F644" s="1"/>
      <c r="G644" s="1"/>
      <c r="H644" s="1"/>
      <c r="I644" s="61"/>
      <c r="J644" s="1"/>
      <c r="K644" s="1"/>
    </row>
    <row r="645" spans="1:11" ht="15.75" customHeight="1">
      <c r="A645" s="1"/>
      <c r="B645" s="1"/>
      <c r="C645" s="1"/>
      <c r="D645" s="1"/>
      <c r="E645" s="1"/>
      <c r="F645" s="1"/>
      <c r="G645" s="1"/>
      <c r="H645" s="1"/>
      <c r="I645" s="61"/>
      <c r="J645" s="1"/>
      <c r="K645" s="1"/>
    </row>
    <row r="646" spans="1:11" ht="15.75" customHeight="1">
      <c r="A646" s="1"/>
      <c r="B646" s="1"/>
      <c r="C646" s="1"/>
      <c r="D646" s="1"/>
      <c r="E646" s="1"/>
      <c r="F646" s="1"/>
      <c r="G646" s="1"/>
      <c r="H646" s="1"/>
      <c r="I646" s="61"/>
      <c r="J646" s="1"/>
      <c r="K646" s="1"/>
    </row>
    <row r="647" spans="1:11" ht="15.75" customHeight="1">
      <c r="A647" s="1"/>
      <c r="B647" s="1"/>
      <c r="C647" s="1"/>
      <c r="D647" s="1"/>
      <c r="E647" s="1"/>
      <c r="F647" s="1"/>
      <c r="G647" s="1"/>
      <c r="H647" s="1"/>
      <c r="I647" s="61"/>
      <c r="J647" s="1"/>
      <c r="K647" s="1"/>
    </row>
    <row r="648" spans="1:11" ht="15.75" customHeight="1">
      <c r="A648" s="1"/>
      <c r="B648" s="1"/>
      <c r="C648" s="1"/>
      <c r="D648" s="1"/>
      <c r="E648" s="1"/>
      <c r="F648" s="1"/>
      <c r="G648" s="1"/>
      <c r="H648" s="1"/>
      <c r="I648" s="61"/>
      <c r="J648" s="1"/>
      <c r="K648" s="1"/>
    </row>
    <row r="649" spans="1:11" ht="15.75" customHeight="1">
      <c r="A649" s="1"/>
      <c r="B649" s="1"/>
      <c r="C649" s="1"/>
      <c r="D649" s="1"/>
      <c r="E649" s="1"/>
      <c r="F649" s="1"/>
      <c r="G649" s="1"/>
      <c r="H649" s="1"/>
      <c r="I649" s="61"/>
      <c r="J649" s="1"/>
      <c r="K649" s="1"/>
    </row>
    <row r="650" spans="1:11" ht="15.75" customHeight="1">
      <c r="A650" s="1"/>
      <c r="B650" s="1"/>
      <c r="C650" s="1"/>
      <c r="D650" s="1"/>
      <c r="E650" s="1"/>
      <c r="F650" s="1"/>
      <c r="G650" s="1"/>
      <c r="H650" s="1"/>
      <c r="I650" s="61"/>
      <c r="J650" s="1"/>
      <c r="K650" s="1"/>
    </row>
    <row r="651" spans="1:11" ht="15.75" customHeight="1">
      <c r="A651" s="1"/>
      <c r="B651" s="1"/>
      <c r="C651" s="1"/>
      <c r="D651" s="1"/>
      <c r="E651" s="1"/>
      <c r="F651" s="1"/>
      <c r="G651" s="1"/>
      <c r="H651" s="1"/>
      <c r="I651" s="61"/>
      <c r="J651" s="1"/>
      <c r="K651" s="1"/>
    </row>
    <row r="652" spans="1:11" ht="15.75" customHeight="1">
      <c r="A652" s="1"/>
      <c r="B652" s="1"/>
      <c r="C652" s="1"/>
      <c r="D652" s="1"/>
      <c r="E652" s="1"/>
      <c r="F652" s="1"/>
      <c r="G652" s="1"/>
      <c r="H652" s="1"/>
      <c r="I652" s="61"/>
      <c r="J652" s="1"/>
      <c r="K652" s="1"/>
    </row>
    <row r="653" spans="1:11" ht="15.75" customHeight="1">
      <c r="A653" s="1"/>
      <c r="B653" s="1"/>
      <c r="C653" s="1"/>
      <c r="D653" s="1"/>
      <c r="E653" s="1"/>
      <c r="F653" s="1"/>
      <c r="G653" s="1"/>
      <c r="H653" s="1"/>
      <c r="I653" s="61"/>
      <c r="J653" s="1"/>
      <c r="K653" s="1"/>
    </row>
    <row r="654" spans="1:11" ht="15.75" customHeight="1">
      <c r="A654" s="1"/>
      <c r="B654" s="1"/>
      <c r="C654" s="1"/>
      <c r="D654" s="1"/>
      <c r="E654" s="1"/>
      <c r="F654" s="1"/>
      <c r="G654" s="1"/>
      <c r="H654" s="1"/>
      <c r="I654" s="61"/>
      <c r="J654" s="1"/>
      <c r="K654" s="1"/>
    </row>
    <row r="655" spans="1:11" ht="15.75" customHeight="1">
      <c r="A655" s="1"/>
      <c r="B655" s="1"/>
      <c r="C655" s="1"/>
      <c r="D655" s="1"/>
      <c r="E655" s="1"/>
      <c r="F655" s="1"/>
      <c r="G655" s="1"/>
      <c r="H655" s="1"/>
      <c r="I655" s="61"/>
      <c r="J655" s="1"/>
      <c r="K655" s="1"/>
    </row>
    <row r="656" spans="1:11" ht="15.75" customHeight="1">
      <c r="A656" s="1"/>
      <c r="B656" s="1"/>
      <c r="C656" s="1"/>
      <c r="D656" s="1"/>
      <c r="E656" s="1"/>
      <c r="F656" s="1"/>
      <c r="G656" s="1"/>
      <c r="H656" s="1"/>
      <c r="I656" s="61"/>
      <c r="J656" s="1"/>
      <c r="K656" s="1"/>
    </row>
    <row r="657" spans="1:11" ht="15.75" customHeight="1">
      <c r="A657" s="1"/>
      <c r="B657" s="1"/>
      <c r="C657" s="1"/>
      <c r="D657" s="1"/>
      <c r="E657" s="1"/>
      <c r="F657" s="1"/>
      <c r="G657" s="1"/>
      <c r="H657" s="1"/>
      <c r="I657" s="61"/>
      <c r="J657" s="1"/>
      <c r="K657" s="1"/>
    </row>
    <row r="658" spans="1:11" ht="15.75" customHeight="1">
      <c r="A658" s="1"/>
      <c r="B658" s="1"/>
      <c r="C658" s="1"/>
      <c r="D658" s="1"/>
      <c r="E658" s="1"/>
      <c r="F658" s="1"/>
      <c r="G658" s="1"/>
      <c r="H658" s="1"/>
      <c r="I658" s="61"/>
      <c r="J658" s="1"/>
      <c r="K658" s="1"/>
    </row>
    <row r="659" spans="1:11" ht="15.75" customHeight="1">
      <c r="A659" s="1"/>
      <c r="B659" s="1"/>
      <c r="C659" s="1"/>
      <c r="D659" s="1"/>
      <c r="E659" s="1"/>
      <c r="F659" s="1"/>
      <c r="G659" s="1"/>
      <c r="H659" s="1"/>
      <c r="I659" s="61"/>
      <c r="J659" s="1"/>
      <c r="K659" s="1"/>
    </row>
    <row r="660" spans="1:11" ht="15.75" customHeight="1">
      <c r="A660" s="1"/>
      <c r="B660" s="1"/>
      <c r="C660" s="1"/>
      <c r="D660" s="1"/>
      <c r="E660" s="1"/>
      <c r="F660" s="1"/>
      <c r="G660" s="1"/>
      <c r="H660" s="1"/>
      <c r="I660" s="61"/>
      <c r="J660" s="1"/>
      <c r="K660" s="1"/>
    </row>
    <row r="661" spans="1:11" ht="15.75" customHeight="1">
      <c r="A661" s="1"/>
      <c r="B661" s="1"/>
      <c r="C661" s="1"/>
      <c r="D661" s="1"/>
      <c r="E661" s="1"/>
      <c r="F661" s="1"/>
      <c r="G661" s="1"/>
      <c r="H661" s="1"/>
      <c r="I661" s="61"/>
      <c r="J661" s="1"/>
      <c r="K661" s="1"/>
    </row>
    <row r="662" spans="1:11" ht="15.75" customHeight="1">
      <c r="A662" s="1"/>
      <c r="B662" s="1"/>
      <c r="C662" s="1"/>
      <c r="D662" s="1"/>
      <c r="E662" s="1"/>
      <c r="F662" s="1"/>
      <c r="G662" s="1"/>
      <c r="H662" s="1"/>
      <c r="I662" s="61"/>
      <c r="J662" s="1"/>
      <c r="K662" s="1"/>
    </row>
    <row r="663" spans="1:11" ht="15.75" customHeight="1">
      <c r="A663" s="1"/>
      <c r="B663" s="1"/>
      <c r="C663" s="1"/>
      <c r="D663" s="1"/>
      <c r="E663" s="1"/>
      <c r="F663" s="1"/>
      <c r="G663" s="1"/>
      <c r="H663" s="1"/>
      <c r="I663" s="61"/>
      <c r="J663" s="1"/>
      <c r="K663" s="1"/>
    </row>
    <row r="664" spans="1:11" ht="15.75" customHeight="1">
      <c r="A664" s="1"/>
      <c r="B664" s="1"/>
      <c r="C664" s="1"/>
      <c r="D664" s="1"/>
      <c r="E664" s="1"/>
      <c r="F664" s="1"/>
      <c r="G664" s="1"/>
      <c r="H664" s="1"/>
      <c r="I664" s="61"/>
      <c r="J664" s="1"/>
      <c r="K664" s="1"/>
    </row>
    <row r="665" spans="1:11" ht="15.75" customHeight="1">
      <c r="A665" s="1"/>
      <c r="B665" s="1"/>
      <c r="C665" s="1"/>
      <c r="D665" s="1"/>
      <c r="E665" s="1"/>
      <c r="F665" s="1"/>
      <c r="G665" s="1"/>
      <c r="H665" s="1"/>
      <c r="I665" s="61"/>
      <c r="J665" s="1"/>
      <c r="K665" s="1"/>
    </row>
    <row r="666" spans="1:11" ht="15.75" customHeight="1">
      <c r="A666" s="1"/>
      <c r="B666" s="1"/>
      <c r="C666" s="1"/>
      <c r="D666" s="1"/>
      <c r="E666" s="1"/>
      <c r="F666" s="1"/>
      <c r="G666" s="1"/>
      <c r="H666" s="1"/>
      <c r="I666" s="61"/>
      <c r="J666" s="1"/>
      <c r="K666" s="1"/>
    </row>
    <row r="667" spans="1:11" ht="15.75" customHeight="1">
      <c r="A667" s="1"/>
      <c r="B667" s="1"/>
      <c r="C667" s="1"/>
      <c r="D667" s="1"/>
      <c r="E667" s="1"/>
      <c r="F667" s="1"/>
      <c r="G667" s="1"/>
      <c r="H667" s="1"/>
      <c r="I667" s="61"/>
      <c r="J667" s="1"/>
      <c r="K667" s="1"/>
    </row>
    <row r="668" spans="1:11" ht="15.75" customHeight="1">
      <c r="A668" s="1"/>
      <c r="B668" s="1"/>
      <c r="C668" s="1"/>
      <c r="D668" s="1"/>
      <c r="E668" s="1"/>
      <c r="F668" s="1"/>
      <c r="G668" s="1"/>
      <c r="H668" s="1"/>
      <c r="I668" s="61"/>
      <c r="J668" s="1"/>
      <c r="K668" s="1"/>
    </row>
    <row r="669" spans="1:11" ht="15.75" customHeight="1">
      <c r="A669" s="1"/>
      <c r="B669" s="1"/>
      <c r="C669" s="1"/>
      <c r="D669" s="1"/>
      <c r="E669" s="1"/>
      <c r="F669" s="1"/>
      <c r="G669" s="1"/>
      <c r="H669" s="1"/>
      <c r="I669" s="61"/>
      <c r="J669" s="1"/>
      <c r="K669" s="1"/>
    </row>
    <row r="670" spans="1:11" ht="15.75" customHeight="1">
      <c r="A670" s="1"/>
      <c r="B670" s="1"/>
      <c r="C670" s="1"/>
      <c r="D670" s="1"/>
      <c r="E670" s="1"/>
      <c r="F670" s="1"/>
      <c r="G670" s="1"/>
      <c r="H670" s="1"/>
      <c r="I670" s="61"/>
      <c r="J670" s="1"/>
      <c r="K670" s="1"/>
    </row>
    <row r="671" spans="1:11" ht="15.75" customHeight="1">
      <c r="A671" s="1"/>
      <c r="B671" s="1"/>
      <c r="C671" s="1"/>
      <c r="D671" s="1"/>
      <c r="E671" s="1"/>
      <c r="F671" s="1"/>
      <c r="G671" s="1"/>
      <c r="H671" s="1"/>
      <c r="I671" s="61"/>
      <c r="J671" s="1"/>
      <c r="K671" s="1"/>
    </row>
    <row r="672" spans="1:11" ht="15.75" customHeight="1">
      <c r="A672" s="1"/>
      <c r="B672" s="1"/>
      <c r="C672" s="1"/>
      <c r="D672" s="1"/>
      <c r="E672" s="1"/>
      <c r="F672" s="1"/>
      <c r="G672" s="1"/>
      <c r="H672" s="1"/>
      <c r="I672" s="61"/>
      <c r="J672" s="1"/>
      <c r="K672" s="1"/>
    </row>
    <row r="673" spans="1:11" ht="15.75" customHeight="1">
      <c r="A673" s="1"/>
      <c r="B673" s="1"/>
      <c r="C673" s="1"/>
      <c r="D673" s="1"/>
      <c r="E673" s="1"/>
      <c r="F673" s="1"/>
      <c r="G673" s="1"/>
      <c r="H673" s="1"/>
      <c r="I673" s="61"/>
      <c r="J673" s="1"/>
      <c r="K673" s="1"/>
    </row>
    <row r="674" spans="1:11" ht="15.75" customHeight="1">
      <c r="A674" s="1"/>
      <c r="B674" s="1"/>
      <c r="C674" s="1"/>
      <c r="D674" s="1"/>
      <c r="E674" s="1"/>
      <c r="F674" s="1"/>
      <c r="G674" s="1"/>
      <c r="H674" s="1"/>
      <c r="I674" s="61"/>
      <c r="J674" s="1"/>
      <c r="K674" s="1"/>
    </row>
    <row r="675" spans="1:11" ht="15.75" customHeight="1">
      <c r="A675" s="1"/>
      <c r="B675" s="1"/>
      <c r="C675" s="1"/>
      <c r="D675" s="1"/>
      <c r="E675" s="1"/>
      <c r="F675" s="1"/>
      <c r="G675" s="1"/>
      <c r="H675" s="1"/>
      <c r="I675" s="61"/>
      <c r="J675" s="1"/>
      <c r="K675" s="1"/>
    </row>
    <row r="676" spans="1:11" ht="15.75" customHeight="1">
      <c r="A676" s="1"/>
      <c r="B676" s="1"/>
      <c r="C676" s="1"/>
      <c r="D676" s="1"/>
      <c r="E676" s="1"/>
      <c r="F676" s="1"/>
      <c r="G676" s="1"/>
      <c r="H676" s="1"/>
      <c r="I676" s="61"/>
      <c r="J676" s="1"/>
      <c r="K676" s="1"/>
    </row>
    <row r="677" spans="1:11" ht="15.75" customHeight="1">
      <c r="A677" s="1"/>
      <c r="B677" s="1"/>
      <c r="C677" s="1"/>
      <c r="D677" s="1"/>
      <c r="E677" s="1"/>
      <c r="F677" s="1"/>
      <c r="G677" s="1"/>
      <c r="H677" s="1"/>
      <c r="I677" s="61"/>
      <c r="J677" s="1"/>
      <c r="K677" s="1"/>
    </row>
    <row r="678" spans="1:11" ht="15.75" customHeight="1">
      <c r="A678" s="1"/>
      <c r="B678" s="1"/>
      <c r="C678" s="1"/>
      <c r="D678" s="1"/>
      <c r="E678" s="1"/>
      <c r="F678" s="1"/>
      <c r="G678" s="1"/>
      <c r="H678" s="1"/>
      <c r="I678" s="61"/>
      <c r="J678" s="1"/>
      <c r="K678" s="1"/>
    </row>
    <row r="679" spans="1:11" ht="15.75" customHeight="1">
      <c r="A679" s="1"/>
      <c r="B679" s="1"/>
      <c r="C679" s="1"/>
      <c r="D679" s="1"/>
      <c r="E679" s="1"/>
      <c r="F679" s="1"/>
      <c r="G679" s="1"/>
      <c r="H679" s="1"/>
      <c r="I679" s="61"/>
      <c r="J679" s="1"/>
      <c r="K679" s="1"/>
    </row>
    <row r="680" spans="1:11" ht="15.75" customHeight="1">
      <c r="A680" s="1"/>
      <c r="B680" s="1"/>
      <c r="C680" s="1"/>
      <c r="D680" s="1"/>
      <c r="E680" s="1"/>
      <c r="F680" s="1"/>
      <c r="G680" s="1"/>
      <c r="H680" s="1"/>
      <c r="I680" s="61"/>
      <c r="J680" s="1"/>
      <c r="K680" s="1"/>
    </row>
    <row r="681" spans="1:11" ht="15.75" customHeight="1">
      <c r="A681" s="1"/>
      <c r="B681" s="1"/>
      <c r="C681" s="1"/>
      <c r="D681" s="1"/>
      <c r="E681" s="1"/>
      <c r="F681" s="1"/>
      <c r="G681" s="1"/>
      <c r="H681" s="1"/>
      <c r="I681" s="61"/>
      <c r="J681" s="1"/>
      <c r="K681" s="1"/>
    </row>
    <row r="682" spans="1:11" ht="15.75" customHeight="1">
      <c r="A682" s="1"/>
      <c r="B682" s="1"/>
      <c r="C682" s="1"/>
      <c r="D682" s="1"/>
      <c r="E682" s="1"/>
      <c r="F682" s="1"/>
      <c r="G682" s="1"/>
      <c r="H682" s="1"/>
      <c r="I682" s="61"/>
      <c r="J682" s="1"/>
      <c r="K682" s="1"/>
    </row>
    <row r="683" spans="1:11" ht="15.75" customHeight="1">
      <c r="A683" s="1"/>
      <c r="B683" s="1"/>
      <c r="C683" s="1"/>
      <c r="D683" s="1"/>
      <c r="E683" s="1"/>
      <c r="F683" s="1"/>
      <c r="G683" s="1"/>
      <c r="H683" s="1"/>
      <c r="I683" s="61"/>
      <c r="J683" s="1"/>
      <c r="K683" s="1"/>
    </row>
    <row r="684" spans="1:11" ht="15.75" customHeight="1">
      <c r="A684" s="1"/>
      <c r="B684" s="1"/>
      <c r="C684" s="1"/>
      <c r="D684" s="1"/>
      <c r="E684" s="1"/>
      <c r="F684" s="1"/>
      <c r="G684" s="1"/>
      <c r="H684" s="1"/>
      <c r="I684" s="61"/>
      <c r="J684" s="1"/>
      <c r="K684" s="1"/>
    </row>
    <row r="685" spans="1:11" ht="15.75" customHeight="1">
      <c r="A685" s="1"/>
      <c r="B685" s="1"/>
      <c r="C685" s="1"/>
      <c r="D685" s="1"/>
      <c r="E685" s="1"/>
      <c r="F685" s="1"/>
      <c r="G685" s="1"/>
      <c r="H685" s="1"/>
      <c r="I685" s="61"/>
      <c r="J685" s="1"/>
      <c r="K685" s="1"/>
    </row>
    <row r="686" spans="1:11" ht="15.75" customHeight="1">
      <c r="A686" s="1"/>
      <c r="B686" s="1"/>
      <c r="C686" s="1"/>
      <c r="D686" s="1"/>
      <c r="E686" s="1"/>
      <c r="F686" s="1"/>
      <c r="G686" s="1"/>
      <c r="H686" s="1"/>
      <c r="I686" s="61"/>
      <c r="J686" s="1"/>
      <c r="K686" s="1"/>
    </row>
    <row r="687" spans="1:11" ht="15.75" customHeight="1">
      <c r="A687" s="1"/>
      <c r="B687" s="1"/>
      <c r="C687" s="1"/>
      <c r="D687" s="1"/>
      <c r="E687" s="1"/>
      <c r="F687" s="1"/>
      <c r="G687" s="1"/>
      <c r="H687" s="1"/>
      <c r="I687" s="61"/>
      <c r="J687" s="1"/>
      <c r="K687" s="1"/>
    </row>
    <row r="688" spans="1:11" ht="15.75" customHeight="1">
      <c r="A688" s="1"/>
      <c r="B688" s="1"/>
      <c r="C688" s="1"/>
      <c r="D688" s="1"/>
      <c r="E688" s="1"/>
      <c r="F688" s="1"/>
      <c r="G688" s="1"/>
      <c r="H688" s="1"/>
      <c r="I688" s="61"/>
      <c r="J688" s="1"/>
      <c r="K688" s="1"/>
    </row>
    <row r="689" spans="1:11" ht="15.75" customHeight="1">
      <c r="A689" s="1"/>
      <c r="B689" s="1"/>
      <c r="C689" s="1"/>
      <c r="D689" s="1"/>
      <c r="E689" s="1"/>
      <c r="F689" s="1"/>
      <c r="G689" s="1"/>
      <c r="H689" s="1"/>
      <c r="I689" s="61"/>
      <c r="J689" s="1"/>
      <c r="K689" s="1"/>
    </row>
    <row r="690" spans="1:11" ht="15.75" customHeight="1">
      <c r="A690" s="1"/>
      <c r="B690" s="1"/>
      <c r="C690" s="1"/>
      <c r="D690" s="1"/>
      <c r="E690" s="1"/>
      <c r="F690" s="1"/>
      <c r="G690" s="1"/>
      <c r="H690" s="1"/>
      <c r="I690" s="61"/>
      <c r="J690" s="1"/>
      <c r="K690" s="1"/>
    </row>
    <row r="691" spans="1:11" ht="15.75" customHeight="1">
      <c r="A691" s="1"/>
      <c r="B691" s="1"/>
      <c r="C691" s="1"/>
      <c r="D691" s="1"/>
      <c r="E691" s="1"/>
      <c r="F691" s="1"/>
      <c r="G691" s="1"/>
      <c r="H691" s="1"/>
      <c r="I691" s="61"/>
      <c r="J691" s="1"/>
      <c r="K691" s="1"/>
    </row>
    <row r="692" spans="1:11" ht="15.75" customHeight="1">
      <c r="A692" s="1"/>
      <c r="B692" s="1"/>
      <c r="C692" s="1"/>
      <c r="D692" s="1"/>
      <c r="E692" s="1"/>
      <c r="F692" s="1"/>
      <c r="G692" s="1"/>
      <c r="H692" s="1"/>
      <c r="I692" s="61"/>
      <c r="J692" s="1"/>
      <c r="K692" s="1"/>
    </row>
    <row r="693" spans="1:11" ht="15.75" customHeight="1">
      <c r="A693" s="1"/>
      <c r="B693" s="1"/>
      <c r="C693" s="1"/>
      <c r="D693" s="1"/>
      <c r="E693" s="1"/>
      <c r="F693" s="1"/>
      <c r="G693" s="1"/>
      <c r="H693" s="1"/>
      <c r="I693" s="61"/>
      <c r="J693" s="1"/>
      <c r="K693" s="1"/>
    </row>
    <row r="694" spans="1:11" ht="15.75" customHeight="1">
      <c r="A694" s="1"/>
      <c r="B694" s="1"/>
      <c r="C694" s="1"/>
      <c r="D694" s="1"/>
      <c r="E694" s="1"/>
      <c r="F694" s="1"/>
      <c r="G694" s="1"/>
      <c r="H694" s="1"/>
      <c r="I694" s="61"/>
      <c r="J694" s="1"/>
      <c r="K694" s="1"/>
    </row>
    <row r="695" spans="1:11" ht="15.75" customHeight="1">
      <c r="A695" s="1"/>
      <c r="B695" s="1"/>
      <c r="C695" s="1"/>
      <c r="D695" s="1"/>
      <c r="E695" s="1"/>
      <c r="F695" s="1"/>
      <c r="G695" s="1"/>
      <c r="H695" s="1"/>
      <c r="I695" s="61"/>
      <c r="J695" s="1"/>
      <c r="K695" s="1"/>
    </row>
    <row r="696" spans="1:11" ht="15.75" customHeight="1">
      <c r="A696" s="1"/>
      <c r="B696" s="1"/>
      <c r="C696" s="1"/>
      <c r="D696" s="1"/>
      <c r="E696" s="1"/>
      <c r="F696" s="1"/>
      <c r="G696" s="1"/>
      <c r="H696" s="1"/>
      <c r="I696" s="61"/>
      <c r="J696" s="1"/>
      <c r="K696" s="1"/>
    </row>
    <row r="697" spans="1:11" ht="15.75" customHeight="1">
      <c r="A697" s="1"/>
      <c r="B697" s="1"/>
      <c r="C697" s="1"/>
      <c r="D697" s="1"/>
      <c r="E697" s="1"/>
      <c r="F697" s="1"/>
      <c r="G697" s="1"/>
      <c r="H697" s="1"/>
      <c r="I697" s="61"/>
      <c r="J697" s="1"/>
      <c r="K697" s="1"/>
    </row>
    <row r="698" spans="1:11" ht="15.75" customHeight="1">
      <c r="A698" s="1"/>
      <c r="B698" s="1"/>
      <c r="C698" s="1"/>
      <c r="D698" s="1"/>
      <c r="E698" s="1"/>
      <c r="F698" s="1"/>
      <c r="G698" s="1"/>
      <c r="H698" s="1"/>
      <c r="I698" s="61"/>
      <c r="J698" s="1"/>
      <c r="K698" s="1"/>
    </row>
    <row r="699" spans="1:11" ht="15.75" customHeight="1">
      <c r="A699" s="1"/>
      <c r="B699" s="1"/>
      <c r="C699" s="1"/>
      <c r="D699" s="1"/>
      <c r="E699" s="1"/>
      <c r="F699" s="1"/>
      <c r="G699" s="1"/>
      <c r="H699" s="1"/>
      <c r="I699" s="61"/>
      <c r="J699" s="1"/>
      <c r="K699" s="1"/>
    </row>
    <row r="700" spans="1:11" ht="15.75" customHeight="1">
      <c r="A700" s="1"/>
      <c r="B700" s="1"/>
      <c r="C700" s="1"/>
      <c r="D700" s="1"/>
      <c r="E700" s="1"/>
      <c r="F700" s="1"/>
      <c r="G700" s="1"/>
      <c r="H700" s="1"/>
      <c r="I700" s="61"/>
      <c r="J700" s="1"/>
      <c r="K700" s="1"/>
    </row>
    <row r="701" spans="1:11" ht="15.75" customHeight="1">
      <c r="A701" s="1"/>
      <c r="B701" s="1"/>
      <c r="C701" s="1"/>
      <c r="D701" s="1"/>
      <c r="E701" s="1"/>
      <c r="F701" s="1"/>
      <c r="G701" s="1"/>
      <c r="H701" s="1"/>
      <c r="I701" s="61"/>
      <c r="J701" s="1"/>
      <c r="K701" s="1"/>
    </row>
    <row r="702" spans="1:11" ht="15.75" customHeight="1">
      <c r="A702" s="1"/>
      <c r="B702" s="1"/>
      <c r="C702" s="1"/>
      <c r="D702" s="1"/>
      <c r="E702" s="1"/>
      <c r="F702" s="1"/>
      <c r="G702" s="1"/>
      <c r="H702" s="1"/>
      <c r="I702" s="61"/>
      <c r="J702" s="1"/>
      <c r="K702" s="1"/>
    </row>
    <row r="703" spans="1:11" ht="15.75" customHeight="1">
      <c r="A703" s="1"/>
      <c r="B703" s="1"/>
      <c r="C703" s="1"/>
      <c r="D703" s="1"/>
      <c r="E703" s="1"/>
      <c r="F703" s="1"/>
      <c r="G703" s="1"/>
      <c r="H703" s="1"/>
      <c r="I703" s="61"/>
      <c r="J703" s="1"/>
      <c r="K703" s="1"/>
    </row>
    <row r="704" spans="1:11" ht="15.75" customHeight="1">
      <c r="A704" s="1"/>
      <c r="B704" s="1"/>
      <c r="C704" s="1"/>
      <c r="D704" s="1"/>
      <c r="E704" s="1"/>
      <c r="F704" s="1"/>
      <c r="G704" s="1"/>
      <c r="H704" s="1"/>
      <c r="I704" s="61"/>
      <c r="J704" s="1"/>
      <c r="K704" s="1"/>
    </row>
    <row r="705" spans="1:11" ht="15.75" customHeight="1">
      <c r="A705" s="1"/>
      <c r="B705" s="1"/>
      <c r="C705" s="1"/>
      <c r="D705" s="1"/>
      <c r="E705" s="1"/>
      <c r="F705" s="1"/>
      <c r="G705" s="1"/>
      <c r="H705" s="1"/>
      <c r="I705" s="61"/>
      <c r="J705" s="1"/>
      <c r="K705" s="1"/>
    </row>
    <row r="706" spans="1:11" ht="15.75" customHeight="1">
      <c r="A706" s="1"/>
      <c r="B706" s="1"/>
      <c r="C706" s="1"/>
      <c r="D706" s="1"/>
      <c r="E706" s="1"/>
      <c r="F706" s="1"/>
      <c r="G706" s="1"/>
      <c r="H706" s="1"/>
      <c r="I706" s="61"/>
      <c r="J706" s="1"/>
      <c r="K706" s="1"/>
    </row>
    <row r="707" spans="1:11" ht="15.75" customHeight="1">
      <c r="A707" s="1"/>
      <c r="B707" s="1"/>
      <c r="C707" s="1"/>
      <c r="D707" s="1"/>
      <c r="E707" s="1"/>
      <c r="F707" s="1"/>
      <c r="G707" s="1"/>
      <c r="H707" s="1"/>
      <c r="I707" s="61"/>
      <c r="J707" s="1"/>
      <c r="K707" s="1"/>
    </row>
    <row r="708" spans="1:11" ht="15.75" customHeight="1">
      <c r="A708" s="1"/>
      <c r="B708" s="1"/>
      <c r="C708" s="1"/>
      <c r="D708" s="1"/>
      <c r="E708" s="1"/>
      <c r="F708" s="1"/>
      <c r="G708" s="1"/>
      <c r="H708" s="1"/>
      <c r="I708" s="61"/>
      <c r="J708" s="1"/>
      <c r="K708" s="1"/>
    </row>
    <row r="709" spans="1:11" ht="15.75" customHeight="1">
      <c r="A709" s="1"/>
      <c r="B709" s="1"/>
      <c r="C709" s="1"/>
      <c r="D709" s="1"/>
      <c r="E709" s="1"/>
      <c r="F709" s="1"/>
      <c r="G709" s="1"/>
      <c r="H709" s="1"/>
      <c r="I709" s="61"/>
      <c r="J709" s="1"/>
      <c r="K709" s="1"/>
    </row>
    <row r="710" spans="1:11" ht="15.75" customHeight="1">
      <c r="A710" s="1"/>
      <c r="B710" s="1"/>
      <c r="C710" s="1"/>
      <c r="D710" s="1"/>
      <c r="E710" s="1"/>
      <c r="F710" s="1"/>
      <c r="G710" s="1"/>
      <c r="H710" s="1"/>
      <c r="I710" s="61"/>
      <c r="J710" s="1"/>
      <c r="K710" s="1"/>
    </row>
    <row r="711" spans="1:11" ht="15.75" customHeight="1">
      <c r="A711" s="1"/>
      <c r="B711" s="1"/>
      <c r="C711" s="1"/>
      <c r="D711" s="1"/>
      <c r="E711" s="1"/>
      <c r="F711" s="1"/>
      <c r="G711" s="1"/>
      <c r="H711" s="1"/>
      <c r="I711" s="61"/>
      <c r="J711" s="1"/>
      <c r="K711" s="1"/>
    </row>
    <row r="712" spans="1:11" ht="15.75" customHeight="1">
      <c r="A712" s="1"/>
      <c r="B712" s="1"/>
      <c r="C712" s="1"/>
      <c r="D712" s="1"/>
      <c r="E712" s="1"/>
      <c r="F712" s="1"/>
      <c r="G712" s="1"/>
      <c r="H712" s="1"/>
      <c r="I712" s="61"/>
      <c r="J712" s="1"/>
      <c r="K712" s="1"/>
    </row>
    <row r="713" spans="1:11" ht="15.75" customHeight="1">
      <c r="A713" s="1"/>
      <c r="B713" s="1"/>
      <c r="C713" s="1"/>
      <c r="D713" s="1"/>
      <c r="E713" s="1"/>
      <c r="F713" s="1"/>
      <c r="G713" s="1"/>
      <c r="H713" s="1"/>
      <c r="I713" s="61"/>
      <c r="J713" s="1"/>
      <c r="K713" s="1"/>
    </row>
    <row r="714" spans="1:11" ht="15.75" customHeight="1">
      <c r="A714" s="1"/>
      <c r="B714" s="1"/>
      <c r="C714" s="1"/>
      <c r="D714" s="1"/>
      <c r="E714" s="1"/>
      <c r="F714" s="1"/>
      <c r="G714" s="1"/>
      <c r="H714" s="1"/>
      <c r="I714" s="61"/>
      <c r="J714" s="1"/>
      <c r="K714" s="1"/>
    </row>
    <row r="715" spans="1:11" ht="15.75" customHeight="1">
      <c r="A715" s="1"/>
      <c r="B715" s="1"/>
      <c r="C715" s="1"/>
      <c r="D715" s="1"/>
      <c r="E715" s="1"/>
      <c r="F715" s="1"/>
      <c r="G715" s="1"/>
      <c r="H715" s="1"/>
      <c r="I715" s="61"/>
      <c r="J715" s="1"/>
      <c r="K715" s="1"/>
    </row>
    <row r="716" spans="1:11" ht="15.75" customHeight="1">
      <c r="A716" s="1"/>
      <c r="B716" s="1"/>
      <c r="C716" s="1"/>
      <c r="D716" s="1"/>
      <c r="E716" s="1"/>
      <c r="F716" s="1"/>
      <c r="G716" s="1"/>
      <c r="H716" s="1"/>
      <c r="I716" s="61"/>
      <c r="J716" s="1"/>
      <c r="K716" s="1"/>
    </row>
    <row r="717" spans="1:11" ht="15.75" customHeight="1">
      <c r="A717" s="1"/>
      <c r="B717" s="1"/>
      <c r="C717" s="1"/>
      <c r="D717" s="1"/>
      <c r="E717" s="1"/>
      <c r="F717" s="1"/>
      <c r="G717" s="1"/>
      <c r="H717" s="1"/>
      <c r="I717" s="61"/>
      <c r="J717" s="1"/>
      <c r="K717" s="1"/>
    </row>
    <row r="718" spans="1:11" ht="15.75" customHeight="1">
      <c r="A718" s="1"/>
      <c r="B718" s="1"/>
      <c r="C718" s="1"/>
      <c r="D718" s="1"/>
      <c r="E718" s="1"/>
      <c r="F718" s="1"/>
      <c r="G718" s="1"/>
      <c r="H718" s="1"/>
      <c r="I718" s="61"/>
      <c r="J718" s="1"/>
      <c r="K718" s="1"/>
    </row>
    <row r="719" spans="1:11" ht="15.75" customHeight="1">
      <c r="A719" s="1"/>
      <c r="B719" s="1"/>
      <c r="C719" s="1"/>
      <c r="D719" s="1"/>
      <c r="E719" s="1"/>
      <c r="F719" s="1"/>
      <c r="G719" s="1"/>
      <c r="H719" s="1"/>
      <c r="I719" s="61"/>
      <c r="J719" s="1"/>
      <c r="K719" s="1"/>
    </row>
    <row r="720" spans="1:11" ht="15.75" customHeight="1">
      <c r="A720" s="1"/>
      <c r="B720" s="1"/>
      <c r="C720" s="1"/>
      <c r="D720" s="1"/>
      <c r="E720" s="1"/>
      <c r="F720" s="1"/>
      <c r="G720" s="1"/>
      <c r="H720" s="1"/>
      <c r="I720" s="61"/>
      <c r="J720" s="1"/>
      <c r="K720" s="1"/>
    </row>
    <row r="721" spans="1:11" ht="15.75" customHeight="1">
      <c r="A721" s="1"/>
      <c r="B721" s="1"/>
      <c r="C721" s="1"/>
      <c r="D721" s="1"/>
      <c r="E721" s="1"/>
      <c r="F721" s="1"/>
      <c r="G721" s="1"/>
      <c r="H721" s="1"/>
      <c r="I721" s="61"/>
      <c r="J721" s="1"/>
      <c r="K721" s="1"/>
    </row>
    <row r="722" spans="1:11" ht="15.75" customHeight="1">
      <c r="A722" s="1"/>
      <c r="B722" s="1"/>
      <c r="C722" s="1"/>
      <c r="D722" s="1"/>
      <c r="E722" s="1"/>
      <c r="F722" s="1"/>
      <c r="G722" s="1"/>
      <c r="H722" s="1"/>
      <c r="I722" s="61"/>
      <c r="J722" s="1"/>
      <c r="K722" s="1"/>
    </row>
    <row r="723" spans="1:11" ht="15.75" customHeight="1">
      <c r="A723" s="1"/>
      <c r="B723" s="1"/>
      <c r="C723" s="1"/>
      <c r="D723" s="1"/>
      <c r="E723" s="1"/>
      <c r="F723" s="1"/>
      <c r="G723" s="1"/>
      <c r="H723" s="1"/>
      <c r="I723" s="61"/>
      <c r="J723" s="1"/>
      <c r="K723" s="1"/>
    </row>
    <row r="724" spans="1:11" ht="15.75" customHeight="1">
      <c r="A724" s="1"/>
      <c r="B724" s="1"/>
      <c r="C724" s="1"/>
      <c r="D724" s="1"/>
      <c r="E724" s="1"/>
      <c r="F724" s="1"/>
      <c r="G724" s="1"/>
      <c r="H724" s="1"/>
      <c r="I724" s="61"/>
      <c r="J724" s="1"/>
      <c r="K724" s="1"/>
    </row>
    <row r="725" spans="1:11" ht="15.75" customHeight="1">
      <c r="A725" s="1"/>
      <c r="B725" s="1"/>
      <c r="C725" s="1"/>
      <c r="D725" s="1"/>
      <c r="E725" s="1"/>
      <c r="F725" s="1"/>
      <c r="G725" s="1"/>
      <c r="H725" s="1"/>
      <c r="I725" s="61"/>
      <c r="J725" s="1"/>
      <c r="K725" s="1"/>
    </row>
    <row r="726" spans="1:11" ht="15.75" customHeight="1">
      <c r="A726" s="1"/>
      <c r="B726" s="1"/>
      <c r="C726" s="1"/>
      <c r="D726" s="1"/>
      <c r="E726" s="1"/>
      <c r="F726" s="1"/>
      <c r="G726" s="1"/>
      <c r="H726" s="1"/>
      <c r="I726" s="61"/>
      <c r="J726" s="1"/>
      <c r="K726" s="1"/>
    </row>
    <row r="727" spans="1:11" ht="15.75" customHeight="1">
      <c r="A727" s="1"/>
      <c r="B727" s="1"/>
      <c r="C727" s="1"/>
      <c r="D727" s="1"/>
      <c r="E727" s="1"/>
      <c r="F727" s="1"/>
      <c r="G727" s="1"/>
      <c r="H727" s="1"/>
      <c r="I727" s="61"/>
      <c r="J727" s="1"/>
      <c r="K727" s="1"/>
    </row>
    <row r="728" spans="1:11" ht="15.75" customHeight="1">
      <c r="A728" s="1"/>
      <c r="B728" s="1"/>
      <c r="C728" s="1"/>
      <c r="D728" s="1"/>
      <c r="E728" s="1"/>
      <c r="F728" s="1"/>
      <c r="G728" s="1"/>
      <c r="H728" s="1"/>
      <c r="I728" s="61"/>
      <c r="J728" s="1"/>
      <c r="K728" s="1"/>
    </row>
    <row r="729" spans="1:11" ht="15.75" customHeight="1">
      <c r="A729" s="1"/>
      <c r="B729" s="1"/>
      <c r="C729" s="1"/>
      <c r="D729" s="1"/>
      <c r="E729" s="1"/>
      <c r="F729" s="1"/>
      <c r="G729" s="1"/>
      <c r="H729" s="1"/>
      <c r="I729" s="61"/>
      <c r="J729" s="1"/>
      <c r="K729" s="1"/>
    </row>
    <row r="730" spans="1:11" ht="15.75" customHeight="1">
      <c r="A730" s="1"/>
      <c r="B730" s="1"/>
      <c r="C730" s="1"/>
      <c r="D730" s="1"/>
      <c r="E730" s="1"/>
      <c r="F730" s="1"/>
      <c r="G730" s="1"/>
      <c r="H730" s="1"/>
      <c r="I730" s="61"/>
      <c r="J730" s="1"/>
      <c r="K730" s="1"/>
    </row>
    <row r="731" spans="1:11" ht="15.75" customHeight="1">
      <c r="A731" s="1"/>
      <c r="B731" s="1"/>
      <c r="C731" s="1"/>
      <c r="D731" s="1"/>
      <c r="E731" s="1"/>
      <c r="F731" s="1"/>
      <c r="G731" s="1"/>
      <c r="H731" s="1"/>
      <c r="I731" s="61"/>
      <c r="J731" s="1"/>
      <c r="K731" s="1"/>
    </row>
    <row r="732" spans="1:11" ht="15.75" customHeight="1">
      <c r="A732" s="1"/>
      <c r="B732" s="1"/>
      <c r="C732" s="1"/>
      <c r="D732" s="1"/>
      <c r="E732" s="1"/>
      <c r="F732" s="1"/>
      <c r="G732" s="1"/>
      <c r="H732" s="1"/>
      <c r="I732" s="61"/>
      <c r="J732" s="1"/>
      <c r="K732" s="1"/>
    </row>
    <row r="733" spans="1:11" ht="15.75" customHeight="1">
      <c r="A733" s="1"/>
      <c r="B733" s="1"/>
      <c r="C733" s="1"/>
      <c r="D733" s="1"/>
      <c r="E733" s="1"/>
      <c r="F733" s="1"/>
      <c r="G733" s="1"/>
      <c r="H733" s="1"/>
      <c r="I733" s="61"/>
      <c r="J733" s="1"/>
      <c r="K733" s="1"/>
    </row>
    <row r="734" spans="1:11" ht="15.75" customHeight="1">
      <c r="A734" s="1"/>
      <c r="B734" s="1"/>
      <c r="C734" s="1"/>
      <c r="D734" s="1"/>
      <c r="E734" s="1"/>
      <c r="F734" s="1"/>
      <c r="G734" s="1"/>
      <c r="H734" s="1"/>
      <c r="I734" s="61"/>
      <c r="J734" s="1"/>
      <c r="K734" s="1"/>
    </row>
    <row r="735" spans="1:11" ht="15.75" customHeight="1">
      <c r="A735" s="1"/>
      <c r="B735" s="1"/>
      <c r="C735" s="1"/>
      <c r="D735" s="1"/>
      <c r="E735" s="1"/>
      <c r="F735" s="1"/>
      <c r="G735" s="1"/>
      <c r="H735" s="1"/>
      <c r="I735" s="61"/>
      <c r="J735" s="1"/>
      <c r="K735" s="1"/>
    </row>
    <row r="736" spans="1:11" ht="15.75" customHeight="1">
      <c r="A736" s="1"/>
      <c r="B736" s="1"/>
      <c r="C736" s="1"/>
      <c r="D736" s="1"/>
      <c r="E736" s="1"/>
      <c r="F736" s="1"/>
      <c r="G736" s="1"/>
      <c r="H736" s="1"/>
      <c r="I736" s="61"/>
      <c r="J736" s="1"/>
      <c r="K736" s="1"/>
    </row>
    <row r="737" spans="1:11" ht="15.75" customHeight="1">
      <c r="A737" s="1"/>
      <c r="B737" s="1"/>
      <c r="C737" s="1"/>
      <c r="D737" s="1"/>
      <c r="E737" s="1"/>
      <c r="F737" s="1"/>
      <c r="G737" s="1"/>
      <c r="H737" s="1"/>
      <c r="I737" s="61"/>
      <c r="J737" s="1"/>
      <c r="K737" s="1"/>
    </row>
    <row r="738" spans="1:11" ht="15.75" customHeight="1">
      <c r="A738" s="1"/>
      <c r="B738" s="1"/>
      <c r="C738" s="1"/>
      <c r="D738" s="1"/>
      <c r="E738" s="1"/>
      <c r="F738" s="1"/>
      <c r="G738" s="1"/>
      <c r="H738" s="1"/>
      <c r="I738" s="61"/>
      <c r="J738" s="1"/>
      <c r="K738" s="1"/>
    </row>
    <row r="739" spans="1:11" ht="15.75" customHeight="1">
      <c r="A739" s="1"/>
      <c r="B739" s="1"/>
      <c r="C739" s="1"/>
      <c r="D739" s="1"/>
      <c r="E739" s="1"/>
      <c r="F739" s="1"/>
      <c r="G739" s="1"/>
      <c r="H739" s="1"/>
      <c r="I739" s="61"/>
      <c r="J739" s="1"/>
      <c r="K739" s="1"/>
    </row>
    <row r="740" spans="1:11" ht="15.75" customHeight="1">
      <c r="A740" s="1"/>
      <c r="B740" s="1"/>
      <c r="C740" s="1"/>
      <c r="D740" s="1"/>
      <c r="E740" s="1"/>
      <c r="F740" s="1"/>
      <c r="G740" s="1"/>
      <c r="H740" s="1"/>
      <c r="I740" s="61"/>
      <c r="J740" s="1"/>
      <c r="K740" s="1"/>
    </row>
    <row r="741" spans="1:11" ht="15.75" customHeight="1">
      <c r="A741" s="1"/>
      <c r="B741" s="1"/>
      <c r="C741" s="1"/>
      <c r="D741" s="1"/>
      <c r="E741" s="1"/>
      <c r="F741" s="1"/>
      <c r="G741" s="1"/>
      <c r="H741" s="1"/>
      <c r="I741" s="61"/>
      <c r="J741" s="1"/>
      <c r="K741" s="1"/>
    </row>
    <row r="742" spans="1:11" ht="15.75" customHeight="1">
      <c r="A742" s="1"/>
      <c r="B742" s="1"/>
      <c r="C742" s="1"/>
      <c r="D742" s="1"/>
      <c r="E742" s="1"/>
      <c r="F742" s="1"/>
      <c r="G742" s="1"/>
      <c r="H742" s="1"/>
      <c r="I742" s="61"/>
      <c r="J742" s="1"/>
      <c r="K742" s="1"/>
    </row>
    <row r="743" spans="1:11" ht="15.75" customHeight="1">
      <c r="A743" s="1"/>
      <c r="B743" s="1"/>
      <c r="C743" s="1"/>
      <c r="D743" s="1"/>
      <c r="E743" s="1"/>
      <c r="F743" s="1"/>
      <c r="G743" s="1"/>
      <c r="H743" s="1"/>
      <c r="I743" s="61"/>
      <c r="J743" s="1"/>
      <c r="K743" s="1"/>
    </row>
    <row r="744" spans="1:11" ht="15.75" customHeight="1">
      <c r="A744" s="1"/>
      <c r="B744" s="1"/>
      <c r="C744" s="1"/>
      <c r="D744" s="1"/>
      <c r="E744" s="1"/>
      <c r="F744" s="1"/>
      <c r="G744" s="1"/>
      <c r="H744" s="1"/>
      <c r="I744" s="61"/>
      <c r="J744" s="1"/>
      <c r="K744" s="1"/>
    </row>
    <row r="745" spans="1:11" ht="15.75" customHeight="1">
      <c r="A745" s="1"/>
      <c r="B745" s="1"/>
      <c r="C745" s="1"/>
      <c r="D745" s="1"/>
      <c r="E745" s="1"/>
      <c r="F745" s="1"/>
      <c r="G745" s="1"/>
      <c r="H745" s="1"/>
      <c r="I745" s="61"/>
      <c r="J745" s="1"/>
      <c r="K745" s="1"/>
    </row>
    <row r="746" spans="1:11" ht="15.75" customHeight="1">
      <c r="A746" s="1"/>
      <c r="B746" s="1"/>
      <c r="C746" s="1"/>
      <c r="D746" s="1"/>
      <c r="E746" s="1"/>
      <c r="F746" s="1"/>
      <c r="G746" s="1"/>
      <c r="H746" s="1"/>
      <c r="I746" s="61"/>
      <c r="J746" s="1"/>
      <c r="K746" s="1"/>
    </row>
    <row r="747" spans="1:11" ht="15.75" customHeight="1">
      <c r="A747" s="1"/>
      <c r="B747" s="1"/>
      <c r="C747" s="1"/>
      <c r="D747" s="1"/>
      <c r="E747" s="1"/>
      <c r="F747" s="1"/>
      <c r="G747" s="1"/>
      <c r="H747" s="1"/>
      <c r="I747" s="61"/>
      <c r="J747" s="1"/>
      <c r="K747" s="1"/>
    </row>
    <row r="748" spans="1:11" ht="15.75" customHeight="1">
      <c r="A748" s="1"/>
      <c r="B748" s="1"/>
      <c r="C748" s="1"/>
      <c r="D748" s="1"/>
      <c r="E748" s="1"/>
      <c r="F748" s="1"/>
      <c r="G748" s="1"/>
      <c r="H748" s="1"/>
      <c r="I748" s="61"/>
      <c r="J748" s="1"/>
      <c r="K748" s="1"/>
    </row>
    <row r="749" spans="1:11" ht="15.75" customHeight="1">
      <c r="A749" s="1"/>
      <c r="B749" s="1"/>
      <c r="C749" s="1"/>
      <c r="D749" s="1"/>
      <c r="E749" s="1"/>
      <c r="F749" s="1"/>
      <c r="G749" s="1"/>
      <c r="H749" s="1"/>
      <c r="I749" s="61"/>
      <c r="J749" s="1"/>
      <c r="K749" s="1"/>
    </row>
    <row r="750" spans="1:11" ht="15.75" customHeight="1">
      <c r="A750" s="1"/>
      <c r="B750" s="1"/>
      <c r="C750" s="1"/>
      <c r="D750" s="1"/>
      <c r="E750" s="1"/>
      <c r="F750" s="1"/>
      <c r="G750" s="1"/>
      <c r="H750" s="1"/>
      <c r="I750" s="61"/>
      <c r="J750" s="1"/>
      <c r="K750" s="1"/>
    </row>
    <row r="751" spans="1:11" ht="15.75" customHeight="1">
      <c r="A751" s="1"/>
      <c r="B751" s="1"/>
      <c r="C751" s="1"/>
      <c r="D751" s="1"/>
      <c r="E751" s="1"/>
      <c r="F751" s="1"/>
      <c r="G751" s="1"/>
      <c r="H751" s="1"/>
      <c r="I751" s="61"/>
      <c r="J751" s="1"/>
      <c r="K751" s="1"/>
    </row>
    <row r="752" spans="1:11" ht="15.75" customHeight="1">
      <c r="A752" s="1"/>
      <c r="B752" s="1"/>
      <c r="C752" s="1"/>
      <c r="D752" s="1"/>
      <c r="E752" s="1"/>
      <c r="F752" s="1"/>
      <c r="G752" s="1"/>
      <c r="H752" s="1"/>
      <c r="I752" s="61"/>
      <c r="J752" s="1"/>
      <c r="K752" s="1"/>
    </row>
    <row r="753" spans="1:11" ht="15.75" customHeight="1">
      <c r="A753" s="1"/>
      <c r="B753" s="1"/>
      <c r="C753" s="1"/>
      <c r="D753" s="1"/>
      <c r="E753" s="1"/>
      <c r="F753" s="1"/>
      <c r="G753" s="1"/>
      <c r="H753" s="1"/>
      <c r="I753" s="61"/>
      <c r="J753" s="1"/>
      <c r="K753" s="1"/>
    </row>
    <row r="754" spans="1:11" ht="15.75" customHeight="1">
      <c r="A754" s="1"/>
      <c r="B754" s="1"/>
      <c r="C754" s="1"/>
      <c r="D754" s="1"/>
      <c r="E754" s="1"/>
      <c r="F754" s="1"/>
      <c r="G754" s="1"/>
      <c r="H754" s="1"/>
      <c r="I754" s="61"/>
      <c r="J754" s="1"/>
      <c r="K754" s="1"/>
    </row>
    <row r="755" spans="1:11" ht="15.75" customHeight="1">
      <c r="A755" s="1"/>
      <c r="B755" s="1"/>
      <c r="C755" s="1"/>
      <c r="D755" s="1"/>
      <c r="E755" s="1"/>
      <c r="F755" s="1"/>
      <c r="G755" s="1"/>
      <c r="H755" s="1"/>
      <c r="I755" s="61"/>
      <c r="J755" s="1"/>
      <c r="K755" s="1"/>
    </row>
    <row r="756" spans="1:11" ht="15.75" customHeight="1">
      <c r="A756" s="1"/>
      <c r="B756" s="1"/>
      <c r="C756" s="1"/>
      <c r="D756" s="1"/>
      <c r="E756" s="1"/>
      <c r="F756" s="1"/>
      <c r="G756" s="1"/>
      <c r="H756" s="1"/>
      <c r="I756" s="61"/>
      <c r="J756" s="1"/>
      <c r="K756" s="1"/>
    </row>
    <row r="757" spans="1:11" ht="15.75" customHeight="1">
      <c r="A757" s="1"/>
      <c r="B757" s="1"/>
      <c r="C757" s="1"/>
      <c r="D757" s="1"/>
      <c r="E757" s="1"/>
      <c r="F757" s="1"/>
      <c r="G757" s="1"/>
      <c r="H757" s="1"/>
      <c r="I757" s="61"/>
      <c r="J757" s="1"/>
      <c r="K757" s="1"/>
    </row>
    <row r="758" spans="1:11" ht="15.75" customHeight="1">
      <c r="A758" s="1"/>
      <c r="B758" s="1"/>
      <c r="C758" s="1"/>
      <c r="D758" s="1"/>
      <c r="E758" s="1"/>
      <c r="F758" s="1"/>
      <c r="G758" s="1"/>
      <c r="H758" s="1"/>
      <c r="I758" s="61"/>
      <c r="J758" s="1"/>
      <c r="K758" s="1"/>
    </row>
    <row r="759" spans="1:11" ht="15.75" customHeight="1">
      <c r="A759" s="1"/>
      <c r="B759" s="1"/>
      <c r="C759" s="1"/>
      <c r="D759" s="1"/>
      <c r="E759" s="1"/>
      <c r="F759" s="1"/>
      <c r="G759" s="1"/>
      <c r="H759" s="1"/>
      <c r="I759" s="61"/>
      <c r="J759" s="1"/>
      <c r="K759" s="1"/>
    </row>
    <row r="760" spans="1:11" ht="15.75" customHeight="1">
      <c r="A760" s="1"/>
      <c r="B760" s="1"/>
      <c r="C760" s="1"/>
      <c r="D760" s="1"/>
      <c r="E760" s="1"/>
      <c r="F760" s="1"/>
      <c r="G760" s="1"/>
      <c r="H760" s="1"/>
      <c r="I760" s="61"/>
      <c r="J760" s="1"/>
      <c r="K760" s="1"/>
    </row>
    <row r="761" spans="1:11" ht="15.75" customHeight="1">
      <c r="A761" s="1"/>
      <c r="B761" s="1"/>
      <c r="C761" s="1"/>
      <c r="D761" s="1"/>
      <c r="E761" s="1"/>
      <c r="F761" s="1"/>
      <c r="G761" s="1"/>
      <c r="H761" s="1"/>
      <c r="I761" s="61"/>
      <c r="J761" s="1"/>
      <c r="K761" s="1"/>
    </row>
    <row r="762" spans="1:11" ht="15.75" customHeight="1">
      <c r="A762" s="1"/>
      <c r="B762" s="1"/>
      <c r="C762" s="1"/>
      <c r="D762" s="1"/>
      <c r="E762" s="1"/>
      <c r="F762" s="1"/>
      <c r="G762" s="1"/>
      <c r="H762" s="1"/>
      <c r="I762" s="61"/>
      <c r="J762" s="1"/>
      <c r="K762" s="1"/>
    </row>
    <row r="763" spans="1:11" ht="15.75" customHeight="1">
      <c r="A763" s="1"/>
      <c r="B763" s="1"/>
      <c r="C763" s="1"/>
      <c r="D763" s="1"/>
      <c r="E763" s="1"/>
      <c r="F763" s="1"/>
      <c r="G763" s="1"/>
      <c r="H763" s="1"/>
      <c r="I763" s="61"/>
      <c r="J763" s="1"/>
      <c r="K763" s="1"/>
    </row>
    <row r="764" spans="1:11" ht="15.75" customHeight="1">
      <c r="A764" s="1"/>
      <c r="B764" s="1"/>
      <c r="C764" s="1"/>
      <c r="D764" s="1"/>
      <c r="E764" s="1"/>
      <c r="F764" s="1"/>
      <c r="G764" s="1"/>
      <c r="H764" s="1"/>
      <c r="I764" s="61"/>
      <c r="J764" s="1"/>
      <c r="K764" s="1"/>
    </row>
    <row r="765" spans="1:11" ht="15.75" customHeight="1">
      <c r="A765" s="1"/>
      <c r="B765" s="1"/>
      <c r="C765" s="1"/>
      <c r="D765" s="1"/>
      <c r="E765" s="1"/>
      <c r="F765" s="1"/>
      <c r="G765" s="1"/>
      <c r="H765" s="1"/>
      <c r="I765" s="61"/>
      <c r="J765" s="1"/>
      <c r="K765" s="1"/>
    </row>
    <row r="766" spans="1:11" ht="15.75" customHeight="1">
      <c r="A766" s="1"/>
      <c r="B766" s="1"/>
      <c r="C766" s="1"/>
      <c r="D766" s="1"/>
      <c r="E766" s="1"/>
      <c r="F766" s="1"/>
      <c r="G766" s="1"/>
      <c r="H766" s="1"/>
      <c r="I766" s="61"/>
      <c r="J766" s="1"/>
      <c r="K766" s="1"/>
    </row>
    <row r="767" spans="1:11" ht="15.75" customHeight="1">
      <c r="A767" s="1"/>
      <c r="B767" s="1"/>
      <c r="C767" s="1"/>
      <c r="D767" s="1"/>
      <c r="E767" s="1"/>
      <c r="F767" s="1"/>
      <c r="G767" s="1"/>
      <c r="H767" s="1"/>
      <c r="I767" s="61"/>
      <c r="J767" s="1"/>
      <c r="K767" s="1"/>
    </row>
    <row r="768" spans="1:11" ht="15.75" customHeight="1">
      <c r="A768" s="1"/>
      <c r="B768" s="1"/>
      <c r="C768" s="1"/>
      <c r="D768" s="1"/>
      <c r="E768" s="1"/>
      <c r="F768" s="1"/>
      <c r="G768" s="1"/>
      <c r="H768" s="1"/>
      <c r="I768" s="61"/>
      <c r="J768" s="1"/>
      <c r="K768" s="1"/>
    </row>
    <row r="769" spans="1:11" ht="15.75" customHeight="1">
      <c r="A769" s="1"/>
      <c r="B769" s="1"/>
      <c r="C769" s="1"/>
      <c r="D769" s="1"/>
      <c r="E769" s="1"/>
      <c r="F769" s="1"/>
      <c r="G769" s="1"/>
      <c r="H769" s="1"/>
      <c r="I769" s="61"/>
      <c r="J769" s="1"/>
      <c r="K769" s="1"/>
    </row>
    <row r="770" spans="1:11" ht="15.75" customHeight="1">
      <c r="A770" s="1"/>
      <c r="B770" s="1"/>
      <c r="C770" s="1"/>
      <c r="D770" s="1"/>
      <c r="E770" s="1"/>
      <c r="F770" s="1"/>
      <c r="G770" s="1"/>
      <c r="H770" s="1"/>
      <c r="I770" s="61"/>
      <c r="J770" s="1"/>
      <c r="K770" s="1"/>
    </row>
    <row r="771" spans="1:11" ht="15.75" customHeight="1">
      <c r="A771" s="1"/>
      <c r="B771" s="1"/>
      <c r="C771" s="1"/>
      <c r="D771" s="1"/>
      <c r="E771" s="1"/>
      <c r="F771" s="1"/>
      <c r="G771" s="1"/>
      <c r="H771" s="1"/>
      <c r="I771" s="61"/>
      <c r="J771" s="1"/>
      <c r="K771" s="1"/>
    </row>
    <row r="772" spans="1:11" ht="15.75" customHeight="1">
      <c r="A772" s="1"/>
      <c r="B772" s="1"/>
      <c r="C772" s="1"/>
      <c r="D772" s="1"/>
      <c r="E772" s="1"/>
      <c r="F772" s="1"/>
      <c r="G772" s="1"/>
      <c r="H772" s="1"/>
      <c r="I772" s="61"/>
      <c r="J772" s="1"/>
      <c r="K772" s="1"/>
    </row>
    <row r="773" spans="1:11" ht="15.75" customHeight="1">
      <c r="A773" s="1"/>
      <c r="B773" s="1"/>
      <c r="C773" s="1"/>
      <c r="D773" s="1"/>
      <c r="E773" s="1"/>
      <c r="F773" s="1"/>
      <c r="G773" s="1"/>
      <c r="H773" s="1"/>
      <c r="I773" s="61"/>
      <c r="J773" s="1"/>
      <c r="K773" s="1"/>
    </row>
    <row r="774" spans="1:11" ht="15.75" customHeight="1">
      <c r="A774" s="1"/>
      <c r="B774" s="1"/>
      <c r="C774" s="1"/>
      <c r="D774" s="1"/>
      <c r="E774" s="1"/>
      <c r="F774" s="1"/>
      <c r="G774" s="1"/>
      <c r="H774" s="1"/>
      <c r="I774" s="61"/>
      <c r="J774" s="1"/>
      <c r="K774" s="1"/>
    </row>
    <row r="775" spans="1:11" ht="15.75" customHeight="1">
      <c r="A775" s="1"/>
      <c r="B775" s="1"/>
      <c r="C775" s="1"/>
      <c r="D775" s="1"/>
      <c r="E775" s="1"/>
      <c r="F775" s="1"/>
      <c r="G775" s="1"/>
      <c r="H775" s="1"/>
      <c r="I775" s="61"/>
      <c r="J775" s="1"/>
      <c r="K775" s="1"/>
    </row>
    <row r="776" spans="1:11" ht="15.75" customHeight="1">
      <c r="A776" s="1"/>
      <c r="B776" s="1"/>
      <c r="C776" s="1"/>
      <c r="D776" s="1"/>
      <c r="E776" s="1"/>
      <c r="F776" s="1"/>
      <c r="G776" s="1"/>
      <c r="H776" s="1"/>
      <c r="I776" s="61"/>
      <c r="J776" s="1"/>
      <c r="K776" s="1"/>
    </row>
    <row r="777" spans="1:11" ht="15.75" customHeight="1">
      <c r="A777" s="1"/>
      <c r="B777" s="1"/>
      <c r="C777" s="1"/>
      <c r="D777" s="1"/>
      <c r="E777" s="1"/>
      <c r="F777" s="1"/>
      <c r="G777" s="1"/>
      <c r="H777" s="1"/>
      <c r="I777" s="61"/>
      <c r="J777" s="1"/>
      <c r="K777" s="1"/>
    </row>
    <row r="778" spans="1:11" ht="15.75" customHeight="1">
      <c r="A778" s="1"/>
      <c r="B778" s="1"/>
      <c r="C778" s="1"/>
      <c r="D778" s="1"/>
      <c r="E778" s="1"/>
      <c r="F778" s="1"/>
      <c r="G778" s="1"/>
      <c r="H778" s="1"/>
      <c r="I778" s="61"/>
      <c r="J778" s="1"/>
      <c r="K778" s="1"/>
    </row>
    <row r="779" spans="1:11" ht="15.75" customHeight="1">
      <c r="A779" s="1"/>
      <c r="B779" s="1"/>
      <c r="C779" s="1"/>
      <c r="D779" s="1"/>
      <c r="E779" s="1"/>
      <c r="F779" s="1"/>
      <c r="G779" s="1"/>
      <c r="H779" s="1"/>
      <c r="I779" s="61"/>
      <c r="J779" s="1"/>
      <c r="K779" s="1"/>
    </row>
    <row r="780" spans="1:11" ht="15.75" customHeight="1">
      <c r="A780" s="1"/>
      <c r="B780" s="1"/>
      <c r="C780" s="1"/>
      <c r="D780" s="1"/>
      <c r="E780" s="1"/>
      <c r="F780" s="1"/>
      <c r="G780" s="1"/>
      <c r="H780" s="1"/>
      <c r="I780" s="61"/>
      <c r="J780" s="1"/>
      <c r="K780" s="1"/>
    </row>
    <row r="781" spans="1:11" ht="15.75" customHeight="1">
      <c r="A781" s="1"/>
      <c r="B781" s="1"/>
      <c r="C781" s="1"/>
      <c r="D781" s="1"/>
      <c r="E781" s="1"/>
      <c r="F781" s="1"/>
      <c r="G781" s="1"/>
      <c r="H781" s="1"/>
      <c r="I781" s="61"/>
      <c r="J781" s="1"/>
      <c r="K781" s="1"/>
    </row>
    <row r="782" spans="1:11" ht="15.75" customHeight="1">
      <c r="A782" s="1"/>
      <c r="B782" s="1"/>
      <c r="C782" s="1"/>
      <c r="D782" s="1"/>
      <c r="E782" s="1"/>
      <c r="F782" s="1"/>
      <c r="G782" s="1"/>
      <c r="H782" s="1"/>
      <c r="I782" s="61"/>
      <c r="J782" s="1"/>
      <c r="K782" s="1"/>
    </row>
    <row r="783" spans="1:11" ht="15.75" customHeight="1">
      <c r="A783" s="1"/>
      <c r="B783" s="1"/>
      <c r="C783" s="1"/>
      <c r="D783" s="1"/>
      <c r="E783" s="1"/>
      <c r="F783" s="1"/>
      <c r="G783" s="1"/>
      <c r="H783" s="1"/>
      <c r="I783" s="61"/>
      <c r="J783" s="1"/>
      <c r="K783" s="1"/>
    </row>
    <row r="784" spans="1:11" ht="15.75" customHeight="1">
      <c r="A784" s="1"/>
      <c r="B784" s="1"/>
      <c r="C784" s="1"/>
      <c r="D784" s="1"/>
      <c r="E784" s="1"/>
      <c r="F784" s="1"/>
      <c r="G784" s="1"/>
      <c r="H784" s="1"/>
      <c r="I784" s="61"/>
      <c r="J784" s="1"/>
      <c r="K784" s="1"/>
    </row>
    <row r="785" spans="1:11" ht="15.75" customHeight="1">
      <c r="A785" s="1"/>
      <c r="B785" s="1"/>
      <c r="C785" s="1"/>
      <c r="D785" s="1"/>
      <c r="E785" s="1"/>
      <c r="F785" s="1"/>
      <c r="G785" s="1"/>
      <c r="H785" s="1"/>
      <c r="I785" s="61"/>
      <c r="J785" s="1"/>
      <c r="K785" s="1"/>
    </row>
    <row r="786" spans="1:11" ht="15.75" customHeight="1">
      <c r="A786" s="1"/>
      <c r="B786" s="1"/>
      <c r="C786" s="1"/>
      <c r="D786" s="1"/>
      <c r="E786" s="1"/>
      <c r="F786" s="1"/>
      <c r="G786" s="1"/>
      <c r="H786" s="1"/>
      <c r="I786" s="61"/>
      <c r="J786" s="1"/>
      <c r="K786" s="1"/>
    </row>
    <row r="787" spans="1:11" ht="15.75" customHeight="1">
      <c r="A787" s="1"/>
      <c r="B787" s="1"/>
      <c r="C787" s="1"/>
      <c r="D787" s="1"/>
      <c r="E787" s="1"/>
      <c r="F787" s="1"/>
      <c r="G787" s="1"/>
      <c r="H787" s="1"/>
      <c r="I787" s="61"/>
      <c r="J787" s="1"/>
      <c r="K787" s="1"/>
    </row>
    <row r="788" spans="1:11" ht="15.75" customHeight="1">
      <c r="A788" s="1"/>
      <c r="B788" s="1"/>
      <c r="C788" s="1"/>
      <c r="D788" s="1"/>
      <c r="E788" s="1"/>
      <c r="F788" s="1"/>
      <c r="G788" s="1"/>
      <c r="H788" s="1"/>
      <c r="I788" s="61"/>
      <c r="J788" s="1"/>
      <c r="K788" s="1"/>
    </row>
    <row r="789" spans="1:11" ht="15.75" customHeight="1">
      <c r="A789" s="1"/>
      <c r="B789" s="1"/>
      <c r="C789" s="1"/>
      <c r="D789" s="1"/>
      <c r="E789" s="1"/>
      <c r="F789" s="1"/>
      <c r="G789" s="1"/>
      <c r="H789" s="1"/>
      <c r="I789" s="61"/>
      <c r="J789" s="1"/>
      <c r="K789" s="1"/>
    </row>
    <row r="790" spans="1:11" ht="15.75" customHeight="1">
      <c r="A790" s="1"/>
      <c r="B790" s="1"/>
      <c r="C790" s="1"/>
      <c r="D790" s="1"/>
      <c r="E790" s="1"/>
      <c r="F790" s="1"/>
      <c r="G790" s="1"/>
      <c r="H790" s="1"/>
      <c r="I790" s="61"/>
      <c r="J790" s="1"/>
      <c r="K790" s="1"/>
    </row>
    <row r="791" spans="1:11" ht="15.75" customHeight="1">
      <c r="A791" s="1"/>
      <c r="B791" s="1"/>
      <c r="C791" s="1"/>
      <c r="D791" s="1"/>
      <c r="E791" s="1"/>
      <c r="F791" s="1"/>
      <c r="G791" s="1"/>
      <c r="H791" s="1"/>
      <c r="I791" s="61"/>
      <c r="J791" s="1"/>
      <c r="K791" s="1"/>
    </row>
    <row r="792" spans="1:11" ht="15.75" customHeight="1">
      <c r="A792" s="1"/>
      <c r="B792" s="1"/>
      <c r="C792" s="1"/>
      <c r="D792" s="1"/>
      <c r="E792" s="1"/>
      <c r="F792" s="1"/>
      <c r="G792" s="1"/>
      <c r="H792" s="1"/>
      <c r="I792" s="61"/>
      <c r="J792" s="1"/>
      <c r="K792" s="1"/>
    </row>
    <row r="793" spans="1:11" ht="15.75" customHeight="1">
      <c r="A793" s="1"/>
      <c r="B793" s="1"/>
      <c r="C793" s="1"/>
      <c r="D793" s="1"/>
      <c r="E793" s="1"/>
      <c r="F793" s="1"/>
      <c r="G793" s="1"/>
      <c r="H793" s="1"/>
      <c r="I793" s="61"/>
      <c r="J793" s="1"/>
      <c r="K793" s="1"/>
    </row>
    <row r="794" spans="1:11" ht="15.75" customHeight="1">
      <c r="A794" s="1"/>
      <c r="B794" s="1"/>
      <c r="C794" s="1"/>
      <c r="D794" s="1"/>
      <c r="E794" s="1"/>
      <c r="F794" s="1"/>
      <c r="G794" s="1"/>
      <c r="H794" s="1"/>
      <c r="I794" s="61"/>
      <c r="J794" s="1"/>
      <c r="K794" s="1"/>
    </row>
    <row r="795" spans="1:11" ht="15.75" customHeight="1">
      <c r="A795" s="1"/>
      <c r="B795" s="1"/>
      <c r="C795" s="1"/>
      <c r="D795" s="1"/>
      <c r="E795" s="1"/>
      <c r="F795" s="1"/>
      <c r="G795" s="1"/>
      <c r="H795" s="1"/>
      <c r="I795" s="61"/>
      <c r="J795" s="1"/>
      <c r="K795" s="1"/>
    </row>
    <row r="796" spans="1:11" ht="15.75" customHeight="1">
      <c r="A796" s="1"/>
      <c r="B796" s="1"/>
      <c r="C796" s="1"/>
      <c r="D796" s="1"/>
      <c r="E796" s="1"/>
      <c r="F796" s="1"/>
      <c r="G796" s="1"/>
      <c r="H796" s="1"/>
      <c r="I796" s="61"/>
      <c r="J796" s="1"/>
      <c r="K796" s="1"/>
    </row>
    <row r="797" spans="1:11" ht="15.75" customHeight="1">
      <c r="A797" s="1"/>
      <c r="B797" s="1"/>
      <c r="C797" s="1"/>
      <c r="D797" s="1"/>
      <c r="E797" s="1"/>
      <c r="F797" s="1"/>
      <c r="G797" s="1"/>
      <c r="H797" s="1"/>
      <c r="I797" s="61"/>
      <c r="J797" s="1"/>
      <c r="K797" s="1"/>
    </row>
    <row r="798" spans="1:11" ht="15.75" customHeight="1">
      <c r="A798" s="1"/>
      <c r="B798" s="1"/>
      <c r="C798" s="1"/>
      <c r="D798" s="1"/>
      <c r="E798" s="1"/>
      <c r="F798" s="1"/>
      <c r="G798" s="1"/>
      <c r="H798" s="1"/>
      <c r="I798" s="61"/>
      <c r="J798" s="1"/>
      <c r="K798" s="1"/>
    </row>
    <row r="799" spans="1:11" ht="15.75" customHeight="1">
      <c r="A799" s="1"/>
      <c r="B799" s="1"/>
      <c r="C799" s="1"/>
      <c r="D799" s="1"/>
      <c r="E799" s="1"/>
      <c r="F799" s="1"/>
      <c r="G799" s="1"/>
      <c r="H799" s="1"/>
      <c r="I799" s="61"/>
      <c r="J799" s="1"/>
      <c r="K799" s="1"/>
    </row>
    <row r="800" spans="1:11" ht="15.75" customHeight="1">
      <c r="A800" s="1"/>
      <c r="B800" s="1"/>
      <c r="C800" s="1"/>
      <c r="D800" s="1"/>
      <c r="E800" s="1"/>
      <c r="F800" s="1"/>
      <c r="G800" s="1"/>
      <c r="H800" s="1"/>
      <c r="I800" s="61"/>
      <c r="J800" s="1"/>
      <c r="K800" s="1"/>
    </row>
    <row r="801" spans="1:11" ht="15.75" customHeight="1">
      <c r="A801" s="1"/>
      <c r="B801" s="1"/>
      <c r="C801" s="1"/>
      <c r="D801" s="1"/>
      <c r="E801" s="1"/>
      <c r="F801" s="1"/>
      <c r="G801" s="1"/>
      <c r="H801" s="1"/>
      <c r="I801" s="61"/>
      <c r="J801" s="1"/>
      <c r="K801" s="1"/>
    </row>
    <row r="802" spans="1:11" ht="15.75" customHeight="1">
      <c r="A802" s="1"/>
      <c r="B802" s="1"/>
      <c r="C802" s="1"/>
      <c r="D802" s="1"/>
      <c r="E802" s="1"/>
      <c r="F802" s="1"/>
      <c r="G802" s="1"/>
      <c r="H802" s="1"/>
      <c r="I802" s="61"/>
      <c r="J802" s="1"/>
      <c r="K802" s="1"/>
    </row>
    <row r="803" spans="1:11" ht="15.75" customHeight="1">
      <c r="A803" s="1"/>
      <c r="B803" s="1"/>
      <c r="C803" s="1"/>
      <c r="D803" s="1"/>
      <c r="E803" s="1"/>
      <c r="F803" s="1"/>
      <c r="G803" s="1"/>
      <c r="H803" s="1"/>
      <c r="I803" s="61"/>
      <c r="J803" s="1"/>
      <c r="K803" s="1"/>
    </row>
    <row r="804" spans="1:11" ht="15.75" customHeight="1">
      <c r="A804" s="1"/>
      <c r="B804" s="1"/>
      <c r="C804" s="1"/>
      <c r="D804" s="1"/>
      <c r="E804" s="1"/>
      <c r="F804" s="1"/>
      <c r="G804" s="1"/>
      <c r="H804" s="1"/>
      <c r="I804" s="61"/>
      <c r="J804" s="1"/>
      <c r="K804" s="1"/>
    </row>
    <row r="805" spans="1:11" ht="15.75" customHeight="1">
      <c r="A805" s="1"/>
      <c r="B805" s="1"/>
      <c r="C805" s="1"/>
      <c r="D805" s="1"/>
      <c r="E805" s="1"/>
      <c r="F805" s="1"/>
      <c r="G805" s="1"/>
      <c r="H805" s="1"/>
      <c r="I805" s="61"/>
      <c r="J805" s="1"/>
      <c r="K805" s="1"/>
    </row>
    <row r="806" spans="1:11" ht="15.75" customHeight="1">
      <c r="A806" s="1"/>
      <c r="B806" s="1"/>
      <c r="C806" s="1"/>
      <c r="D806" s="1"/>
      <c r="E806" s="1"/>
      <c r="F806" s="1"/>
      <c r="G806" s="1"/>
      <c r="H806" s="1"/>
      <c r="I806" s="61"/>
      <c r="J806" s="1"/>
      <c r="K806" s="1"/>
    </row>
    <row r="807" spans="1:11" ht="15.75" customHeight="1">
      <c r="A807" s="1"/>
      <c r="B807" s="1"/>
      <c r="C807" s="1"/>
      <c r="D807" s="1"/>
      <c r="E807" s="1"/>
      <c r="F807" s="1"/>
      <c r="G807" s="1"/>
      <c r="H807" s="1"/>
      <c r="I807" s="61"/>
      <c r="J807" s="1"/>
      <c r="K807" s="1"/>
    </row>
    <row r="808" spans="1:11" ht="15.75" customHeight="1">
      <c r="A808" s="1"/>
      <c r="B808" s="1"/>
      <c r="C808" s="1"/>
      <c r="D808" s="1"/>
      <c r="E808" s="1"/>
      <c r="F808" s="1"/>
      <c r="G808" s="1"/>
      <c r="H808" s="1"/>
      <c r="I808" s="61"/>
      <c r="J808" s="1"/>
      <c r="K808" s="1"/>
    </row>
    <row r="809" spans="1:11" ht="15.75" customHeight="1">
      <c r="A809" s="1"/>
      <c r="B809" s="1"/>
      <c r="C809" s="1"/>
      <c r="D809" s="1"/>
      <c r="E809" s="1"/>
      <c r="F809" s="1"/>
      <c r="G809" s="1"/>
      <c r="H809" s="1"/>
      <c r="I809" s="61"/>
      <c r="J809" s="1"/>
      <c r="K809" s="1"/>
    </row>
    <row r="810" spans="1:11" ht="15.75" customHeight="1">
      <c r="A810" s="1"/>
      <c r="B810" s="1"/>
      <c r="C810" s="1"/>
      <c r="D810" s="1"/>
      <c r="E810" s="1"/>
      <c r="F810" s="1"/>
      <c r="G810" s="1"/>
      <c r="H810" s="1"/>
      <c r="I810" s="61"/>
      <c r="J810" s="1"/>
      <c r="K810" s="1"/>
    </row>
    <row r="811" spans="1:11" ht="15.75" customHeight="1">
      <c r="A811" s="1"/>
      <c r="B811" s="1"/>
      <c r="C811" s="1"/>
      <c r="D811" s="1"/>
      <c r="E811" s="1"/>
      <c r="F811" s="1"/>
      <c r="G811" s="1"/>
      <c r="H811" s="1"/>
      <c r="I811" s="61"/>
      <c r="J811" s="1"/>
      <c r="K811" s="1"/>
    </row>
    <row r="812" spans="1:11" ht="15.75" customHeight="1">
      <c r="A812" s="1"/>
      <c r="B812" s="1"/>
      <c r="C812" s="1"/>
      <c r="D812" s="1"/>
      <c r="E812" s="1"/>
      <c r="F812" s="1"/>
      <c r="G812" s="1"/>
      <c r="H812" s="1"/>
      <c r="I812" s="61"/>
      <c r="J812" s="1"/>
      <c r="K812" s="1"/>
    </row>
    <row r="813" spans="1:11" ht="15.75" customHeight="1">
      <c r="A813" s="1"/>
      <c r="B813" s="1"/>
      <c r="C813" s="1"/>
      <c r="D813" s="1"/>
      <c r="E813" s="1"/>
      <c r="F813" s="1"/>
      <c r="G813" s="1"/>
      <c r="H813" s="1"/>
      <c r="I813" s="61"/>
      <c r="J813" s="1"/>
      <c r="K813" s="1"/>
    </row>
    <row r="814" spans="1:11" ht="15.75" customHeight="1">
      <c r="A814" s="1"/>
      <c r="B814" s="1"/>
      <c r="C814" s="1"/>
      <c r="D814" s="1"/>
      <c r="E814" s="1"/>
      <c r="F814" s="1"/>
      <c r="G814" s="1"/>
      <c r="H814" s="1"/>
      <c r="I814" s="61"/>
      <c r="J814" s="1"/>
      <c r="K814" s="1"/>
    </row>
    <row r="815" spans="1:11" ht="15.75" customHeight="1">
      <c r="A815" s="1"/>
      <c r="B815" s="1"/>
      <c r="C815" s="1"/>
      <c r="D815" s="1"/>
      <c r="E815" s="1"/>
      <c r="F815" s="1"/>
      <c r="G815" s="1"/>
      <c r="H815" s="1"/>
      <c r="I815" s="61"/>
      <c r="J815" s="1"/>
      <c r="K815" s="1"/>
    </row>
    <row r="816" spans="1:11" ht="15.75" customHeight="1">
      <c r="A816" s="1"/>
      <c r="B816" s="1"/>
      <c r="C816" s="1"/>
      <c r="D816" s="1"/>
      <c r="E816" s="1"/>
      <c r="F816" s="1"/>
      <c r="G816" s="1"/>
      <c r="H816" s="1"/>
      <c r="I816" s="61"/>
      <c r="J816" s="1"/>
      <c r="K816" s="1"/>
    </row>
    <row r="817" spans="1:11" ht="15.75" customHeight="1">
      <c r="A817" s="1"/>
      <c r="B817" s="1"/>
      <c r="C817" s="1"/>
      <c r="D817" s="1"/>
      <c r="E817" s="1"/>
      <c r="F817" s="1"/>
      <c r="G817" s="1"/>
      <c r="H817" s="1"/>
      <c r="I817" s="61"/>
      <c r="J817" s="1"/>
      <c r="K817" s="1"/>
    </row>
    <row r="818" spans="1:11" ht="15.75" customHeight="1">
      <c r="A818" s="1"/>
      <c r="B818" s="1"/>
      <c r="C818" s="1"/>
      <c r="D818" s="1"/>
      <c r="E818" s="1"/>
      <c r="F818" s="1"/>
      <c r="G818" s="1"/>
      <c r="H818" s="1"/>
      <c r="I818" s="61"/>
      <c r="J818" s="1"/>
      <c r="K818" s="1"/>
    </row>
    <row r="819" spans="1:11" ht="15.75" customHeight="1">
      <c r="A819" s="1"/>
      <c r="B819" s="1"/>
      <c r="C819" s="1"/>
      <c r="D819" s="1"/>
      <c r="E819" s="1"/>
      <c r="F819" s="1"/>
      <c r="G819" s="1"/>
      <c r="H819" s="1"/>
      <c r="I819" s="61"/>
      <c r="J819" s="1"/>
      <c r="K819" s="1"/>
    </row>
    <row r="820" spans="1:11" ht="15.75" customHeight="1">
      <c r="A820" s="1"/>
      <c r="B820" s="1"/>
      <c r="C820" s="1"/>
      <c r="D820" s="1"/>
      <c r="E820" s="1"/>
      <c r="F820" s="1"/>
      <c r="G820" s="1"/>
      <c r="H820" s="1"/>
      <c r="I820" s="61"/>
      <c r="J820" s="1"/>
      <c r="K820" s="1"/>
    </row>
    <row r="821" spans="1:11" ht="15.75" customHeight="1">
      <c r="A821" s="1"/>
      <c r="B821" s="1"/>
      <c r="C821" s="1"/>
      <c r="D821" s="1"/>
      <c r="E821" s="1"/>
      <c r="F821" s="1"/>
      <c r="G821" s="1"/>
      <c r="H821" s="1"/>
      <c r="I821" s="61"/>
      <c r="J821" s="1"/>
      <c r="K821" s="1"/>
    </row>
    <row r="822" spans="1:11" ht="15.75" customHeight="1">
      <c r="A822" s="1"/>
      <c r="B822" s="1"/>
      <c r="C822" s="1"/>
      <c r="D822" s="1"/>
      <c r="E822" s="1"/>
      <c r="F822" s="1"/>
      <c r="G822" s="1"/>
      <c r="H822" s="1"/>
      <c r="I822" s="61"/>
      <c r="J822" s="1"/>
      <c r="K822" s="1"/>
    </row>
    <row r="823" spans="1:11" ht="15.75" customHeight="1">
      <c r="A823" s="1"/>
      <c r="B823" s="1"/>
      <c r="C823" s="1"/>
      <c r="D823" s="1"/>
      <c r="E823" s="1"/>
      <c r="F823" s="1"/>
      <c r="G823" s="1"/>
      <c r="H823" s="1"/>
      <c r="I823" s="61"/>
      <c r="J823" s="1"/>
      <c r="K823" s="1"/>
    </row>
    <row r="824" spans="1:11" ht="15.75" customHeight="1">
      <c r="A824" s="1"/>
      <c r="B824" s="1"/>
      <c r="C824" s="1"/>
      <c r="D824" s="1"/>
      <c r="E824" s="1"/>
      <c r="F824" s="1"/>
      <c r="G824" s="1"/>
      <c r="H824" s="1"/>
      <c r="I824" s="61"/>
      <c r="J824" s="1"/>
      <c r="K824" s="1"/>
    </row>
    <row r="825" spans="1:11" ht="15.75" customHeight="1">
      <c r="A825" s="1"/>
      <c r="B825" s="1"/>
      <c r="C825" s="1"/>
      <c r="D825" s="1"/>
      <c r="E825" s="1"/>
      <c r="F825" s="1"/>
      <c r="G825" s="1"/>
      <c r="H825" s="1"/>
      <c r="I825" s="61"/>
      <c r="J825" s="1"/>
      <c r="K825" s="1"/>
    </row>
    <row r="826" spans="1:11" ht="15.75" customHeight="1">
      <c r="A826" s="1"/>
      <c r="B826" s="1"/>
      <c r="C826" s="1"/>
      <c r="D826" s="1"/>
      <c r="E826" s="1"/>
      <c r="F826" s="1"/>
      <c r="G826" s="1"/>
      <c r="H826" s="1"/>
      <c r="I826" s="61"/>
      <c r="J826" s="1"/>
      <c r="K826" s="1"/>
    </row>
    <row r="827" spans="1:11" ht="15.75" customHeight="1">
      <c r="A827" s="1"/>
      <c r="B827" s="1"/>
      <c r="C827" s="1"/>
      <c r="D827" s="1"/>
      <c r="E827" s="1"/>
      <c r="F827" s="1"/>
      <c r="G827" s="1"/>
      <c r="H827" s="1"/>
      <c r="I827" s="61"/>
      <c r="J827" s="1"/>
      <c r="K827" s="1"/>
    </row>
    <row r="828" spans="1:11" ht="15.75" customHeight="1">
      <c r="A828" s="1"/>
      <c r="B828" s="1"/>
      <c r="C828" s="1"/>
      <c r="D828" s="1"/>
      <c r="E828" s="1"/>
      <c r="F828" s="1"/>
      <c r="G828" s="1"/>
      <c r="H828" s="1"/>
      <c r="I828" s="61"/>
      <c r="J828" s="1"/>
      <c r="K828" s="1"/>
    </row>
    <row r="829" spans="1:11" ht="15.75" customHeight="1">
      <c r="A829" s="1"/>
      <c r="B829" s="1"/>
      <c r="C829" s="1"/>
      <c r="D829" s="1"/>
      <c r="E829" s="1"/>
      <c r="F829" s="1"/>
      <c r="G829" s="1"/>
      <c r="H829" s="1"/>
      <c r="I829" s="61"/>
      <c r="J829" s="1"/>
      <c r="K829" s="1"/>
    </row>
    <row r="830" spans="1:11" ht="15.75" customHeight="1">
      <c r="A830" s="1"/>
      <c r="B830" s="1"/>
      <c r="C830" s="1"/>
      <c r="D830" s="1"/>
      <c r="E830" s="1"/>
      <c r="F830" s="1"/>
      <c r="G830" s="1"/>
      <c r="H830" s="1"/>
      <c r="I830" s="61"/>
      <c r="J830" s="1"/>
      <c r="K830" s="1"/>
    </row>
    <row r="831" spans="1:11" ht="15.75" customHeight="1">
      <c r="A831" s="1"/>
      <c r="B831" s="1"/>
      <c r="C831" s="1"/>
      <c r="D831" s="1"/>
      <c r="E831" s="1"/>
      <c r="F831" s="1"/>
      <c r="G831" s="1"/>
      <c r="H831" s="1"/>
      <c r="I831" s="61"/>
      <c r="J831" s="1"/>
      <c r="K831" s="1"/>
    </row>
    <row r="832" spans="1:11" ht="15.75" customHeight="1">
      <c r="A832" s="1"/>
      <c r="B832" s="1"/>
      <c r="C832" s="1"/>
      <c r="D832" s="1"/>
      <c r="E832" s="1"/>
      <c r="F832" s="1"/>
      <c r="G832" s="1"/>
      <c r="H832" s="1"/>
      <c r="I832" s="61"/>
      <c r="J832" s="1"/>
      <c r="K832" s="1"/>
    </row>
    <row r="833" spans="1:11" ht="15.75" customHeight="1">
      <c r="A833" s="1"/>
      <c r="B833" s="1"/>
      <c r="C833" s="1"/>
      <c r="D833" s="1"/>
      <c r="E833" s="1"/>
      <c r="F833" s="1"/>
      <c r="G833" s="1"/>
      <c r="H833" s="1"/>
      <c r="I833" s="61"/>
      <c r="J833" s="1"/>
      <c r="K833" s="1"/>
    </row>
    <row r="834" spans="1:11" ht="15.75" customHeight="1">
      <c r="A834" s="1"/>
      <c r="B834" s="1"/>
      <c r="C834" s="1"/>
      <c r="D834" s="1"/>
      <c r="E834" s="1"/>
      <c r="F834" s="1"/>
      <c r="G834" s="1"/>
      <c r="H834" s="1"/>
      <c r="I834" s="61"/>
      <c r="J834" s="1"/>
      <c r="K834" s="1"/>
    </row>
    <row r="835" spans="1:11" ht="15.75" customHeight="1">
      <c r="A835" s="1"/>
      <c r="B835" s="1"/>
      <c r="C835" s="1"/>
      <c r="D835" s="1"/>
      <c r="E835" s="1"/>
      <c r="F835" s="1"/>
      <c r="G835" s="1"/>
      <c r="H835" s="1"/>
      <c r="I835" s="61"/>
      <c r="J835" s="1"/>
      <c r="K835" s="1"/>
    </row>
    <row r="836" spans="1:11" ht="15.75" customHeight="1">
      <c r="A836" s="1"/>
      <c r="B836" s="1"/>
      <c r="C836" s="1"/>
      <c r="D836" s="1"/>
      <c r="E836" s="1"/>
      <c r="F836" s="1"/>
      <c r="G836" s="1"/>
      <c r="H836" s="1"/>
      <c r="I836" s="61"/>
      <c r="J836" s="1"/>
      <c r="K836" s="1"/>
    </row>
    <row r="837" spans="1:11" ht="15.75" customHeight="1">
      <c r="A837" s="1"/>
      <c r="B837" s="1"/>
      <c r="C837" s="1"/>
      <c r="D837" s="1"/>
      <c r="E837" s="1"/>
      <c r="F837" s="1"/>
      <c r="G837" s="1"/>
      <c r="H837" s="1"/>
      <c r="I837" s="61"/>
      <c r="J837" s="1"/>
      <c r="K837" s="1"/>
    </row>
    <row r="838" spans="1:11" ht="15.75" customHeight="1">
      <c r="A838" s="1"/>
      <c r="B838" s="1"/>
      <c r="C838" s="1"/>
      <c r="D838" s="1"/>
      <c r="E838" s="1"/>
      <c r="F838" s="1"/>
      <c r="G838" s="1"/>
      <c r="H838" s="1"/>
      <c r="I838" s="61"/>
      <c r="J838" s="1"/>
      <c r="K838" s="1"/>
    </row>
    <row r="839" spans="1:11" ht="15.75" customHeight="1">
      <c r="A839" s="1"/>
      <c r="B839" s="1"/>
      <c r="C839" s="1"/>
      <c r="D839" s="1"/>
      <c r="E839" s="1"/>
      <c r="F839" s="1"/>
      <c r="G839" s="1"/>
      <c r="H839" s="1"/>
      <c r="I839" s="61"/>
      <c r="J839" s="1"/>
      <c r="K839" s="1"/>
    </row>
    <row r="840" spans="1:11" ht="15.75" customHeight="1">
      <c r="A840" s="1"/>
      <c r="B840" s="1"/>
      <c r="C840" s="1"/>
      <c r="D840" s="1"/>
      <c r="E840" s="1"/>
      <c r="F840" s="1"/>
      <c r="G840" s="1"/>
      <c r="H840" s="1"/>
      <c r="I840" s="61"/>
      <c r="J840" s="1"/>
      <c r="K840" s="1"/>
    </row>
    <row r="841" spans="1:11" ht="15.75" customHeight="1">
      <c r="A841" s="1"/>
      <c r="B841" s="1"/>
      <c r="C841" s="1"/>
      <c r="D841" s="1"/>
      <c r="E841" s="1"/>
      <c r="F841" s="1"/>
      <c r="G841" s="1"/>
      <c r="H841" s="1"/>
      <c r="I841" s="61"/>
      <c r="J841" s="1"/>
      <c r="K841" s="1"/>
    </row>
    <row r="842" spans="1:11" ht="15.75" customHeight="1">
      <c r="A842" s="1"/>
      <c r="B842" s="1"/>
      <c r="C842" s="1"/>
      <c r="D842" s="1"/>
      <c r="E842" s="1"/>
      <c r="F842" s="1"/>
      <c r="G842" s="1"/>
      <c r="H842" s="1"/>
      <c r="I842" s="61"/>
      <c r="J842" s="1"/>
      <c r="K842" s="1"/>
    </row>
    <row r="843" spans="1:11" ht="15.75" customHeight="1">
      <c r="A843" s="1"/>
      <c r="B843" s="1"/>
      <c r="C843" s="1"/>
      <c r="D843" s="1"/>
      <c r="E843" s="1"/>
      <c r="F843" s="1"/>
      <c r="G843" s="1"/>
      <c r="H843" s="1"/>
      <c r="I843" s="61"/>
      <c r="J843" s="1"/>
      <c r="K843" s="1"/>
    </row>
    <row r="844" spans="1:11" ht="15.75" customHeight="1">
      <c r="A844" s="1"/>
      <c r="B844" s="1"/>
      <c r="C844" s="1"/>
      <c r="D844" s="1"/>
      <c r="E844" s="1"/>
      <c r="F844" s="1"/>
      <c r="G844" s="1"/>
      <c r="H844" s="1"/>
      <c r="I844" s="61"/>
      <c r="J844" s="1"/>
      <c r="K844" s="1"/>
    </row>
    <row r="845" spans="1:11" ht="15.75" customHeight="1">
      <c r="A845" s="1"/>
      <c r="B845" s="1"/>
      <c r="C845" s="1"/>
      <c r="D845" s="1"/>
      <c r="E845" s="1"/>
      <c r="F845" s="1"/>
      <c r="G845" s="1"/>
      <c r="H845" s="1"/>
      <c r="I845" s="61"/>
      <c r="J845" s="1"/>
      <c r="K845" s="1"/>
    </row>
    <row r="846" spans="1:11" ht="15.75" customHeight="1">
      <c r="A846" s="1"/>
      <c r="B846" s="1"/>
      <c r="C846" s="1"/>
      <c r="D846" s="1"/>
      <c r="E846" s="1"/>
      <c r="F846" s="1"/>
      <c r="G846" s="1"/>
      <c r="H846" s="1"/>
      <c r="I846" s="61"/>
      <c r="J846" s="1"/>
      <c r="K846" s="1"/>
    </row>
    <row r="847" spans="1:11" ht="15.75" customHeight="1">
      <c r="A847" s="1"/>
      <c r="B847" s="1"/>
      <c r="C847" s="1"/>
      <c r="D847" s="1"/>
      <c r="E847" s="1"/>
      <c r="F847" s="1"/>
      <c r="G847" s="1"/>
      <c r="H847" s="1"/>
      <c r="I847" s="61"/>
      <c r="J847" s="1"/>
      <c r="K847" s="1"/>
    </row>
    <row r="848" spans="1:11" ht="15.75" customHeight="1">
      <c r="A848" s="1"/>
      <c r="B848" s="1"/>
      <c r="C848" s="1"/>
      <c r="D848" s="1"/>
      <c r="E848" s="1"/>
      <c r="F848" s="1"/>
      <c r="G848" s="1"/>
      <c r="H848" s="1"/>
      <c r="I848" s="61"/>
      <c r="J848" s="1"/>
      <c r="K848" s="1"/>
    </row>
    <row r="849" spans="1:11" ht="15.75" customHeight="1">
      <c r="A849" s="1"/>
      <c r="B849" s="1"/>
      <c r="C849" s="1"/>
      <c r="D849" s="1"/>
      <c r="E849" s="1"/>
      <c r="F849" s="1"/>
      <c r="G849" s="1"/>
      <c r="H849" s="1"/>
      <c r="I849" s="61"/>
      <c r="J849" s="1"/>
      <c r="K849" s="1"/>
    </row>
    <row r="850" spans="1:11" ht="15.75" customHeight="1">
      <c r="A850" s="1"/>
      <c r="B850" s="1"/>
      <c r="C850" s="1"/>
      <c r="D850" s="1"/>
      <c r="E850" s="1"/>
      <c r="F850" s="1"/>
      <c r="G850" s="1"/>
      <c r="H850" s="1"/>
      <c r="I850" s="61"/>
      <c r="J850" s="1"/>
      <c r="K850" s="1"/>
    </row>
    <row r="851" spans="1:11" ht="15.75" customHeight="1">
      <c r="A851" s="1"/>
      <c r="B851" s="1"/>
      <c r="C851" s="1"/>
      <c r="D851" s="1"/>
      <c r="E851" s="1"/>
      <c r="F851" s="1"/>
      <c r="G851" s="1"/>
      <c r="H851" s="1"/>
      <c r="I851" s="61"/>
      <c r="J851" s="1"/>
      <c r="K851" s="1"/>
    </row>
    <row r="852" spans="1:11" ht="15.75" customHeight="1">
      <c r="A852" s="1"/>
      <c r="B852" s="1"/>
      <c r="C852" s="1"/>
      <c r="D852" s="1"/>
      <c r="E852" s="1"/>
      <c r="F852" s="1"/>
      <c r="G852" s="1"/>
      <c r="H852" s="1"/>
      <c r="I852" s="61"/>
      <c r="J852" s="1"/>
      <c r="K852" s="1"/>
    </row>
    <row r="853" spans="1:11" ht="15.75" customHeight="1">
      <c r="A853" s="1"/>
      <c r="B853" s="1"/>
      <c r="C853" s="1"/>
      <c r="D853" s="1"/>
      <c r="E853" s="1"/>
      <c r="F853" s="1"/>
      <c r="G853" s="1"/>
      <c r="H853" s="1"/>
      <c r="I853" s="61"/>
      <c r="J853" s="1"/>
      <c r="K853" s="1"/>
    </row>
    <row r="854" spans="1:11" ht="15.75" customHeight="1">
      <c r="A854" s="1"/>
      <c r="B854" s="1"/>
      <c r="C854" s="1"/>
      <c r="D854" s="1"/>
      <c r="E854" s="1"/>
      <c r="F854" s="1"/>
      <c r="G854" s="1"/>
      <c r="H854" s="1"/>
      <c r="I854" s="61"/>
      <c r="J854" s="1"/>
      <c r="K854" s="1"/>
    </row>
    <row r="855" spans="1:11" ht="15.75" customHeight="1">
      <c r="A855" s="1"/>
      <c r="B855" s="1"/>
      <c r="C855" s="1"/>
      <c r="D855" s="1"/>
      <c r="E855" s="1"/>
      <c r="F855" s="1"/>
      <c r="G855" s="1"/>
      <c r="H855" s="1"/>
      <c r="I855" s="61"/>
      <c r="J855" s="1"/>
      <c r="K855" s="1"/>
    </row>
    <row r="856" spans="1:11" ht="15.75" customHeight="1">
      <c r="A856" s="1"/>
      <c r="B856" s="1"/>
      <c r="C856" s="1"/>
      <c r="D856" s="1"/>
      <c r="E856" s="1"/>
      <c r="F856" s="1"/>
      <c r="G856" s="1"/>
      <c r="H856" s="1"/>
      <c r="I856" s="61"/>
      <c r="J856" s="1"/>
      <c r="K856" s="1"/>
    </row>
    <row r="857" spans="1:11" ht="15.75" customHeight="1">
      <c r="A857" s="1"/>
      <c r="B857" s="1"/>
      <c r="C857" s="1"/>
      <c r="D857" s="1"/>
      <c r="E857" s="1"/>
      <c r="F857" s="1"/>
      <c r="G857" s="1"/>
      <c r="H857" s="1"/>
      <c r="I857" s="61"/>
      <c r="J857" s="1"/>
      <c r="K857" s="1"/>
    </row>
    <row r="858" spans="1:11" ht="15.75" customHeight="1">
      <c r="A858" s="1"/>
      <c r="B858" s="1"/>
      <c r="C858" s="1"/>
      <c r="D858" s="1"/>
      <c r="E858" s="1"/>
      <c r="F858" s="1"/>
      <c r="G858" s="1"/>
      <c r="H858" s="1"/>
      <c r="I858" s="61"/>
      <c r="J858" s="1"/>
      <c r="K858" s="1"/>
    </row>
    <row r="859" spans="1:11" ht="15.75" customHeight="1">
      <c r="A859" s="1"/>
      <c r="B859" s="1"/>
      <c r="C859" s="1"/>
      <c r="D859" s="1"/>
      <c r="E859" s="1"/>
      <c r="F859" s="1"/>
      <c r="G859" s="1"/>
      <c r="H859" s="1"/>
      <c r="I859" s="61"/>
      <c r="J859" s="1"/>
      <c r="K859" s="1"/>
    </row>
    <row r="860" spans="1:11" ht="15.75" customHeight="1">
      <c r="A860" s="1"/>
      <c r="B860" s="1"/>
      <c r="C860" s="1"/>
      <c r="D860" s="1"/>
      <c r="E860" s="1"/>
      <c r="F860" s="1"/>
      <c r="G860" s="1"/>
      <c r="H860" s="1"/>
      <c r="I860" s="61"/>
      <c r="J860" s="1"/>
      <c r="K860" s="1"/>
    </row>
    <row r="861" spans="1:11" ht="15.75" customHeight="1">
      <c r="A861" s="1"/>
      <c r="B861" s="1"/>
      <c r="C861" s="1"/>
      <c r="D861" s="1"/>
      <c r="E861" s="1"/>
      <c r="F861" s="1"/>
      <c r="G861" s="1"/>
      <c r="H861" s="1"/>
      <c r="I861" s="61"/>
      <c r="J861" s="1"/>
      <c r="K861" s="1"/>
    </row>
    <row r="862" spans="1:11" ht="15.75" customHeight="1">
      <c r="A862" s="1"/>
      <c r="B862" s="1"/>
      <c r="C862" s="1"/>
      <c r="D862" s="1"/>
      <c r="E862" s="1"/>
      <c r="F862" s="1"/>
      <c r="G862" s="1"/>
      <c r="H862" s="1"/>
      <c r="I862" s="61"/>
      <c r="J862" s="1"/>
      <c r="K862" s="1"/>
    </row>
    <row r="863" spans="1:11" ht="15.75" customHeight="1">
      <c r="A863" s="1"/>
      <c r="B863" s="1"/>
      <c r="C863" s="1"/>
      <c r="D863" s="1"/>
      <c r="E863" s="1"/>
      <c r="F863" s="1"/>
      <c r="G863" s="1"/>
      <c r="H863" s="1"/>
      <c r="I863" s="61"/>
      <c r="J863" s="1"/>
      <c r="K863" s="1"/>
    </row>
    <row r="864" spans="1:11" ht="15.75" customHeight="1">
      <c r="A864" s="1"/>
      <c r="B864" s="1"/>
      <c r="C864" s="1"/>
      <c r="D864" s="1"/>
      <c r="E864" s="1"/>
      <c r="F864" s="1"/>
      <c r="G864" s="1"/>
      <c r="H864" s="1"/>
      <c r="I864" s="61"/>
      <c r="J864" s="1"/>
      <c r="K864" s="1"/>
    </row>
    <row r="865" spans="1:11" ht="15.75" customHeight="1">
      <c r="A865" s="1"/>
      <c r="B865" s="1"/>
      <c r="C865" s="1"/>
      <c r="D865" s="1"/>
      <c r="E865" s="1"/>
      <c r="F865" s="1"/>
      <c r="G865" s="1"/>
      <c r="H865" s="1"/>
      <c r="I865" s="61"/>
      <c r="J865" s="1"/>
      <c r="K865" s="1"/>
    </row>
    <row r="866" spans="1:11" ht="15.75" customHeight="1">
      <c r="A866" s="1"/>
      <c r="B866" s="1"/>
      <c r="C866" s="1"/>
      <c r="D866" s="1"/>
      <c r="E866" s="1"/>
      <c r="F866" s="1"/>
      <c r="G866" s="1"/>
      <c r="H866" s="1"/>
      <c r="I866" s="61"/>
      <c r="J866" s="1"/>
      <c r="K866" s="1"/>
    </row>
    <row r="867" spans="1:11" ht="15.75" customHeight="1">
      <c r="A867" s="1"/>
      <c r="B867" s="1"/>
      <c r="C867" s="1"/>
      <c r="D867" s="1"/>
      <c r="E867" s="1"/>
      <c r="F867" s="1"/>
      <c r="G867" s="1"/>
      <c r="H867" s="1"/>
      <c r="I867" s="61"/>
      <c r="J867" s="1"/>
      <c r="K867" s="1"/>
    </row>
    <row r="868" spans="1:11" ht="15.75" customHeight="1">
      <c r="A868" s="1"/>
      <c r="B868" s="1"/>
      <c r="C868" s="1"/>
      <c r="D868" s="1"/>
      <c r="E868" s="1"/>
      <c r="F868" s="1"/>
      <c r="G868" s="1"/>
      <c r="H868" s="1"/>
      <c r="I868" s="61"/>
      <c r="J868" s="1"/>
      <c r="K868" s="1"/>
    </row>
    <row r="869" spans="1:11" ht="15.75" customHeight="1">
      <c r="A869" s="1"/>
      <c r="B869" s="1"/>
      <c r="C869" s="1"/>
      <c r="D869" s="1"/>
      <c r="E869" s="1"/>
      <c r="F869" s="1"/>
      <c r="G869" s="1"/>
      <c r="H869" s="1"/>
      <c r="I869" s="61"/>
      <c r="J869" s="1"/>
      <c r="K869" s="1"/>
    </row>
    <row r="870" spans="1:11" ht="15.75" customHeight="1">
      <c r="A870" s="1"/>
      <c r="B870" s="1"/>
      <c r="C870" s="1"/>
      <c r="D870" s="1"/>
      <c r="E870" s="1"/>
      <c r="F870" s="1"/>
      <c r="G870" s="1"/>
      <c r="H870" s="1"/>
      <c r="I870" s="61"/>
      <c r="J870" s="1"/>
      <c r="K870" s="1"/>
    </row>
    <row r="871" spans="1:11" ht="15.75" customHeight="1">
      <c r="A871" s="1"/>
      <c r="B871" s="1"/>
      <c r="C871" s="1"/>
      <c r="D871" s="1"/>
      <c r="E871" s="1"/>
      <c r="F871" s="1"/>
      <c r="G871" s="1"/>
      <c r="H871" s="1"/>
      <c r="I871" s="61"/>
      <c r="J871" s="1"/>
      <c r="K871" s="1"/>
    </row>
    <row r="872" spans="1:11" ht="15.75" customHeight="1">
      <c r="A872" s="1"/>
      <c r="B872" s="1"/>
      <c r="C872" s="1"/>
      <c r="D872" s="1"/>
      <c r="E872" s="1"/>
      <c r="F872" s="1"/>
      <c r="G872" s="1"/>
      <c r="H872" s="1"/>
      <c r="I872" s="61"/>
      <c r="J872" s="1"/>
      <c r="K872" s="1"/>
    </row>
    <row r="873" spans="1:11" ht="15.75" customHeight="1">
      <c r="A873" s="1"/>
      <c r="B873" s="1"/>
      <c r="C873" s="1"/>
      <c r="D873" s="1"/>
      <c r="E873" s="1"/>
      <c r="F873" s="1"/>
      <c r="G873" s="1"/>
      <c r="H873" s="1"/>
      <c r="I873" s="61"/>
      <c r="J873" s="1"/>
      <c r="K873" s="1"/>
    </row>
    <row r="874" spans="1:11" ht="15.75" customHeight="1">
      <c r="A874" s="1"/>
      <c r="B874" s="1"/>
      <c r="C874" s="1"/>
      <c r="D874" s="1"/>
      <c r="E874" s="1"/>
      <c r="F874" s="1"/>
      <c r="G874" s="1"/>
      <c r="H874" s="1"/>
      <c r="I874" s="61"/>
      <c r="J874" s="1"/>
      <c r="K874" s="1"/>
    </row>
    <row r="875" spans="1:11" ht="15.75" customHeight="1">
      <c r="A875" s="1"/>
      <c r="B875" s="1"/>
      <c r="C875" s="1"/>
      <c r="D875" s="1"/>
      <c r="E875" s="1"/>
      <c r="F875" s="1"/>
      <c r="G875" s="1"/>
      <c r="H875" s="1"/>
      <c r="I875" s="61"/>
      <c r="J875" s="1"/>
      <c r="K875" s="1"/>
    </row>
    <row r="876" spans="1:11" ht="15.75" customHeight="1">
      <c r="A876" s="1"/>
      <c r="B876" s="1"/>
      <c r="C876" s="1"/>
      <c r="D876" s="1"/>
      <c r="E876" s="1"/>
      <c r="F876" s="1"/>
      <c r="G876" s="1"/>
      <c r="H876" s="1"/>
      <c r="I876" s="61"/>
      <c r="J876" s="1"/>
      <c r="K876" s="1"/>
    </row>
    <row r="877" spans="1:11" ht="15.75" customHeight="1">
      <c r="A877" s="1"/>
      <c r="B877" s="1"/>
      <c r="C877" s="1"/>
      <c r="D877" s="1"/>
      <c r="E877" s="1"/>
      <c r="F877" s="1"/>
      <c r="G877" s="1"/>
      <c r="H877" s="1"/>
      <c r="I877" s="61"/>
      <c r="J877" s="1"/>
      <c r="K877" s="1"/>
    </row>
    <row r="878" spans="1:11" ht="15.75" customHeight="1">
      <c r="A878" s="1"/>
      <c r="B878" s="1"/>
      <c r="C878" s="1"/>
      <c r="D878" s="1"/>
      <c r="E878" s="1"/>
      <c r="F878" s="1"/>
      <c r="G878" s="1"/>
      <c r="H878" s="1"/>
      <c r="I878" s="61"/>
      <c r="J878" s="1"/>
      <c r="K878" s="1"/>
    </row>
    <row r="879" spans="1:11" ht="15.75" customHeight="1">
      <c r="A879" s="1"/>
      <c r="B879" s="1"/>
      <c r="C879" s="1"/>
      <c r="D879" s="1"/>
      <c r="E879" s="1"/>
      <c r="F879" s="1"/>
      <c r="G879" s="1"/>
      <c r="H879" s="1"/>
      <c r="I879" s="61"/>
      <c r="J879" s="1"/>
      <c r="K879" s="1"/>
    </row>
    <row r="880" spans="1:11" ht="15.75" customHeight="1">
      <c r="A880" s="1"/>
      <c r="B880" s="1"/>
      <c r="C880" s="1"/>
      <c r="D880" s="1"/>
      <c r="E880" s="1"/>
      <c r="F880" s="1"/>
      <c r="G880" s="1"/>
      <c r="H880" s="1"/>
      <c r="I880" s="61"/>
      <c r="J880" s="1"/>
      <c r="K880" s="1"/>
    </row>
    <row r="881" spans="1:11" ht="15.75" customHeight="1">
      <c r="A881" s="1"/>
      <c r="B881" s="1"/>
      <c r="C881" s="1"/>
      <c r="D881" s="1"/>
      <c r="E881" s="1"/>
      <c r="F881" s="1"/>
      <c r="G881" s="1"/>
      <c r="H881" s="1"/>
      <c r="I881" s="61"/>
      <c r="J881" s="1"/>
      <c r="K881" s="1"/>
    </row>
    <row r="882" spans="1:11" ht="15.75" customHeight="1">
      <c r="A882" s="1"/>
      <c r="B882" s="1"/>
      <c r="C882" s="1"/>
      <c r="D882" s="1"/>
      <c r="E882" s="1"/>
      <c r="F882" s="1"/>
      <c r="G882" s="1"/>
      <c r="H882" s="1"/>
      <c r="I882" s="61"/>
      <c r="J882" s="1"/>
      <c r="K882" s="1"/>
    </row>
    <row r="883" spans="1:11" ht="15.75" customHeight="1">
      <c r="A883" s="1"/>
      <c r="B883" s="1"/>
      <c r="C883" s="1"/>
      <c r="D883" s="1"/>
      <c r="E883" s="1"/>
      <c r="F883" s="1"/>
      <c r="G883" s="1"/>
      <c r="H883" s="1"/>
      <c r="I883" s="61"/>
      <c r="J883" s="1"/>
      <c r="K883" s="1"/>
    </row>
    <row r="884" spans="1:11" ht="15.75" customHeight="1">
      <c r="A884" s="1"/>
      <c r="B884" s="1"/>
      <c r="C884" s="1"/>
      <c r="D884" s="1"/>
      <c r="E884" s="1"/>
      <c r="F884" s="1"/>
      <c r="G884" s="1"/>
      <c r="H884" s="1"/>
      <c r="I884" s="61"/>
      <c r="J884" s="1"/>
      <c r="K884" s="1"/>
    </row>
    <row r="885" spans="1:11" ht="15.75" customHeight="1">
      <c r="A885" s="1"/>
      <c r="B885" s="1"/>
      <c r="C885" s="1"/>
      <c r="D885" s="1"/>
      <c r="E885" s="1"/>
      <c r="F885" s="1"/>
      <c r="G885" s="1"/>
      <c r="H885" s="1"/>
      <c r="I885" s="61"/>
      <c r="J885" s="1"/>
      <c r="K885" s="1"/>
    </row>
    <row r="886" spans="1:11" ht="15.75" customHeight="1">
      <c r="A886" s="1"/>
      <c r="B886" s="1"/>
      <c r="C886" s="1"/>
      <c r="D886" s="1"/>
      <c r="E886" s="1"/>
      <c r="F886" s="1"/>
      <c r="G886" s="1"/>
      <c r="H886" s="1"/>
      <c r="I886" s="61"/>
      <c r="J886" s="1"/>
      <c r="K886" s="1"/>
    </row>
    <row r="887" spans="1:11" ht="15.75" customHeight="1">
      <c r="A887" s="1"/>
      <c r="B887" s="1"/>
      <c r="C887" s="1"/>
      <c r="D887" s="1"/>
      <c r="E887" s="1"/>
      <c r="F887" s="1"/>
      <c r="G887" s="1"/>
      <c r="H887" s="1"/>
      <c r="I887" s="61"/>
      <c r="J887" s="1"/>
      <c r="K887" s="1"/>
    </row>
    <row r="888" spans="1:11" ht="15.75" customHeight="1">
      <c r="A888" s="1"/>
      <c r="B888" s="1"/>
      <c r="C888" s="1"/>
      <c r="D888" s="1"/>
      <c r="E888" s="1"/>
      <c r="F888" s="1"/>
      <c r="G888" s="1"/>
      <c r="H888" s="1"/>
      <c r="I888" s="61"/>
      <c r="J888" s="1"/>
      <c r="K888" s="1"/>
    </row>
    <row r="889" spans="1:11" ht="15.75" customHeight="1">
      <c r="A889" s="1"/>
      <c r="B889" s="1"/>
      <c r="C889" s="1"/>
      <c r="D889" s="1"/>
      <c r="E889" s="1"/>
      <c r="F889" s="1"/>
      <c r="G889" s="1"/>
      <c r="H889" s="1"/>
      <c r="I889" s="61"/>
      <c r="J889" s="1"/>
      <c r="K889" s="1"/>
    </row>
    <row r="890" spans="1:11" ht="15.75" customHeight="1">
      <c r="A890" s="1"/>
      <c r="B890" s="1"/>
      <c r="C890" s="1"/>
      <c r="D890" s="1"/>
      <c r="E890" s="1"/>
      <c r="F890" s="1"/>
      <c r="G890" s="1"/>
      <c r="H890" s="1"/>
      <c r="I890" s="61"/>
      <c r="J890" s="1"/>
      <c r="K890" s="1"/>
    </row>
    <row r="891" spans="1:11" ht="15.75" customHeight="1">
      <c r="A891" s="1"/>
      <c r="B891" s="1"/>
      <c r="C891" s="1"/>
      <c r="D891" s="1"/>
      <c r="E891" s="1"/>
      <c r="F891" s="1"/>
      <c r="G891" s="1"/>
      <c r="H891" s="1"/>
      <c r="I891" s="61"/>
      <c r="J891" s="1"/>
      <c r="K891" s="1"/>
    </row>
    <row r="892" spans="1:11" ht="15.75" customHeight="1">
      <c r="A892" s="1"/>
      <c r="B892" s="1"/>
      <c r="C892" s="1"/>
      <c r="D892" s="1"/>
      <c r="E892" s="1"/>
      <c r="F892" s="1"/>
      <c r="G892" s="1"/>
      <c r="H892" s="1"/>
      <c r="I892" s="61"/>
      <c r="J892" s="1"/>
      <c r="K892" s="1"/>
    </row>
    <row r="893" spans="1:11" ht="15.75" customHeight="1">
      <c r="A893" s="1"/>
      <c r="B893" s="1"/>
      <c r="C893" s="1"/>
      <c r="D893" s="1"/>
      <c r="E893" s="1"/>
      <c r="F893" s="1"/>
      <c r="G893" s="1"/>
      <c r="H893" s="1"/>
      <c r="I893" s="61"/>
      <c r="J893" s="1"/>
      <c r="K893" s="1"/>
    </row>
    <row r="894" spans="1:11" ht="15.75" customHeight="1">
      <c r="A894" s="1"/>
      <c r="B894" s="1"/>
      <c r="C894" s="1"/>
      <c r="D894" s="1"/>
      <c r="E894" s="1"/>
      <c r="F894" s="1"/>
      <c r="G894" s="1"/>
      <c r="H894" s="1"/>
      <c r="I894" s="61"/>
      <c r="J894" s="1"/>
      <c r="K894" s="1"/>
    </row>
    <row r="895" spans="1:11" ht="15.75" customHeight="1">
      <c r="A895" s="1"/>
      <c r="B895" s="1"/>
      <c r="C895" s="1"/>
      <c r="D895" s="1"/>
      <c r="E895" s="1"/>
      <c r="F895" s="1"/>
      <c r="G895" s="1"/>
      <c r="H895" s="1"/>
      <c r="I895" s="61"/>
      <c r="J895" s="1"/>
      <c r="K895" s="1"/>
    </row>
    <row r="896" spans="1:11" ht="15.75" customHeight="1">
      <c r="A896" s="1"/>
      <c r="B896" s="1"/>
      <c r="C896" s="1"/>
      <c r="D896" s="1"/>
      <c r="E896" s="1"/>
      <c r="F896" s="1"/>
      <c r="G896" s="1"/>
      <c r="H896" s="1"/>
      <c r="I896" s="61"/>
      <c r="J896" s="1"/>
      <c r="K896" s="1"/>
    </row>
    <row r="897" spans="1:11" ht="15.75" customHeight="1">
      <c r="A897" s="1"/>
      <c r="B897" s="1"/>
      <c r="C897" s="1"/>
      <c r="D897" s="1"/>
      <c r="E897" s="1"/>
      <c r="F897" s="1"/>
      <c r="G897" s="1"/>
      <c r="H897" s="1"/>
      <c r="I897" s="61"/>
      <c r="J897" s="1"/>
      <c r="K897" s="1"/>
    </row>
    <row r="898" spans="1:11" ht="15.75" customHeight="1">
      <c r="A898" s="1"/>
      <c r="B898" s="1"/>
      <c r="C898" s="1"/>
      <c r="D898" s="1"/>
      <c r="E898" s="1"/>
      <c r="F898" s="1"/>
      <c r="G898" s="1"/>
      <c r="H898" s="1"/>
      <c r="I898" s="61"/>
      <c r="J898" s="1"/>
      <c r="K898" s="1"/>
    </row>
    <row r="899" spans="1:11" ht="15.75" customHeight="1">
      <c r="A899" s="1"/>
      <c r="B899" s="1"/>
      <c r="C899" s="1"/>
      <c r="D899" s="1"/>
      <c r="E899" s="1"/>
      <c r="F899" s="1"/>
      <c r="G899" s="1"/>
      <c r="H899" s="1"/>
      <c r="I899" s="61"/>
      <c r="J899" s="1"/>
      <c r="K899" s="1"/>
    </row>
    <row r="900" spans="1:11" ht="15.75" customHeight="1">
      <c r="A900" s="1"/>
      <c r="B900" s="1"/>
      <c r="C900" s="1"/>
      <c r="D900" s="1"/>
      <c r="E900" s="1"/>
      <c r="F900" s="1"/>
      <c r="G900" s="1"/>
      <c r="H900" s="1"/>
      <c r="I900" s="61"/>
      <c r="J900" s="1"/>
      <c r="K900" s="1"/>
    </row>
    <row r="901" spans="1:11" ht="15.75" customHeight="1">
      <c r="A901" s="1"/>
      <c r="B901" s="1"/>
      <c r="C901" s="1"/>
      <c r="D901" s="1"/>
      <c r="E901" s="1"/>
      <c r="F901" s="1"/>
      <c r="G901" s="1"/>
      <c r="H901" s="1"/>
      <c r="I901" s="61"/>
      <c r="J901" s="1"/>
      <c r="K901" s="1"/>
    </row>
    <row r="902" spans="1:11" ht="15.75" customHeight="1">
      <c r="A902" s="1"/>
      <c r="B902" s="1"/>
      <c r="C902" s="1"/>
      <c r="D902" s="1"/>
      <c r="E902" s="1"/>
      <c r="F902" s="1"/>
      <c r="G902" s="1"/>
      <c r="H902" s="1"/>
      <c r="I902" s="61"/>
      <c r="J902" s="1"/>
      <c r="K902" s="1"/>
    </row>
    <row r="903" spans="1:11" ht="15.75" customHeight="1">
      <c r="A903" s="1"/>
      <c r="B903" s="1"/>
      <c r="C903" s="1"/>
      <c r="D903" s="1"/>
      <c r="E903" s="1"/>
      <c r="F903" s="1"/>
      <c r="G903" s="1"/>
      <c r="H903" s="1"/>
      <c r="I903" s="61"/>
      <c r="J903" s="1"/>
      <c r="K903" s="1"/>
    </row>
    <row r="904" spans="1:11" ht="15.75" customHeight="1">
      <c r="A904" s="1"/>
      <c r="B904" s="1"/>
      <c r="C904" s="1"/>
      <c r="D904" s="1"/>
      <c r="E904" s="1"/>
      <c r="F904" s="1"/>
      <c r="G904" s="1"/>
      <c r="H904" s="1"/>
      <c r="I904" s="61"/>
      <c r="J904" s="1"/>
      <c r="K904" s="1"/>
    </row>
    <row r="905" spans="1:11" ht="15.75" customHeight="1">
      <c r="A905" s="1"/>
      <c r="B905" s="1"/>
      <c r="C905" s="1"/>
      <c r="D905" s="1"/>
      <c r="E905" s="1"/>
      <c r="F905" s="1"/>
      <c r="G905" s="1"/>
      <c r="H905" s="1"/>
      <c r="I905" s="61"/>
      <c r="J905" s="1"/>
      <c r="K905" s="1"/>
    </row>
    <row r="906" spans="1:11" ht="15.75" customHeight="1">
      <c r="A906" s="1"/>
      <c r="B906" s="1"/>
      <c r="C906" s="1"/>
      <c r="D906" s="1"/>
      <c r="E906" s="1"/>
      <c r="F906" s="1"/>
      <c r="G906" s="1"/>
      <c r="H906" s="1"/>
      <c r="I906" s="61"/>
      <c r="J906" s="1"/>
      <c r="K906" s="1"/>
    </row>
    <row r="907" spans="1:11" ht="15.75" customHeight="1">
      <c r="A907" s="1"/>
      <c r="B907" s="1"/>
      <c r="C907" s="1"/>
      <c r="D907" s="1"/>
      <c r="E907" s="1"/>
      <c r="F907" s="1"/>
      <c r="G907" s="1"/>
      <c r="H907" s="1"/>
      <c r="I907" s="61"/>
      <c r="J907" s="1"/>
      <c r="K907" s="1"/>
    </row>
    <row r="908" spans="1:11" ht="15.75" customHeight="1">
      <c r="A908" s="1"/>
      <c r="B908" s="1"/>
      <c r="C908" s="1"/>
      <c r="D908" s="1"/>
      <c r="E908" s="1"/>
      <c r="F908" s="1"/>
      <c r="G908" s="1"/>
      <c r="H908" s="1"/>
      <c r="I908" s="61"/>
      <c r="J908" s="1"/>
      <c r="K908" s="1"/>
    </row>
    <row r="909" spans="1:11" ht="15.75" customHeight="1">
      <c r="A909" s="1"/>
      <c r="B909" s="1"/>
      <c r="C909" s="1"/>
      <c r="D909" s="1"/>
      <c r="E909" s="1"/>
      <c r="F909" s="1"/>
      <c r="G909" s="1"/>
      <c r="H909" s="1"/>
      <c r="I909" s="61"/>
      <c r="J909" s="1"/>
      <c r="K909" s="1"/>
    </row>
    <row r="910" spans="1:11" ht="15.75" customHeight="1">
      <c r="A910" s="1"/>
      <c r="B910" s="1"/>
      <c r="C910" s="1"/>
      <c r="D910" s="1"/>
      <c r="E910" s="1"/>
      <c r="F910" s="1"/>
      <c r="G910" s="1"/>
      <c r="H910" s="1"/>
      <c r="I910" s="61"/>
      <c r="J910" s="1"/>
      <c r="K910" s="1"/>
    </row>
    <row r="911" spans="1:11" ht="15.75" customHeight="1">
      <c r="A911" s="1"/>
      <c r="B911" s="1"/>
      <c r="C911" s="1"/>
      <c r="D911" s="1"/>
      <c r="E911" s="1"/>
      <c r="F911" s="1"/>
      <c r="G911" s="1"/>
      <c r="H911" s="1"/>
      <c r="I911" s="61"/>
      <c r="J911" s="1"/>
      <c r="K911" s="1"/>
    </row>
    <row r="912" spans="1:11" ht="15.75" customHeight="1">
      <c r="A912" s="1"/>
      <c r="B912" s="1"/>
      <c r="C912" s="1"/>
      <c r="D912" s="1"/>
      <c r="E912" s="1"/>
      <c r="F912" s="1"/>
      <c r="G912" s="1"/>
      <c r="H912" s="1"/>
      <c r="I912" s="61"/>
      <c r="J912" s="1"/>
      <c r="K912" s="1"/>
    </row>
    <row r="913" spans="1:11" ht="15.75" customHeight="1">
      <c r="A913" s="1"/>
      <c r="B913" s="1"/>
      <c r="C913" s="1"/>
      <c r="D913" s="1"/>
      <c r="E913" s="1"/>
      <c r="F913" s="1"/>
      <c r="G913" s="1"/>
      <c r="H913" s="1"/>
      <c r="I913" s="61"/>
      <c r="J913" s="1"/>
      <c r="K913" s="1"/>
    </row>
    <row r="914" spans="1:11" ht="15.75" customHeight="1">
      <c r="A914" s="1"/>
      <c r="B914" s="1"/>
      <c r="C914" s="1"/>
      <c r="D914" s="1"/>
      <c r="E914" s="1"/>
      <c r="F914" s="1"/>
      <c r="G914" s="1"/>
      <c r="H914" s="1"/>
      <c r="I914" s="61"/>
      <c r="J914" s="1"/>
      <c r="K914" s="1"/>
    </row>
    <row r="915" spans="1:11" ht="15.75" customHeight="1">
      <c r="A915" s="1"/>
      <c r="B915" s="1"/>
      <c r="C915" s="1"/>
      <c r="D915" s="1"/>
      <c r="E915" s="1"/>
      <c r="F915" s="1"/>
      <c r="G915" s="1"/>
      <c r="H915" s="1"/>
      <c r="I915" s="61"/>
      <c r="J915" s="1"/>
      <c r="K915" s="1"/>
    </row>
    <row r="916" spans="1:11" ht="15.75" customHeight="1">
      <c r="A916" s="1"/>
      <c r="B916" s="1"/>
      <c r="C916" s="1"/>
      <c r="D916" s="1"/>
      <c r="E916" s="1"/>
      <c r="F916" s="1"/>
      <c r="G916" s="1"/>
      <c r="H916" s="1"/>
      <c r="I916" s="61"/>
      <c r="J916" s="1"/>
      <c r="K916" s="1"/>
    </row>
    <row r="917" spans="1:11" ht="15.75" customHeight="1">
      <c r="A917" s="1"/>
      <c r="B917" s="1"/>
      <c r="C917" s="1"/>
      <c r="D917" s="1"/>
      <c r="E917" s="1"/>
      <c r="F917" s="1"/>
      <c r="G917" s="1"/>
      <c r="H917" s="1"/>
      <c r="I917" s="61"/>
      <c r="J917" s="1"/>
      <c r="K917" s="1"/>
    </row>
    <row r="918" spans="1:11" ht="15.75" customHeight="1">
      <c r="A918" s="1"/>
      <c r="B918" s="1"/>
      <c r="C918" s="1"/>
      <c r="D918" s="1"/>
      <c r="E918" s="1"/>
      <c r="F918" s="1"/>
      <c r="G918" s="1"/>
      <c r="H918" s="1"/>
      <c r="I918" s="61"/>
      <c r="J918" s="1"/>
      <c r="K918" s="1"/>
    </row>
    <row r="919" spans="1:11" ht="15.75" customHeight="1">
      <c r="A919" s="1"/>
      <c r="B919" s="1"/>
      <c r="C919" s="1"/>
      <c r="D919" s="1"/>
      <c r="E919" s="1"/>
      <c r="F919" s="1"/>
      <c r="G919" s="1"/>
      <c r="H919" s="1"/>
      <c r="I919" s="61"/>
      <c r="J919" s="1"/>
      <c r="K919" s="1"/>
    </row>
    <row r="920" spans="1:11" ht="15.75" customHeight="1">
      <c r="A920" s="1"/>
      <c r="B920" s="1"/>
      <c r="C920" s="1"/>
      <c r="D920" s="1"/>
      <c r="E920" s="1"/>
      <c r="F920" s="1"/>
      <c r="G920" s="1"/>
      <c r="H920" s="1"/>
      <c r="I920" s="61"/>
      <c r="J920" s="1"/>
      <c r="K920" s="1"/>
    </row>
    <row r="921" spans="1:11" ht="15.75" customHeight="1">
      <c r="A921" s="1"/>
      <c r="B921" s="1"/>
      <c r="C921" s="1"/>
      <c r="D921" s="1"/>
      <c r="E921" s="1"/>
      <c r="F921" s="1"/>
      <c r="G921" s="1"/>
      <c r="H921" s="1"/>
      <c r="I921" s="61"/>
      <c r="J921" s="1"/>
      <c r="K921" s="1"/>
    </row>
    <row r="922" spans="1:11" ht="15.75" customHeight="1">
      <c r="A922" s="1"/>
      <c r="B922" s="1"/>
      <c r="C922" s="1"/>
      <c r="D922" s="1"/>
      <c r="E922" s="1"/>
      <c r="F922" s="1"/>
      <c r="G922" s="1"/>
      <c r="H922" s="1"/>
      <c r="I922" s="61"/>
      <c r="J922" s="1"/>
      <c r="K922" s="1"/>
    </row>
    <row r="923" spans="1:11" ht="15.75" customHeight="1">
      <c r="A923" s="1"/>
      <c r="B923" s="1"/>
      <c r="C923" s="1"/>
      <c r="D923" s="1"/>
      <c r="E923" s="1"/>
      <c r="F923" s="1"/>
      <c r="G923" s="1"/>
      <c r="H923" s="1"/>
      <c r="I923" s="61"/>
      <c r="J923" s="1"/>
      <c r="K923" s="1"/>
    </row>
    <row r="924" spans="1:11" ht="15.75" customHeight="1">
      <c r="A924" s="1"/>
      <c r="B924" s="1"/>
      <c r="C924" s="1"/>
      <c r="D924" s="1"/>
      <c r="E924" s="1"/>
      <c r="F924" s="1"/>
      <c r="G924" s="1"/>
      <c r="H924" s="1"/>
      <c r="I924" s="61"/>
      <c r="J924" s="1"/>
      <c r="K924" s="1"/>
    </row>
    <row r="925" spans="1:11" ht="15.75" customHeight="1">
      <c r="A925" s="1"/>
      <c r="B925" s="1"/>
      <c r="C925" s="1"/>
      <c r="D925" s="1"/>
      <c r="E925" s="1"/>
      <c r="F925" s="1"/>
      <c r="G925" s="1"/>
      <c r="H925" s="1"/>
      <c r="I925" s="61"/>
      <c r="J925" s="1"/>
      <c r="K925" s="1"/>
    </row>
    <row r="926" spans="1:11" ht="15.75" customHeight="1">
      <c r="A926" s="1"/>
      <c r="B926" s="1"/>
      <c r="C926" s="1"/>
      <c r="D926" s="1"/>
      <c r="E926" s="1"/>
      <c r="F926" s="1"/>
      <c r="G926" s="1"/>
      <c r="H926" s="1"/>
      <c r="I926" s="61"/>
      <c r="J926" s="1"/>
      <c r="K926" s="1"/>
    </row>
    <row r="927" spans="1:11" ht="15.75" customHeight="1">
      <c r="A927" s="1"/>
      <c r="B927" s="1"/>
      <c r="C927" s="1"/>
      <c r="D927" s="1"/>
      <c r="E927" s="1"/>
      <c r="F927" s="1"/>
      <c r="G927" s="1"/>
      <c r="H927" s="1"/>
      <c r="I927" s="61"/>
      <c r="J927" s="1"/>
      <c r="K927" s="1"/>
    </row>
    <row r="928" spans="1:11" ht="15.75" customHeight="1">
      <c r="A928" s="1"/>
      <c r="B928" s="1"/>
      <c r="C928" s="1"/>
      <c r="D928" s="1"/>
      <c r="E928" s="1"/>
      <c r="F928" s="1"/>
      <c r="G928" s="1"/>
      <c r="H928" s="1"/>
      <c r="I928" s="61"/>
      <c r="J928" s="1"/>
      <c r="K928" s="1"/>
    </row>
    <row r="929" spans="1:11" ht="15.75" customHeight="1">
      <c r="A929" s="1"/>
      <c r="B929" s="1"/>
      <c r="C929" s="1"/>
      <c r="D929" s="1"/>
      <c r="E929" s="1"/>
      <c r="F929" s="1"/>
      <c r="G929" s="1"/>
      <c r="H929" s="1"/>
      <c r="I929" s="61"/>
      <c r="J929" s="1"/>
      <c r="K929" s="1"/>
    </row>
    <row r="930" spans="1:11" ht="15.75" customHeight="1">
      <c r="A930" s="1"/>
      <c r="B930" s="1"/>
      <c r="C930" s="1"/>
      <c r="D930" s="1"/>
      <c r="E930" s="1"/>
      <c r="F930" s="1"/>
      <c r="G930" s="1"/>
      <c r="H930" s="1"/>
      <c r="I930" s="61"/>
      <c r="J930" s="1"/>
      <c r="K930" s="1"/>
    </row>
    <row r="931" spans="1:11" ht="15.75" customHeight="1">
      <c r="A931" s="1"/>
      <c r="B931" s="1"/>
      <c r="C931" s="1"/>
      <c r="D931" s="1"/>
      <c r="E931" s="1"/>
      <c r="F931" s="1"/>
      <c r="G931" s="1"/>
      <c r="H931" s="1"/>
      <c r="I931" s="61"/>
      <c r="J931" s="1"/>
      <c r="K931" s="1"/>
    </row>
    <row r="932" spans="1:11" ht="15.75" customHeight="1">
      <c r="A932" s="1"/>
      <c r="B932" s="1"/>
      <c r="C932" s="1"/>
      <c r="D932" s="1"/>
      <c r="E932" s="1"/>
      <c r="F932" s="1"/>
      <c r="G932" s="1"/>
      <c r="H932" s="1"/>
      <c r="I932" s="61"/>
      <c r="J932" s="1"/>
      <c r="K932" s="1"/>
    </row>
    <row r="933" spans="1:11" ht="15.75" customHeight="1">
      <c r="A933" s="1"/>
      <c r="B933" s="1"/>
      <c r="C933" s="1"/>
      <c r="D933" s="1"/>
      <c r="E933" s="1"/>
      <c r="F933" s="1"/>
      <c r="G933" s="1"/>
      <c r="H933" s="1"/>
      <c r="I933" s="61"/>
      <c r="J933" s="1"/>
      <c r="K933" s="1"/>
    </row>
    <row r="934" spans="1:11" ht="15.75" customHeight="1">
      <c r="A934" s="1"/>
      <c r="B934" s="1"/>
      <c r="C934" s="1"/>
      <c r="D934" s="1"/>
      <c r="E934" s="1"/>
      <c r="F934" s="1"/>
      <c r="G934" s="1"/>
      <c r="H934" s="1"/>
      <c r="I934" s="61"/>
      <c r="J934" s="1"/>
      <c r="K934" s="1"/>
    </row>
    <row r="935" spans="1:11" ht="15.75" customHeight="1">
      <c r="A935" s="1"/>
      <c r="B935" s="1"/>
      <c r="C935" s="1"/>
      <c r="D935" s="1"/>
      <c r="E935" s="1"/>
      <c r="F935" s="1"/>
      <c r="G935" s="1"/>
      <c r="H935" s="1"/>
      <c r="I935" s="61"/>
      <c r="J935" s="1"/>
      <c r="K935" s="1"/>
    </row>
    <row r="936" spans="1:11" ht="15.75" customHeight="1">
      <c r="A936" s="1"/>
      <c r="B936" s="1"/>
      <c r="C936" s="1"/>
      <c r="D936" s="1"/>
      <c r="E936" s="1"/>
      <c r="F936" s="1"/>
      <c r="G936" s="1"/>
      <c r="H936" s="1"/>
      <c r="I936" s="61"/>
      <c r="J936" s="1"/>
      <c r="K936" s="1"/>
    </row>
    <row r="937" spans="1:11" ht="15.75" customHeight="1">
      <c r="A937" s="1"/>
      <c r="B937" s="1"/>
      <c r="C937" s="1"/>
      <c r="D937" s="1"/>
      <c r="E937" s="1"/>
      <c r="F937" s="1"/>
      <c r="G937" s="1"/>
      <c r="H937" s="1"/>
      <c r="I937" s="61"/>
      <c r="J937" s="1"/>
      <c r="K937" s="1"/>
    </row>
    <row r="938" spans="1:11" ht="15.75" customHeight="1">
      <c r="A938" s="1"/>
      <c r="B938" s="1"/>
      <c r="C938" s="1"/>
      <c r="D938" s="1"/>
      <c r="E938" s="1"/>
      <c r="F938" s="1"/>
      <c r="G938" s="1"/>
      <c r="H938" s="1"/>
      <c r="I938" s="61"/>
      <c r="J938" s="1"/>
      <c r="K938" s="1"/>
    </row>
    <row r="939" spans="1:11" ht="15.75" customHeight="1">
      <c r="A939" s="1"/>
      <c r="B939" s="1"/>
      <c r="C939" s="1"/>
      <c r="D939" s="1"/>
      <c r="E939" s="1"/>
      <c r="F939" s="1"/>
      <c r="G939" s="1"/>
      <c r="H939" s="1"/>
      <c r="I939" s="61"/>
      <c r="J939" s="1"/>
      <c r="K939" s="1"/>
    </row>
    <row r="940" spans="1:11" ht="15.75" customHeight="1">
      <c r="A940" s="1"/>
      <c r="B940" s="1"/>
      <c r="C940" s="1"/>
      <c r="D940" s="1"/>
      <c r="E940" s="1"/>
      <c r="F940" s="1"/>
      <c r="G940" s="1"/>
      <c r="H940" s="1"/>
      <c r="I940" s="61"/>
      <c r="J940" s="1"/>
      <c r="K940" s="1"/>
    </row>
    <row r="941" spans="1:11" ht="15.75" customHeight="1">
      <c r="A941" s="1"/>
      <c r="B941" s="1"/>
      <c r="C941" s="1"/>
      <c r="D941" s="1"/>
      <c r="E941" s="1"/>
      <c r="F941" s="1"/>
      <c r="G941" s="1"/>
      <c r="H941" s="1"/>
      <c r="I941" s="61"/>
      <c r="J941" s="1"/>
      <c r="K941" s="1"/>
    </row>
    <row r="942" spans="1:11" ht="15.75" customHeight="1">
      <c r="A942" s="1"/>
      <c r="B942" s="1"/>
      <c r="C942" s="1"/>
      <c r="D942" s="1"/>
      <c r="E942" s="1"/>
      <c r="F942" s="1"/>
      <c r="G942" s="1"/>
      <c r="H942" s="1"/>
      <c r="I942" s="61"/>
      <c r="J942" s="1"/>
      <c r="K942" s="1"/>
    </row>
    <row r="943" spans="1:11" ht="15.75" customHeight="1">
      <c r="A943" s="1"/>
      <c r="B943" s="1"/>
      <c r="C943" s="1"/>
      <c r="D943" s="1"/>
      <c r="E943" s="1"/>
      <c r="F943" s="1"/>
      <c r="G943" s="1"/>
      <c r="H943" s="1"/>
      <c r="I943" s="61"/>
      <c r="J943" s="1"/>
      <c r="K943" s="1"/>
    </row>
    <row r="944" spans="1:11" ht="15.75" customHeight="1">
      <c r="A944" s="1"/>
      <c r="B944" s="1"/>
      <c r="C944" s="1"/>
      <c r="D944" s="1"/>
      <c r="E944" s="1"/>
      <c r="F944" s="1"/>
      <c r="G944" s="1"/>
      <c r="H944" s="1"/>
      <c r="I944" s="61"/>
      <c r="J944" s="1"/>
      <c r="K944" s="1"/>
    </row>
    <row r="945" spans="1:11" ht="15.75" customHeight="1">
      <c r="A945" s="1"/>
      <c r="B945" s="1"/>
      <c r="C945" s="1"/>
      <c r="D945" s="1"/>
      <c r="E945" s="1"/>
      <c r="F945" s="1"/>
      <c r="G945" s="1"/>
      <c r="H945" s="1"/>
      <c r="I945" s="61"/>
      <c r="J945" s="1"/>
      <c r="K945" s="1"/>
    </row>
    <row r="946" spans="1:11" ht="15.75" customHeight="1">
      <c r="A946" s="1"/>
      <c r="B946" s="1"/>
      <c r="C946" s="1"/>
      <c r="D946" s="1"/>
      <c r="E946" s="1"/>
      <c r="F946" s="1"/>
      <c r="G946" s="1"/>
      <c r="H946" s="1"/>
      <c r="I946" s="61"/>
      <c r="J946" s="1"/>
      <c r="K946" s="1"/>
    </row>
    <row r="947" spans="1:11" ht="15.75" customHeight="1">
      <c r="A947" s="1"/>
      <c r="B947" s="1"/>
      <c r="C947" s="1"/>
      <c r="D947" s="1"/>
      <c r="E947" s="1"/>
      <c r="F947" s="1"/>
      <c r="G947" s="1"/>
      <c r="H947" s="1"/>
      <c r="I947" s="61"/>
      <c r="J947" s="1"/>
      <c r="K947" s="1"/>
    </row>
    <row r="948" spans="1:11" ht="15.75" customHeight="1">
      <c r="A948" s="1"/>
      <c r="B948" s="1"/>
      <c r="C948" s="1"/>
      <c r="D948" s="1"/>
      <c r="E948" s="1"/>
      <c r="F948" s="1"/>
      <c r="G948" s="1"/>
      <c r="H948" s="1"/>
      <c r="I948" s="61"/>
      <c r="J948" s="1"/>
      <c r="K948" s="1"/>
    </row>
    <row r="949" spans="1:11" ht="15.75" customHeight="1">
      <c r="A949" s="1"/>
      <c r="B949" s="1"/>
      <c r="C949" s="1"/>
      <c r="D949" s="1"/>
      <c r="E949" s="1"/>
      <c r="F949" s="1"/>
      <c r="G949" s="1"/>
      <c r="H949" s="1"/>
      <c r="I949" s="61"/>
      <c r="J949" s="1"/>
      <c r="K949" s="1"/>
    </row>
    <row r="950" spans="1:11" ht="15.75" customHeight="1">
      <c r="A950" s="1"/>
      <c r="B950" s="1"/>
      <c r="C950" s="1"/>
      <c r="D950" s="1"/>
      <c r="E950" s="1"/>
      <c r="F950" s="1"/>
      <c r="G950" s="1"/>
      <c r="H950" s="1"/>
      <c r="I950" s="61"/>
      <c r="J950" s="1"/>
      <c r="K950" s="1"/>
    </row>
    <row r="951" spans="1:11" ht="15.75" customHeight="1">
      <c r="A951" s="1"/>
      <c r="B951" s="1"/>
      <c r="C951" s="1"/>
      <c r="D951" s="1"/>
      <c r="E951" s="1"/>
      <c r="F951" s="1"/>
      <c r="G951" s="1"/>
      <c r="H951" s="1"/>
      <c r="I951" s="61"/>
      <c r="J951" s="1"/>
      <c r="K951" s="1"/>
    </row>
    <row r="952" spans="1:11" ht="15.75" customHeight="1">
      <c r="A952" s="1"/>
      <c r="B952" s="1"/>
      <c r="C952" s="1"/>
      <c r="D952" s="1"/>
      <c r="E952" s="1"/>
      <c r="F952" s="1"/>
      <c r="G952" s="1"/>
      <c r="H952" s="1"/>
      <c r="I952" s="61"/>
      <c r="J952" s="1"/>
      <c r="K952" s="1"/>
    </row>
    <row r="953" spans="1:11" ht="15.75" customHeight="1">
      <c r="A953" s="1"/>
      <c r="B953" s="1"/>
      <c r="C953" s="1"/>
      <c r="D953" s="1"/>
      <c r="E953" s="1"/>
      <c r="F953" s="1"/>
      <c r="G953" s="1"/>
      <c r="H953" s="1"/>
      <c r="I953" s="61"/>
      <c r="J953" s="1"/>
      <c r="K953" s="1"/>
    </row>
    <row r="954" spans="1:11" ht="15.75" customHeight="1">
      <c r="A954" s="1"/>
      <c r="B954" s="1"/>
      <c r="C954" s="1"/>
      <c r="D954" s="1"/>
      <c r="E954" s="1"/>
      <c r="F954" s="1"/>
      <c r="G954" s="1"/>
      <c r="H954" s="1"/>
      <c r="I954" s="61"/>
      <c r="J954" s="1"/>
      <c r="K954" s="1"/>
    </row>
    <row r="955" spans="1:11" ht="15.75" customHeight="1">
      <c r="A955" s="1"/>
      <c r="B955" s="1"/>
      <c r="C955" s="1"/>
      <c r="D955" s="1"/>
      <c r="E955" s="1"/>
      <c r="F955" s="1"/>
      <c r="G955" s="1"/>
      <c r="H955" s="1"/>
      <c r="I955" s="61"/>
      <c r="J955" s="1"/>
      <c r="K955" s="1"/>
    </row>
    <row r="956" spans="1:11" ht="15.75" customHeight="1">
      <c r="A956" s="1"/>
      <c r="B956" s="1"/>
      <c r="C956" s="1"/>
      <c r="D956" s="1"/>
      <c r="E956" s="1"/>
      <c r="F956" s="1"/>
      <c r="G956" s="1"/>
      <c r="H956" s="1"/>
      <c r="I956" s="61"/>
      <c r="J956" s="1"/>
      <c r="K956" s="1"/>
    </row>
    <row r="957" spans="1:11" ht="15.75" customHeight="1">
      <c r="A957" s="1"/>
      <c r="B957" s="1"/>
      <c r="C957" s="1"/>
      <c r="D957" s="1"/>
      <c r="E957" s="1"/>
      <c r="F957" s="1"/>
      <c r="G957" s="1"/>
      <c r="H957" s="1"/>
      <c r="I957" s="61"/>
      <c r="J957" s="1"/>
      <c r="K957" s="1"/>
    </row>
    <row r="958" spans="1:11" ht="15.75" customHeight="1">
      <c r="A958" s="1"/>
      <c r="B958" s="1"/>
      <c r="C958" s="1"/>
      <c r="D958" s="1"/>
      <c r="E958" s="1"/>
      <c r="F958" s="1"/>
      <c r="G958" s="1"/>
      <c r="H958" s="1"/>
      <c r="I958" s="61"/>
      <c r="J958" s="1"/>
      <c r="K958" s="1"/>
    </row>
    <row r="959" spans="1:11" ht="15.75" customHeight="1">
      <c r="A959" s="1"/>
      <c r="B959" s="1"/>
      <c r="C959" s="1"/>
      <c r="D959" s="1"/>
      <c r="E959" s="1"/>
      <c r="F959" s="1"/>
      <c r="G959" s="1"/>
      <c r="H959" s="1"/>
      <c r="I959" s="61"/>
      <c r="J959" s="1"/>
      <c r="K959" s="1"/>
    </row>
    <row r="960" spans="1:11" ht="15.75" customHeight="1">
      <c r="A960" s="1"/>
      <c r="B960" s="1"/>
      <c r="C960" s="1"/>
      <c r="D960" s="1"/>
      <c r="E960" s="1"/>
      <c r="F960" s="1"/>
      <c r="G960" s="1"/>
      <c r="H960" s="1"/>
      <c r="I960" s="61"/>
      <c r="J960" s="1"/>
      <c r="K960" s="1"/>
    </row>
    <row r="961" spans="1:11" ht="15.75" customHeight="1">
      <c r="A961" s="1"/>
      <c r="B961" s="1"/>
      <c r="C961" s="1"/>
      <c r="D961" s="1"/>
      <c r="E961" s="1"/>
      <c r="F961" s="1"/>
      <c r="G961" s="1"/>
      <c r="H961" s="1"/>
      <c r="I961" s="61"/>
      <c r="J961" s="1"/>
      <c r="K961" s="1"/>
    </row>
    <row r="962" spans="1:11" ht="15.75" customHeight="1">
      <c r="A962" s="1"/>
      <c r="B962" s="1"/>
      <c r="C962" s="1"/>
      <c r="D962" s="1"/>
      <c r="E962" s="1"/>
      <c r="F962" s="1"/>
      <c r="G962" s="1"/>
      <c r="H962" s="1"/>
      <c r="I962" s="61"/>
      <c r="J962" s="1"/>
      <c r="K962" s="1"/>
    </row>
    <row r="963" spans="1:11" ht="15.75" customHeight="1">
      <c r="A963" s="1"/>
      <c r="B963" s="1"/>
      <c r="C963" s="1"/>
      <c r="D963" s="1"/>
      <c r="E963" s="1"/>
      <c r="F963" s="1"/>
      <c r="G963" s="1"/>
      <c r="H963" s="1"/>
      <c r="I963" s="61"/>
      <c r="J963" s="1"/>
      <c r="K963" s="1"/>
    </row>
    <row r="964" spans="1:11" ht="15.75" customHeight="1">
      <c r="A964" s="1"/>
      <c r="B964" s="1"/>
      <c r="C964" s="1"/>
      <c r="D964" s="1"/>
      <c r="E964" s="1"/>
      <c r="F964" s="1"/>
      <c r="G964" s="1"/>
      <c r="H964" s="1"/>
      <c r="I964" s="61"/>
      <c r="J964" s="1"/>
      <c r="K964" s="1"/>
    </row>
    <row r="965" spans="1:11" ht="15.75" customHeight="1">
      <c r="A965" s="1"/>
      <c r="B965" s="1"/>
      <c r="C965" s="1"/>
      <c r="D965" s="1"/>
      <c r="E965" s="1"/>
      <c r="F965" s="1"/>
      <c r="G965" s="1"/>
      <c r="H965" s="1"/>
      <c r="I965" s="61"/>
      <c r="J965" s="1"/>
      <c r="K965" s="1"/>
    </row>
    <row r="966" spans="1:11" ht="15.75" customHeight="1">
      <c r="A966" s="1"/>
      <c r="B966" s="1"/>
      <c r="C966" s="1"/>
      <c r="D966" s="1"/>
      <c r="E966" s="1"/>
      <c r="F966" s="1"/>
      <c r="G966" s="1"/>
      <c r="H966" s="1"/>
      <c r="I966" s="61"/>
      <c r="J966" s="1"/>
      <c r="K966" s="1"/>
    </row>
    <row r="967" spans="1:11" ht="15.75" customHeight="1">
      <c r="A967" s="1"/>
      <c r="B967" s="1"/>
      <c r="C967" s="1"/>
      <c r="D967" s="1"/>
      <c r="E967" s="1"/>
      <c r="F967" s="1"/>
      <c r="G967" s="1"/>
      <c r="H967" s="1"/>
      <c r="I967" s="61"/>
      <c r="J967" s="1"/>
      <c r="K967" s="1"/>
    </row>
    <row r="968" spans="1:11" ht="15.75" customHeight="1">
      <c r="A968" s="1"/>
      <c r="B968" s="1"/>
      <c r="C968" s="1"/>
      <c r="D968" s="1"/>
      <c r="E968" s="1"/>
      <c r="F968" s="1"/>
      <c r="G968" s="1"/>
      <c r="H968" s="1"/>
      <c r="I968" s="61"/>
      <c r="J968" s="1"/>
      <c r="K968" s="1"/>
    </row>
    <row r="969" spans="1:11" ht="15.75" customHeight="1">
      <c r="A969" s="1"/>
      <c r="B969" s="1"/>
      <c r="C969" s="1"/>
      <c r="D969" s="1"/>
      <c r="E969" s="1"/>
      <c r="F969" s="1"/>
      <c r="G969" s="1"/>
      <c r="H969" s="1"/>
      <c r="I969" s="61"/>
      <c r="J969" s="1"/>
      <c r="K969" s="1"/>
    </row>
    <row r="970" spans="1:11" ht="15.75" customHeight="1">
      <c r="A970" s="1"/>
      <c r="B970" s="1"/>
      <c r="C970" s="1"/>
      <c r="D970" s="1"/>
      <c r="E970" s="1"/>
      <c r="F970" s="1"/>
      <c r="G970" s="1"/>
      <c r="H970" s="1"/>
      <c r="I970" s="61"/>
      <c r="J970" s="1"/>
      <c r="K970" s="1"/>
    </row>
    <row r="971" spans="1:11" ht="15.75" customHeight="1">
      <c r="A971" s="1"/>
      <c r="B971" s="1"/>
      <c r="C971" s="1"/>
      <c r="D971" s="1"/>
      <c r="E971" s="1"/>
      <c r="F971" s="1"/>
      <c r="G971" s="1"/>
      <c r="H971" s="1"/>
      <c r="I971" s="61"/>
      <c r="J971" s="1"/>
      <c r="K971" s="1"/>
    </row>
    <row r="972" spans="1:11" ht="15.75" customHeight="1">
      <c r="A972" s="1"/>
      <c r="B972" s="1"/>
      <c r="C972" s="1"/>
      <c r="D972" s="1"/>
      <c r="E972" s="1"/>
      <c r="F972" s="1"/>
      <c r="G972" s="1"/>
      <c r="H972" s="1"/>
      <c r="I972" s="61"/>
      <c r="J972" s="1"/>
      <c r="K972" s="1"/>
    </row>
    <row r="973" spans="1:11" ht="15.75" customHeight="1">
      <c r="A973" s="1"/>
      <c r="B973" s="1"/>
      <c r="C973" s="1"/>
      <c r="D973" s="1"/>
      <c r="E973" s="1"/>
      <c r="F973" s="1"/>
      <c r="G973" s="1"/>
      <c r="H973" s="1"/>
      <c r="I973" s="61"/>
      <c r="J973" s="1"/>
      <c r="K973" s="1"/>
    </row>
    <row r="974" spans="1:11" ht="15.75" customHeight="1">
      <c r="A974" s="1"/>
      <c r="B974" s="1"/>
      <c r="C974" s="1"/>
      <c r="D974" s="1"/>
      <c r="E974" s="1"/>
      <c r="F974" s="1"/>
      <c r="G974" s="1"/>
      <c r="H974" s="1"/>
      <c r="I974" s="61"/>
      <c r="J974" s="1"/>
      <c r="K974" s="1"/>
    </row>
    <row r="975" spans="1:11" ht="15.75" customHeight="1">
      <c r="A975" s="1"/>
      <c r="B975" s="1"/>
      <c r="C975" s="1"/>
      <c r="D975" s="1"/>
      <c r="E975" s="1"/>
      <c r="F975" s="1"/>
      <c r="G975" s="1"/>
      <c r="H975" s="1"/>
      <c r="I975" s="61"/>
      <c r="J975" s="1"/>
      <c r="K975" s="1"/>
    </row>
    <row r="976" spans="1:11" ht="15.75" customHeight="1">
      <c r="A976" s="1"/>
      <c r="B976" s="1"/>
      <c r="C976" s="1"/>
      <c r="D976" s="1"/>
      <c r="E976" s="1"/>
      <c r="F976" s="1"/>
      <c r="G976" s="1"/>
      <c r="H976" s="1"/>
      <c r="I976" s="61"/>
      <c r="J976" s="1"/>
      <c r="K976" s="1"/>
    </row>
    <row r="977" spans="1:11" ht="15.75" customHeight="1">
      <c r="A977" s="1"/>
      <c r="B977" s="1"/>
      <c r="C977" s="1"/>
      <c r="D977" s="1"/>
      <c r="E977" s="1"/>
      <c r="F977" s="1"/>
      <c r="G977" s="1"/>
      <c r="H977" s="1"/>
      <c r="I977" s="61"/>
      <c r="J977" s="1"/>
      <c r="K977" s="1"/>
    </row>
    <row r="978" spans="1:11" ht="15.75" customHeight="1">
      <c r="A978" s="1"/>
      <c r="B978" s="1"/>
      <c r="C978" s="1"/>
      <c r="D978" s="1"/>
      <c r="E978" s="1"/>
      <c r="F978" s="1"/>
      <c r="G978" s="1"/>
      <c r="H978" s="1"/>
      <c r="I978" s="61"/>
      <c r="J978" s="1"/>
      <c r="K978" s="1"/>
    </row>
    <row r="979" spans="1:11" ht="15.75" customHeight="1">
      <c r="A979" s="1"/>
      <c r="B979" s="1"/>
      <c r="C979" s="1"/>
      <c r="D979" s="1"/>
      <c r="E979" s="1"/>
      <c r="F979" s="1"/>
      <c r="G979" s="1"/>
      <c r="H979" s="1"/>
      <c r="I979" s="61"/>
      <c r="J979" s="1"/>
      <c r="K979" s="1"/>
    </row>
    <row r="980" spans="1:11" ht="15.75" customHeight="1">
      <c r="A980" s="1"/>
      <c r="B980" s="1"/>
      <c r="C980" s="1"/>
      <c r="D980" s="1"/>
      <c r="E980" s="1"/>
      <c r="F980" s="1"/>
      <c r="G980" s="1"/>
      <c r="H980" s="1"/>
      <c r="I980" s="61"/>
      <c r="J980" s="1"/>
      <c r="K980" s="1"/>
    </row>
    <row r="981" spans="1:11" ht="15.75" customHeight="1">
      <c r="A981" s="1"/>
      <c r="B981" s="1"/>
      <c r="C981" s="1"/>
      <c r="D981" s="1"/>
      <c r="E981" s="1"/>
      <c r="F981" s="1"/>
      <c r="G981" s="1"/>
      <c r="H981" s="1"/>
      <c r="I981" s="61"/>
      <c r="J981" s="1"/>
      <c r="K981" s="1"/>
    </row>
    <row r="982" spans="1:11" ht="15.75" customHeight="1">
      <c r="A982" s="1"/>
      <c r="B982" s="1"/>
      <c r="C982" s="1"/>
      <c r="D982" s="1"/>
      <c r="E982" s="1"/>
      <c r="F982" s="1"/>
      <c r="G982" s="1"/>
      <c r="H982" s="1"/>
      <c r="I982" s="61"/>
      <c r="J982" s="1"/>
      <c r="K982" s="1"/>
    </row>
    <row r="983" spans="1:11" ht="15.75" customHeight="1">
      <c r="A983" s="1"/>
      <c r="B983" s="1"/>
      <c r="C983" s="1"/>
      <c r="D983" s="1"/>
      <c r="E983" s="1"/>
      <c r="F983" s="1"/>
      <c r="G983" s="1"/>
      <c r="H983" s="1"/>
      <c r="I983" s="61"/>
      <c r="J983" s="1"/>
      <c r="K983" s="1"/>
    </row>
    <row r="984" spans="1:11" ht="15.75" customHeight="1">
      <c r="A984" s="1"/>
      <c r="B984" s="1"/>
      <c r="C984" s="1"/>
      <c r="D984" s="1"/>
      <c r="E984" s="1"/>
      <c r="F984" s="1"/>
      <c r="G984" s="1"/>
      <c r="H984" s="1"/>
      <c r="I984" s="61"/>
      <c r="J984" s="1"/>
      <c r="K984" s="1"/>
    </row>
    <row r="985" spans="1:11" ht="15.75" customHeight="1">
      <c r="A985" s="1"/>
      <c r="B985" s="1"/>
      <c r="C985" s="1"/>
      <c r="D985" s="1"/>
      <c r="E985" s="1"/>
      <c r="F985" s="1"/>
      <c r="G985" s="1"/>
      <c r="H985" s="1"/>
      <c r="I985" s="61"/>
      <c r="J985" s="1"/>
      <c r="K985" s="1"/>
    </row>
    <row r="986" spans="1:11" ht="15.75" customHeight="1">
      <c r="A986" s="1"/>
      <c r="B986" s="1"/>
      <c r="C986" s="1"/>
      <c r="D986" s="1"/>
      <c r="E986" s="1"/>
      <c r="F986" s="1"/>
      <c r="G986" s="1"/>
      <c r="H986" s="1"/>
      <c r="I986" s="61"/>
      <c r="J986" s="1"/>
      <c r="K986" s="1"/>
    </row>
    <row r="987" spans="1:11" ht="15.75" customHeight="1">
      <c r="A987" s="1"/>
      <c r="B987" s="1"/>
      <c r="C987" s="1"/>
      <c r="D987" s="1"/>
      <c r="E987" s="1"/>
      <c r="F987" s="1"/>
      <c r="G987" s="1"/>
      <c r="H987" s="1"/>
      <c r="I987" s="61"/>
      <c r="J987" s="1"/>
      <c r="K987" s="1"/>
    </row>
    <row r="988" spans="1:11" ht="15.75" customHeight="1">
      <c r="A988" s="1"/>
      <c r="B988" s="1"/>
      <c r="C988" s="1"/>
      <c r="D988" s="1"/>
      <c r="E988" s="1"/>
      <c r="F988" s="1"/>
      <c r="G988" s="1"/>
      <c r="H988" s="1"/>
      <c r="I988" s="61"/>
      <c r="J988" s="1"/>
      <c r="K988" s="1"/>
    </row>
    <row r="989" spans="1:11" ht="15.75" customHeight="1">
      <c r="A989" s="1"/>
      <c r="B989" s="1"/>
      <c r="C989" s="1"/>
      <c r="D989" s="1"/>
      <c r="E989" s="1"/>
      <c r="F989" s="1"/>
      <c r="G989" s="1"/>
      <c r="H989" s="1"/>
      <c r="I989" s="61"/>
      <c r="J989" s="1"/>
      <c r="K989" s="1"/>
    </row>
    <row r="990" spans="1:11" ht="15.75" customHeight="1">
      <c r="A990" s="1"/>
      <c r="B990" s="1"/>
      <c r="C990" s="1"/>
      <c r="D990" s="1"/>
      <c r="E990" s="1"/>
      <c r="F990" s="1"/>
      <c r="G990" s="1"/>
      <c r="H990" s="1"/>
      <c r="I990" s="61"/>
      <c r="J990" s="1"/>
      <c r="K990" s="1"/>
    </row>
    <row r="991" spans="1:11" ht="15.75" customHeight="1">
      <c r="A991" s="1"/>
      <c r="B991" s="1"/>
      <c r="C991" s="1"/>
      <c r="D991" s="1"/>
      <c r="E991" s="1"/>
      <c r="F991" s="1"/>
      <c r="G991" s="1"/>
      <c r="H991" s="1"/>
      <c r="I991" s="61"/>
      <c r="J991" s="1"/>
      <c r="K991" s="1"/>
    </row>
    <row r="992" spans="1:11" ht="15.75" customHeight="1">
      <c r="A992" s="1"/>
      <c r="B992" s="1"/>
      <c r="C992" s="1"/>
      <c r="D992" s="1"/>
      <c r="E992" s="1"/>
      <c r="F992" s="1"/>
      <c r="G992" s="1"/>
      <c r="H992" s="1"/>
      <c r="I992" s="61"/>
      <c r="J992" s="1"/>
      <c r="K992" s="1"/>
    </row>
    <row r="993" spans="1:11" ht="15.75" customHeight="1">
      <c r="A993" s="1"/>
      <c r="B993" s="1"/>
      <c r="C993" s="1"/>
      <c r="D993" s="1"/>
      <c r="E993" s="1"/>
      <c r="F993" s="1"/>
      <c r="G993" s="1"/>
      <c r="H993" s="1"/>
      <c r="I993" s="61"/>
      <c r="J993" s="1"/>
      <c r="K993" s="1"/>
    </row>
    <row r="994" spans="1:11" ht="15.75" customHeight="1">
      <c r="A994" s="1"/>
      <c r="B994" s="1"/>
      <c r="C994" s="1"/>
      <c r="D994" s="1"/>
      <c r="E994" s="1"/>
      <c r="F994" s="1"/>
      <c r="G994" s="1"/>
      <c r="H994" s="1"/>
      <c r="I994" s="61"/>
      <c r="J994" s="1"/>
      <c r="K994" s="1"/>
    </row>
    <row r="995" spans="1:11" ht="15.75" customHeight="1">
      <c r="A995" s="1"/>
      <c r="B995" s="1"/>
      <c r="C995" s="1"/>
      <c r="D995" s="1"/>
      <c r="E995" s="1"/>
      <c r="F995" s="1"/>
      <c r="G995" s="1"/>
      <c r="H995" s="1"/>
      <c r="I995" s="61"/>
      <c r="J995" s="1"/>
      <c r="K995" s="1"/>
    </row>
    <row r="996" spans="1:11" ht="15.75" customHeight="1">
      <c r="A996" s="1"/>
      <c r="B996" s="1"/>
      <c r="C996" s="1"/>
      <c r="D996" s="1"/>
      <c r="E996" s="1"/>
      <c r="F996" s="1"/>
      <c r="G996" s="1"/>
      <c r="H996" s="1"/>
      <c r="I996" s="61"/>
      <c r="J996" s="1"/>
      <c r="K996" s="1"/>
    </row>
    <row r="997" spans="1:11" ht="15.75" customHeight="1">
      <c r="A997" s="1"/>
      <c r="B997" s="1"/>
      <c r="C997" s="1"/>
      <c r="D997" s="1"/>
      <c r="E997" s="1"/>
      <c r="F997" s="1"/>
      <c r="G997" s="1"/>
      <c r="H997" s="1"/>
      <c r="I997" s="61"/>
      <c r="J997" s="1"/>
      <c r="K997" s="1"/>
    </row>
    <row r="998" spans="1:11" ht="15.75" customHeight="1">
      <c r="A998" s="1"/>
      <c r="B998" s="1"/>
      <c r="C998" s="1"/>
      <c r="D998" s="1"/>
      <c r="E998" s="1"/>
      <c r="F998" s="1"/>
      <c r="G998" s="1"/>
      <c r="H998" s="1"/>
      <c r="I998" s="61"/>
      <c r="J998" s="1"/>
      <c r="K998" s="1"/>
    </row>
    <row r="999" spans="1:11" ht="15.75" customHeight="1">
      <c r="A999" s="1"/>
      <c r="B999" s="1"/>
      <c r="C999" s="1"/>
      <c r="D999" s="1"/>
      <c r="E999" s="1"/>
      <c r="F999" s="1"/>
      <c r="G999" s="1"/>
      <c r="H999" s="1"/>
      <c r="I999" s="61"/>
      <c r="J999" s="1"/>
      <c r="K999" s="1"/>
    </row>
    <row r="1000" spans="1:11" ht="15.75" customHeight="1">
      <c r="A1000" s="1"/>
      <c r="B1000" s="1"/>
      <c r="C1000" s="1"/>
      <c r="D1000" s="1"/>
      <c r="E1000" s="1"/>
      <c r="F1000" s="1"/>
      <c r="G1000" s="1"/>
      <c r="H1000" s="1"/>
      <c r="I1000" s="61"/>
      <c r="J1000" s="1"/>
      <c r="K1000" s="1"/>
    </row>
  </sheetData>
  <mergeCells count="120">
    <mergeCell ref="J213:J214"/>
    <mergeCell ref="K213:K214"/>
    <mergeCell ref="E222:H222"/>
    <mergeCell ref="E223:H223"/>
    <mergeCell ref="A1:I1"/>
    <mergeCell ref="C2:G2"/>
    <mergeCell ref="A6:B6"/>
    <mergeCell ref="F7:H7"/>
    <mergeCell ref="J7:K7"/>
    <mergeCell ref="A8:B8"/>
    <mergeCell ref="A32:A33"/>
    <mergeCell ref="K32:K33"/>
    <mergeCell ref="F52:F53"/>
    <mergeCell ref="J52:J53"/>
    <mergeCell ref="K52:K53"/>
    <mergeCell ref="B32:B33"/>
    <mergeCell ref="C32:C33"/>
    <mergeCell ref="A52:A53"/>
    <mergeCell ref="B52:B53"/>
    <mergeCell ref="C52:C53"/>
    <mergeCell ref="D52:D53"/>
    <mergeCell ref="E52:E53"/>
    <mergeCell ref="K156:K159"/>
    <mergeCell ref="J156:J159"/>
    <mergeCell ref="J181:J182"/>
    <mergeCell ref="K181:K182"/>
    <mergeCell ref="J196:J197"/>
    <mergeCell ref="K196:K197"/>
    <mergeCell ref="J206:J208"/>
    <mergeCell ref="K206:K208"/>
    <mergeCell ref="D32:D33"/>
    <mergeCell ref="E32:E33"/>
    <mergeCell ref="F32:F33"/>
    <mergeCell ref="J32:J33"/>
    <mergeCell ref="D119:D120"/>
    <mergeCell ref="E119:E120"/>
    <mergeCell ref="F119:F120"/>
    <mergeCell ref="J119:J120"/>
    <mergeCell ref="K119:K120"/>
    <mergeCell ref="A206:A208"/>
    <mergeCell ref="A213:A214"/>
    <mergeCell ref="B213:B214"/>
    <mergeCell ref="C213:C214"/>
    <mergeCell ref="D213:D214"/>
    <mergeCell ref="E213:E214"/>
    <mergeCell ref="F213:F214"/>
    <mergeCell ref="B196:B197"/>
    <mergeCell ref="C196:C197"/>
    <mergeCell ref="B206:B208"/>
    <mergeCell ref="C206:C208"/>
    <mergeCell ref="D206:D208"/>
    <mergeCell ref="E206:E208"/>
    <mergeCell ref="F206:F208"/>
    <mergeCell ref="A119:A120"/>
    <mergeCell ref="A156:A159"/>
    <mergeCell ref="B156:B159"/>
    <mergeCell ref="C156:C159"/>
    <mergeCell ref="D156:D159"/>
    <mergeCell ref="E156:E159"/>
    <mergeCell ref="F156:F159"/>
    <mergeCell ref="D196:D197"/>
    <mergeCell ref="E196:E197"/>
    <mergeCell ref="A181:A182"/>
    <mergeCell ref="B181:B182"/>
    <mergeCell ref="C181:C182"/>
    <mergeCell ref="D181:D182"/>
    <mergeCell ref="E181:E182"/>
    <mergeCell ref="F181:F182"/>
    <mergeCell ref="A196:A197"/>
    <mergeCell ref="F196:F197"/>
    <mergeCell ref="B119:B120"/>
    <mergeCell ref="C119:C120"/>
    <mergeCell ref="B104:B105"/>
    <mergeCell ref="C104:C105"/>
    <mergeCell ref="D104:D105"/>
    <mergeCell ref="E104:E105"/>
    <mergeCell ref="F104:F105"/>
    <mergeCell ref="J104:J105"/>
    <mergeCell ref="K104:K105"/>
    <mergeCell ref="A104:A105"/>
    <mergeCell ref="A112:A113"/>
    <mergeCell ref="B112:B113"/>
    <mergeCell ref="C112:C113"/>
    <mergeCell ref="D112:D113"/>
    <mergeCell ref="E112:E113"/>
    <mergeCell ref="F112:F113"/>
    <mergeCell ref="J112:J113"/>
    <mergeCell ref="K112:K113"/>
    <mergeCell ref="B89:B90"/>
    <mergeCell ref="C89:C90"/>
    <mergeCell ref="D89:D90"/>
    <mergeCell ref="E89:E90"/>
    <mergeCell ref="F89:F90"/>
    <mergeCell ref="J89:J90"/>
    <mergeCell ref="K89:K90"/>
    <mergeCell ref="A89:A90"/>
    <mergeCell ref="A95:A96"/>
    <mergeCell ref="B95:B96"/>
    <mergeCell ref="C95:C96"/>
    <mergeCell ref="D95:D96"/>
    <mergeCell ref="E95:E96"/>
    <mergeCell ref="F95:F96"/>
    <mergeCell ref="J95:J96"/>
    <mergeCell ref="K95:K96"/>
    <mergeCell ref="B75:B76"/>
    <mergeCell ref="C75:C76"/>
    <mergeCell ref="D75:D76"/>
    <mergeCell ref="E75:E76"/>
    <mergeCell ref="F75:F76"/>
    <mergeCell ref="J75:J76"/>
    <mergeCell ref="K75:K76"/>
    <mergeCell ref="A75:A76"/>
    <mergeCell ref="A81:A82"/>
    <mergeCell ref="B81:B82"/>
    <mergeCell ref="C81:C82"/>
    <mergeCell ref="D81:D82"/>
    <mergeCell ref="E81:E82"/>
    <mergeCell ref="F81:F82"/>
    <mergeCell ref="J81:J82"/>
    <mergeCell ref="K81:K82"/>
  </mergeCells>
  <pageMargins left="0.5" right="0.5" top="0.75" bottom="0.75" header="0" footer="0"/>
  <pageSetup paperSize="5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70C0"/>
  </sheetPr>
  <dimension ref="A1:O1000"/>
  <sheetViews>
    <sheetView tabSelected="1" topLeftCell="A7" workbookViewId="0">
      <selection sqref="A1:J1"/>
    </sheetView>
  </sheetViews>
  <sheetFormatPr defaultColWidth="14.42578125" defaultRowHeight="15" customHeight="1"/>
  <cols>
    <col min="1" max="1" width="4.7109375" customWidth="1"/>
    <col min="2" max="2" width="23.42578125" customWidth="1"/>
    <col min="3" max="3" width="8.140625" customWidth="1"/>
    <col min="4" max="4" width="14" customWidth="1"/>
    <col min="5" max="5" width="15.7109375" customWidth="1"/>
    <col min="6" max="6" width="9.7109375" customWidth="1"/>
    <col min="7" max="7" width="17.140625" customWidth="1"/>
    <col min="8" max="8" width="14.7109375" customWidth="1"/>
    <col min="9" max="9" width="17.28515625" customWidth="1"/>
    <col min="10" max="10" width="10.7109375" customWidth="1"/>
    <col min="11" max="11" width="8.28515625" customWidth="1"/>
    <col min="12" max="12" width="18.5703125" customWidth="1"/>
    <col min="13" max="26" width="8.7109375" customWidth="1"/>
  </cols>
  <sheetData>
    <row r="1" spans="1:15" ht="23.25">
      <c r="A1" s="555" t="s">
        <v>0</v>
      </c>
      <c r="B1" s="553"/>
      <c r="C1" s="553"/>
      <c r="D1" s="553"/>
      <c r="E1" s="553"/>
      <c r="F1" s="553"/>
      <c r="G1" s="553"/>
      <c r="H1" s="553"/>
      <c r="I1" s="553"/>
      <c r="J1" s="553"/>
      <c r="K1" s="1"/>
    </row>
    <row r="2" spans="1:15" ht="18">
      <c r="A2" s="2"/>
      <c r="B2" s="3"/>
      <c r="C2" s="604" t="s">
        <v>4626</v>
      </c>
      <c r="D2" s="553"/>
      <c r="E2" s="553"/>
      <c r="F2" s="553"/>
      <c r="G2" s="553"/>
      <c r="H2" s="553"/>
      <c r="I2" s="45"/>
      <c r="J2" s="72"/>
      <c r="K2" s="76"/>
      <c r="L2" s="76"/>
    </row>
    <row r="3" spans="1:15">
      <c r="A3" s="2"/>
      <c r="B3" s="3"/>
      <c r="C3" s="71"/>
      <c r="D3" s="3"/>
      <c r="E3" s="3"/>
      <c r="G3" s="3"/>
      <c r="H3" s="71"/>
      <c r="I3" s="45"/>
      <c r="J3" s="72"/>
      <c r="K3" s="557" t="s">
        <v>4627</v>
      </c>
      <c r="L3" s="558"/>
    </row>
    <row r="4" spans="1:15">
      <c r="A4" s="2"/>
      <c r="B4" s="3"/>
      <c r="C4" s="71"/>
      <c r="D4" s="3"/>
      <c r="E4" s="3"/>
      <c r="G4" s="3"/>
      <c r="H4" s="71"/>
      <c r="I4" s="45"/>
      <c r="J4" s="72"/>
      <c r="K4" s="73" t="s">
        <v>4628</v>
      </c>
      <c r="L4" s="294"/>
    </row>
    <row r="5" spans="1:15">
      <c r="A5" s="2"/>
      <c r="B5" s="3"/>
      <c r="C5" s="71"/>
      <c r="D5" s="3"/>
      <c r="E5" s="3"/>
      <c r="G5" s="3"/>
      <c r="H5" s="71"/>
      <c r="I5" s="45"/>
      <c r="J5" s="72"/>
      <c r="K5" s="73" t="s">
        <v>4629</v>
      </c>
      <c r="L5" s="294"/>
    </row>
    <row r="6" spans="1:15" ht="18">
      <c r="A6" s="567" t="s">
        <v>360</v>
      </c>
      <c r="B6" s="560"/>
      <c r="C6" s="75"/>
      <c r="D6" s="3"/>
      <c r="E6" s="10"/>
      <c r="F6" s="76"/>
      <c r="G6" s="3"/>
      <c r="H6" s="71"/>
      <c r="I6" s="45"/>
      <c r="J6" s="72"/>
      <c r="K6" s="77" t="s">
        <v>4630</v>
      </c>
      <c r="L6" s="53"/>
    </row>
    <row r="7" spans="1:15">
      <c r="A7" s="11"/>
      <c r="B7" s="12"/>
      <c r="C7" s="78" t="s">
        <v>362</v>
      </c>
      <c r="D7" s="14"/>
      <c r="E7" s="14"/>
      <c r="F7" s="79" t="s">
        <v>363</v>
      </c>
      <c r="G7" s="78" t="s">
        <v>364</v>
      </c>
      <c r="H7" s="563" t="s">
        <v>365</v>
      </c>
      <c r="I7" s="558"/>
      <c r="J7" s="80"/>
      <c r="K7" s="550" t="s">
        <v>8</v>
      </c>
      <c r="L7" s="551"/>
    </row>
    <row r="8" spans="1:15">
      <c r="A8" s="565" t="s">
        <v>366</v>
      </c>
      <c r="B8" s="566"/>
      <c r="C8" s="79" t="s">
        <v>367</v>
      </c>
      <c r="D8" s="17" t="s">
        <v>11</v>
      </c>
      <c r="E8" s="18" t="s">
        <v>12</v>
      </c>
      <c r="F8" s="79" t="s">
        <v>368</v>
      </c>
      <c r="G8" s="81" t="s">
        <v>369</v>
      </c>
      <c r="H8" s="82"/>
      <c r="I8" s="83" t="s">
        <v>14</v>
      </c>
      <c r="J8" s="84" t="s">
        <v>15</v>
      </c>
      <c r="K8" s="24"/>
      <c r="L8" s="85"/>
    </row>
    <row r="9" spans="1:15">
      <c r="A9" s="25"/>
      <c r="B9" s="26"/>
      <c r="C9" s="79" t="s">
        <v>370</v>
      </c>
      <c r="D9" s="27"/>
      <c r="E9" s="26"/>
      <c r="F9" s="79" t="s">
        <v>371</v>
      </c>
      <c r="G9" s="81" t="s">
        <v>372</v>
      </c>
      <c r="H9" s="86" t="s">
        <v>17</v>
      </c>
      <c r="I9" s="83" t="s">
        <v>18</v>
      </c>
      <c r="J9" s="87"/>
      <c r="K9" s="17" t="s">
        <v>19</v>
      </c>
      <c r="L9" s="17" t="s">
        <v>20</v>
      </c>
    </row>
    <row r="10" spans="1:15">
      <c r="A10" s="30"/>
      <c r="B10" s="31"/>
      <c r="C10" s="88"/>
      <c r="D10" s="33"/>
      <c r="E10" s="33"/>
      <c r="F10" s="89" t="s">
        <v>373</v>
      </c>
      <c r="G10" s="38"/>
      <c r="H10" s="90"/>
      <c r="I10" s="91" t="s">
        <v>374</v>
      </c>
      <c r="J10" s="92"/>
      <c r="K10" s="34"/>
      <c r="L10" s="38" t="s">
        <v>22</v>
      </c>
    </row>
    <row r="11" spans="1:15">
      <c r="A11" s="39" t="s">
        <v>23</v>
      </c>
      <c r="B11" s="57"/>
      <c r="C11" s="93"/>
      <c r="D11" s="57"/>
      <c r="E11" s="57"/>
      <c r="F11" s="40"/>
      <c r="G11" s="57"/>
      <c r="H11" s="93"/>
      <c r="I11" s="44"/>
      <c r="J11" s="94"/>
      <c r="K11" s="40"/>
      <c r="L11" s="40"/>
    </row>
    <row r="12" spans="1:15">
      <c r="A12" s="431">
        <v>6</v>
      </c>
      <c r="B12" s="40" t="s">
        <v>4072</v>
      </c>
      <c r="C12" s="40"/>
      <c r="D12" s="40" t="s">
        <v>26</v>
      </c>
      <c r="E12" s="40" t="s">
        <v>333</v>
      </c>
      <c r="F12" s="40"/>
      <c r="G12" s="515" t="s">
        <v>4073</v>
      </c>
      <c r="H12" s="506" t="s">
        <v>29</v>
      </c>
      <c r="I12" s="200">
        <v>27500</v>
      </c>
      <c r="J12" s="516" t="s">
        <v>642</v>
      </c>
      <c r="K12" s="439"/>
      <c r="L12" s="40" t="s">
        <v>31</v>
      </c>
    </row>
    <row r="13" spans="1:15">
      <c r="A13" s="431">
        <v>7</v>
      </c>
      <c r="B13" s="439" t="s">
        <v>398</v>
      </c>
      <c r="C13" s="40"/>
      <c r="D13" s="439" t="s">
        <v>4631</v>
      </c>
      <c r="E13" s="439" t="s">
        <v>319</v>
      </c>
      <c r="F13" s="40"/>
      <c r="G13" s="439" t="s">
        <v>400</v>
      </c>
      <c r="H13" s="506" t="s">
        <v>29</v>
      </c>
      <c r="I13" s="200">
        <v>10000</v>
      </c>
      <c r="J13" s="40" t="s">
        <v>642</v>
      </c>
      <c r="K13" s="439"/>
      <c r="L13" s="40" t="s">
        <v>31</v>
      </c>
      <c r="O13" s="65"/>
    </row>
    <row r="14" spans="1:15">
      <c r="A14" s="431">
        <v>7</v>
      </c>
      <c r="B14" s="439" t="s">
        <v>398</v>
      </c>
      <c r="C14" s="40"/>
      <c r="D14" s="439" t="s">
        <v>4631</v>
      </c>
      <c r="E14" s="439" t="s">
        <v>319</v>
      </c>
      <c r="F14" s="40"/>
      <c r="G14" s="439" t="s">
        <v>400</v>
      </c>
      <c r="H14" s="506" t="s">
        <v>2160</v>
      </c>
      <c r="I14" s="200">
        <v>20</v>
      </c>
      <c r="J14" s="507" t="s">
        <v>642</v>
      </c>
      <c r="K14" s="439"/>
      <c r="L14" s="40" t="s">
        <v>31</v>
      </c>
      <c r="O14" s="65">
        <f>SUM(I12:I13,I15,I17)</f>
        <v>47800</v>
      </c>
    </row>
    <row r="15" spans="1:15">
      <c r="A15" s="431">
        <v>8</v>
      </c>
      <c r="B15" s="439" t="s">
        <v>4632</v>
      </c>
      <c r="C15" s="40"/>
      <c r="D15" s="439" t="s">
        <v>89</v>
      </c>
      <c r="E15" s="439" t="s">
        <v>216</v>
      </c>
      <c r="F15" s="40"/>
      <c r="G15" s="439" t="s">
        <v>4633</v>
      </c>
      <c r="H15" s="508" t="s">
        <v>29</v>
      </c>
      <c r="I15" s="200">
        <v>300</v>
      </c>
      <c r="J15" s="40" t="s">
        <v>642</v>
      </c>
      <c r="K15" s="439" t="s">
        <v>30</v>
      </c>
      <c r="L15" s="40" t="s">
        <v>31</v>
      </c>
      <c r="O15" s="65"/>
    </row>
    <row r="16" spans="1:15">
      <c r="A16" s="431">
        <v>27</v>
      </c>
      <c r="B16" s="439" t="s">
        <v>4634</v>
      </c>
      <c r="C16" s="40"/>
      <c r="D16" s="439" t="s">
        <v>4635</v>
      </c>
      <c r="E16" s="439" t="s">
        <v>130</v>
      </c>
      <c r="F16" s="40"/>
      <c r="G16" s="439" t="s">
        <v>3045</v>
      </c>
      <c r="H16" s="517" t="s">
        <v>1972</v>
      </c>
      <c r="I16" s="200">
        <v>405</v>
      </c>
      <c r="J16" s="40" t="s">
        <v>642</v>
      </c>
      <c r="K16" s="439"/>
      <c r="L16" s="40" t="s">
        <v>31</v>
      </c>
      <c r="O16" s="65"/>
    </row>
    <row r="17" spans="1:15">
      <c r="A17" s="42">
        <v>28</v>
      </c>
      <c r="B17" s="40" t="s">
        <v>392</v>
      </c>
      <c r="C17" s="40"/>
      <c r="D17" s="40" t="s">
        <v>1755</v>
      </c>
      <c r="E17" s="40" t="s">
        <v>394</v>
      </c>
      <c r="F17" s="40"/>
      <c r="G17" s="40" t="s">
        <v>395</v>
      </c>
      <c r="H17" s="518" t="s">
        <v>29</v>
      </c>
      <c r="I17" s="44">
        <v>10000</v>
      </c>
      <c r="J17" s="40" t="s">
        <v>642</v>
      </c>
      <c r="K17" s="93"/>
      <c r="L17" s="40" t="s">
        <v>31</v>
      </c>
      <c r="O17" s="65">
        <f>54450-O14</f>
        <v>6650</v>
      </c>
    </row>
    <row r="18" spans="1:15">
      <c r="I18" s="63"/>
      <c r="J18" s="63"/>
    </row>
    <row r="19" spans="1:15">
      <c r="I19" s="111" t="s">
        <v>335</v>
      </c>
      <c r="J19" s="63"/>
    </row>
    <row r="20" spans="1:15">
      <c r="I20" s="63" t="s">
        <v>338</v>
      </c>
      <c r="J20" s="63"/>
    </row>
    <row r="21" spans="1:15" ht="15.75" customHeight="1">
      <c r="B21" s="157" t="s">
        <v>336</v>
      </c>
      <c r="E21" s="157" t="s">
        <v>337</v>
      </c>
      <c r="I21" s="63" t="s">
        <v>340</v>
      </c>
      <c r="J21" s="291" t="s">
        <v>4636</v>
      </c>
      <c r="L21" s="157" t="s">
        <v>4637</v>
      </c>
    </row>
    <row r="22" spans="1:15" ht="15.75" customHeight="1">
      <c r="I22" s="63" t="s">
        <v>342</v>
      </c>
      <c r="J22" s="292">
        <v>0</v>
      </c>
    </row>
    <row r="23" spans="1:15" ht="15.75" customHeight="1">
      <c r="I23" s="63" t="s">
        <v>4638</v>
      </c>
      <c r="J23" s="292">
        <v>20</v>
      </c>
    </row>
    <row r="24" spans="1:15" ht="15.75" customHeight="1">
      <c r="B24" s="70" t="s">
        <v>343</v>
      </c>
      <c r="E24" s="568" t="s">
        <v>344</v>
      </c>
      <c r="F24" s="553"/>
      <c r="G24" s="553"/>
      <c r="H24" s="553"/>
      <c r="I24" s="63" t="s">
        <v>349</v>
      </c>
      <c r="J24" s="292">
        <v>0</v>
      </c>
    </row>
    <row r="25" spans="1:15" ht="15.75" customHeight="1">
      <c r="B25" s="157" t="s">
        <v>347</v>
      </c>
      <c r="E25" s="552" t="s">
        <v>348</v>
      </c>
      <c r="F25" s="553"/>
      <c r="G25" s="553"/>
      <c r="H25" s="553"/>
      <c r="I25" s="63" t="s">
        <v>406</v>
      </c>
      <c r="J25" s="292">
        <v>0</v>
      </c>
    </row>
    <row r="26" spans="1:15" ht="15.75" customHeight="1">
      <c r="I26" s="63" t="s">
        <v>353</v>
      </c>
      <c r="J26" s="293"/>
    </row>
    <row r="27" spans="1:15" ht="15.75" customHeight="1">
      <c r="I27" s="4" t="s">
        <v>407</v>
      </c>
      <c r="J27" s="291"/>
    </row>
    <row r="28" spans="1:15" ht="15.75" customHeight="1">
      <c r="I28" s="4" t="s">
        <v>4639</v>
      </c>
      <c r="J28" s="291"/>
    </row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E24:H24"/>
    <mergeCell ref="E25:H25"/>
    <mergeCell ref="A1:J1"/>
    <mergeCell ref="C2:H2"/>
    <mergeCell ref="K3:L3"/>
    <mergeCell ref="A6:B6"/>
    <mergeCell ref="H7:I7"/>
    <mergeCell ref="K7:L7"/>
    <mergeCell ref="A8:B8"/>
  </mergeCells>
  <printOptions horizontalCentered="1"/>
  <pageMargins left="0.25" right="0.25" top="0.75" bottom="0.75" header="0" footer="0"/>
  <pageSetup scale="90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</sheetPr>
  <dimension ref="A1:Z1000"/>
  <sheetViews>
    <sheetView workbookViewId="0"/>
  </sheetViews>
  <sheetFormatPr defaultColWidth="14.42578125" defaultRowHeight="15" customHeight="1"/>
  <cols>
    <col min="1" max="1" width="13.28515625" customWidth="1"/>
    <col min="2" max="2" width="13.7109375" customWidth="1"/>
    <col min="3" max="3" width="15.140625" customWidth="1"/>
    <col min="4" max="4" width="18" customWidth="1"/>
    <col min="5" max="5" width="15.85546875" customWidth="1"/>
    <col min="6" max="6" width="17.28515625" customWidth="1"/>
    <col min="7" max="7" width="15.5703125" customWidth="1"/>
    <col min="8" max="10" width="10.5703125" customWidth="1"/>
    <col min="11" max="11" width="11.5703125" customWidth="1"/>
    <col min="12" max="12" width="9.7109375" customWidth="1"/>
    <col min="13" max="26" width="8.7109375" customWidth="1"/>
  </cols>
  <sheetData>
    <row r="1" spans="1:26" ht="36.75" customHeight="1">
      <c r="A1" s="621" t="s">
        <v>4640</v>
      </c>
      <c r="B1" s="553"/>
      <c r="C1" s="553"/>
      <c r="D1" s="553"/>
      <c r="E1" s="553"/>
      <c r="F1" s="553"/>
      <c r="G1" s="553"/>
    </row>
    <row r="2" spans="1:26" ht="27.75" customHeight="1">
      <c r="A2" s="622" t="s">
        <v>4641</v>
      </c>
      <c r="B2" s="624" t="s">
        <v>4642</v>
      </c>
      <c r="C2" s="625"/>
      <c r="D2" s="626" t="s">
        <v>4643</v>
      </c>
      <c r="E2" s="625"/>
      <c r="F2" s="626" t="s">
        <v>4644</v>
      </c>
      <c r="G2" s="625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</row>
    <row r="3" spans="1:26" ht="27.75" customHeight="1">
      <c r="A3" s="623"/>
      <c r="B3" s="519" t="s">
        <v>4645</v>
      </c>
      <c r="C3" s="520" t="s">
        <v>4646</v>
      </c>
      <c r="D3" s="519" t="s">
        <v>4645</v>
      </c>
      <c r="E3" s="520" t="s">
        <v>4646</v>
      </c>
      <c r="F3" s="519" t="s">
        <v>4645</v>
      </c>
      <c r="G3" s="520" t="s">
        <v>4646</v>
      </c>
    </row>
    <row r="4" spans="1:26" ht="27.75" customHeight="1">
      <c r="A4" s="521" t="s">
        <v>511</v>
      </c>
      <c r="B4" s="522">
        <v>392930</v>
      </c>
      <c r="C4" s="523">
        <f t="shared" ref="C4:C15" si="0">B4*0.2+B4</f>
        <v>471516</v>
      </c>
      <c r="D4" s="524">
        <v>163458</v>
      </c>
      <c r="E4" s="525">
        <f t="shared" ref="E4:E15" si="1">D4*0.2+D4</f>
        <v>196149.6</v>
      </c>
      <c r="F4" s="526">
        <v>0</v>
      </c>
      <c r="G4" s="527">
        <f t="shared" ref="G4:G15" si="2">F4*0.2+F4</f>
        <v>0</v>
      </c>
      <c r="I4" s="528">
        <f>B4*0.2+B4</f>
        <v>471516</v>
      </c>
      <c r="J4" s="627" t="s">
        <v>2964</v>
      </c>
      <c r="K4" s="553"/>
      <c r="L4" s="528"/>
    </row>
    <row r="5" spans="1:26" ht="27.75" customHeight="1">
      <c r="A5" s="521" t="s">
        <v>512</v>
      </c>
      <c r="B5" s="529">
        <v>499730</v>
      </c>
      <c r="C5" s="523">
        <f t="shared" si="0"/>
        <v>599676</v>
      </c>
      <c r="D5" s="530">
        <v>173244</v>
      </c>
      <c r="E5" s="525">
        <f t="shared" si="1"/>
        <v>207892.8</v>
      </c>
      <c r="F5" s="531">
        <v>53900</v>
      </c>
      <c r="G5" s="527">
        <f t="shared" si="2"/>
        <v>64680</v>
      </c>
      <c r="I5" s="528"/>
      <c r="J5" s="65">
        <v>2016</v>
      </c>
      <c r="K5" s="157">
        <v>5355</v>
      </c>
    </row>
    <row r="6" spans="1:26" ht="27.75" customHeight="1">
      <c r="A6" s="521" t="s">
        <v>513</v>
      </c>
      <c r="B6" s="529"/>
      <c r="C6" s="523">
        <f t="shared" si="0"/>
        <v>0</v>
      </c>
      <c r="D6" s="530"/>
      <c r="E6" s="525">
        <f t="shared" si="1"/>
        <v>0</v>
      </c>
      <c r="F6" s="532"/>
      <c r="G6" s="527">
        <f t="shared" si="2"/>
        <v>0</v>
      </c>
      <c r="I6" s="528"/>
      <c r="J6" s="528">
        <v>2017</v>
      </c>
      <c r="K6" s="157">
        <v>17375</v>
      </c>
    </row>
    <row r="7" spans="1:26" ht="27.75" customHeight="1">
      <c r="A7" s="521" t="s">
        <v>514</v>
      </c>
      <c r="B7" s="533"/>
      <c r="C7" s="523">
        <f t="shared" si="0"/>
        <v>0</v>
      </c>
      <c r="D7" s="530"/>
      <c r="E7" s="525">
        <f t="shared" si="1"/>
        <v>0</v>
      </c>
      <c r="F7" s="532"/>
      <c r="G7" s="527">
        <f t="shared" si="2"/>
        <v>0</v>
      </c>
      <c r="I7" s="65"/>
      <c r="J7" s="528">
        <v>2018</v>
      </c>
      <c r="K7" s="157">
        <v>22510</v>
      </c>
    </row>
    <row r="8" spans="1:26" ht="27.75" customHeight="1">
      <c r="A8" s="521" t="s">
        <v>515</v>
      </c>
      <c r="B8" s="533"/>
      <c r="C8" s="523">
        <f t="shared" si="0"/>
        <v>0</v>
      </c>
      <c r="D8" s="530"/>
      <c r="E8" s="525">
        <f t="shared" si="1"/>
        <v>0</v>
      </c>
      <c r="F8" s="532"/>
      <c r="G8" s="527">
        <f t="shared" si="2"/>
        <v>0</v>
      </c>
      <c r="I8" s="150"/>
      <c r="J8" s="157">
        <v>2019</v>
      </c>
      <c r="K8" s="157">
        <v>15239</v>
      </c>
    </row>
    <row r="9" spans="1:26" ht="27.75" customHeight="1">
      <c r="A9" s="521" t="s">
        <v>516</v>
      </c>
      <c r="B9" s="533"/>
      <c r="C9" s="523">
        <f t="shared" si="0"/>
        <v>0</v>
      </c>
      <c r="D9" s="530"/>
      <c r="E9" s="525">
        <f t="shared" si="1"/>
        <v>0</v>
      </c>
      <c r="F9" s="532"/>
      <c r="G9" s="527">
        <f t="shared" si="2"/>
        <v>0</v>
      </c>
      <c r="I9" s="65"/>
      <c r="J9" s="157">
        <v>2020</v>
      </c>
      <c r="K9" s="157">
        <v>12250</v>
      </c>
    </row>
    <row r="10" spans="1:26" ht="27.75" customHeight="1">
      <c r="A10" s="521" t="s">
        <v>504</v>
      </c>
      <c r="B10" s="533"/>
      <c r="C10" s="523">
        <f t="shared" si="0"/>
        <v>0</v>
      </c>
      <c r="D10" s="530"/>
      <c r="E10" s="525">
        <f t="shared" si="1"/>
        <v>0</v>
      </c>
      <c r="F10" s="532"/>
      <c r="G10" s="527">
        <f t="shared" si="2"/>
        <v>0</v>
      </c>
      <c r="J10" s="157">
        <v>2021</v>
      </c>
      <c r="K10" s="157">
        <v>8405</v>
      </c>
    </row>
    <row r="11" spans="1:26" ht="27.75" customHeight="1">
      <c r="A11" s="521" t="s">
        <v>517</v>
      </c>
      <c r="B11" s="533"/>
      <c r="C11" s="523">
        <f t="shared" si="0"/>
        <v>0</v>
      </c>
      <c r="D11" s="530"/>
      <c r="E11" s="525">
        <f t="shared" si="1"/>
        <v>0</v>
      </c>
      <c r="F11" s="532"/>
      <c r="G11" s="527">
        <f t="shared" si="2"/>
        <v>0</v>
      </c>
      <c r="J11" s="157" t="s">
        <v>419</v>
      </c>
      <c r="K11" s="157">
        <f>SUM(K5:K10)</f>
        <v>81134</v>
      </c>
    </row>
    <row r="12" spans="1:26" ht="27.75" customHeight="1">
      <c r="A12" s="521" t="s">
        <v>518</v>
      </c>
      <c r="B12" s="533"/>
      <c r="C12" s="523">
        <f t="shared" si="0"/>
        <v>0</v>
      </c>
      <c r="D12" s="530"/>
      <c r="E12" s="525">
        <f t="shared" si="1"/>
        <v>0</v>
      </c>
      <c r="F12" s="532"/>
      <c r="G12" s="527">
        <f t="shared" si="2"/>
        <v>0</v>
      </c>
    </row>
    <row r="13" spans="1:26" ht="27.75" customHeight="1">
      <c r="A13" s="521" t="s">
        <v>519</v>
      </c>
      <c r="B13" s="533"/>
      <c r="C13" s="523">
        <f t="shared" si="0"/>
        <v>0</v>
      </c>
      <c r="D13" s="530"/>
      <c r="E13" s="525">
        <f t="shared" si="1"/>
        <v>0</v>
      </c>
      <c r="F13" s="532"/>
      <c r="G13" s="527">
        <f t="shared" si="2"/>
        <v>0</v>
      </c>
    </row>
    <row r="14" spans="1:26" ht="27.75" customHeight="1">
      <c r="A14" s="521" t="s">
        <v>520</v>
      </c>
      <c r="B14" s="533"/>
      <c r="C14" s="523">
        <f t="shared" si="0"/>
        <v>0</v>
      </c>
      <c r="D14" s="530"/>
      <c r="E14" s="525">
        <f t="shared" si="1"/>
        <v>0</v>
      </c>
      <c r="F14" s="532"/>
      <c r="G14" s="527">
        <f t="shared" si="2"/>
        <v>0</v>
      </c>
    </row>
    <row r="15" spans="1:26" ht="27.75" customHeight="1">
      <c r="A15" s="521" t="s">
        <v>521</v>
      </c>
      <c r="B15" s="533"/>
      <c r="C15" s="523">
        <f t="shared" si="0"/>
        <v>0</v>
      </c>
      <c r="D15" s="530"/>
      <c r="E15" s="525">
        <f t="shared" si="1"/>
        <v>0</v>
      </c>
      <c r="F15" s="532"/>
      <c r="G15" s="527">
        <f t="shared" si="2"/>
        <v>0</v>
      </c>
    </row>
    <row r="16" spans="1:26" ht="22.5" customHeight="1">
      <c r="A16" s="534"/>
      <c r="B16" s="535">
        <f t="shared" ref="B16:G16" si="3">SUM(B4:B15)</f>
        <v>892660</v>
      </c>
      <c r="C16" s="536">
        <f t="shared" si="3"/>
        <v>1071192</v>
      </c>
      <c r="D16" s="537">
        <f t="shared" si="3"/>
        <v>336702</v>
      </c>
      <c r="E16" s="538">
        <f t="shared" si="3"/>
        <v>404042.4</v>
      </c>
      <c r="F16" s="537">
        <f t="shared" si="3"/>
        <v>53900</v>
      </c>
      <c r="G16" s="538">
        <f t="shared" si="3"/>
        <v>64680</v>
      </c>
    </row>
    <row r="17" spans="1:8" ht="18.75">
      <c r="A17" s="539" t="s">
        <v>4647</v>
      </c>
      <c r="B17" s="628">
        <f>C16+E16+G16</f>
        <v>1539914.4</v>
      </c>
      <c r="C17" s="618"/>
      <c r="D17" s="618"/>
      <c r="E17" s="618"/>
      <c r="F17" s="618"/>
      <c r="G17" s="620"/>
      <c r="H17" s="540">
        <f>B17*0.2</f>
        <v>307982.88</v>
      </c>
    </row>
    <row r="18" spans="1:8" ht="21">
      <c r="A18" s="617" t="s">
        <v>498</v>
      </c>
      <c r="B18" s="618"/>
      <c r="C18" s="618"/>
      <c r="D18" s="618"/>
      <c r="E18" s="618"/>
      <c r="F18" s="619">
        <f>B17+H17</f>
        <v>1847897.2799999998</v>
      </c>
      <c r="G18" s="620"/>
      <c r="H18" s="282"/>
    </row>
    <row r="21" spans="1:8" ht="15.75" customHeight="1"/>
    <row r="22" spans="1:8" ht="15.75" customHeight="1"/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J4:K4"/>
    <mergeCell ref="B17:G17"/>
    <mergeCell ref="A18:E18"/>
    <mergeCell ref="F18:G18"/>
    <mergeCell ref="A1:G1"/>
    <mergeCell ref="A2:A3"/>
    <mergeCell ref="B2:C2"/>
    <mergeCell ref="D2:E2"/>
    <mergeCell ref="F2:G2"/>
  </mergeCells>
  <printOptions horizontalCentered="1" verticalCentered="1"/>
  <pageMargins left="0.75" right="0.25" top="0.75" bottom="0.75" header="0" footer="0"/>
  <pageSetup orientation="landscape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5"/>
  </sheetPr>
  <dimension ref="A1:F1000"/>
  <sheetViews>
    <sheetView workbookViewId="0"/>
  </sheetViews>
  <sheetFormatPr defaultColWidth="14.42578125" defaultRowHeight="15" customHeight="1"/>
  <cols>
    <col min="1" max="1" width="3.140625" customWidth="1"/>
    <col min="2" max="2" width="36.85546875" customWidth="1"/>
    <col min="3" max="3" width="4" customWidth="1"/>
    <col min="4" max="4" width="35.28515625" customWidth="1"/>
    <col min="5" max="5" width="4.140625" customWidth="1"/>
    <col min="6" max="6" width="33.140625" customWidth="1"/>
    <col min="7" max="26" width="8.7109375" customWidth="1"/>
  </cols>
  <sheetData>
    <row r="1" spans="1:6" ht="30.75" customHeight="1"/>
    <row r="2" spans="1:6" ht="20.25" customHeight="1">
      <c r="A2" s="541"/>
      <c r="B2" s="542" t="s">
        <v>4648</v>
      </c>
      <c r="C2" s="543"/>
      <c r="D2" s="542" t="s">
        <v>4649</v>
      </c>
      <c r="E2" s="543"/>
      <c r="F2" s="542" t="s">
        <v>4650</v>
      </c>
    </row>
    <row r="3" spans="1:6" ht="15.75">
      <c r="A3" s="544">
        <v>1</v>
      </c>
      <c r="B3" s="545" t="s">
        <v>1934</v>
      </c>
      <c r="C3" s="544">
        <v>1</v>
      </c>
      <c r="D3" s="545" t="s">
        <v>4651</v>
      </c>
      <c r="E3" s="544">
        <v>1</v>
      </c>
      <c r="F3" s="545" t="s">
        <v>56</v>
      </c>
    </row>
    <row r="4" spans="1:6" ht="15.75">
      <c r="A4" s="546">
        <v>2</v>
      </c>
      <c r="B4" s="547" t="s">
        <v>333</v>
      </c>
      <c r="C4" s="546">
        <v>2</v>
      </c>
      <c r="D4" s="547" t="s">
        <v>258</v>
      </c>
      <c r="E4" s="546">
        <v>2</v>
      </c>
      <c r="F4" s="547" t="s">
        <v>2053</v>
      </c>
    </row>
    <row r="5" spans="1:6" ht="15.75">
      <c r="A5" s="546">
        <v>3</v>
      </c>
      <c r="B5" s="547" t="s">
        <v>994</v>
      </c>
      <c r="C5" s="546">
        <v>3</v>
      </c>
      <c r="D5" s="547" t="s">
        <v>42</v>
      </c>
      <c r="E5" s="546">
        <v>3</v>
      </c>
      <c r="F5" s="547" t="s">
        <v>533</v>
      </c>
    </row>
    <row r="6" spans="1:6" ht="15.75">
      <c r="A6" s="546">
        <v>4</v>
      </c>
      <c r="B6" s="547" t="s">
        <v>311</v>
      </c>
      <c r="C6" s="546">
        <v>4</v>
      </c>
      <c r="D6" s="547" t="s">
        <v>27</v>
      </c>
      <c r="E6" s="546">
        <v>4</v>
      </c>
      <c r="F6" s="547" t="s">
        <v>111</v>
      </c>
    </row>
    <row r="7" spans="1:6" ht="15.75">
      <c r="A7" s="546">
        <v>5</v>
      </c>
      <c r="B7" s="547" t="s">
        <v>150</v>
      </c>
      <c r="C7" s="546">
        <v>5</v>
      </c>
      <c r="D7" s="547" t="s">
        <v>60</v>
      </c>
      <c r="E7" s="546">
        <v>5</v>
      </c>
      <c r="F7" s="547" t="s">
        <v>1743</v>
      </c>
    </row>
    <row r="8" spans="1:6" ht="15.75">
      <c r="A8" s="546">
        <v>6</v>
      </c>
      <c r="B8" s="547" t="s">
        <v>50</v>
      </c>
      <c r="C8" s="546">
        <v>6</v>
      </c>
      <c r="D8" s="547" t="s">
        <v>1461</v>
      </c>
      <c r="E8" s="546">
        <v>6</v>
      </c>
      <c r="F8" s="547" t="s">
        <v>96</v>
      </c>
    </row>
    <row r="9" spans="1:6" ht="15.75">
      <c r="A9" s="546">
        <v>7</v>
      </c>
      <c r="B9" s="547" t="s">
        <v>119</v>
      </c>
      <c r="C9" s="546">
        <v>7</v>
      </c>
      <c r="D9" s="547" t="s">
        <v>46</v>
      </c>
      <c r="E9" s="546">
        <v>7</v>
      </c>
      <c r="F9" s="547" t="s">
        <v>1491</v>
      </c>
    </row>
    <row r="10" spans="1:6" ht="15.75">
      <c r="A10" s="546">
        <v>8</v>
      </c>
      <c r="B10" s="547" t="s">
        <v>1197</v>
      </c>
      <c r="C10" s="546">
        <v>8</v>
      </c>
      <c r="D10" s="547" t="s">
        <v>4652</v>
      </c>
      <c r="E10" s="546">
        <v>8</v>
      </c>
      <c r="F10" s="547" t="s">
        <v>219</v>
      </c>
    </row>
    <row r="11" spans="1:6" ht="15.75">
      <c r="A11" s="546">
        <v>9</v>
      </c>
      <c r="B11" s="547" t="s">
        <v>284</v>
      </c>
      <c r="C11" s="546">
        <v>9</v>
      </c>
      <c r="D11" s="547" t="s">
        <v>38</v>
      </c>
      <c r="E11" s="546">
        <v>9</v>
      </c>
      <c r="F11" s="547" t="s">
        <v>4653</v>
      </c>
    </row>
    <row r="12" spans="1:6" ht="15.75">
      <c r="A12" s="546">
        <v>10</v>
      </c>
      <c r="B12" s="547" t="s">
        <v>389</v>
      </c>
      <c r="C12" s="546">
        <v>10</v>
      </c>
      <c r="D12" s="547" t="s">
        <v>103</v>
      </c>
      <c r="E12" s="546">
        <v>10</v>
      </c>
      <c r="F12" s="547" t="s">
        <v>319</v>
      </c>
    </row>
    <row r="13" spans="1:6" ht="15.75">
      <c r="A13" s="546">
        <v>11</v>
      </c>
      <c r="B13" s="547" t="s">
        <v>242</v>
      </c>
      <c r="C13" s="546">
        <v>11</v>
      </c>
      <c r="D13" s="547" t="s">
        <v>141</v>
      </c>
      <c r="E13" s="546">
        <v>11</v>
      </c>
      <c r="F13" s="547" t="s">
        <v>870</v>
      </c>
    </row>
    <row r="14" spans="1:6" ht="15.75">
      <c r="A14" s="546">
        <v>12</v>
      </c>
      <c r="B14" s="547" t="s">
        <v>1308</v>
      </c>
      <c r="C14" s="546">
        <v>12</v>
      </c>
      <c r="D14" s="547" t="s">
        <v>34</v>
      </c>
      <c r="E14" s="546">
        <v>12</v>
      </c>
      <c r="F14" s="547" t="s">
        <v>3614</v>
      </c>
    </row>
    <row r="15" spans="1:6" ht="15.75">
      <c r="A15" s="546">
        <v>13</v>
      </c>
      <c r="B15" s="547" t="s">
        <v>1049</v>
      </c>
      <c r="C15" s="546">
        <v>13</v>
      </c>
      <c r="D15" s="547" t="s">
        <v>318</v>
      </c>
      <c r="E15" s="546">
        <v>13</v>
      </c>
      <c r="F15" s="547" t="s">
        <v>768</v>
      </c>
    </row>
    <row r="16" spans="1:6" ht="15.75">
      <c r="A16" s="546">
        <v>14</v>
      </c>
      <c r="B16" s="547" t="s">
        <v>969</v>
      </c>
      <c r="C16" s="546">
        <v>14</v>
      </c>
      <c r="D16" s="547" t="s">
        <v>130</v>
      </c>
      <c r="E16" s="546">
        <v>14</v>
      </c>
      <c r="F16" s="547" t="s">
        <v>1927</v>
      </c>
    </row>
    <row r="17" spans="1:6" ht="15.75">
      <c r="A17" s="546">
        <v>15</v>
      </c>
      <c r="B17" s="547" t="s">
        <v>78</v>
      </c>
      <c r="C17" s="546"/>
      <c r="D17" s="547"/>
      <c r="E17" s="546">
        <v>15</v>
      </c>
      <c r="F17" s="547" t="s">
        <v>394</v>
      </c>
    </row>
    <row r="18" spans="1:6" ht="15.75">
      <c r="A18" s="546"/>
      <c r="B18" s="547"/>
      <c r="C18" s="546"/>
      <c r="D18" s="547"/>
      <c r="E18" s="546">
        <v>16</v>
      </c>
      <c r="F18" s="547" t="s">
        <v>249</v>
      </c>
    </row>
    <row r="19" spans="1:6" ht="15.75">
      <c r="A19" s="546"/>
      <c r="B19" s="547"/>
      <c r="C19" s="546"/>
      <c r="D19" s="547"/>
      <c r="E19" s="546">
        <v>17</v>
      </c>
      <c r="F19" s="547" t="s">
        <v>561</v>
      </c>
    </row>
    <row r="20" spans="1:6" ht="15.75">
      <c r="A20" s="546"/>
      <c r="B20" s="547"/>
      <c r="C20" s="546"/>
      <c r="D20" s="547"/>
      <c r="E20" s="546">
        <v>18</v>
      </c>
      <c r="F20" s="547" t="s">
        <v>540</v>
      </c>
    </row>
    <row r="21" spans="1:6" ht="15.75" customHeight="1">
      <c r="A21" s="548"/>
      <c r="B21" s="549"/>
      <c r="C21" s="548"/>
      <c r="D21" s="549"/>
      <c r="E21" s="548">
        <v>19</v>
      </c>
      <c r="F21" s="549" t="s">
        <v>801</v>
      </c>
    </row>
    <row r="22" spans="1:6" ht="15.75" customHeight="1"/>
    <row r="23" spans="1:6" ht="15.75" customHeight="1"/>
    <row r="24" spans="1:6" ht="15.75" customHeight="1"/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spans="1:2" ht="15.75" customHeight="1"/>
    <row r="34" spans="1:2" ht="15.75" customHeight="1">
      <c r="A34" s="541"/>
      <c r="B34" s="542" t="s">
        <v>4654</v>
      </c>
    </row>
    <row r="35" spans="1:2" ht="15.75" customHeight="1">
      <c r="A35" s="544">
        <v>1</v>
      </c>
      <c r="B35" s="545" t="s">
        <v>1934</v>
      </c>
    </row>
    <row r="36" spans="1:2" ht="15.75" customHeight="1">
      <c r="A36" s="546">
        <v>2</v>
      </c>
      <c r="B36" s="547" t="s">
        <v>333</v>
      </c>
    </row>
    <row r="37" spans="1:2" ht="15.75" customHeight="1">
      <c r="A37" s="546">
        <v>3</v>
      </c>
      <c r="B37" s="547" t="s">
        <v>994</v>
      </c>
    </row>
    <row r="38" spans="1:2" ht="15.75" customHeight="1">
      <c r="A38" s="546">
        <v>4</v>
      </c>
      <c r="B38" s="547" t="s">
        <v>311</v>
      </c>
    </row>
    <row r="39" spans="1:2" ht="15.75" customHeight="1">
      <c r="A39" s="546">
        <v>5</v>
      </c>
      <c r="B39" s="547" t="s">
        <v>150</v>
      </c>
    </row>
    <row r="40" spans="1:2" ht="15.75" customHeight="1">
      <c r="A40" s="546">
        <v>6</v>
      </c>
      <c r="B40" s="547" t="s">
        <v>50</v>
      </c>
    </row>
    <row r="41" spans="1:2" ht="15.75" customHeight="1">
      <c r="A41" s="546">
        <v>7</v>
      </c>
      <c r="B41" s="547" t="s">
        <v>119</v>
      </c>
    </row>
    <row r="42" spans="1:2" ht="15.75" customHeight="1">
      <c r="A42" s="546">
        <v>8</v>
      </c>
      <c r="B42" s="547" t="s">
        <v>1197</v>
      </c>
    </row>
    <row r="43" spans="1:2" ht="15.75" customHeight="1">
      <c r="A43" s="546">
        <v>9</v>
      </c>
      <c r="B43" s="547" t="s">
        <v>284</v>
      </c>
    </row>
    <row r="44" spans="1:2" ht="15.75" customHeight="1">
      <c r="A44" s="546">
        <v>10</v>
      </c>
      <c r="B44" s="547" t="s">
        <v>389</v>
      </c>
    </row>
    <row r="45" spans="1:2" ht="15.75" customHeight="1">
      <c r="A45" s="546">
        <v>11</v>
      </c>
      <c r="B45" s="547" t="s">
        <v>242</v>
      </c>
    </row>
    <row r="46" spans="1:2" ht="15.75" customHeight="1">
      <c r="A46" s="546">
        <v>12</v>
      </c>
      <c r="B46" s="547" t="s">
        <v>1308</v>
      </c>
    </row>
    <row r="47" spans="1:2" ht="15.75" customHeight="1">
      <c r="A47" s="546">
        <v>13</v>
      </c>
      <c r="B47" s="547" t="s">
        <v>1049</v>
      </c>
    </row>
    <row r="48" spans="1:2" ht="15.75" customHeight="1">
      <c r="A48" s="546">
        <v>14</v>
      </c>
      <c r="B48" s="547" t="s">
        <v>969</v>
      </c>
    </row>
    <row r="49" spans="1:2" ht="15.75" customHeight="1">
      <c r="A49" s="546">
        <v>15</v>
      </c>
      <c r="B49" s="547" t="s">
        <v>78</v>
      </c>
    </row>
    <row r="50" spans="1:2" ht="15.75" customHeight="1"/>
    <row r="51" spans="1:2" ht="15.75" customHeight="1"/>
    <row r="52" spans="1:2" ht="15.75" customHeight="1"/>
    <row r="53" spans="1:2" ht="15.75" customHeight="1"/>
    <row r="54" spans="1:2" ht="15.75" customHeight="1"/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/>
  <pageMargins left="0.7" right="0.7" top="0.75" bottom="0.75" header="0" footer="0"/>
  <pageSetup orientation="landscape"/>
  <headerFooter>
    <oddHeader>&amp;C PROVINCE OF BOHOL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December 2021</vt:lpstr>
      <vt:lpstr>December (Group)</vt:lpstr>
      <vt:lpstr>SUMMARY</vt:lpstr>
      <vt:lpstr>Monthly Production</vt:lpstr>
      <vt:lpstr>November 2021</vt:lpstr>
      <vt:lpstr>November (Group)</vt:lpstr>
      <vt:lpstr>October 2021</vt:lpstr>
      <vt:lpstr>October (Group) </vt:lpstr>
      <vt:lpstr>September 2021</vt:lpstr>
      <vt:lpstr>September (Group)</vt:lpstr>
      <vt:lpstr>August 2021</vt:lpstr>
      <vt:lpstr>August (Group)</vt:lpstr>
      <vt:lpstr>July 2021</vt:lpstr>
      <vt:lpstr>July 2021 (Group)</vt:lpstr>
      <vt:lpstr>June 2021</vt:lpstr>
      <vt:lpstr>June (Group)</vt:lpstr>
      <vt:lpstr>May 2021</vt:lpstr>
      <vt:lpstr>May (Group)</vt:lpstr>
      <vt:lpstr>April 2021</vt:lpstr>
      <vt:lpstr>April (Group)</vt:lpstr>
      <vt:lpstr>March 2021</vt:lpstr>
      <vt:lpstr>March (Group)</vt:lpstr>
      <vt:lpstr>February 2021</vt:lpstr>
      <vt:lpstr>February (Group)</vt:lpstr>
      <vt:lpstr>January 2021</vt:lpstr>
      <vt:lpstr>January (Group)</vt:lpstr>
      <vt:lpstr>Region 7 Tilapia Production</vt:lpstr>
      <vt:lpstr>Province of Bohol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Japhet Ken Candog</cp:lastModifiedBy>
  <dcterms:created xsi:type="dcterms:W3CDTF">2006-09-16T00:00:00Z</dcterms:created>
  <dcterms:modified xsi:type="dcterms:W3CDTF">2026-04-12T05:52:35Z</dcterms:modified>
</cp:coreProperties>
</file>