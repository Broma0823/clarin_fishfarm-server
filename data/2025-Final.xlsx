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 defaultThemeVersion="124226"/>
  <xr:revisionPtr revIDLastSave="0" documentId="8_{8CE29015-FF5B-4A97-8202-3476A97FCDD2}" xr6:coauthVersionLast="47" xr6:coauthVersionMax="47" xr10:uidLastSave="{00000000-0000-0000-0000-000000000000}"/>
  <bookViews>
    <workbookView xWindow="-120" yWindow="-120" windowWidth="20730" windowHeight="11040" firstSheet="15" activeTab="19" xr2:uid="{00000000-000D-0000-FFFF-FFFF00000000}"/>
  </bookViews>
  <sheets>
    <sheet name="SUMMARY" sheetId="23" r:id="rId1"/>
    <sheet name="Province of Bohol" sheetId="17" r:id="rId2"/>
    <sheet name="September 2025 (Group)   " sheetId="126" r:id="rId3"/>
    <sheet name="September 2025" sheetId="125" r:id="rId4"/>
    <sheet name="August 2025 (Group)  " sheetId="124" r:id="rId5"/>
    <sheet name="August 2025" sheetId="123" r:id="rId6"/>
    <sheet name="July 2025 (Group) " sheetId="122" r:id="rId7"/>
    <sheet name="July 2025" sheetId="121" r:id="rId8"/>
    <sheet name="June 2025 (Group) " sheetId="120" r:id="rId9"/>
    <sheet name="June 2025" sheetId="119" r:id="rId10"/>
    <sheet name="May 2025 (Group)  " sheetId="118" r:id="rId11"/>
    <sheet name="May 2025" sheetId="117" r:id="rId12"/>
    <sheet name="April 2025 (Group)  " sheetId="116" r:id="rId13"/>
    <sheet name="April 2025" sheetId="115" r:id="rId14"/>
    <sheet name="March 2025 (Group)  " sheetId="114" r:id="rId15"/>
    <sheet name="March 2025" sheetId="113" r:id="rId16"/>
    <sheet name="February 2025 (Group)  " sheetId="112" r:id="rId17"/>
    <sheet name="February 2025" sheetId="111" r:id="rId18"/>
    <sheet name="January 2025 (Group)  " sheetId="110" r:id="rId19"/>
    <sheet name="January 2025" sheetId="109" r:id="rId20"/>
  </sheets>
  <definedNames>
    <definedName name="_xlnm.Print_Area" localSheetId="13">'April 2025'!$A$1:$W$191</definedName>
    <definedName name="_xlnm.Print_Area" localSheetId="12">'April 2025 (Group)  '!$A$1:$M$42</definedName>
    <definedName name="_xlnm.Print_Area" localSheetId="5">'August 2025'!$A$1:$W$221</definedName>
    <definedName name="_xlnm.Print_Area" localSheetId="4">'August 2025 (Group)  '!$A$1:$M$44</definedName>
    <definedName name="_xlnm.Print_Area" localSheetId="17">'February 2025'!$A$1:$W$189</definedName>
    <definedName name="_xlnm.Print_Area" localSheetId="16">'February 2025 (Group)  '!$A$1:$M$42</definedName>
    <definedName name="_xlnm.Print_Area" localSheetId="19">'January 2025'!$A$1:$W$233</definedName>
    <definedName name="_xlnm.Print_Area" localSheetId="18">'January 2025 (Group)  '!$A$1:$M$42</definedName>
    <definedName name="_xlnm.Print_Area" localSheetId="7">'July 2025'!$A$1:$W$221</definedName>
    <definedName name="_xlnm.Print_Area" localSheetId="6">'July 2025 (Group) '!$A$1:$M$43</definedName>
    <definedName name="_xlnm.Print_Area" localSheetId="9">'June 2025'!$A$1:$W$194</definedName>
    <definedName name="_xlnm.Print_Area" localSheetId="8">'June 2025 (Group) '!$A$1:$M$42</definedName>
    <definedName name="_xlnm.Print_Area" localSheetId="15">'March 2025'!$A$1:$W$191</definedName>
    <definedName name="_xlnm.Print_Area" localSheetId="14">'March 2025 (Group)  '!$A$1:$M$42</definedName>
    <definedName name="_xlnm.Print_Area" localSheetId="11">'May 2025'!$A$1:$W$190</definedName>
    <definedName name="_xlnm.Print_Area" localSheetId="10">'May 2025 (Group)  '!$A$1:$M$42</definedName>
    <definedName name="_xlnm.Print_Area" localSheetId="3">'September 2025'!$A$1:$W$221</definedName>
    <definedName name="_xlnm.Print_Area" localSheetId="2">'September 2025 (Group)   '!$A$1:$M$44</definedName>
    <definedName name="_xlnm.Print_Area" localSheetId="0">SUMMARY!$A$1:$U$77</definedName>
  </definedNames>
  <calcPr calcId="191029"/>
</workbook>
</file>

<file path=xl/calcChain.xml><?xml version="1.0" encoding="utf-8"?>
<calcChain xmlns="http://schemas.openxmlformats.org/spreadsheetml/2006/main">
  <c r="S14" i="125" l="1"/>
  <c r="D31" i="23" l="1"/>
  <c r="G30" i="23" l="1"/>
  <c r="S11" i="125"/>
  <c r="D30" i="23"/>
  <c r="S10" i="125"/>
  <c r="L34" i="126"/>
  <c r="G43" i="126"/>
  <c r="O186" i="125"/>
  <c r="O185" i="125"/>
  <c r="O184" i="125"/>
  <c r="O183" i="125"/>
  <c r="O182" i="125"/>
  <c r="O181" i="125"/>
  <c r="O180" i="125"/>
  <c r="O179" i="125"/>
  <c r="O178" i="125"/>
  <c r="O177" i="125"/>
  <c r="O176" i="125"/>
  <c r="O175" i="125"/>
  <c r="O174" i="125"/>
  <c r="O173" i="125"/>
  <c r="O172" i="125"/>
  <c r="O171" i="125"/>
  <c r="O170" i="125"/>
  <c r="O169" i="125"/>
  <c r="O168" i="125"/>
  <c r="O167" i="125"/>
  <c r="O166" i="125"/>
  <c r="O165" i="125"/>
  <c r="O164" i="125"/>
  <c r="O163" i="125"/>
  <c r="O162" i="125"/>
  <c r="O161" i="125"/>
  <c r="O160" i="125"/>
  <c r="O159" i="125"/>
  <c r="O158" i="125"/>
  <c r="O157" i="125"/>
  <c r="O156" i="125"/>
  <c r="O155" i="125"/>
  <c r="O154" i="125"/>
  <c r="R153" i="125"/>
  <c r="O153" i="125"/>
  <c r="R152" i="125"/>
  <c r="O152" i="125"/>
  <c r="O151" i="125"/>
  <c r="O150" i="125"/>
  <c r="O149" i="125"/>
  <c r="O148" i="125"/>
  <c r="O147" i="125"/>
  <c r="O146" i="125"/>
  <c r="O145" i="125"/>
  <c r="O144" i="125"/>
  <c r="O143" i="125"/>
  <c r="O142" i="125"/>
  <c r="O141" i="125"/>
  <c r="O140" i="125"/>
  <c r="O139" i="125"/>
  <c r="O138" i="125"/>
  <c r="O137" i="125"/>
  <c r="O136" i="125"/>
  <c r="O135" i="125"/>
  <c r="O134" i="125"/>
  <c r="O133" i="125"/>
  <c r="O132" i="125"/>
  <c r="O131" i="125"/>
  <c r="O130" i="125"/>
  <c r="O129" i="125"/>
  <c r="O128" i="125"/>
  <c r="O127" i="125"/>
  <c r="O126" i="125"/>
  <c r="O125" i="125"/>
  <c r="O124" i="125"/>
  <c r="O123" i="125"/>
  <c r="O122" i="125"/>
  <c r="O121" i="125"/>
  <c r="O120" i="125"/>
  <c r="O119" i="125"/>
  <c r="O118" i="125"/>
  <c r="O117" i="125"/>
  <c r="O116" i="125"/>
  <c r="O115" i="125"/>
  <c r="O114" i="125"/>
  <c r="O113" i="125"/>
  <c r="O112" i="125"/>
  <c r="O111" i="125"/>
  <c r="R110" i="125"/>
  <c r="O110" i="125"/>
  <c r="O109" i="125"/>
  <c r="O108" i="125"/>
  <c r="O107" i="125"/>
  <c r="O106" i="125"/>
  <c r="O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92" i="125" l="1"/>
  <c r="S10" i="123"/>
  <c r="S29" i="23" l="1"/>
  <c r="M28" i="23"/>
  <c r="M29" i="23"/>
  <c r="G29" i="23"/>
  <c r="D29" i="23"/>
  <c r="L37" i="124"/>
  <c r="S19" i="123" l="1"/>
  <c r="S17" i="123"/>
  <c r="O77" i="123"/>
  <c r="O76" i="123"/>
  <c r="S15" i="123"/>
  <c r="S21" i="123" l="1"/>
  <c r="D28" i="23"/>
  <c r="S14" i="123"/>
  <c r="M27" i="23" l="1"/>
  <c r="D27" i="23"/>
  <c r="R30" i="123"/>
  <c r="L34" i="124"/>
  <c r="S11" i="123"/>
  <c r="O37" i="123"/>
  <c r="G43" i="124"/>
  <c r="O186" i="123"/>
  <c r="O185" i="123"/>
  <c r="O184" i="123"/>
  <c r="O183" i="123"/>
  <c r="O182" i="123"/>
  <c r="O181" i="123"/>
  <c r="O180" i="123"/>
  <c r="O179" i="123"/>
  <c r="O178" i="123"/>
  <c r="O177" i="123"/>
  <c r="O176" i="123"/>
  <c r="O175" i="123"/>
  <c r="O174" i="123"/>
  <c r="O173" i="123"/>
  <c r="O172" i="123"/>
  <c r="O171" i="123"/>
  <c r="O170" i="123"/>
  <c r="O169" i="123"/>
  <c r="O168" i="123"/>
  <c r="O167" i="123"/>
  <c r="O166" i="123"/>
  <c r="O165" i="123"/>
  <c r="O164" i="123"/>
  <c r="O163" i="123"/>
  <c r="O162" i="123"/>
  <c r="O161" i="123"/>
  <c r="O160" i="123"/>
  <c r="O159" i="123"/>
  <c r="O158" i="123"/>
  <c r="O157" i="123"/>
  <c r="O156" i="123"/>
  <c r="O155" i="123"/>
  <c r="O154" i="123"/>
  <c r="R153" i="123"/>
  <c r="O153" i="123"/>
  <c r="R152" i="123"/>
  <c r="O152" i="123"/>
  <c r="O151" i="123"/>
  <c r="O150" i="123"/>
  <c r="O149" i="123"/>
  <c r="O148" i="123"/>
  <c r="O147" i="123"/>
  <c r="O146" i="123"/>
  <c r="O145" i="123"/>
  <c r="O144" i="123"/>
  <c r="O143" i="123"/>
  <c r="O142" i="123"/>
  <c r="O141" i="123"/>
  <c r="O140" i="123"/>
  <c r="O139" i="123"/>
  <c r="O138" i="123"/>
  <c r="O137" i="123"/>
  <c r="O136" i="123"/>
  <c r="O135" i="123"/>
  <c r="O134" i="123"/>
  <c r="O133" i="123"/>
  <c r="O132" i="123"/>
  <c r="O131" i="123"/>
  <c r="O130" i="123"/>
  <c r="O129" i="123"/>
  <c r="O128" i="123"/>
  <c r="O127" i="123"/>
  <c r="O126" i="123"/>
  <c r="O125" i="123"/>
  <c r="O124" i="123"/>
  <c r="O123" i="123"/>
  <c r="O122" i="123"/>
  <c r="O121" i="123"/>
  <c r="O120" i="123"/>
  <c r="O119" i="123"/>
  <c r="O118" i="123"/>
  <c r="O117" i="123"/>
  <c r="O116" i="123"/>
  <c r="O115" i="123"/>
  <c r="O114" i="123"/>
  <c r="O113" i="123"/>
  <c r="O112" i="123"/>
  <c r="R111" i="123"/>
  <c r="O111" i="123"/>
  <c r="R110" i="123"/>
  <c r="O110" i="123"/>
  <c r="O109" i="123"/>
  <c r="O108" i="123"/>
  <c r="O107" i="123"/>
  <c r="O106" i="123"/>
  <c r="O105" i="123"/>
  <c r="O104" i="123"/>
  <c r="O103" i="123"/>
  <c r="O102" i="123"/>
  <c r="O101" i="123"/>
  <c r="O100" i="123"/>
  <c r="O99" i="123"/>
  <c r="O98" i="123"/>
  <c r="O97" i="123"/>
  <c r="O96" i="123"/>
  <c r="O95" i="123"/>
  <c r="O94" i="123"/>
  <c r="O93" i="123"/>
  <c r="O92" i="123"/>
  <c r="O91" i="123"/>
  <c r="O90" i="123"/>
  <c r="O89" i="123"/>
  <c r="O88" i="123"/>
  <c r="O75" i="123"/>
  <c r="O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7" i="123"/>
  <c r="O56" i="123"/>
  <c r="O55" i="123"/>
  <c r="O54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92" i="123" l="1"/>
  <c r="R113" i="123"/>
  <c r="L38" i="122"/>
  <c r="S20" i="121"/>
  <c r="L33" i="122"/>
  <c r="R31" i="121"/>
  <c r="S17" i="121"/>
  <c r="R30" i="121"/>
  <c r="S14" i="121"/>
  <c r="R29" i="121"/>
  <c r="S10" i="121"/>
  <c r="O28" i="121"/>
  <c r="O75" i="121"/>
  <c r="P26" i="23" l="1"/>
  <c r="P23" i="23"/>
  <c r="P24" i="23"/>
  <c r="P25" i="23"/>
  <c r="D26" i="23"/>
  <c r="S23" i="121"/>
  <c r="O186" i="121"/>
  <c r="O185" i="121"/>
  <c r="O184" i="121"/>
  <c r="O183" i="121"/>
  <c r="O182" i="121"/>
  <c r="D25" i="23" l="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R111" i="121" l="1"/>
  <c r="R110" i="121"/>
  <c r="R113" i="121" s="1"/>
  <c r="D24" i="23" l="1"/>
  <c r="G42" i="122" l="1"/>
  <c r="O116" i="121" l="1"/>
  <c r="O113" i="121"/>
  <c r="O112" i="121"/>
  <c r="D23" i="23" l="1"/>
  <c r="P22" i="23" l="1"/>
  <c r="G22" i="23"/>
  <c r="D22" i="23"/>
  <c r="S11" i="121"/>
  <c r="O160" i="121" l="1"/>
  <c r="O159" i="121"/>
  <c r="O158" i="121"/>
  <c r="O157" i="121"/>
  <c r="O156" i="121"/>
  <c r="O155" i="121"/>
  <c r="O154" i="121"/>
  <c r="R153" i="121"/>
  <c r="O153" i="121"/>
  <c r="R152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5" i="121"/>
  <c r="O114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6" i="121"/>
  <c r="O35" i="121"/>
  <c r="O34" i="121"/>
  <c r="O33" i="121"/>
  <c r="O32" i="121"/>
  <c r="O31" i="121"/>
  <c r="O30" i="121"/>
  <c r="O29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92" i="121" l="1"/>
  <c r="O96" i="119"/>
  <c r="P21" i="23" l="1"/>
  <c r="D21" i="23"/>
  <c r="L38" i="120"/>
  <c r="L36" i="120"/>
  <c r="S21" i="119"/>
  <c r="S20" i="119"/>
  <c r="P20" i="23" l="1"/>
  <c r="G20" i="23"/>
  <c r="D20" i="23"/>
  <c r="S17" i="119"/>
  <c r="S16" i="119"/>
  <c r="S12" i="119" l="1"/>
  <c r="O48" i="119"/>
  <c r="P19" i="23"/>
  <c r="G19" i="23"/>
  <c r="D19" i="23"/>
  <c r="S13" i="119" l="1"/>
  <c r="P18" i="23" l="1"/>
  <c r="S10" i="119"/>
  <c r="D18" i="23" l="1"/>
  <c r="G41" i="120" l="1"/>
  <c r="O153" i="119" l="1"/>
  <c r="O152" i="119"/>
  <c r="O151" i="119"/>
  <c r="O150" i="119"/>
  <c r="O149" i="119"/>
  <c r="O148" i="119"/>
  <c r="O147" i="119"/>
  <c r="R146" i="119"/>
  <c r="O146" i="119"/>
  <c r="R145" i="119"/>
  <c r="O145" i="119"/>
  <c r="O144" i="119"/>
  <c r="O143" i="119"/>
  <c r="O142" i="119"/>
  <c r="O141" i="119"/>
  <c r="O140" i="119"/>
  <c r="O139" i="119"/>
  <c r="O138" i="119"/>
  <c r="O137" i="119"/>
  <c r="O136" i="119"/>
  <c r="O135" i="119"/>
  <c r="O134" i="119"/>
  <c r="O133" i="119"/>
  <c r="O132" i="119"/>
  <c r="O131" i="119"/>
  <c r="O130" i="119"/>
  <c r="O129" i="119"/>
  <c r="O128" i="119"/>
  <c r="O127" i="119"/>
  <c r="O126" i="119"/>
  <c r="O125" i="119"/>
  <c r="O124" i="119"/>
  <c r="O123" i="119"/>
  <c r="O122" i="119"/>
  <c r="O121" i="119"/>
  <c r="O120" i="119"/>
  <c r="O119" i="119"/>
  <c r="O118" i="119"/>
  <c r="O117" i="119"/>
  <c r="O116" i="119"/>
  <c r="O115" i="119"/>
  <c r="O114" i="119"/>
  <c r="O113" i="119"/>
  <c r="O112" i="119"/>
  <c r="O111" i="119"/>
  <c r="O110" i="119"/>
  <c r="O109" i="119"/>
  <c r="O108" i="119"/>
  <c r="O107" i="119"/>
  <c r="O106" i="119"/>
  <c r="O105" i="119"/>
  <c r="O104" i="119"/>
  <c r="O103" i="119"/>
  <c r="O102" i="119"/>
  <c r="O101" i="119"/>
  <c r="O100" i="119"/>
  <c r="O99" i="119"/>
  <c r="O95" i="119"/>
  <c r="O94" i="119"/>
  <c r="O93" i="119"/>
  <c r="O92" i="119"/>
  <c r="O91" i="119"/>
  <c r="O90" i="119"/>
  <c r="O89" i="119"/>
  <c r="O88" i="119"/>
  <c r="O87" i="119"/>
  <c r="O86" i="119"/>
  <c r="O85" i="119"/>
  <c r="O84" i="119"/>
  <c r="O83" i="119"/>
  <c r="O82" i="119"/>
  <c r="O81" i="119"/>
  <c r="O80" i="119"/>
  <c r="O79" i="119"/>
  <c r="O78" i="119"/>
  <c r="O77" i="119"/>
  <c r="O76" i="119"/>
  <c r="O75" i="119"/>
  <c r="O74" i="119"/>
  <c r="O73" i="119"/>
  <c r="O72" i="119"/>
  <c r="O71" i="119"/>
  <c r="O70" i="119"/>
  <c r="O69" i="119"/>
  <c r="O68" i="119"/>
  <c r="O67" i="119"/>
  <c r="O66" i="119"/>
  <c r="O65" i="119"/>
  <c r="O64" i="119"/>
  <c r="O63" i="119"/>
  <c r="O62" i="119"/>
  <c r="O61" i="119"/>
  <c r="O60" i="119"/>
  <c r="O59" i="119"/>
  <c r="O58" i="119"/>
  <c r="O57" i="119"/>
  <c r="O56" i="119"/>
  <c r="O55" i="119"/>
  <c r="O54" i="119"/>
  <c r="O53" i="119"/>
  <c r="O52" i="119"/>
  <c r="O51" i="119"/>
  <c r="O50" i="119"/>
  <c r="O49" i="119"/>
  <c r="O47" i="119"/>
  <c r="O46" i="119"/>
  <c r="O45" i="119"/>
  <c r="O44" i="119"/>
  <c r="O43" i="119"/>
  <c r="O42" i="119"/>
  <c r="O41" i="119"/>
  <c r="O40" i="119"/>
  <c r="O39" i="119"/>
  <c r="O38" i="119"/>
  <c r="O37" i="119"/>
  <c r="O36" i="119"/>
  <c r="O35" i="119"/>
  <c r="O34" i="119"/>
  <c r="O33" i="119"/>
  <c r="O32" i="119"/>
  <c r="O31" i="119"/>
  <c r="O30" i="119"/>
  <c r="O29" i="119"/>
  <c r="O28" i="119"/>
  <c r="O27" i="119"/>
  <c r="O26" i="119"/>
  <c r="O25" i="119"/>
  <c r="O24" i="119"/>
  <c r="O23" i="119"/>
  <c r="O22" i="119"/>
  <c r="O21" i="119"/>
  <c r="O20" i="119"/>
  <c r="O19" i="119"/>
  <c r="O18" i="119"/>
  <c r="O17" i="119"/>
  <c r="O16" i="119"/>
  <c r="O15" i="119"/>
  <c r="O14" i="119"/>
  <c r="O13" i="119"/>
  <c r="O12" i="119"/>
  <c r="O165" i="119" l="1"/>
  <c r="S14" i="117"/>
  <c r="P17" i="23" l="1"/>
  <c r="D17" i="23"/>
  <c r="R57" i="117"/>
  <c r="S15" i="117"/>
  <c r="S12" i="117"/>
  <c r="S10" i="117"/>
  <c r="G41" i="118" l="1"/>
  <c r="L35" i="118"/>
  <c r="P16" i="23" l="1"/>
  <c r="M16" i="23"/>
  <c r="D16" i="23"/>
  <c r="S11" i="117"/>
  <c r="O149" i="117" l="1"/>
  <c r="O148" i="117"/>
  <c r="O147" i="117"/>
  <c r="O146" i="117"/>
  <c r="O145" i="117"/>
  <c r="O144" i="117"/>
  <c r="O143" i="117"/>
  <c r="R142" i="117"/>
  <c r="O142" i="117"/>
  <c r="R141" i="117"/>
  <c r="O141" i="117"/>
  <c r="O140" i="117"/>
  <c r="O139" i="117"/>
  <c r="O138" i="117"/>
  <c r="O137" i="117"/>
  <c r="O136" i="117"/>
  <c r="O135" i="117"/>
  <c r="O134" i="117"/>
  <c r="O133" i="117"/>
  <c r="O132" i="117"/>
  <c r="O131" i="117"/>
  <c r="O130" i="117"/>
  <c r="O129" i="117"/>
  <c r="O128" i="117"/>
  <c r="O127" i="117"/>
  <c r="O126" i="117"/>
  <c r="O125" i="117"/>
  <c r="O124" i="117"/>
  <c r="O123" i="117"/>
  <c r="O122" i="117"/>
  <c r="O121" i="117"/>
  <c r="O120" i="117"/>
  <c r="O119" i="117"/>
  <c r="O118" i="117"/>
  <c r="O117" i="117"/>
  <c r="O116" i="117"/>
  <c r="O115" i="117"/>
  <c r="O114" i="117"/>
  <c r="O113" i="117"/>
  <c r="O112" i="117"/>
  <c r="O111" i="117"/>
  <c r="O110" i="117"/>
  <c r="O109" i="117"/>
  <c r="O108" i="117"/>
  <c r="O107" i="117"/>
  <c r="O106" i="117"/>
  <c r="O105" i="117"/>
  <c r="O104" i="117"/>
  <c r="O103" i="117"/>
  <c r="O102" i="117"/>
  <c r="O101" i="117"/>
  <c r="O100" i="117"/>
  <c r="O99" i="117"/>
  <c r="O98" i="117"/>
  <c r="O97" i="117"/>
  <c r="O96" i="117"/>
  <c r="O95" i="117"/>
  <c r="O94" i="117"/>
  <c r="O93" i="117"/>
  <c r="O92" i="117"/>
  <c r="O91" i="117"/>
  <c r="O90" i="117"/>
  <c r="O89" i="117"/>
  <c r="O88" i="117"/>
  <c r="O87" i="117"/>
  <c r="O86" i="117"/>
  <c r="O85" i="117"/>
  <c r="O84" i="117"/>
  <c r="O83" i="117"/>
  <c r="O82" i="117"/>
  <c r="O81" i="117"/>
  <c r="O80" i="117"/>
  <c r="O79" i="117"/>
  <c r="O78" i="117"/>
  <c r="O77" i="117"/>
  <c r="O76" i="117"/>
  <c r="O75" i="117"/>
  <c r="O74" i="117"/>
  <c r="O73" i="117"/>
  <c r="O72" i="117"/>
  <c r="O71" i="117"/>
  <c r="O70" i="117"/>
  <c r="O69" i="117"/>
  <c r="O68" i="117"/>
  <c r="O67" i="117"/>
  <c r="O66" i="117"/>
  <c r="O65" i="117"/>
  <c r="O64" i="117"/>
  <c r="O63" i="117"/>
  <c r="O62" i="117"/>
  <c r="O61" i="117"/>
  <c r="O60" i="117"/>
  <c r="O59" i="117"/>
  <c r="O58" i="117"/>
  <c r="O57" i="117"/>
  <c r="O56" i="117"/>
  <c r="O55" i="117"/>
  <c r="O54" i="117"/>
  <c r="O53" i="117"/>
  <c r="O52" i="117"/>
  <c r="O51" i="117"/>
  <c r="O50" i="117"/>
  <c r="O49" i="117"/>
  <c r="O48" i="117"/>
  <c r="O47" i="117"/>
  <c r="O46" i="117"/>
  <c r="O45" i="117"/>
  <c r="O44" i="117"/>
  <c r="O43" i="117"/>
  <c r="O42" i="117"/>
  <c r="O41" i="117"/>
  <c r="O40" i="117"/>
  <c r="O39" i="117"/>
  <c r="O38" i="117"/>
  <c r="O37" i="117"/>
  <c r="O36" i="117"/>
  <c r="O35" i="117"/>
  <c r="O34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61" i="117" l="1"/>
  <c r="D15" i="23"/>
  <c r="P15" i="23"/>
  <c r="S18" i="115"/>
  <c r="P14" i="23" l="1"/>
  <c r="D14" i="23"/>
  <c r="L35" i="116"/>
  <c r="S15" i="115"/>
  <c r="S14" i="115"/>
  <c r="S14" i="23" l="1"/>
  <c r="S10" i="23"/>
  <c r="S11" i="23"/>
  <c r="S12" i="23"/>
  <c r="S13" i="23"/>
  <c r="M14" i="23"/>
  <c r="M15" i="23"/>
  <c r="M9" i="23"/>
  <c r="M10" i="23"/>
  <c r="M11" i="23"/>
  <c r="M12" i="23"/>
  <c r="M13" i="23"/>
  <c r="D13" i="23"/>
  <c r="S10" i="115"/>
  <c r="S7" i="23" l="1"/>
  <c r="S8" i="23"/>
  <c r="S9" i="23"/>
  <c r="S6" i="23"/>
  <c r="G41" i="116" l="1"/>
  <c r="O37" i="115"/>
  <c r="O150" i="115" l="1"/>
  <c r="O149" i="115"/>
  <c r="O148" i="115"/>
  <c r="O147" i="115"/>
  <c r="O146" i="115"/>
  <c r="O145" i="115"/>
  <c r="O144" i="115"/>
  <c r="R143" i="115"/>
  <c r="O143" i="115"/>
  <c r="R142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62" i="115" l="1"/>
  <c r="D12" i="23"/>
  <c r="S17" i="113"/>
  <c r="S15" i="113" l="1"/>
  <c r="R23" i="113"/>
  <c r="R22" i="113"/>
  <c r="S13" i="113"/>
  <c r="R21" i="113"/>
  <c r="S10" i="113"/>
  <c r="O81" i="113"/>
  <c r="D11" i="23" l="1"/>
  <c r="G9" i="23"/>
  <c r="D9" i="23" l="1"/>
  <c r="D10" i="23"/>
  <c r="L32" i="114" l="1"/>
  <c r="G41" i="114" l="1"/>
  <c r="O150" i="113" l="1"/>
  <c r="O149" i="113"/>
  <c r="O148" i="113"/>
  <c r="O147" i="113"/>
  <c r="O146" i="113"/>
  <c r="O145" i="113"/>
  <c r="O144" i="113"/>
  <c r="R143" i="113"/>
  <c r="O143" i="113"/>
  <c r="R142" i="113"/>
  <c r="O142" i="113"/>
  <c r="O141" i="113"/>
  <c r="O140" i="113"/>
  <c r="O139" i="113"/>
  <c r="O138" i="113"/>
  <c r="O137" i="113"/>
  <c r="O136" i="113"/>
  <c r="O135" i="113"/>
  <c r="O134" i="113"/>
  <c r="O133" i="113"/>
  <c r="O132" i="113"/>
  <c r="O131" i="113"/>
  <c r="O130" i="113"/>
  <c r="O129" i="113"/>
  <c r="O128" i="113"/>
  <c r="O127" i="113"/>
  <c r="O126" i="113"/>
  <c r="O125" i="113"/>
  <c r="O124" i="113"/>
  <c r="O123" i="113"/>
  <c r="O122" i="113"/>
  <c r="O121" i="113"/>
  <c r="O120" i="113"/>
  <c r="O119" i="113"/>
  <c r="O118" i="113"/>
  <c r="O117" i="113"/>
  <c r="O116" i="113"/>
  <c r="O115" i="113"/>
  <c r="O114" i="113"/>
  <c r="O113" i="113"/>
  <c r="O112" i="113"/>
  <c r="O111" i="113"/>
  <c r="O110" i="113"/>
  <c r="O109" i="113"/>
  <c r="O108" i="113"/>
  <c r="O107" i="113"/>
  <c r="O106" i="113"/>
  <c r="O105" i="113"/>
  <c r="O104" i="113"/>
  <c r="O103" i="113"/>
  <c r="O102" i="113"/>
  <c r="O101" i="113"/>
  <c r="O100" i="113"/>
  <c r="O99" i="113"/>
  <c r="R98" i="113"/>
  <c r="O98" i="113"/>
  <c r="O97" i="113"/>
  <c r="O96" i="113"/>
  <c r="O95" i="113"/>
  <c r="O94" i="113"/>
  <c r="O93" i="113"/>
  <c r="O92" i="113"/>
  <c r="O91" i="113"/>
  <c r="O90" i="113"/>
  <c r="O89" i="113"/>
  <c r="O88" i="113"/>
  <c r="O87" i="113"/>
  <c r="O86" i="113"/>
  <c r="O85" i="113"/>
  <c r="O84" i="113"/>
  <c r="O83" i="113"/>
  <c r="O82" i="113"/>
  <c r="O80" i="113"/>
  <c r="O79" i="113"/>
  <c r="O78" i="113"/>
  <c r="O77" i="113"/>
  <c r="O76" i="113"/>
  <c r="O75" i="113"/>
  <c r="O74" i="113"/>
  <c r="O73" i="113"/>
  <c r="O72" i="113"/>
  <c r="O71" i="113"/>
  <c r="O70" i="113"/>
  <c r="O69" i="113"/>
  <c r="O68" i="113"/>
  <c r="O67" i="113"/>
  <c r="O66" i="113"/>
  <c r="O65" i="113"/>
  <c r="O64" i="113"/>
  <c r="O63" i="113"/>
  <c r="O62" i="113"/>
  <c r="O61" i="113"/>
  <c r="O60" i="113"/>
  <c r="O59" i="113"/>
  <c r="O58" i="113"/>
  <c r="O57" i="113"/>
  <c r="O56" i="113"/>
  <c r="O55" i="113"/>
  <c r="O54" i="113"/>
  <c r="O53" i="113"/>
  <c r="O52" i="113"/>
  <c r="O51" i="113"/>
  <c r="O50" i="113"/>
  <c r="O49" i="113"/>
  <c r="O48" i="113"/>
  <c r="O47" i="113"/>
  <c r="O46" i="113"/>
  <c r="O45" i="113"/>
  <c r="O44" i="113"/>
  <c r="O43" i="113"/>
  <c r="O42" i="113"/>
  <c r="O41" i="113"/>
  <c r="O40" i="113"/>
  <c r="O39" i="113"/>
  <c r="O38" i="113"/>
  <c r="O36" i="113"/>
  <c r="O35" i="113"/>
  <c r="O34" i="113"/>
  <c r="O33" i="113"/>
  <c r="O32" i="113"/>
  <c r="O31" i="113"/>
  <c r="O30" i="113"/>
  <c r="O29" i="113"/>
  <c r="O28" i="113"/>
  <c r="O27" i="113"/>
  <c r="O26" i="113"/>
  <c r="O25" i="113"/>
  <c r="O24" i="113"/>
  <c r="O23" i="113"/>
  <c r="O22" i="113"/>
  <c r="O21" i="113"/>
  <c r="O20" i="113"/>
  <c r="O19" i="113"/>
  <c r="O18" i="113"/>
  <c r="O17" i="113"/>
  <c r="O16" i="113"/>
  <c r="O15" i="113"/>
  <c r="O14" i="113"/>
  <c r="O13" i="113"/>
  <c r="O12" i="113"/>
  <c r="O162" i="113" l="1"/>
  <c r="M8" i="23" l="1"/>
  <c r="R141" i="111"/>
  <c r="S12" i="111"/>
  <c r="D8" i="23" l="1"/>
  <c r="R140" i="111"/>
  <c r="L35" i="112" l="1"/>
  <c r="D7" i="23" l="1"/>
  <c r="S10" i="111"/>
  <c r="G41" i="112" l="1"/>
  <c r="O148" i="111"/>
  <c r="O147" i="111"/>
  <c r="O146" i="111"/>
  <c r="O145" i="111"/>
  <c r="O144" i="111"/>
  <c r="O143" i="111"/>
  <c r="O142" i="111"/>
  <c r="O141" i="111"/>
  <c r="O140" i="111"/>
  <c r="O139" i="111"/>
  <c r="O138" i="111"/>
  <c r="O137" i="111"/>
  <c r="O136" i="111"/>
  <c r="O135" i="111"/>
  <c r="O134" i="111"/>
  <c r="O133" i="111"/>
  <c r="O132" i="111"/>
  <c r="O131" i="111"/>
  <c r="O130" i="111"/>
  <c r="O129" i="111"/>
  <c r="O128" i="111"/>
  <c r="O127" i="111"/>
  <c r="O126" i="111"/>
  <c r="O125" i="111"/>
  <c r="O124" i="111"/>
  <c r="O123" i="111"/>
  <c r="O122" i="111"/>
  <c r="O121" i="111"/>
  <c r="O120" i="111"/>
  <c r="O119" i="111"/>
  <c r="O118" i="111"/>
  <c r="O117" i="111"/>
  <c r="O116" i="111"/>
  <c r="O115" i="111"/>
  <c r="O114" i="111"/>
  <c r="O113" i="111"/>
  <c r="O112" i="111"/>
  <c r="O111" i="111"/>
  <c r="O110" i="111"/>
  <c r="O109" i="111"/>
  <c r="O108" i="111"/>
  <c r="O107" i="111"/>
  <c r="O106" i="111"/>
  <c r="O105" i="111"/>
  <c r="O104" i="111"/>
  <c r="O103" i="111"/>
  <c r="O102" i="111"/>
  <c r="O101" i="111"/>
  <c r="O100" i="111"/>
  <c r="O99" i="111"/>
  <c r="O98" i="111"/>
  <c r="O97" i="111"/>
  <c r="R96" i="111"/>
  <c r="O96" i="111"/>
  <c r="O95" i="111"/>
  <c r="O94" i="111"/>
  <c r="O93" i="111"/>
  <c r="O92" i="111"/>
  <c r="O91" i="111"/>
  <c r="O90" i="111"/>
  <c r="O89" i="111"/>
  <c r="O88" i="111"/>
  <c r="O87" i="111"/>
  <c r="O86" i="111"/>
  <c r="O85" i="111"/>
  <c r="O84" i="111"/>
  <c r="O83" i="111"/>
  <c r="O82" i="111"/>
  <c r="O81" i="111"/>
  <c r="O80" i="111"/>
  <c r="O79" i="111"/>
  <c r="O78" i="111"/>
  <c r="O77" i="111"/>
  <c r="O76" i="111"/>
  <c r="O75" i="111"/>
  <c r="O74" i="111"/>
  <c r="O73" i="111"/>
  <c r="O72" i="111"/>
  <c r="O71" i="111"/>
  <c r="O70" i="111"/>
  <c r="O69" i="111"/>
  <c r="O68" i="111"/>
  <c r="O67" i="111"/>
  <c r="O66" i="111"/>
  <c r="O65" i="111"/>
  <c r="O64" i="111"/>
  <c r="O63" i="111"/>
  <c r="O62" i="111"/>
  <c r="O61" i="111"/>
  <c r="O60" i="111"/>
  <c r="O59" i="111"/>
  <c r="O58" i="111"/>
  <c r="O57" i="111"/>
  <c r="O56" i="111"/>
  <c r="O55" i="111"/>
  <c r="O54" i="111"/>
  <c r="O53" i="111"/>
  <c r="O52" i="111"/>
  <c r="O51" i="111"/>
  <c r="O50" i="111"/>
  <c r="O49" i="111"/>
  <c r="O48" i="111"/>
  <c r="O47" i="111"/>
  <c r="O46" i="111"/>
  <c r="O45" i="111"/>
  <c r="O44" i="111"/>
  <c r="O43" i="111"/>
  <c r="O42" i="111"/>
  <c r="O41" i="111"/>
  <c r="O40" i="111"/>
  <c r="O39" i="111"/>
  <c r="O38" i="111"/>
  <c r="O37" i="111"/>
  <c r="O36" i="111"/>
  <c r="O35" i="111"/>
  <c r="O34" i="111"/>
  <c r="O33" i="111"/>
  <c r="O32" i="111"/>
  <c r="O31" i="111"/>
  <c r="O30" i="111"/>
  <c r="O29" i="111"/>
  <c r="O28" i="111"/>
  <c r="O27" i="111"/>
  <c r="O26" i="111"/>
  <c r="O25" i="111"/>
  <c r="O24" i="111"/>
  <c r="O23" i="111"/>
  <c r="O22" i="111"/>
  <c r="O21" i="111"/>
  <c r="O20" i="111"/>
  <c r="O19" i="111"/>
  <c r="O18" i="111"/>
  <c r="O17" i="111"/>
  <c r="O16" i="111"/>
  <c r="O15" i="111"/>
  <c r="O14" i="111"/>
  <c r="O13" i="111"/>
  <c r="O12" i="111"/>
  <c r="O160" i="111" l="1"/>
  <c r="D6" i="23"/>
  <c r="S14" i="109"/>
  <c r="D5" i="23" l="1"/>
  <c r="S11" i="109"/>
  <c r="T77" i="23" l="1"/>
  <c r="S77" i="23"/>
  <c r="P77" i="23"/>
  <c r="M77" i="23"/>
  <c r="G77" i="23"/>
  <c r="G41" i="110" l="1"/>
  <c r="R178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R96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204" i="109" l="1"/>
  <c r="D49" i="23" l="1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S65" i="23" l="1"/>
  <c r="S66" i="23"/>
  <c r="S67" i="23"/>
  <c r="P65" i="23"/>
  <c r="P66" i="23"/>
  <c r="P67" i="23"/>
  <c r="M65" i="23"/>
  <c r="M66" i="23"/>
  <c r="M67" i="23"/>
  <c r="G65" i="23"/>
  <c r="G66" i="23"/>
  <c r="G67" i="23"/>
  <c r="S63" i="23" l="1"/>
  <c r="S64" i="23"/>
  <c r="P63" i="23"/>
  <c r="P64" i="23"/>
  <c r="M63" i="23"/>
  <c r="M64" i="23"/>
  <c r="G63" i="23"/>
  <c r="G64" i="23"/>
  <c r="S60" i="23" l="1"/>
  <c r="S61" i="23"/>
  <c r="S62" i="23"/>
  <c r="P60" i="23"/>
  <c r="P61" i="23"/>
  <c r="P62" i="23"/>
  <c r="M60" i="23"/>
  <c r="M61" i="23"/>
  <c r="M62" i="23"/>
  <c r="G60" i="23"/>
  <c r="G61" i="23"/>
  <c r="G62" i="23"/>
  <c r="S55" i="23" l="1"/>
  <c r="S56" i="23"/>
  <c r="S57" i="23"/>
  <c r="S58" i="23"/>
  <c r="S59" i="23"/>
  <c r="P55" i="23"/>
  <c r="P56" i="23"/>
  <c r="P57" i="23"/>
  <c r="P58" i="23"/>
  <c r="P59" i="23"/>
  <c r="M55" i="23"/>
  <c r="M56" i="23"/>
  <c r="M57" i="23"/>
  <c r="M58" i="23"/>
  <c r="M59" i="23"/>
  <c r="G56" i="23"/>
  <c r="G57" i="23"/>
  <c r="G58" i="23"/>
  <c r="G59" i="23"/>
  <c r="S52" i="23" l="1"/>
  <c r="S53" i="23"/>
  <c r="S54" i="23"/>
  <c r="P52" i="23"/>
  <c r="P53" i="23"/>
  <c r="P54" i="23"/>
  <c r="M52" i="23"/>
  <c r="M53" i="23"/>
  <c r="M54" i="23"/>
  <c r="G52" i="23"/>
  <c r="G53" i="23"/>
  <c r="G54" i="23"/>
  <c r="G55" i="23"/>
  <c r="S49" i="23" l="1"/>
  <c r="S50" i="23"/>
  <c r="S51" i="23"/>
  <c r="S68" i="23"/>
  <c r="S69" i="23"/>
  <c r="P49" i="23"/>
  <c r="P50" i="23"/>
  <c r="M49" i="23"/>
  <c r="M50" i="23"/>
  <c r="G49" i="23"/>
  <c r="G50" i="23"/>
  <c r="G51" i="23"/>
  <c r="G68" i="23"/>
  <c r="P51" i="23" l="1"/>
  <c r="P68" i="23"/>
  <c r="M51" i="23"/>
  <c r="M68" i="23"/>
  <c r="S70" i="23" l="1"/>
  <c r="Q72" i="23" s="1"/>
  <c r="Q73" i="23" s="1"/>
  <c r="P69" i="23" l="1"/>
  <c r="M69" i="23"/>
  <c r="M70" i="23" s="1"/>
  <c r="J69" i="23"/>
  <c r="G69" i="23"/>
  <c r="O70" i="23" l="1"/>
  <c r="N70" i="23"/>
  <c r="B70" i="23" l="1"/>
  <c r="C70" i="23"/>
  <c r="E70" i="23"/>
  <c r="F70" i="23"/>
  <c r="H70" i="23"/>
  <c r="I70" i="23"/>
  <c r="K70" i="23"/>
  <c r="L70" i="23"/>
  <c r="J70" i="23" l="1"/>
  <c r="H71" i="23" s="1"/>
  <c r="H72" i="23" s="1"/>
  <c r="H73" i="23" s="1"/>
  <c r="K71" i="23"/>
  <c r="K72" i="23" s="1"/>
  <c r="K73" i="23" s="1"/>
  <c r="P70" i="23" l="1"/>
  <c r="N71" i="23" l="1"/>
  <c r="N72" i="23" s="1"/>
  <c r="N73" i="23" s="1"/>
  <c r="G70" i="23" l="1"/>
  <c r="E71" i="23" l="1"/>
  <c r="E72" i="23" s="1"/>
  <c r="T70" i="23"/>
  <c r="E73" i="23" l="1"/>
  <c r="D77" i="23"/>
  <c r="D70" i="23"/>
  <c r="A71" i="23" l="1"/>
  <c r="D72" i="23" s="1"/>
  <c r="D73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5" authorId="0" shapeId="0" xr:uid="{E40FFA4D-D26D-423E-BBA5-E4698109E63A}">
      <text>
        <r>
          <rPr>
            <b/>
            <sz val="9"/>
            <color indexed="81"/>
            <rFont val="Tahoma"/>
            <family val="2"/>
          </rPr>
          <t>red tilapia 6000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2F180397-7C12-4FF4-8E2C-A855FD751131}">
      <text>
        <r>
          <rPr>
            <b/>
            <sz val="9"/>
            <color indexed="81"/>
            <rFont val="Tahoma"/>
            <family val="2"/>
          </rPr>
          <t>Red Tilapia 1,500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 shapeId="0" xr:uid="{E454A379-BC38-4D07-AF3B-85966F71F6BC}">
      <text>
        <r>
          <rPr>
            <b/>
            <sz val="9"/>
            <color indexed="81"/>
            <rFont val="Tahoma"/>
            <family val="2"/>
          </rPr>
          <t>3,500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65B28FEC-20D7-4BEF-99AE-4043DCF648D2}">
      <text>
        <r>
          <rPr>
            <b/>
            <sz val="9"/>
            <color indexed="81"/>
            <rFont val="Tahoma"/>
            <family val="2"/>
          </rPr>
          <t>Red Tilapia 15000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D85B8C9B-63EB-4AD8-A36D-9357AE0797F5}">
      <text>
        <r>
          <rPr>
            <sz val="9"/>
            <color indexed="81"/>
            <rFont val="Tahoma"/>
            <family val="2"/>
          </rPr>
          <t xml:space="preserve">2, 200 Red tilapia
</t>
        </r>
      </text>
    </comment>
    <comment ref="C13" authorId="0" shapeId="0" xr:uid="{1BD109CD-6470-43BB-92A7-95FEC6B4B21F}">
      <text>
        <r>
          <rPr>
            <b/>
            <sz val="9"/>
            <color indexed="81"/>
            <rFont val="Tahoma"/>
            <family val="2"/>
          </rPr>
          <t>5, 000 Red tilapia</t>
        </r>
      </text>
    </comment>
    <comment ref="C14" authorId="0" shapeId="0" xr:uid="{BD2740C7-88FF-4135-B3F5-F408A3F263B2}">
      <text>
        <r>
          <rPr>
            <b/>
            <sz val="9"/>
            <color indexed="81"/>
            <rFont val="Tahoma"/>
            <family val="2"/>
          </rPr>
          <t>Red tilapia 15,000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6787E7D1-FB95-47E8-99F3-DDBED9A437CF}">
      <text>
        <r>
          <rPr>
            <b/>
            <sz val="9"/>
            <color indexed="81"/>
            <rFont val="Tahoma"/>
            <family val="2"/>
          </rPr>
          <t>2,500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3E11DFB6-42C5-4802-BD5E-7AE7EA72D423}">
      <text>
        <r>
          <rPr>
            <b/>
            <sz val="9"/>
            <color indexed="81"/>
            <rFont val="Tahoma"/>
            <family val="2"/>
          </rPr>
          <t>Red tilapia 2,000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" authorId="0" shapeId="0" xr:uid="{3880B48B-9D09-4DF6-A184-1EAA20A54F8C}">
      <text>
        <r>
          <rPr>
            <b/>
            <sz val="9"/>
            <color indexed="81"/>
            <rFont val="Tahoma"/>
            <family val="2"/>
          </rPr>
          <t>Red tilapia</t>
        </r>
      </text>
    </comment>
    <comment ref="B19" authorId="0" shapeId="0" xr:uid="{16E5A3D7-4372-47DE-920D-EB7F82BC7A2B}">
      <text>
        <r>
          <rPr>
            <b/>
            <sz val="9"/>
            <color indexed="81"/>
            <rFont val="Tahoma"/>
            <family val="2"/>
          </rPr>
          <t>Red tilapia 8,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94B71A0D-55D5-4569-95C4-D462BB6981E8}">
      <text>
        <r>
          <rPr>
            <b/>
            <sz val="9"/>
            <color indexed="81"/>
            <rFont val="Tahoma"/>
            <family val="2"/>
          </rPr>
          <t>Red tilapia 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A65F2D4F-A206-4C58-ACAE-A8F97DF3E2D7}">
      <text>
        <r>
          <rPr>
            <b/>
            <sz val="9"/>
            <color indexed="81"/>
            <rFont val="Tahoma"/>
            <family val="2"/>
          </rPr>
          <t>Red tilapia 10,500</t>
        </r>
      </text>
    </comment>
    <comment ref="B21" authorId="0" shapeId="0" xr:uid="{F378D2DE-E740-4A3D-B214-1154D5C6D045}">
      <text>
        <r>
          <rPr>
            <b/>
            <sz val="9"/>
            <color indexed="81"/>
            <rFont val="Tahoma"/>
            <family val="2"/>
          </rPr>
          <t>1,250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" authorId="0" shapeId="0" xr:uid="{3E1E5160-783F-4BBB-A928-5E68B42519B8}">
      <text>
        <r>
          <rPr>
            <b/>
            <sz val="9"/>
            <color indexed="81"/>
            <rFont val="Tahoma"/>
            <family val="2"/>
          </rPr>
          <t>15,000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" authorId="0" shapeId="0" xr:uid="{7B4E0012-6E3C-4C63-9090-A75F79C35CB8}">
      <text>
        <r>
          <rPr>
            <b/>
            <sz val="9"/>
            <color indexed="81"/>
            <rFont val="Tahoma"/>
            <family val="2"/>
          </rPr>
          <t>Red 500</t>
        </r>
      </text>
    </comment>
    <comment ref="B27" authorId="0" shapeId="0" xr:uid="{BE03BFC3-901E-463D-A6BE-CFE961D19298}">
      <text>
        <r>
          <rPr>
            <b/>
            <sz val="9"/>
            <color indexed="81"/>
            <rFont val="Tahoma"/>
            <family val="2"/>
          </rPr>
          <t>11750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91D3A2C3-B39E-469E-9194-25DF520FB450}">
      <text>
        <r>
          <rPr>
            <b/>
            <sz val="9"/>
            <color indexed="81"/>
            <rFont val="Tahoma"/>
            <family val="2"/>
          </rPr>
          <t>Red tilapia 25,000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FC8BA8AF-DADD-4B0C-87E7-5AEB2FBCA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 Red tilapia</t>
        </r>
      </text>
    </comment>
    <comment ref="B29" authorId="0" shapeId="0" xr:uid="{D21D880A-142C-483F-8289-6E1A120B71EF}">
      <text>
        <r>
          <rPr>
            <b/>
            <sz val="9"/>
            <color indexed="81"/>
            <rFont val="Tahoma"/>
            <family val="2"/>
          </rPr>
          <t>Red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A9DF3825-4CAC-4779-BD3D-6B670700CDEB}">
      <text>
        <r>
          <rPr>
            <b/>
            <sz val="9"/>
            <color indexed="81"/>
            <rFont val="Tahoma"/>
            <family val="2"/>
          </rPr>
          <t>Red 1500</t>
        </r>
      </text>
    </comment>
    <comment ref="B30" authorId="0" shapeId="0" xr:uid="{59089B58-5EC3-4E3D-8E79-9DCF8F1626E7}">
      <text>
        <r>
          <rPr>
            <b/>
            <sz val="9"/>
            <color indexed="81"/>
            <rFont val="Tahoma"/>
            <family val="2"/>
          </rPr>
          <t>Red 1100</t>
        </r>
      </text>
    </comment>
    <comment ref="C31" authorId="0" shapeId="0" xr:uid="{E3F8243F-4EC1-4544-9B12-55B3B733A627}">
      <text>
        <r>
          <rPr>
            <sz val="9"/>
            <color indexed="81"/>
            <rFont val="Tahoma"/>
            <charset val="1"/>
          </rPr>
          <t xml:space="preserve">Red 800
</t>
        </r>
      </text>
    </comment>
    <comment ref="D7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+20%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A200CCCC-5953-4B1C-9CB8-DB67E01B5117}">
      <text>
        <r>
          <rPr>
            <b/>
            <sz val="9"/>
            <color indexed="81"/>
            <rFont val="Tahoma"/>
            <charset val="1"/>
          </rPr>
          <t>SAAD fish cage</t>
        </r>
      </text>
    </comment>
    <comment ref="B14" authorId="0" shapeId="0" xr:uid="{E125D038-E6CE-40A4-815F-105B04E65A3E}">
      <text>
        <r>
          <rPr>
            <b/>
            <sz val="9"/>
            <color indexed="81"/>
            <rFont val="Tahoma"/>
            <charset val="1"/>
          </rPr>
          <t>TARGET fishpond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5" authorId="0" shapeId="0" xr:uid="{752CAAE8-1FB2-44D2-9C44-AB56C68C3E55}">
      <text>
        <r>
          <rPr>
            <b/>
            <sz val="9"/>
            <color indexed="81"/>
            <rFont val="Tahoma"/>
            <family val="2"/>
          </rPr>
          <t>SAAD fishpond</t>
        </r>
      </text>
    </comment>
    <comment ref="B16" authorId="0" shapeId="0" xr:uid="{1A3FDAF7-6936-482D-B785-B32F38106790}">
      <text>
        <r>
          <rPr>
            <b/>
            <sz val="9"/>
            <color indexed="81"/>
            <rFont val="Tahoma"/>
            <family val="2"/>
          </rPr>
          <t>SAAD fishpond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21CB6F13-0FA5-436A-B942-CD48DF28686C}">
      <text>
        <r>
          <rPr>
            <sz val="9"/>
            <color indexed="81"/>
            <rFont val="Tahoma"/>
            <charset val="1"/>
          </rPr>
          <t xml:space="preserve">OPA fish cage project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0" authorId="0" shapeId="0" xr:uid="{E4F38BB7-744A-45BE-A320-5904CB1FDEE2}">
      <text>
        <r>
          <rPr>
            <b/>
            <sz val="9"/>
            <color indexed="81"/>
            <rFont val="Tahoma"/>
            <family val="2"/>
          </rPr>
          <t>Red 1100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0" shapeId="0" xr:uid="{23818A1E-E9AE-4BBD-A113-4473C4655412}">
      <text>
        <r>
          <rPr>
            <b/>
            <sz val="9"/>
            <color indexed="81"/>
            <rFont val="Tahoma"/>
            <charset val="1"/>
          </rPr>
          <t>800 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63" authorId="0" shapeId="0" xr:uid="{FB80879A-56A8-4AD7-B8A3-473EAD40B098}">
      <text>
        <r>
          <rPr>
            <b/>
            <sz val="9"/>
            <color indexed="81"/>
            <rFont val="Tahoma"/>
            <family val="2"/>
          </rPr>
          <t>44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1" authorId="0" shapeId="0" xr:uid="{FD1D6468-4CF5-4767-9B85-CF5BA9220446}">
      <text>
        <r>
          <rPr>
            <b/>
            <sz val="9"/>
            <color indexed="81"/>
            <rFont val="Tahoma"/>
            <charset val="1"/>
          </rPr>
          <t>52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14043F9E-055C-4A8B-96F3-18E413ABA6FA}">
      <text>
        <r>
          <rPr>
            <b/>
            <sz val="9"/>
            <color indexed="81"/>
            <rFont val="Tahoma"/>
            <family val="2"/>
          </rPr>
          <t>SAAD fish cage</t>
        </r>
      </text>
    </comment>
    <comment ref="B14" authorId="0" shapeId="0" xr:uid="{7114AAAA-B722-4D0E-AB62-D2087336BA19}">
      <text>
        <r>
          <rPr>
            <b/>
            <sz val="9"/>
            <color indexed="81"/>
            <rFont val="Tahoma"/>
            <family val="2"/>
          </rPr>
          <t>SAAD fish pond</t>
        </r>
      </text>
    </comment>
    <comment ref="B20" authorId="0" shapeId="0" xr:uid="{B6360114-1B88-4DB6-BA10-E0EE061B3A37}">
      <text>
        <r>
          <rPr>
            <b/>
            <sz val="9"/>
            <color indexed="81"/>
            <rFont val="Tahoma"/>
            <family val="2"/>
          </rPr>
          <t>SAAD fish cage</t>
        </r>
      </text>
    </comment>
    <comment ref="L34" authorId="0" shapeId="0" xr:uid="{CABB64E3-FA19-4E37-9769-56C4E99710D8}">
      <text>
        <r>
          <rPr>
            <b/>
            <sz val="9"/>
            <color indexed="81"/>
            <rFont val="Tahoma"/>
            <family val="2"/>
          </rPr>
          <t>Red tilapia 25000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3045339D-63D2-4F53-8873-E08C68BEDA86}">
      <text>
        <r>
          <rPr>
            <b/>
            <sz val="9"/>
            <color indexed="81"/>
            <rFont val="Tahoma"/>
            <family val="2"/>
          </rPr>
          <t>Red 1500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0" authorId="0" shapeId="0" xr:uid="{4C890964-8B21-40CC-950B-77030D7E8462}">
      <text>
        <r>
          <rPr>
            <b/>
            <sz val="9"/>
            <color indexed="81"/>
            <rFont val="Tahoma"/>
            <family val="2"/>
          </rPr>
          <t>11,750 Red</t>
        </r>
      </text>
    </comment>
    <comment ref="S14" authorId="0" shapeId="0" xr:uid="{0ABD7205-AAD2-445F-964A-738990232A3D}">
      <text>
        <r>
          <rPr>
            <b/>
            <sz val="9"/>
            <color indexed="81"/>
            <rFont val="Tahoma"/>
            <family val="2"/>
          </rPr>
          <t>100, red tilapia</t>
        </r>
      </text>
    </comment>
    <comment ref="A58" authorId="0" shapeId="0" xr:uid="{1B8FC8ED-ADCE-4924-8C89-84729A5BEA52}">
      <text>
        <r>
          <rPr>
            <b/>
            <sz val="9"/>
            <color indexed="81"/>
            <rFont val="Tahoma"/>
            <family val="2"/>
          </rPr>
          <t>44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" authorId="0" shapeId="0" xr:uid="{4CC72C0F-18CB-4B09-8ED0-D24C41360103}">
      <text>
        <r>
          <rPr>
            <b/>
            <sz val="9"/>
            <color indexed="81"/>
            <rFont val="Tahoma"/>
            <family val="2"/>
          </rPr>
          <t>63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AF90D8C3-6D61-43DF-BAD6-D0F709BAB291}">
      <text>
        <r>
          <rPr>
            <b/>
            <sz val="9"/>
            <color indexed="81"/>
            <rFont val="Tahoma"/>
            <family val="2"/>
          </rPr>
          <t>SAAD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0" shapeId="0" xr:uid="{A549E2B3-DB72-44C6-8EC5-D4560D75436B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7DA8E3D4-FEC9-4796-AED5-AFDB3BB777F0}">
      <text>
        <r>
          <rPr>
            <b/>
            <sz val="9"/>
            <color indexed="81"/>
            <rFont val="Tahoma"/>
            <family val="2"/>
          </rPr>
          <t>SAAD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20" authorId="0" shapeId="0" xr:uid="{A99D7747-D296-4BF4-88ED-D256679069EA}">
      <text>
        <r>
          <rPr>
            <b/>
            <sz val="9"/>
            <color indexed="81"/>
            <rFont val="Tahoma"/>
            <family val="2"/>
          </rPr>
          <t>Red 500</t>
        </r>
      </text>
    </comment>
    <comment ref="B23" authorId="0" shapeId="0" xr:uid="{E14882EF-46C2-4B27-94CF-0A5482003DAA}">
      <text>
        <r>
          <rPr>
            <b/>
            <sz val="9"/>
            <color indexed="81"/>
            <rFont val="Tahoma"/>
            <family val="2"/>
          </rPr>
          <t>SAAD fish cage</t>
        </r>
      </text>
    </comment>
    <comment ref="A52" authorId="0" shapeId="0" xr:uid="{2DB91378-DD03-4CF5-AF5D-CCEB969AFDCD}">
      <text>
        <r>
          <rPr>
            <b/>
            <sz val="9"/>
            <color indexed="81"/>
            <rFont val="Tahoma"/>
            <family val="2"/>
          </rPr>
          <t>39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" authorId="0" shapeId="0" xr:uid="{B7283D1A-DB29-4B0D-9401-C5DC7A234D0F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B56" authorId="0" shapeId="0" xr:uid="{90679B22-7270-4384-9AFE-2384775E3018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" authorId="0" shapeId="0" xr:uid="{A9BB3641-6D6A-46A8-A05E-F8C72ECD768A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74EDC5CD-AE71-42FE-80E3-11A2FA731EEA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" authorId="0" shapeId="0" xr:uid="{92775701-C109-43C5-B8C3-D448540A116D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B60" authorId="0" shapeId="0" xr:uid="{0A7DD049-3683-42FD-8A7B-E901FDF1CED5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B61" authorId="0" shapeId="0" xr:uid="{FA6A7DF5-BB0B-444D-953F-E771A383E141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" authorId="0" shapeId="0" xr:uid="{86305B66-2CB5-46B5-B58C-213754A9DA3A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3" authorId="0" shapeId="0" xr:uid="{44BEE210-BD34-4EA2-BE8C-895DF2A64951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" authorId="0" shapeId="0" xr:uid="{CE44CE33-1DB8-42A5-BEA4-4C250F1C111B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5" authorId="0" shapeId="0" xr:uid="{A4919727-11D7-4C90-AF3D-E1B4E950C66C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8" authorId="0" shapeId="0" xr:uid="{BFE2F3E8-162E-46EE-ABCC-C2D160319715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4" authorId="0" shapeId="0" xr:uid="{106D296E-587F-4868-8D57-7E9C403CADDC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B105" authorId="0" shapeId="0" xr:uid="{B3101D99-68E6-48F7-A1BC-9900AB522AF7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6" authorId="0" shapeId="0" xr:uid="{4D898E4C-593F-4B24-BB7A-E70710F3E2C3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7" authorId="0" shapeId="0" xr:uid="{614F8D78-CB05-4BE7-B3C3-1938BF66DD8A}">
      <text>
        <r>
          <rPr>
            <b/>
            <sz val="9"/>
            <color indexed="81"/>
            <rFont val="Tahoma"/>
            <family val="2"/>
          </rPr>
          <t>92</t>
        </r>
      </text>
    </comment>
    <comment ref="B107" authorId="0" shapeId="0" xr:uid="{4A4C51EF-4AC1-44F9-8903-1ABCD3BB142A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0" shapeId="0" xr:uid="{2EEE6499-5EA9-4895-B78E-454FE77B43F3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A159" authorId="0" shapeId="0" xr:uid="{1E7A4158-E588-41E2-A210-5E71C423350C}">
      <text>
        <r>
          <rPr>
            <b/>
            <sz val="9"/>
            <color indexed="81"/>
            <rFont val="Tahoma"/>
            <family val="2"/>
          </rPr>
          <t>140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1" authorId="0" shapeId="0" xr:uid="{E89A259F-9681-44C4-BB9A-861AADBF4DB6}">
      <text>
        <r>
          <rPr>
            <b/>
            <sz val="9"/>
            <color indexed="81"/>
            <rFont val="Tahoma"/>
            <family val="2"/>
          </rPr>
          <t>161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6" authorId="0" shapeId="0" xr:uid="{B3F91489-D6B3-49C5-BA54-D5E2D36E92F8}">
      <text>
        <r>
          <rPr>
            <b/>
            <sz val="9"/>
            <color indexed="81"/>
            <rFont val="Tahoma"/>
            <family val="2"/>
          </rPr>
          <t>166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5" authorId="0" shapeId="0" xr:uid="{0859171F-D277-410A-8E6A-85B0B5350FA6}">
      <text>
        <r>
          <rPr>
            <b/>
            <sz val="9"/>
            <color indexed="81"/>
            <rFont val="Tahoma"/>
            <family val="2"/>
          </rPr>
          <t>SAAD fish cage</t>
        </r>
      </text>
    </comment>
    <comment ref="L36" authorId="0" shapeId="0" xr:uid="{CE188826-6665-40D1-B43D-ECA892DC9255}">
      <text>
        <r>
          <rPr>
            <b/>
            <sz val="9"/>
            <color indexed="81"/>
            <rFont val="Tahoma"/>
            <family val="2"/>
          </rPr>
          <t>10,500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D0AACB99-4DA4-486A-B0A7-20FACDED4B7D}">
      <text>
        <r>
          <rPr>
            <b/>
            <sz val="9"/>
            <color indexed="81"/>
            <rFont val="Tahoma"/>
            <family val="2"/>
          </rPr>
          <t>15,000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0" authorId="0" shapeId="0" xr:uid="{E2CE2CF1-A602-497E-89D2-806472AE67F2}">
      <text>
        <r>
          <rPr>
            <b/>
            <sz val="9"/>
            <color indexed="81"/>
            <rFont val="Tahoma"/>
            <family val="2"/>
          </rPr>
          <t>Red tilapia 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2" authorId="0" shapeId="0" xr:uid="{49CB574D-2150-4BE6-9F16-EB1DC42C1EA9}">
      <text>
        <r>
          <rPr>
            <b/>
            <sz val="9"/>
            <color indexed="81"/>
            <rFont val="Tahoma"/>
            <family val="2"/>
          </rPr>
          <t xml:space="preserve">Red tilapia </t>
        </r>
        <r>
          <rPr>
            <sz val="9"/>
            <color indexed="81"/>
            <rFont val="Tahoma"/>
            <family val="2"/>
          </rPr>
          <t xml:space="preserve">8, 100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" authorId="0" shapeId="0" xr:uid="{8F256FBC-2C5A-4406-A45C-4BAC915FC073}">
      <text>
        <r>
          <rPr>
            <b/>
            <sz val="9"/>
            <color indexed="81"/>
            <rFont val="Tahoma"/>
            <family val="2"/>
          </rPr>
          <t>1,250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" authorId="0" shapeId="0" xr:uid="{1B634EF1-9074-4FC1-9F5A-EB4D0A13E479}">
      <text>
        <r>
          <rPr>
            <b/>
            <sz val="9"/>
            <color indexed="81"/>
            <rFont val="Tahoma"/>
            <family val="2"/>
          </rPr>
          <t>35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3" authorId="0" shapeId="0" xr:uid="{7D8B8F25-0D2D-4F11-9D3B-E874D5F976C2}">
      <text>
        <r>
          <rPr>
            <b/>
            <sz val="9"/>
            <color indexed="81"/>
            <rFont val="Tahoma"/>
            <family val="2"/>
          </rPr>
          <t>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3" authorId="0" shapeId="0" xr:uid="{F5C3AA15-D5BC-4144-A976-CED6A877B5A9}">
      <text>
        <r>
          <rPr>
            <b/>
            <sz val="9"/>
            <color indexed="81"/>
            <rFont val="Tahoma"/>
            <family val="2"/>
          </rPr>
          <t>64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3" authorId="0" shapeId="0" xr:uid="{7630D7C6-96D3-4D98-AEDE-9A55E26756F0}">
      <text>
        <r>
          <rPr>
            <b/>
            <sz val="9"/>
            <color indexed="81"/>
            <rFont val="Tahoma"/>
            <family val="2"/>
          </rPr>
          <t>SAAD fish pond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4" authorId="0" shapeId="0" xr:uid="{7D446732-3F7C-4F4F-AA5D-3423A32BE823}">
      <text>
        <r>
          <rPr>
            <b/>
            <sz val="9"/>
            <color indexed="81"/>
            <rFont val="Tahoma"/>
            <family val="2"/>
          </rPr>
          <t>SAAD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0" authorId="0" shapeId="0" xr:uid="{3CE0BCC3-FD2B-4472-8489-869AC5DB31E7}">
      <text>
        <r>
          <rPr>
            <b/>
            <sz val="9"/>
            <color indexed="81"/>
            <rFont val="Tahoma"/>
            <family val="2"/>
          </rPr>
          <t>73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3FC587D7-8592-4B76-B2BE-1C29F14890D0}">
      <text>
        <r>
          <rPr>
            <b/>
            <sz val="9"/>
            <color indexed="81"/>
            <rFont val="Tahoma"/>
            <family val="2"/>
          </rPr>
          <t>SAAD fishpond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0" authorId="0" shapeId="0" xr:uid="{1B206CD5-E317-4849-9CDF-542745D6C46E}">
      <text>
        <r>
          <rPr>
            <b/>
            <sz val="9"/>
            <color indexed="81"/>
            <rFont val="Tahoma"/>
            <family val="2"/>
          </rPr>
          <t>2500 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 xr:uid="{B801F471-4ED9-4020-B279-0BE6C07019A8}">
      <text>
        <r>
          <rPr>
            <b/>
            <sz val="9"/>
            <color indexed="81"/>
            <rFont val="Tahoma"/>
            <family val="2"/>
          </rPr>
          <t>26</t>
        </r>
      </text>
    </comment>
    <comment ref="A91" authorId="0" shapeId="0" xr:uid="{183981E2-69BC-48C0-9109-927EFF78B041}">
      <text>
        <r>
          <rPr>
            <b/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2" authorId="0" shapeId="0" xr:uid="{C8D1A13B-D144-4C43-AAEE-B3337F0320CD}">
      <text>
        <r>
          <rPr>
            <b/>
            <sz val="9"/>
            <color indexed="81"/>
            <rFont val="Tahoma"/>
            <family val="2"/>
          </rPr>
          <t xml:space="preserve"> 73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0" authorId="0" shapeId="0" xr:uid="{14324CB4-BD10-497C-A82E-F2082E33F746}">
      <text>
        <r>
          <rPr>
            <b/>
            <sz val="9"/>
            <color indexed="81"/>
            <rFont val="Tahoma"/>
            <family val="2"/>
          </rPr>
          <t>2200 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" authorId="0" shapeId="0" xr:uid="{BE89F951-2A35-4599-8C46-98CC25CB470A}">
      <text>
        <r>
          <rPr>
            <b/>
            <sz val="9"/>
            <color indexed="81"/>
            <rFont val="Tahoma"/>
            <family val="2"/>
          </rPr>
          <t>2450 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FDC2D9A4-D986-4B2D-801C-197295DF9F07}">
      <text>
        <r>
          <rPr>
            <sz val="9"/>
            <color indexed="81"/>
            <rFont val="Tahoma"/>
            <family val="2"/>
          </rPr>
          <t xml:space="preserve">LGU request
</t>
        </r>
      </text>
    </comment>
    <comment ref="B18" authorId="0" shapeId="0" xr:uid="{C4A5AA6D-3F7D-4006-9B98-D2AC6FD260F7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3B321841-620A-4AA4-BB40-A6F42FF8CBF1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E8065458-7BB3-45F6-BC8A-FE97A3D12D73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" authorId="0" shapeId="0" xr:uid="{BAF9BCCA-104B-4A19-AA82-276C4ACF68E4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" authorId="0" shapeId="0" xr:uid="{8A336C9C-EF72-4531-9441-0DB5424127D8}">
      <text>
        <r>
          <rPr>
            <b/>
            <sz val="9"/>
            <color indexed="81"/>
            <rFont val="Tahoma"/>
            <family val="2"/>
          </rPr>
          <t>LGU 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" authorId="0" shapeId="0" xr:uid="{6503C4A6-667C-4387-B1B8-0D2E000F1204}">
      <text>
        <r>
          <rPr>
            <b/>
            <sz val="9"/>
            <color indexed="81"/>
            <rFont val="Tahoma"/>
            <family val="2"/>
          </rPr>
          <t>62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4" authorId="0" shapeId="0" xr:uid="{720BCA88-2FFE-4A8E-8059-6E260580DC0B}">
      <text>
        <r>
          <rPr>
            <b/>
            <sz val="9"/>
            <color indexed="81"/>
            <rFont val="Tahoma"/>
            <family val="2"/>
          </rPr>
          <t>96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2" authorId="0" shapeId="0" xr:uid="{AB9EF10E-64D3-4EE5-928B-A39EB64D5C64}">
      <text>
        <r>
          <rPr>
            <b/>
            <sz val="9"/>
            <color indexed="81"/>
            <rFont val="Tahoma"/>
            <family val="2"/>
          </rPr>
          <t>102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7" authorId="0" shapeId="0" xr:uid="{651B861C-AF91-4292-9DD7-C17D4061F079}">
      <text>
        <r>
          <rPr>
            <b/>
            <sz val="9"/>
            <color indexed="81"/>
            <rFont val="Tahoma"/>
            <family val="2"/>
          </rPr>
          <t>LGU request</t>
        </r>
      </text>
    </comment>
    <comment ref="A62" authorId="0" shapeId="0" xr:uid="{F2EB0B25-33E9-4874-989B-329D601750CF}">
      <text>
        <r>
          <rPr>
            <b/>
            <sz val="9"/>
            <color indexed="81"/>
            <rFont val="Tahoma"/>
            <family val="2"/>
          </rPr>
          <t>49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" authorId="0" shapeId="0" xr:uid="{A7B511F2-0BCD-4951-BB32-9B19160BB8EF}">
      <text>
        <r>
          <rPr>
            <b/>
            <sz val="9"/>
            <color indexed="81"/>
            <rFont val="Tahoma"/>
            <family val="2"/>
          </rPr>
          <t>59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6" authorId="0" shapeId="0" xr:uid="{49FA98A8-3E01-41C3-BB85-ADDD558C8B6F}">
      <text>
        <r>
          <rPr>
            <b/>
            <sz val="9"/>
            <color indexed="81"/>
            <rFont val="Tahoma"/>
            <family val="2"/>
          </rPr>
          <t>91</t>
        </r>
      </text>
    </comment>
    <comment ref="B107" authorId="0" shapeId="0" xr:uid="{BEF3F05D-9CA8-4A5B-A7E1-B8E39E1C3844}">
      <text>
        <r>
          <rPr>
            <b/>
            <sz val="9"/>
            <color indexed="81"/>
            <rFont val="Tahoma"/>
            <family val="2"/>
          </rPr>
          <t>LGU-request</t>
        </r>
      </text>
    </comment>
    <comment ref="B108" authorId="0" shapeId="0" xr:uid="{CC7E10A3-CA9D-4A6C-891D-17ADFE90AB07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9" authorId="0" shapeId="0" xr:uid="{DFF21D91-56B3-433A-BC3C-3AAC831EEFDD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" authorId="0" shapeId="0" xr:uid="{1D6F3E5E-CB50-43FB-86E0-710D8615EDF1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1" authorId="0" shapeId="0" xr:uid="{731A2DCD-73D2-4526-AA99-CC40B564CB4D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0" shapeId="0" xr:uid="{0517C3E0-8D5F-4D82-8D2C-F8F18B6AB65D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3" authorId="0" shapeId="0" xr:uid="{A6FDFCA4-C769-4FA1-B26E-E4647122CAF9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4" authorId="0" shapeId="0" xr:uid="{05D73B36-7875-486D-8849-BCFF34FCDA1F}">
      <text>
        <r>
          <rPr>
            <b/>
            <sz val="9"/>
            <color indexed="81"/>
            <rFont val="Tahoma"/>
            <family val="2"/>
          </rPr>
          <t>99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4" authorId="0" shapeId="0" xr:uid="{03551B6A-9B33-4E08-82E5-6BA2BEE2AB61}">
      <text>
        <r>
          <rPr>
            <b/>
            <sz val="9"/>
            <color indexed="81"/>
            <rFont val="Tahoma"/>
            <family val="2"/>
          </rPr>
          <t>LGU-request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0D5BCBEF-83F5-4B97-884F-6A9E327F1177}">
      <text>
        <r>
          <rPr>
            <b/>
            <sz val="9"/>
            <color indexed="81"/>
            <rFont val="Tahoma"/>
            <family val="2"/>
          </rPr>
          <t>Letter request (from PFO)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 xr:uid="{CFF3B92B-7F77-4337-BA2F-BF4F543D85A8}">
      <text>
        <r>
          <rPr>
            <sz val="9"/>
            <color indexed="81"/>
            <rFont val="Tahoma"/>
            <family val="2"/>
          </rPr>
          <t xml:space="preserve">64
</t>
        </r>
      </text>
    </comment>
    <comment ref="B81" authorId="0" shapeId="0" xr:uid="{A01B97C9-3C79-4752-9097-12CAED993119}">
      <text>
        <r>
          <rPr>
            <b/>
            <sz val="9"/>
            <color indexed="81"/>
            <rFont val="Tahoma"/>
            <family val="2"/>
          </rPr>
          <t>request from OPA</t>
        </r>
      </text>
    </comment>
    <comment ref="B82" authorId="0" shapeId="0" xr:uid="{D78A450D-7C7F-4B2C-902C-7EA8DEF2841D}">
      <text>
        <r>
          <rPr>
            <b/>
            <sz val="9"/>
            <color indexed="81"/>
            <rFont val="Tahoma"/>
            <family val="2"/>
          </rPr>
          <t>request from OPA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0" authorId="0" shapeId="0" xr:uid="{FC9EEDA2-331A-43BC-A218-267F02FF6777}">
      <text>
        <r>
          <rPr>
            <b/>
            <sz val="9"/>
            <color indexed="81"/>
            <rFont val="Tahoma"/>
            <family val="2"/>
          </rPr>
          <t>127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6" authorId="0" shapeId="0" xr:uid="{18045A26-2ABA-482F-8EC2-4CE209674FBE}">
      <text>
        <r>
          <rPr>
            <b/>
            <sz val="9"/>
            <color indexed="81"/>
            <rFont val="Tahoma"/>
            <family val="2"/>
          </rPr>
          <t>131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082237EF-DFFD-4A1F-861D-FE9B16244EF6}">
      <text>
        <r>
          <rPr>
            <b/>
            <sz val="9"/>
            <color indexed="81"/>
            <rFont val="Tahoma"/>
            <family val="2"/>
          </rPr>
          <t>SAAD fish cage</t>
        </r>
      </text>
    </comment>
    <comment ref="L32" authorId="0" shapeId="0" xr:uid="{1B16B75E-04F0-4062-866C-9A9A380BD2CD}">
      <text>
        <r>
          <rPr>
            <b/>
            <sz val="9"/>
            <color indexed="81"/>
            <rFont val="Tahoma"/>
            <family val="2"/>
          </rPr>
          <t>Red 6,000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7" authorId="0" shapeId="0" xr:uid="{E90E6980-FC5F-4301-B30E-E665BC8AB8D2}">
      <text>
        <r>
          <rPr>
            <b/>
            <sz val="9"/>
            <color indexed="81"/>
            <rFont val="Tahoma"/>
            <family val="2"/>
          </rPr>
          <t>affected by El Niño 2024 (OPA initiative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" authorId="0" shapeId="0" xr:uid="{214FC8A7-D905-4057-A550-2D45387E640E}">
      <text>
        <r>
          <rPr>
            <sz val="9"/>
            <color indexed="81"/>
            <rFont val="Tahoma"/>
            <family val="2"/>
          </rPr>
          <t xml:space="preserve">66 
</t>
        </r>
      </text>
    </comment>
    <comment ref="A103" authorId="0" shapeId="0" xr:uid="{A15B5F94-21F1-4E29-A0E4-11E6058A7F40}">
      <text>
        <r>
          <rPr>
            <b/>
            <sz val="9"/>
            <color indexed="81"/>
            <rFont val="Tahoma"/>
            <family val="2"/>
          </rPr>
          <t>92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<sst xmlns="http://schemas.openxmlformats.org/spreadsheetml/2006/main" count="9617" uniqueCount="2405">
  <si>
    <t xml:space="preserve">                      FORMAT LIST OF ACTUAL BENEFICIARIES</t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</si>
  <si>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</si>
  <si>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</si>
  <si>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</si>
  <si>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</si>
  <si>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</si>
  <si>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</si>
  <si>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</si>
  <si>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</si>
  <si>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</si>
  <si>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</si>
  <si>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</si>
  <si>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</si>
  <si>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</si>
  <si>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</si>
  <si>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</si>
  <si>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</si>
  <si>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DATE</t>
  </si>
  <si>
    <t>Total</t>
  </si>
  <si>
    <t>SUMMARY:</t>
  </si>
  <si>
    <t>Prepared and Submitted by:</t>
  </si>
  <si>
    <t>Noted by:</t>
  </si>
  <si>
    <t>Total area (sq.m)</t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</si>
  <si>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</si>
  <si>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</si>
  <si>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</si>
  <si>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</si>
  <si>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</si>
  <si>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</si>
  <si>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</si>
  <si>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</si>
  <si>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</si>
  <si>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</si>
  <si>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</si>
  <si>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</si>
  <si>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</si>
  <si>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r>
      <t>Male:</t>
    </r>
    <r>
      <rPr>
        <u/>
        <sz val="10"/>
        <rFont val="Arial"/>
        <family val="2"/>
      </rPr>
      <t xml:space="preserve">  </t>
    </r>
  </si>
  <si>
    <r>
      <t>Female:</t>
    </r>
    <r>
      <rPr>
        <u/>
        <sz val="10"/>
        <rFont val="Arial"/>
        <family val="2"/>
      </rPr>
      <t xml:space="preserve">  </t>
    </r>
  </si>
  <si>
    <r>
      <t>Others:(S.C./PWD)</t>
    </r>
    <r>
      <rPr>
        <u/>
        <sz val="10"/>
        <rFont val="Arial"/>
        <family val="2"/>
      </rPr>
      <t xml:space="preserve"> </t>
    </r>
  </si>
  <si>
    <t>Anda</t>
  </si>
  <si>
    <t>Excel</t>
  </si>
  <si>
    <t>satisfied</t>
  </si>
  <si>
    <t>Carmen</t>
  </si>
  <si>
    <t>Clarin</t>
  </si>
  <si>
    <t>Bilar</t>
  </si>
  <si>
    <t>Danao</t>
  </si>
  <si>
    <t>Batuan</t>
  </si>
  <si>
    <t>Inabanga</t>
  </si>
  <si>
    <t>Calape</t>
  </si>
  <si>
    <t>Catigbian</t>
  </si>
  <si>
    <t>Trinidad</t>
  </si>
  <si>
    <t>Bien Unido</t>
  </si>
  <si>
    <t>Loboc</t>
  </si>
  <si>
    <t>Talibon</t>
  </si>
  <si>
    <t>Sagbayan</t>
  </si>
  <si>
    <t>Balilihan</t>
  </si>
  <si>
    <t>Tubigon</t>
  </si>
  <si>
    <t>Dagohoy</t>
  </si>
  <si>
    <t>Buenavista</t>
  </si>
  <si>
    <t>Ubay</t>
  </si>
  <si>
    <t>San Isidro</t>
  </si>
  <si>
    <t>Sierra Bullones</t>
  </si>
  <si>
    <t>Tagbilaran City</t>
  </si>
  <si>
    <t>Alicia</t>
  </si>
  <si>
    <t>San Miguel</t>
  </si>
  <si>
    <t>Sikatuna</t>
  </si>
  <si>
    <t>Valencia</t>
  </si>
  <si>
    <t>Loon</t>
  </si>
  <si>
    <t>Candijay</t>
  </si>
  <si>
    <t>Pilar</t>
  </si>
  <si>
    <t>Corella</t>
  </si>
  <si>
    <t>Dauis</t>
  </si>
  <si>
    <t>Getafe</t>
  </si>
  <si>
    <t>Cortes</t>
  </si>
  <si>
    <t>Maribojoc</t>
  </si>
  <si>
    <t>Guindulman</t>
  </si>
  <si>
    <t>Jagna</t>
  </si>
  <si>
    <t>Lila</t>
  </si>
  <si>
    <t>Loay</t>
  </si>
  <si>
    <t>Antequera</t>
  </si>
  <si>
    <t>Sevilla</t>
  </si>
  <si>
    <t>Garcia Hernandez</t>
  </si>
  <si>
    <t>Baclayon</t>
  </si>
  <si>
    <t>Panglao</t>
  </si>
  <si>
    <t>Duero</t>
  </si>
  <si>
    <t>Alburquerque</t>
  </si>
  <si>
    <t>Mabini</t>
  </si>
  <si>
    <r>
      <t xml:space="preserve">  Brackishwater:</t>
    </r>
    <r>
      <rPr>
        <u/>
        <sz val="9"/>
        <rFont val="Arial"/>
        <family val="2"/>
      </rPr>
      <t xml:space="preserve"> </t>
    </r>
  </si>
  <si>
    <t>Dimiao</t>
  </si>
  <si>
    <t xml:space="preserve">Male: </t>
  </si>
  <si>
    <t>President Garcia</t>
  </si>
  <si>
    <t>Female:</t>
  </si>
  <si>
    <t>Dispersed</t>
  </si>
  <si>
    <t>Sold</t>
  </si>
  <si>
    <t>ULANG</t>
  </si>
  <si>
    <t>TILAPIA</t>
  </si>
  <si>
    <t>TOTAL</t>
  </si>
  <si>
    <t>ORNAMENTAL</t>
  </si>
  <si>
    <t>Date</t>
  </si>
  <si>
    <t>HITO</t>
  </si>
  <si>
    <t>TOTAL Produced</t>
  </si>
  <si>
    <t>Freshwater:</t>
  </si>
  <si>
    <t xml:space="preserve">Brackishwater: </t>
  </si>
  <si>
    <t xml:space="preserve">Direct Client: </t>
  </si>
  <si>
    <t xml:space="preserve">Coordinating Office: </t>
  </si>
  <si>
    <t xml:space="preserve">C. Carp: </t>
  </si>
  <si>
    <t xml:space="preserve">Ornamental Fish: </t>
  </si>
  <si>
    <r>
      <t>Ornamental Fish:</t>
    </r>
    <r>
      <rPr>
        <u/>
        <sz val="9"/>
        <rFont val="Arial"/>
        <family val="2"/>
      </rPr>
      <t xml:space="preserve"> </t>
    </r>
  </si>
  <si>
    <t>Catfish</t>
  </si>
  <si>
    <t xml:space="preserve">  Freshwater:</t>
  </si>
  <si>
    <t>a. Groups</t>
  </si>
  <si>
    <t>a. Individuals</t>
  </si>
  <si>
    <r>
      <t>1</t>
    </r>
    <r>
      <rPr>
        <b/>
        <vertAlign val="superscript"/>
        <sz val="13"/>
        <color theme="1"/>
        <rFont val="Calibri"/>
        <family val="2"/>
        <scheme val="minor"/>
      </rPr>
      <t>st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</si>
  <si>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2</t>
    </r>
    <r>
      <rPr>
        <b/>
        <vertAlign val="superscript"/>
        <sz val="13"/>
        <color theme="1"/>
        <rFont val="Calibri"/>
        <family val="2"/>
        <scheme val="minor"/>
      </rPr>
      <t>nd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</si>
  <si>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3</t>
    </r>
    <r>
      <rPr>
        <b/>
        <vertAlign val="superscript"/>
        <sz val="13"/>
        <color theme="1"/>
        <rFont val="Calibri"/>
        <family val="2"/>
        <scheme val="minor"/>
      </rPr>
      <t>rd</t>
    </r>
    <r>
      <rPr>
        <b/>
        <sz val="13"/>
        <color theme="1"/>
        <rFont val="Calibri"/>
        <family val="2"/>
        <scheme val="minor"/>
      </rPr>
      <t xml:space="preserve"> DISTRICT</t>
    </r>
  </si>
  <si>
    <t>COMMON CARP</t>
  </si>
  <si>
    <t>% Accomp</t>
  </si>
  <si>
    <t>TILAPIA BREEDERS</t>
  </si>
  <si>
    <t>BREEDERS</t>
  </si>
  <si>
    <t>Tilapia</t>
  </si>
  <si>
    <t xml:space="preserve">pond </t>
  </si>
  <si>
    <t>Tilapia:</t>
  </si>
  <si>
    <t>ORNAMENTAL (koi)</t>
  </si>
  <si>
    <t>dispersal</t>
  </si>
  <si>
    <t>Number of Clients</t>
  </si>
  <si>
    <t>ELENA L. YLANAN</t>
  </si>
  <si>
    <t>Chief-FPSSD</t>
  </si>
  <si>
    <t>Male</t>
  </si>
  <si>
    <t>San Antonio</t>
  </si>
  <si>
    <t>Female</t>
  </si>
  <si>
    <t>Caluwasan</t>
  </si>
  <si>
    <t>Hibale</t>
  </si>
  <si>
    <t>Katipunan</t>
  </si>
  <si>
    <t>Caboy</t>
  </si>
  <si>
    <t>Bacani</t>
  </si>
  <si>
    <t>Canmaya Diot</t>
  </si>
  <si>
    <t>San Juan</t>
  </si>
  <si>
    <t>Remedios</t>
  </si>
  <si>
    <t>La Victoria</t>
  </si>
  <si>
    <t>Vallehermoso</t>
  </si>
  <si>
    <t>Causwagan</t>
  </si>
  <si>
    <t>Tamboan</t>
  </si>
  <si>
    <t>Nahawan</t>
  </si>
  <si>
    <t>Bugang Sur</t>
  </si>
  <si>
    <t>Cabog</t>
  </si>
  <si>
    <t>Red Tilapia</t>
  </si>
  <si>
    <t>Sta. Cruz</t>
  </si>
  <si>
    <t>Broodstock:</t>
  </si>
  <si>
    <t>Villafuerte</t>
  </si>
  <si>
    <t>Lomboy</t>
  </si>
  <si>
    <t>Bentig</t>
  </si>
  <si>
    <t>El Salvador</t>
  </si>
  <si>
    <t>Cabanugan</t>
  </si>
  <si>
    <t>OIC-Center Chief</t>
  </si>
  <si>
    <r>
      <t>Total No. Of Beneficiaries:</t>
    </r>
    <r>
      <rPr>
        <sz val="10"/>
        <color rgb="FFFF0000"/>
        <rFont val="Arial"/>
        <family val="2"/>
      </rPr>
      <t xml:space="preserve"> </t>
    </r>
  </si>
  <si>
    <t>09122061222</t>
  </si>
  <si>
    <t>Dagnawan</t>
  </si>
  <si>
    <t>09060337582</t>
  </si>
  <si>
    <t>Montesuerte</t>
  </si>
  <si>
    <t>Ubujan</t>
  </si>
  <si>
    <t>Tilapia Broodstock</t>
  </si>
  <si>
    <t>Dico</t>
  </si>
  <si>
    <t>Anecita</t>
  </si>
  <si>
    <t>Pantinople</t>
  </si>
  <si>
    <t>Pablito</t>
  </si>
  <si>
    <t>Edwin</t>
  </si>
  <si>
    <t>Patrocinio</t>
  </si>
  <si>
    <t>Bongato</t>
  </si>
  <si>
    <t>Joel</t>
  </si>
  <si>
    <t>Jeffrey</t>
  </si>
  <si>
    <r>
      <t>Others:(S.C./PWD):</t>
    </r>
    <r>
      <rPr>
        <b/>
        <u/>
        <sz val="10"/>
        <color rgb="FFFF0000"/>
        <rFont val="Arial"/>
        <family val="2"/>
      </rPr>
      <t xml:space="preserve"> </t>
    </r>
  </si>
  <si>
    <t>Tecson</t>
  </si>
  <si>
    <t>OIC-CFFF</t>
  </si>
  <si>
    <t>MICAH MAE A. DEGAMO</t>
  </si>
  <si>
    <t>Caluasan</t>
  </si>
  <si>
    <t>Dennis</t>
  </si>
  <si>
    <t>Bonajos</t>
  </si>
  <si>
    <t>Cabayugan</t>
  </si>
  <si>
    <t>Hagbuaya</t>
  </si>
  <si>
    <t>Ruel</t>
  </si>
  <si>
    <t>Rolando</t>
  </si>
  <si>
    <t>Torregosa</t>
  </si>
  <si>
    <t>Ryan</t>
  </si>
  <si>
    <t>Rosales</t>
  </si>
  <si>
    <t>Matin-ao</t>
  </si>
  <si>
    <t>Lumagod</t>
  </si>
  <si>
    <t>Koi</t>
  </si>
  <si>
    <t>Ernesto</t>
  </si>
  <si>
    <r>
      <t>Total No. Of Beneficiaries:</t>
    </r>
    <r>
      <rPr>
        <b/>
        <u/>
        <sz val="10"/>
        <color rgb="FFFF0000"/>
        <rFont val="Arial"/>
        <family val="2"/>
      </rPr>
      <t xml:space="preserve"> </t>
    </r>
  </si>
  <si>
    <t>Pasco</t>
  </si>
  <si>
    <t>Melchor</t>
  </si>
  <si>
    <t>Remorosa</t>
  </si>
  <si>
    <t>Fabiolas</t>
  </si>
  <si>
    <t>Elmera</t>
  </si>
  <si>
    <t>09395925049</t>
  </si>
  <si>
    <t>Danahao</t>
  </si>
  <si>
    <t>Cambailan</t>
  </si>
  <si>
    <t>Javate</t>
  </si>
  <si>
    <t>Jerry</t>
  </si>
  <si>
    <t>Garcia</t>
  </si>
  <si>
    <t>Rogelio</t>
  </si>
  <si>
    <t>Erica</t>
  </si>
  <si>
    <t>Escabas</t>
  </si>
  <si>
    <t>Bato</t>
  </si>
  <si>
    <t>Virgel Marion</t>
  </si>
  <si>
    <t>Jumawid</t>
  </si>
  <si>
    <t>Crispin</t>
  </si>
  <si>
    <t>09099995355</t>
  </si>
  <si>
    <t>Sullano</t>
  </si>
  <si>
    <t>Genaro</t>
  </si>
  <si>
    <t>Rubin</t>
  </si>
  <si>
    <t>Manching</t>
  </si>
  <si>
    <t>09674195066</t>
  </si>
  <si>
    <t>Jumamoy</t>
  </si>
  <si>
    <t>Laguros</t>
  </si>
  <si>
    <t>San Francisco</t>
  </si>
  <si>
    <t>09263410564</t>
  </si>
  <si>
    <t>Fermo</t>
  </si>
  <si>
    <t>Beatriz</t>
  </si>
  <si>
    <t>Timbal</t>
  </si>
  <si>
    <t>Langtad</t>
  </si>
  <si>
    <t>Estoque</t>
  </si>
  <si>
    <t>09683306317</t>
  </si>
  <si>
    <t>Lourdes</t>
  </si>
  <si>
    <t>Rodrigo</t>
  </si>
  <si>
    <t>09948789741</t>
  </si>
  <si>
    <t>Logronio</t>
  </si>
  <si>
    <t>Auza</t>
  </si>
  <si>
    <t>Juliet</t>
  </si>
  <si>
    <t>Jupiter</t>
  </si>
  <si>
    <t>Carcueva</t>
  </si>
  <si>
    <t>Junior</t>
  </si>
  <si>
    <t>January 2025</t>
  </si>
  <si>
    <t>Celades</t>
  </si>
  <si>
    <t>09389255215</t>
  </si>
  <si>
    <t>Ombayan</t>
  </si>
  <si>
    <t>Gloribel</t>
  </si>
  <si>
    <t xml:space="preserve">San Vicente </t>
  </si>
  <si>
    <t>09518711707</t>
  </si>
  <si>
    <t>Jose Venie</t>
  </si>
  <si>
    <t>Baluarte</t>
  </si>
  <si>
    <t>09202223927</t>
  </si>
  <si>
    <t>Alwin</t>
  </si>
  <si>
    <t>0992960286</t>
  </si>
  <si>
    <t>Lipasana</t>
  </si>
  <si>
    <t>09154262399</t>
  </si>
  <si>
    <t>Fullante</t>
  </si>
  <si>
    <t>09754513090</t>
  </si>
  <si>
    <t>Silmaro</t>
  </si>
  <si>
    <t>09303142495</t>
  </si>
  <si>
    <t>Gudarito</t>
  </si>
  <si>
    <t>Tabia</t>
  </si>
  <si>
    <t>09480564132</t>
  </si>
  <si>
    <t>09302777704</t>
  </si>
  <si>
    <t>Flor</t>
  </si>
  <si>
    <t>09389460079</t>
  </si>
  <si>
    <t>Balmera</t>
  </si>
  <si>
    <t>Marfe</t>
  </si>
  <si>
    <t>09383619152</t>
  </si>
  <si>
    <t>Calatraya</t>
  </si>
  <si>
    <t>Maligro</t>
  </si>
  <si>
    <t>Sergio</t>
  </si>
  <si>
    <t>09854983537</t>
  </si>
  <si>
    <t>Terec</t>
  </si>
  <si>
    <t>Mosen</t>
  </si>
  <si>
    <t>09061345120</t>
  </si>
  <si>
    <t>Rizamae</t>
  </si>
  <si>
    <t>Celing</t>
  </si>
  <si>
    <t>09462173250</t>
  </si>
  <si>
    <t>Mark John</t>
  </si>
  <si>
    <t>09959314254</t>
  </si>
  <si>
    <t>09484432590</t>
  </si>
  <si>
    <t>Charmilyn</t>
  </si>
  <si>
    <t>Ardirolla</t>
  </si>
  <si>
    <t xml:space="preserve">Philip </t>
  </si>
  <si>
    <t>09264324121</t>
  </si>
  <si>
    <t>Alquizalas</t>
  </si>
  <si>
    <t>Maecel Angel</t>
  </si>
  <si>
    <t>09538072187</t>
  </si>
  <si>
    <t>Junjil</t>
  </si>
  <si>
    <t>Cangawa</t>
  </si>
  <si>
    <t>09532082555</t>
  </si>
  <si>
    <t>09932399612</t>
  </si>
  <si>
    <t>09502313965</t>
  </si>
  <si>
    <t>Bantuan</t>
  </si>
  <si>
    <t>Graciano</t>
  </si>
  <si>
    <t>Millanes</t>
  </si>
  <si>
    <t>09853410564</t>
  </si>
  <si>
    <t>Butcon</t>
  </si>
  <si>
    <t>Oludin</t>
  </si>
  <si>
    <t>Gin</t>
  </si>
  <si>
    <t>09275822960</t>
  </si>
  <si>
    <t>Sampoton</t>
  </si>
  <si>
    <t>Lope</t>
  </si>
  <si>
    <t>09651462149</t>
  </si>
  <si>
    <t>Recilla</t>
  </si>
  <si>
    <t>Ma. Salome</t>
  </si>
  <si>
    <t>09061811559</t>
  </si>
  <si>
    <t>Tutor</t>
  </si>
  <si>
    <t>09534236436</t>
  </si>
  <si>
    <t>09559845694</t>
  </si>
  <si>
    <t>Mahinay</t>
  </si>
  <si>
    <t>Thelma</t>
  </si>
  <si>
    <t>09173010660</t>
  </si>
  <si>
    <t>Abraham</t>
  </si>
  <si>
    <t>jr.</t>
  </si>
  <si>
    <t>09493419425</t>
  </si>
  <si>
    <t>Ubokon</t>
  </si>
  <si>
    <t>09481028786</t>
  </si>
  <si>
    <t>09499370230</t>
  </si>
  <si>
    <t>Elpidio</t>
  </si>
  <si>
    <t>Salvacion</t>
  </si>
  <si>
    <t>Maribel</t>
  </si>
  <si>
    <t>09461262363</t>
  </si>
  <si>
    <t>CVMSNDTC</t>
  </si>
  <si>
    <t>Rodulfo Guisihan</t>
  </si>
  <si>
    <t>Benedict</t>
  </si>
  <si>
    <t>09456285193</t>
  </si>
  <si>
    <t>Tenorio</t>
  </si>
  <si>
    <t>Zedric</t>
  </si>
  <si>
    <t>09649702891</t>
  </si>
  <si>
    <t>Estorosas</t>
  </si>
  <si>
    <t>Cepriano</t>
  </si>
  <si>
    <t>09106637500</t>
  </si>
  <si>
    <t>Aranoc</t>
  </si>
  <si>
    <t>09099495428</t>
  </si>
  <si>
    <t>Charles</t>
  </si>
  <si>
    <t>Tagaan</t>
  </si>
  <si>
    <t>Raymond</t>
  </si>
  <si>
    <t>09504056044</t>
  </si>
  <si>
    <t>Laurden</t>
  </si>
  <si>
    <t>Gil</t>
  </si>
  <si>
    <t>09619707590</t>
  </si>
  <si>
    <t>Michil</t>
  </si>
  <si>
    <t>09487223500</t>
  </si>
  <si>
    <t>Lauran</t>
  </si>
  <si>
    <t>Evan</t>
  </si>
  <si>
    <t>09380783691</t>
  </si>
  <si>
    <t>Sinagunia</t>
  </si>
  <si>
    <t>09103118095</t>
  </si>
  <si>
    <t>Reu</t>
  </si>
  <si>
    <t>Tamsi</t>
  </si>
  <si>
    <t>Romulo</t>
  </si>
  <si>
    <t>09751977374</t>
  </si>
  <si>
    <t>Sarong</t>
  </si>
  <si>
    <t>Lorenzo</t>
  </si>
  <si>
    <t>Poblacion Norte</t>
  </si>
  <si>
    <t>09101696589</t>
  </si>
  <si>
    <t>Mira</t>
  </si>
  <si>
    <t>Raynato</t>
  </si>
  <si>
    <t>Janlud</t>
  </si>
  <si>
    <t>Suello</t>
  </si>
  <si>
    <t>Teodomiro</t>
  </si>
  <si>
    <t>Mejorada</t>
  </si>
  <si>
    <t>Cinla</t>
  </si>
  <si>
    <t>Cagawasan</t>
  </si>
  <si>
    <t>09385145990</t>
  </si>
  <si>
    <t>Genita</t>
  </si>
  <si>
    <t>Rey</t>
  </si>
  <si>
    <t>Maboloc</t>
  </si>
  <si>
    <t>Tesie</t>
  </si>
  <si>
    <t>Villa Teresita</t>
  </si>
  <si>
    <t>Burato</t>
  </si>
  <si>
    <t>Virgilio</t>
  </si>
  <si>
    <t>Poblacion</t>
  </si>
  <si>
    <t>09223702794</t>
  </si>
  <si>
    <t>Jumao-as</t>
  </si>
  <si>
    <t>John Luel</t>
  </si>
  <si>
    <t>09666334348</t>
  </si>
  <si>
    <t>Aranas</t>
  </si>
  <si>
    <t>Venerando</t>
  </si>
  <si>
    <t>Buacao</t>
  </si>
  <si>
    <t>09674124466</t>
  </si>
  <si>
    <t>January 2-10</t>
  </si>
  <si>
    <t>Coritico</t>
  </si>
  <si>
    <t>Zaide</t>
  </si>
  <si>
    <t>Pig-ot</t>
  </si>
  <si>
    <t>09753961591</t>
  </si>
  <si>
    <t>Broodstock</t>
  </si>
  <si>
    <t>Caligang</t>
  </si>
  <si>
    <t>Alexander</t>
  </si>
  <si>
    <t>09099465544</t>
  </si>
  <si>
    <t>Yanzon</t>
  </si>
  <si>
    <t>Jerome</t>
  </si>
  <si>
    <t>Banlasan</t>
  </si>
  <si>
    <t>09068850147</t>
  </si>
  <si>
    <t>Manza</t>
  </si>
  <si>
    <t>Nick Anthony</t>
  </si>
  <si>
    <t>Bicao</t>
  </si>
  <si>
    <t>0977026812</t>
  </si>
  <si>
    <t xml:space="preserve">Saramillas </t>
  </si>
  <si>
    <t>Aljhon</t>
  </si>
  <si>
    <t>Libertad</t>
  </si>
  <si>
    <t>09484465846</t>
  </si>
  <si>
    <t>Nuñez</t>
  </si>
  <si>
    <t>Zenitha</t>
  </si>
  <si>
    <t>Lapacan Norte</t>
  </si>
  <si>
    <t>09759116938</t>
  </si>
  <si>
    <t xml:space="preserve">Tungal </t>
  </si>
  <si>
    <t>LGU-Tubigon</t>
  </si>
  <si>
    <t>Victor Boligao</t>
  </si>
  <si>
    <t>09481071721</t>
  </si>
  <si>
    <t>Harina</t>
  </si>
  <si>
    <t>Joel Jr.</t>
  </si>
  <si>
    <t>Sua</t>
  </si>
  <si>
    <t>09634477380</t>
  </si>
  <si>
    <t>Estoce</t>
  </si>
  <si>
    <t>Ciriaco</t>
  </si>
  <si>
    <t>Libardo</t>
  </si>
  <si>
    <t>Mario</t>
  </si>
  <si>
    <t>Calunasan</t>
  </si>
  <si>
    <t>09508166504</t>
  </si>
  <si>
    <t>Divinagracia</t>
  </si>
  <si>
    <t>Ana Mae</t>
  </si>
  <si>
    <t>Mabuhay</t>
  </si>
  <si>
    <t>09709246676</t>
  </si>
  <si>
    <t>Aparece</t>
  </si>
  <si>
    <t>Fernando</t>
  </si>
  <si>
    <t>Magsaysay</t>
  </si>
  <si>
    <t>09461421901</t>
  </si>
  <si>
    <t>Eusebio</t>
  </si>
  <si>
    <t>09509617939</t>
  </si>
  <si>
    <t>Racho</t>
  </si>
  <si>
    <t>Jucris</t>
  </si>
  <si>
    <t>Heagonia</t>
  </si>
  <si>
    <t>Lumayag</t>
  </si>
  <si>
    <t>Welfredo</t>
  </si>
  <si>
    <t>Lascuña</t>
  </si>
  <si>
    <t>Charlly James</t>
  </si>
  <si>
    <t>09539439611</t>
  </si>
  <si>
    <t>Pahac</t>
  </si>
  <si>
    <t>Victor</t>
  </si>
  <si>
    <t>Mangga District</t>
  </si>
  <si>
    <t>09949554565</t>
  </si>
  <si>
    <t>Infiesto</t>
  </si>
  <si>
    <t>09304877932</t>
  </si>
  <si>
    <t>Generalao</t>
  </si>
  <si>
    <t>Mark Lou</t>
  </si>
  <si>
    <t>09991037017</t>
  </si>
  <si>
    <t>Hipega</t>
  </si>
  <si>
    <t>Noel</t>
  </si>
  <si>
    <t>Balorio</t>
  </si>
  <si>
    <t>Justiniano</t>
  </si>
  <si>
    <t>Torrejano</t>
  </si>
  <si>
    <t>09949730983</t>
  </si>
  <si>
    <t>Asombrado</t>
  </si>
  <si>
    <t>Francasio Jr.</t>
  </si>
  <si>
    <t>Caballero</t>
  </si>
  <si>
    <t>Edgar</t>
  </si>
  <si>
    <t>Dorol</t>
  </si>
  <si>
    <t>0946339609</t>
  </si>
  <si>
    <t>Del Pilar Farmers' Association</t>
  </si>
  <si>
    <t>Del Pilar</t>
  </si>
  <si>
    <t>09107942518</t>
  </si>
  <si>
    <t>Juliana dela Torre</t>
  </si>
  <si>
    <t xml:space="preserve">Adaya </t>
  </si>
  <si>
    <t>Wilfredo</t>
  </si>
  <si>
    <t>La Libertad</t>
  </si>
  <si>
    <t>January 17-28</t>
  </si>
  <si>
    <t>Jan 7</t>
  </si>
  <si>
    <t>Jan 17-28</t>
  </si>
  <si>
    <t xml:space="preserve">Male </t>
  </si>
  <si>
    <t xml:space="preserve">Female </t>
  </si>
  <si>
    <t>Group</t>
  </si>
  <si>
    <t>1 male</t>
  </si>
  <si>
    <t>1 male 1 female</t>
  </si>
  <si>
    <r>
      <t>Cañ</t>
    </r>
    <r>
      <rPr>
        <sz val="10.6"/>
        <color theme="1"/>
        <rFont val="Arial"/>
        <family val="2"/>
      </rPr>
      <t>o</t>
    </r>
  </si>
  <si>
    <t>February 2025</t>
  </si>
  <si>
    <t>Karen Mae</t>
  </si>
  <si>
    <t>Patindol</t>
  </si>
  <si>
    <t>Stephanie</t>
  </si>
  <si>
    <t>09207053925</t>
  </si>
  <si>
    <t>Cariño</t>
  </si>
  <si>
    <t>Mark Steven John</t>
  </si>
  <si>
    <t>Tan-awan</t>
  </si>
  <si>
    <t>09261406734</t>
  </si>
  <si>
    <t>Calderon</t>
  </si>
  <si>
    <t>Carlydon</t>
  </si>
  <si>
    <t>Bogtongbod</t>
  </si>
  <si>
    <t>09505083735</t>
  </si>
  <si>
    <t>Barasona</t>
  </si>
  <si>
    <t>Jomar</t>
  </si>
  <si>
    <t>Payag</t>
  </si>
  <si>
    <t>Andro</t>
  </si>
  <si>
    <t>J</t>
  </si>
  <si>
    <t>Cansumbol</t>
  </si>
  <si>
    <t>09949008945</t>
  </si>
  <si>
    <t>Larongco</t>
  </si>
  <si>
    <t>Omjon</t>
  </si>
  <si>
    <t>09358551519</t>
  </si>
  <si>
    <t>Blaya</t>
  </si>
  <si>
    <t>Chiquito</t>
  </si>
  <si>
    <t>09512336419</t>
  </si>
  <si>
    <t>Torreon</t>
  </si>
  <si>
    <t>Jonah</t>
  </si>
  <si>
    <t>09651601341</t>
  </si>
  <si>
    <t>Alampayan</t>
  </si>
  <si>
    <t>09083830308</t>
  </si>
  <si>
    <t>Ilihan Sur</t>
  </si>
  <si>
    <t>Agbon</t>
  </si>
  <si>
    <t>La Salvacion</t>
  </si>
  <si>
    <t>09094533496</t>
  </si>
  <si>
    <t>09291839091</t>
  </si>
  <si>
    <t>Mergie Laurden</t>
  </si>
  <si>
    <t>Cipriano</t>
  </si>
  <si>
    <t>Cempron</t>
  </si>
  <si>
    <t>Custodio</t>
  </si>
  <si>
    <t>Richard</t>
  </si>
  <si>
    <t>09938935430</t>
  </si>
  <si>
    <t>Jaum</t>
  </si>
  <si>
    <t>Sherwin</t>
  </si>
  <si>
    <t>Badiang</t>
  </si>
  <si>
    <t>09630346699</t>
  </si>
  <si>
    <t>Ngujo</t>
  </si>
  <si>
    <t>Jefrey</t>
  </si>
  <si>
    <t>09487559912</t>
  </si>
  <si>
    <t>Estillore</t>
  </si>
  <si>
    <t>Luel</t>
  </si>
  <si>
    <t>09636768968</t>
  </si>
  <si>
    <t>Labor</t>
  </si>
  <si>
    <t>Nazzer</t>
  </si>
  <si>
    <t>Liboron</t>
  </si>
  <si>
    <t>09850233724</t>
  </si>
  <si>
    <t>Bolonos</t>
  </si>
  <si>
    <t>Rochelle</t>
  </si>
  <si>
    <t>Cawayanan</t>
  </si>
  <si>
    <t>09511327043</t>
  </si>
  <si>
    <t>Amodia</t>
  </si>
  <si>
    <t>Arnel</t>
  </si>
  <si>
    <t>09537627998</t>
  </si>
  <si>
    <t>Rolly</t>
  </si>
  <si>
    <t>Salvador</t>
  </si>
  <si>
    <t>09984606619</t>
  </si>
  <si>
    <t>Erlinda</t>
  </si>
  <si>
    <t>09309439750</t>
  </si>
  <si>
    <t>Pableo</t>
  </si>
  <si>
    <t>Ilandag</t>
  </si>
  <si>
    <t>Concepcion</t>
  </si>
  <si>
    <t>09814682684</t>
  </si>
  <si>
    <t>Presciano</t>
  </si>
  <si>
    <t>09384137651</t>
  </si>
  <si>
    <t>Sagot</t>
  </si>
  <si>
    <t>Rosila</t>
  </si>
  <si>
    <t>09997271885</t>
  </si>
  <si>
    <t>Jackelyn</t>
  </si>
  <si>
    <t>09467198427</t>
  </si>
  <si>
    <t>Bungabong</t>
  </si>
  <si>
    <t>John TJ</t>
  </si>
  <si>
    <t>09610871908</t>
  </si>
  <si>
    <t>Eric</t>
  </si>
  <si>
    <t>09073533303</t>
  </si>
  <si>
    <t>Elvin</t>
  </si>
  <si>
    <t>09935335409</t>
  </si>
  <si>
    <t>Cabulao</t>
  </si>
  <si>
    <t>Rufo</t>
  </si>
  <si>
    <t>Mahayag</t>
  </si>
  <si>
    <t>Bag-ao</t>
  </si>
  <si>
    <t>Gabriel</t>
  </si>
  <si>
    <t>Cantigdas</t>
  </si>
  <si>
    <t>09634490346</t>
  </si>
  <si>
    <t>Torrentira</t>
  </si>
  <si>
    <t>Edison</t>
  </si>
  <si>
    <t>Calatrava</t>
  </si>
  <si>
    <t>09468723404</t>
  </si>
  <si>
    <t>Serohijos</t>
  </si>
  <si>
    <t>Buenos Aires</t>
  </si>
  <si>
    <t>09489416717</t>
  </si>
  <si>
    <t>Cagampang</t>
  </si>
  <si>
    <t>Ramil</t>
  </si>
  <si>
    <t>Nan-od</t>
  </si>
  <si>
    <t>09094296761</t>
  </si>
  <si>
    <t>Tan</t>
  </si>
  <si>
    <t>Lelibeth</t>
  </si>
  <si>
    <t>Subayan</t>
  </si>
  <si>
    <t>09486180029</t>
  </si>
  <si>
    <t>LDFFF</t>
  </si>
  <si>
    <t>Camotes</t>
  </si>
  <si>
    <t>09338191852</t>
  </si>
  <si>
    <t>Genevieve Cosenas</t>
  </si>
  <si>
    <t>Excel broodstock</t>
  </si>
  <si>
    <t>Añasco</t>
  </si>
  <si>
    <t>09777426980</t>
  </si>
  <si>
    <t>Melgar</t>
  </si>
  <si>
    <t>Maximo</t>
  </si>
  <si>
    <t>Liloan</t>
  </si>
  <si>
    <t>09454680362</t>
  </si>
  <si>
    <t>Bantilan</t>
  </si>
  <si>
    <t>Natividad</t>
  </si>
  <si>
    <t>Dalagan</t>
  </si>
  <si>
    <t>Shirley</t>
  </si>
  <si>
    <t>Campagao</t>
  </si>
  <si>
    <t>09167370975</t>
  </si>
  <si>
    <t>Degamo</t>
  </si>
  <si>
    <t>Sandy</t>
  </si>
  <si>
    <t>09854964672</t>
  </si>
  <si>
    <t>Lanoy</t>
  </si>
  <si>
    <t>Guillermo</t>
  </si>
  <si>
    <t>09776415047</t>
  </si>
  <si>
    <t>John</t>
  </si>
  <si>
    <t>09971386825</t>
  </si>
  <si>
    <t>Sem</t>
  </si>
  <si>
    <t>Cantuyoc</t>
  </si>
  <si>
    <t>09925966853</t>
  </si>
  <si>
    <t>Jasfer</t>
  </si>
  <si>
    <t>Balili</t>
  </si>
  <si>
    <t>June</t>
  </si>
  <si>
    <t>09544407817</t>
  </si>
  <si>
    <t>Castil</t>
  </si>
  <si>
    <t>Nelson</t>
  </si>
  <si>
    <t>Maitum</t>
  </si>
  <si>
    <t>09484025111</t>
  </si>
  <si>
    <t>Sumagaysay</t>
  </si>
  <si>
    <t>Ramel</t>
  </si>
  <si>
    <t>09101241942</t>
  </si>
  <si>
    <t>Basio</t>
  </si>
  <si>
    <t>Bebiano</t>
  </si>
  <si>
    <t>Danahaw</t>
  </si>
  <si>
    <t>09063294062</t>
  </si>
  <si>
    <t>Anzano</t>
  </si>
  <si>
    <t>Jolito Jr.</t>
  </si>
  <si>
    <t>09930835330</t>
  </si>
  <si>
    <t xml:space="preserve">Moreno </t>
  </si>
  <si>
    <t>Porie</t>
  </si>
  <si>
    <t>Rebosura</t>
  </si>
  <si>
    <t>Warren</t>
  </si>
  <si>
    <t>Danicop</t>
  </si>
  <si>
    <t>Hechanova</t>
  </si>
  <si>
    <t>Ian</t>
  </si>
  <si>
    <t>Busano</t>
  </si>
  <si>
    <t>Jaime</t>
  </si>
  <si>
    <t>Balaba</t>
  </si>
  <si>
    <t>Dante</t>
  </si>
  <si>
    <t>09555080094</t>
  </si>
  <si>
    <t>Dagacdac</t>
  </si>
  <si>
    <t>Reynaldo</t>
  </si>
  <si>
    <t>Osmundo Jr.</t>
  </si>
  <si>
    <t>Aba</t>
  </si>
  <si>
    <t>Michael</t>
  </si>
  <si>
    <t>Majomot</t>
  </si>
  <si>
    <t>Timoteo</t>
  </si>
  <si>
    <t>Elipian</t>
  </si>
  <si>
    <t>Nerissa</t>
  </si>
  <si>
    <t>09621102660</t>
  </si>
  <si>
    <t>Samuel</t>
  </si>
  <si>
    <t>Matabicas</t>
  </si>
  <si>
    <t>Exuperio</t>
  </si>
  <si>
    <t>San Roque</t>
  </si>
  <si>
    <t xml:space="preserve">Ramos </t>
  </si>
  <si>
    <t>Melvin</t>
  </si>
  <si>
    <t>Mandaug</t>
  </si>
  <si>
    <t>09651475428</t>
  </si>
  <si>
    <t>Celeres</t>
  </si>
  <si>
    <t>Christoper</t>
  </si>
  <si>
    <t>09632411731</t>
  </si>
  <si>
    <t>February 3-11</t>
  </si>
  <si>
    <t>Feb 3</t>
  </si>
  <si>
    <t xml:space="preserve">Red </t>
  </si>
  <si>
    <t>LGU-San Isidro</t>
  </si>
  <si>
    <t>San isidro</t>
  </si>
  <si>
    <t>09171438510</t>
  </si>
  <si>
    <t>Bonie Mantabute</t>
  </si>
  <si>
    <t>Salces</t>
  </si>
  <si>
    <t>Donald</t>
  </si>
  <si>
    <t>09078320830</t>
  </si>
  <si>
    <t>Anagon</t>
  </si>
  <si>
    <t>Ronilo</t>
  </si>
  <si>
    <t>09276206091</t>
  </si>
  <si>
    <t>Orapa</t>
  </si>
  <si>
    <t>Jundhel</t>
  </si>
  <si>
    <t>09308396498</t>
  </si>
  <si>
    <t>Gorosin</t>
  </si>
  <si>
    <t>Floribel</t>
  </si>
  <si>
    <t>Calangahan</t>
  </si>
  <si>
    <t>09657540390</t>
  </si>
  <si>
    <t>Laugan</t>
  </si>
  <si>
    <t>El Progreso</t>
  </si>
  <si>
    <t>Arausa</t>
  </si>
  <si>
    <t>Crisostomo</t>
  </si>
  <si>
    <t>Nueva Vida Este</t>
  </si>
  <si>
    <t>Pabonita</t>
  </si>
  <si>
    <t>Panfilo</t>
  </si>
  <si>
    <t>09279170454</t>
  </si>
  <si>
    <t>Llegonas</t>
  </si>
  <si>
    <t>Gregorio Jr.</t>
  </si>
  <si>
    <t>09771607276</t>
  </si>
  <si>
    <t xml:space="preserve">Rosales </t>
  </si>
  <si>
    <t>San Carlos</t>
  </si>
  <si>
    <t>09519978879</t>
  </si>
  <si>
    <t>Busalanan</t>
  </si>
  <si>
    <t>Rico</t>
  </si>
  <si>
    <t>09656796739</t>
  </si>
  <si>
    <t>Dumangas</t>
  </si>
  <si>
    <t>Josephine</t>
  </si>
  <si>
    <t>Causwagan Norte</t>
  </si>
  <si>
    <t>Jungco</t>
  </si>
  <si>
    <t>Charlie</t>
  </si>
  <si>
    <t>Abucayan Norte</t>
  </si>
  <si>
    <t>Doydora</t>
  </si>
  <si>
    <t>Jovie</t>
  </si>
  <si>
    <t>Escaño</t>
  </si>
  <si>
    <t>Palab</t>
  </si>
  <si>
    <t>09364539508</t>
  </si>
  <si>
    <t>Teopiz</t>
  </si>
  <si>
    <t>0926341051</t>
  </si>
  <si>
    <t>Canata</t>
  </si>
  <si>
    <t>Raymund</t>
  </si>
  <si>
    <t>Sto. Niño</t>
  </si>
  <si>
    <t>09480223207</t>
  </si>
  <si>
    <t>Lupian</t>
  </si>
  <si>
    <t>Emmanuel</t>
  </si>
  <si>
    <t>Lawis</t>
  </si>
  <si>
    <t>Boncales</t>
  </si>
  <si>
    <t>Floriano</t>
  </si>
  <si>
    <t>San Vicente</t>
  </si>
  <si>
    <t>09489851831</t>
  </si>
  <si>
    <t>Cambangay</t>
  </si>
  <si>
    <t>Julieta</t>
  </si>
  <si>
    <t xml:space="preserve">Butlig </t>
  </si>
  <si>
    <t>Evangeline</t>
  </si>
  <si>
    <t>Bulilis</t>
  </si>
  <si>
    <t>Glarido</t>
  </si>
  <si>
    <t xml:space="preserve">Baluran </t>
  </si>
  <si>
    <t>Junie</t>
  </si>
  <si>
    <t>Talisay City</t>
  </si>
  <si>
    <t>09633810139</t>
  </si>
  <si>
    <t>Torrenueva</t>
  </si>
  <si>
    <t>Melven</t>
  </si>
  <si>
    <t>Bogo</t>
  </si>
  <si>
    <t>09089688118</t>
  </si>
  <si>
    <t>Dumandan</t>
  </si>
  <si>
    <t>Jonathan</t>
  </si>
  <si>
    <t>09174418249</t>
  </si>
  <si>
    <t>Lilo</t>
  </si>
  <si>
    <t>Roldan</t>
  </si>
  <si>
    <t>09358536512</t>
  </si>
  <si>
    <t>Pamat</t>
  </si>
  <si>
    <t>Basilio</t>
  </si>
  <si>
    <t>Avelina</t>
  </si>
  <si>
    <t>09389410195</t>
  </si>
  <si>
    <t>09107508767</t>
  </si>
  <si>
    <t>Walawala</t>
  </si>
  <si>
    <t>Joseph</t>
  </si>
  <si>
    <t>Ilihan</t>
  </si>
  <si>
    <t>09096906093</t>
  </si>
  <si>
    <t xml:space="preserve">Añober </t>
  </si>
  <si>
    <t>Temoteo</t>
  </si>
  <si>
    <t>09510776809</t>
  </si>
  <si>
    <t>Miquiabas</t>
  </si>
  <si>
    <t>Harold Jay</t>
  </si>
  <si>
    <t>Guadalupe</t>
  </si>
  <si>
    <t>Cebu City</t>
  </si>
  <si>
    <t>09190059051</t>
  </si>
  <si>
    <t>Agocoy</t>
  </si>
  <si>
    <t>Antonio</t>
  </si>
  <si>
    <t>09076042556</t>
  </si>
  <si>
    <t>Lofranco</t>
  </si>
  <si>
    <t>09537668180</t>
  </si>
  <si>
    <t>Coscos</t>
  </si>
  <si>
    <t>Norberto</t>
  </si>
  <si>
    <t>Alegria</t>
  </si>
  <si>
    <t>09199757457</t>
  </si>
  <si>
    <t>Mayoral</t>
  </si>
  <si>
    <t>Jun Michael</t>
  </si>
  <si>
    <t>San Ramon</t>
  </si>
  <si>
    <t>Prisiados</t>
  </si>
  <si>
    <t>Gina</t>
  </si>
  <si>
    <t>09095224637</t>
  </si>
  <si>
    <t>Lacierda</t>
  </si>
  <si>
    <t>Roy</t>
  </si>
  <si>
    <t>Sto. Rosario</t>
  </si>
  <si>
    <t>09308929341</t>
  </si>
  <si>
    <t>Algoso</t>
  </si>
  <si>
    <t>John Jhoeals</t>
  </si>
  <si>
    <t>Bongansiso</t>
  </si>
  <si>
    <t>09099770026</t>
  </si>
  <si>
    <t>Diagbel</t>
  </si>
  <si>
    <t>09638731222</t>
  </si>
  <si>
    <t>Cirilo</t>
  </si>
  <si>
    <t>Abrea</t>
  </si>
  <si>
    <t>Aiza</t>
  </si>
  <si>
    <t>Manny</t>
  </si>
  <si>
    <t>09633836029</t>
  </si>
  <si>
    <t>LGU-Valencia</t>
  </si>
  <si>
    <t>Marawis</t>
  </si>
  <si>
    <t>09971935568</t>
  </si>
  <si>
    <t>Claire Cagalitan</t>
  </si>
  <si>
    <t>Tadle</t>
  </si>
  <si>
    <t>Felimon</t>
  </si>
  <si>
    <t>09537765401</t>
  </si>
  <si>
    <t>Orya</t>
  </si>
  <si>
    <t>Roberto</t>
  </si>
  <si>
    <t>Ranoco</t>
  </si>
  <si>
    <t>Frederick</t>
  </si>
  <si>
    <t>09353267621</t>
  </si>
  <si>
    <t>Digal</t>
  </si>
  <si>
    <t>Medardo</t>
  </si>
  <si>
    <t>Abatayo</t>
  </si>
  <si>
    <t>Andy</t>
  </si>
  <si>
    <t>09218491420</t>
  </si>
  <si>
    <t>Lacre</t>
  </si>
  <si>
    <t>Fernando Jr.</t>
  </si>
  <si>
    <t>09261520030</t>
  </si>
  <si>
    <t>Caderao</t>
  </si>
  <si>
    <t>Jessie</t>
  </si>
  <si>
    <t>09978009762</t>
  </si>
  <si>
    <t>Ma. Genrose</t>
  </si>
  <si>
    <t>09050869604</t>
  </si>
  <si>
    <t>Aparilla</t>
  </si>
  <si>
    <t>Peter Paul</t>
  </si>
  <si>
    <t>09915929654</t>
  </si>
  <si>
    <t>Dinoy</t>
  </si>
  <si>
    <t>Alfredo</t>
  </si>
  <si>
    <t>San Jose</t>
  </si>
  <si>
    <t>09354230026</t>
  </si>
  <si>
    <t>Saldom</t>
  </si>
  <si>
    <t>Ritche</t>
  </si>
  <si>
    <t>09977118721</t>
  </si>
  <si>
    <t>Domingo</t>
  </si>
  <si>
    <t>Cabacnitan</t>
  </si>
  <si>
    <t>09302214688</t>
  </si>
  <si>
    <t>Julio</t>
  </si>
  <si>
    <t>Mataub</t>
  </si>
  <si>
    <t>09308182021</t>
  </si>
  <si>
    <t>Genabia</t>
  </si>
  <si>
    <t>Rio</t>
  </si>
  <si>
    <t>Buangan</t>
  </si>
  <si>
    <t>09487567081</t>
  </si>
  <si>
    <t>Romeo Jr.</t>
  </si>
  <si>
    <t>09469938115</t>
  </si>
  <si>
    <t>LGU-Maribojoc</t>
  </si>
  <si>
    <t>09852710009</t>
  </si>
  <si>
    <t>Ingrid Ena Hibaya</t>
  </si>
  <si>
    <t>February 17-26</t>
  </si>
  <si>
    <t>Feb. 17-25</t>
  </si>
  <si>
    <t>Llanto</t>
  </si>
  <si>
    <t>Harry</t>
  </si>
  <si>
    <t>Baucan Sur</t>
  </si>
  <si>
    <t>Balilihan2</t>
  </si>
  <si>
    <t>09502280197</t>
  </si>
  <si>
    <t>Anuta</t>
  </si>
  <si>
    <t>Ma. Arletie</t>
  </si>
  <si>
    <t>Canmano</t>
  </si>
  <si>
    <t>0930251775</t>
  </si>
  <si>
    <t>Lomod</t>
  </si>
  <si>
    <t>Villarcayo</t>
  </si>
  <si>
    <t>09304851088</t>
  </si>
  <si>
    <t>Tangara</t>
  </si>
  <si>
    <t>Paulino</t>
  </si>
  <si>
    <t>09093707408</t>
  </si>
  <si>
    <t>Hito</t>
  </si>
  <si>
    <t>March 2025</t>
  </si>
  <si>
    <t>Carmelita</t>
  </si>
  <si>
    <t>09303126809</t>
  </si>
  <si>
    <t>09814464939</t>
  </si>
  <si>
    <t>Hagutin</t>
  </si>
  <si>
    <t>Rodelio</t>
  </si>
  <si>
    <t>09308253897</t>
  </si>
  <si>
    <t>09555086278</t>
  </si>
  <si>
    <t>Sereguilla</t>
  </si>
  <si>
    <t>Demetrio Jr.</t>
  </si>
  <si>
    <t>Canmaya Centro</t>
  </si>
  <si>
    <t>Lopez</t>
  </si>
  <si>
    <t>Edgardo</t>
  </si>
  <si>
    <t>09629594974</t>
  </si>
  <si>
    <t>09949746508</t>
  </si>
  <si>
    <t>Malnegro</t>
  </si>
  <si>
    <t>Nicomedes</t>
  </si>
  <si>
    <t>09318483334</t>
  </si>
  <si>
    <t>Calamba</t>
  </si>
  <si>
    <t>Isidra</t>
  </si>
  <si>
    <t>Duallo</t>
  </si>
  <si>
    <t>Elenita</t>
  </si>
  <si>
    <t>Panghagban</t>
  </si>
  <si>
    <t>09650498052</t>
  </si>
  <si>
    <t>Lamoste</t>
  </si>
  <si>
    <t>Mantacida</t>
  </si>
  <si>
    <t>Andres</t>
  </si>
  <si>
    <t>09948906855</t>
  </si>
  <si>
    <t>Paragoso</t>
  </si>
  <si>
    <t>Rufino</t>
  </si>
  <si>
    <t>Kauswagan</t>
  </si>
  <si>
    <t>09497931330</t>
  </si>
  <si>
    <t>Lambus</t>
  </si>
  <si>
    <t>09502632876</t>
  </si>
  <si>
    <t>Alejandro</t>
  </si>
  <si>
    <t>PFO-Cebu</t>
  </si>
  <si>
    <t>09129448448</t>
  </si>
  <si>
    <t>Rosalito Galambao</t>
  </si>
  <si>
    <t>OPA-Bohol (PGBh-BISU)</t>
  </si>
  <si>
    <t>Zamora</t>
  </si>
  <si>
    <t>09309645740</t>
  </si>
  <si>
    <t>Marjorie Noroño</t>
  </si>
  <si>
    <t>Cepedoza</t>
  </si>
  <si>
    <t>09500373296</t>
  </si>
  <si>
    <t>Aparre</t>
  </si>
  <si>
    <t>Mark David</t>
  </si>
  <si>
    <t>Cawayan</t>
  </si>
  <si>
    <t>09776113013</t>
  </si>
  <si>
    <t>Quijoy</t>
  </si>
  <si>
    <t>Flora</t>
  </si>
  <si>
    <t>09198974795</t>
  </si>
  <si>
    <t>Maxima</t>
  </si>
  <si>
    <t>09936040992</t>
  </si>
  <si>
    <t>Socobos</t>
  </si>
  <si>
    <t>Magdalena</t>
  </si>
  <si>
    <t>09943357670</t>
  </si>
  <si>
    <t>Sandigan</t>
  </si>
  <si>
    <t>Joshua</t>
  </si>
  <si>
    <t>09636480386</t>
  </si>
  <si>
    <t>Villasencio</t>
  </si>
  <si>
    <t>09606089020</t>
  </si>
  <si>
    <t>Macalam</t>
  </si>
  <si>
    <t>Melcar</t>
  </si>
  <si>
    <t>09505464183</t>
  </si>
  <si>
    <t>Jayoma</t>
  </si>
  <si>
    <t>Segundo</t>
  </si>
  <si>
    <t>Decasa</t>
  </si>
  <si>
    <t>Hermes</t>
  </si>
  <si>
    <t>09817759281</t>
  </si>
  <si>
    <t>Maghuyop</t>
  </si>
  <si>
    <t>09266112428</t>
  </si>
  <si>
    <t>Fajardo</t>
  </si>
  <si>
    <t>Gliceria</t>
  </si>
  <si>
    <t>Agon</t>
  </si>
  <si>
    <t>Juanito</t>
  </si>
  <si>
    <t>09460872568</t>
  </si>
  <si>
    <t>Angilan</t>
  </si>
  <si>
    <t>Nemesio</t>
  </si>
  <si>
    <t>09468867563</t>
  </si>
  <si>
    <t>Villaber</t>
  </si>
  <si>
    <t>Nilda</t>
  </si>
  <si>
    <t>09702591652</t>
  </si>
  <si>
    <t>Sumalinog</t>
  </si>
  <si>
    <t>Poncia</t>
  </si>
  <si>
    <t>09056401057</t>
  </si>
  <si>
    <t>Gambuta</t>
  </si>
  <si>
    <t>Alberto Jr.</t>
  </si>
  <si>
    <t>San Agustin</t>
  </si>
  <si>
    <t>Camposo</t>
  </si>
  <si>
    <t>Noynay</t>
  </si>
  <si>
    <t>Canepeco</t>
  </si>
  <si>
    <t>Jeljin</t>
  </si>
  <si>
    <t>09099063317</t>
  </si>
  <si>
    <t>Judilo</t>
  </si>
  <si>
    <t>09388100730</t>
  </si>
  <si>
    <t>Alter John</t>
  </si>
  <si>
    <t>09609299379</t>
  </si>
  <si>
    <t>Sumampong</t>
  </si>
  <si>
    <t>09515437876</t>
  </si>
  <si>
    <t>Poblacion Sur</t>
  </si>
  <si>
    <t>James Bryan</t>
  </si>
  <si>
    <t>09636368968</t>
  </si>
  <si>
    <t>Renegado</t>
  </si>
  <si>
    <t>Paterna</t>
  </si>
  <si>
    <t>Villa Aurora</t>
  </si>
  <si>
    <t>09212446091</t>
  </si>
  <si>
    <t>Iyana</t>
  </si>
  <si>
    <t>Armando</t>
  </si>
  <si>
    <t>09708019429</t>
  </si>
  <si>
    <t>Nuyda</t>
  </si>
  <si>
    <t>Marichu</t>
  </si>
  <si>
    <t>Lingatong</t>
  </si>
  <si>
    <t>Saturnino</t>
  </si>
  <si>
    <t>Buyan</t>
  </si>
  <si>
    <t>Mycho</t>
  </si>
  <si>
    <t>09649338438</t>
  </si>
  <si>
    <t>Mar. 3-14</t>
  </si>
  <si>
    <t>Feb 5</t>
  </si>
  <si>
    <t>LGU-Jagna</t>
  </si>
  <si>
    <t>09850298346</t>
  </si>
  <si>
    <t>Roderick Virtudazo</t>
  </si>
  <si>
    <t>Maglaway</t>
  </si>
  <si>
    <t>Janfel</t>
  </si>
  <si>
    <t>09455585733</t>
  </si>
  <si>
    <t xml:space="preserve">Torrejos </t>
  </si>
  <si>
    <t>Buyog</t>
  </si>
  <si>
    <t>09859887013</t>
  </si>
  <si>
    <t>Gumapac</t>
  </si>
  <si>
    <t>Rufino Jr.</t>
  </si>
  <si>
    <t>09260360030</t>
  </si>
  <si>
    <t>Gudarido</t>
  </si>
  <si>
    <t>Bagolor</t>
  </si>
  <si>
    <t>Jocelyn</t>
  </si>
  <si>
    <t>Ilijan Norte</t>
  </si>
  <si>
    <t>09508222106</t>
  </si>
  <si>
    <t xml:space="preserve">Capillan </t>
  </si>
  <si>
    <t>Reynante</t>
  </si>
  <si>
    <t>09959962423</t>
  </si>
  <si>
    <t>Ente</t>
  </si>
  <si>
    <t>Guilberto</t>
  </si>
  <si>
    <t>09261523578</t>
  </si>
  <si>
    <t xml:space="preserve">Gonzaga </t>
  </si>
  <si>
    <t>09268334967</t>
  </si>
  <si>
    <t>Amandoron</t>
  </si>
  <si>
    <t>Raul</t>
  </si>
  <si>
    <t>09651824526</t>
  </si>
  <si>
    <t>Lauron</t>
  </si>
  <si>
    <t>Esteban</t>
  </si>
  <si>
    <t>09388046407</t>
  </si>
  <si>
    <t>Mar. 17-21</t>
  </si>
  <si>
    <t>March 3-14</t>
  </si>
  <si>
    <t>March 17-21</t>
  </si>
  <si>
    <t>Quiamco</t>
  </si>
  <si>
    <t>Mayvel</t>
  </si>
  <si>
    <t>Tinangnan</t>
  </si>
  <si>
    <t>09858360304</t>
  </si>
  <si>
    <t>Bebeth</t>
  </si>
  <si>
    <t>Desamparados</t>
  </si>
  <si>
    <t>09273783612</t>
  </si>
  <si>
    <t>Luciano</t>
  </si>
  <si>
    <t>Nueva Vida</t>
  </si>
  <si>
    <t>Rosaupan</t>
  </si>
  <si>
    <t>Boy</t>
  </si>
  <si>
    <t>09705676992</t>
  </si>
  <si>
    <t>Maglahus</t>
  </si>
  <si>
    <t>Sinakayanan</t>
  </si>
  <si>
    <t>09810013556</t>
  </si>
  <si>
    <t>Polinar</t>
  </si>
  <si>
    <t>Cresencio</t>
  </si>
  <si>
    <t>09707763333</t>
  </si>
  <si>
    <t>Navarro</t>
  </si>
  <si>
    <t>Rolan</t>
  </si>
  <si>
    <t>Angoy</t>
  </si>
  <si>
    <t>Jesus</t>
  </si>
  <si>
    <t>Cubillo</t>
  </si>
  <si>
    <t>Claudine</t>
  </si>
  <si>
    <t>09064548197</t>
  </si>
  <si>
    <t>Somosot</t>
  </si>
  <si>
    <t>Patricio</t>
  </si>
  <si>
    <t>Nahud</t>
  </si>
  <si>
    <t>09453326890</t>
  </si>
  <si>
    <t>Bahinting</t>
  </si>
  <si>
    <t>Teodoro</t>
  </si>
  <si>
    <t>09078859153</t>
  </si>
  <si>
    <t>Paulino Jr.</t>
  </si>
  <si>
    <t>Nueva Fuerza</t>
  </si>
  <si>
    <t>09484427003</t>
  </si>
  <si>
    <t>Vistal</t>
  </si>
  <si>
    <t>Danilo</t>
  </si>
  <si>
    <t>Cainsikan</t>
  </si>
  <si>
    <t>Gibalay</t>
  </si>
  <si>
    <t>Danny</t>
  </si>
  <si>
    <t>09356734611</t>
  </si>
  <si>
    <t>BFAR 7-CVMNDTC</t>
  </si>
  <si>
    <t>09463139609</t>
  </si>
  <si>
    <t>Martin</t>
  </si>
  <si>
    <t>09500236972</t>
  </si>
  <si>
    <t>Suhayon</t>
  </si>
  <si>
    <t>Riverside</t>
  </si>
  <si>
    <t>09672946004</t>
  </si>
  <si>
    <t>Banaiz</t>
  </si>
  <si>
    <t>Christopher</t>
  </si>
  <si>
    <t>Punta Cruz</t>
  </si>
  <si>
    <t>09949732470</t>
  </si>
  <si>
    <t>Bebiano Jr.</t>
  </si>
  <si>
    <t>09302312562</t>
  </si>
  <si>
    <t>Baguisa</t>
  </si>
  <si>
    <t>Genara</t>
  </si>
  <si>
    <t>09636480387</t>
  </si>
  <si>
    <t>Perocho</t>
  </si>
  <si>
    <t>09462298496</t>
  </si>
  <si>
    <t>Torres</t>
  </si>
  <si>
    <t>Rodgenalyn</t>
  </si>
  <si>
    <t>09461491468</t>
  </si>
  <si>
    <t>Arturo</t>
  </si>
  <si>
    <t>09544956165</t>
  </si>
  <si>
    <t>Jabines</t>
  </si>
  <si>
    <t>Hilario Jr.</t>
  </si>
  <si>
    <t>09505411256</t>
  </si>
  <si>
    <t>Bautista</t>
  </si>
  <si>
    <t>Campao Oriental</t>
  </si>
  <si>
    <t>09858676374</t>
  </si>
  <si>
    <t>Bustalinio</t>
  </si>
  <si>
    <t>Randy</t>
  </si>
  <si>
    <t>Genonocan</t>
  </si>
  <si>
    <t>09817946420</t>
  </si>
  <si>
    <t>Milagrosa</t>
  </si>
  <si>
    <t>Ruben</t>
  </si>
  <si>
    <t>09308913034</t>
  </si>
  <si>
    <t>Bontog</t>
  </si>
  <si>
    <t>Joventino</t>
  </si>
  <si>
    <t>09651459854</t>
  </si>
  <si>
    <t>Siton</t>
  </si>
  <si>
    <t>Joelito</t>
  </si>
  <si>
    <t>E</t>
  </si>
  <si>
    <t>Cantoyoc</t>
  </si>
  <si>
    <t>09367612493</t>
  </si>
  <si>
    <t>Mark Sherwin</t>
  </si>
  <si>
    <t>Mar. 25-27</t>
  </si>
  <si>
    <t>March 25-27</t>
  </si>
  <si>
    <t>2 male</t>
  </si>
  <si>
    <t>1 female</t>
  </si>
  <si>
    <t>Suarez</t>
  </si>
  <si>
    <t>Nicanor</t>
  </si>
  <si>
    <t>09481411305</t>
  </si>
  <si>
    <t>Ampoloquio</t>
  </si>
  <si>
    <t>Dario</t>
  </si>
  <si>
    <t>09302066167</t>
  </si>
  <si>
    <t>Englatera</t>
  </si>
  <si>
    <t>09534250984</t>
  </si>
  <si>
    <t>Dumanacal</t>
  </si>
  <si>
    <t>Margarita</t>
  </si>
  <si>
    <t>09102456726</t>
  </si>
  <si>
    <t>Uy</t>
  </si>
  <si>
    <t>09384399441</t>
  </si>
  <si>
    <t>Galan</t>
  </si>
  <si>
    <t>Sonia</t>
  </si>
  <si>
    <t>Agustin</t>
  </si>
  <si>
    <t>Timon</t>
  </si>
  <si>
    <t>Ailine</t>
  </si>
  <si>
    <t>09100831552</t>
  </si>
  <si>
    <t>Mar. 28</t>
  </si>
  <si>
    <t>March 28</t>
  </si>
  <si>
    <t>April 2025</t>
  </si>
  <si>
    <t>Omapas</t>
  </si>
  <si>
    <t>Conrado</t>
  </si>
  <si>
    <t>09954761862</t>
  </si>
  <si>
    <t>Adel</t>
  </si>
  <si>
    <t xml:space="preserve">Villaflor </t>
  </si>
  <si>
    <t>09676232092</t>
  </si>
  <si>
    <t>Baricuatro</t>
  </si>
  <si>
    <t>Mafet</t>
  </si>
  <si>
    <t>Buga-ong</t>
  </si>
  <si>
    <t>09816651335</t>
  </si>
  <si>
    <t>Igcalinos</t>
  </si>
  <si>
    <t>09702442668</t>
  </si>
  <si>
    <t>Norma</t>
  </si>
  <si>
    <t>Fe Amelita</t>
  </si>
  <si>
    <t>Tumale</t>
  </si>
  <si>
    <t>Cornelia</t>
  </si>
  <si>
    <t>Cuanan</t>
  </si>
  <si>
    <t>Ester</t>
  </si>
  <si>
    <t>09309983481</t>
  </si>
  <si>
    <t>Petalino</t>
  </si>
  <si>
    <t>Jonel</t>
  </si>
  <si>
    <t>09707764457</t>
  </si>
  <si>
    <t>Casulocan</t>
  </si>
  <si>
    <t>Aveto</t>
  </si>
  <si>
    <t>09507153680</t>
  </si>
  <si>
    <t>Alboroto</t>
  </si>
  <si>
    <t>Primo</t>
  </si>
  <si>
    <t>09701099779</t>
  </si>
  <si>
    <t>Aureo</t>
  </si>
  <si>
    <t>Vilma</t>
  </si>
  <si>
    <t>Malitbog</t>
  </si>
  <si>
    <t>09512352424</t>
  </si>
  <si>
    <t>Cambalon</t>
  </si>
  <si>
    <t>Marchiel</t>
  </si>
  <si>
    <t>Candajec</t>
  </si>
  <si>
    <t>09507156412</t>
  </si>
  <si>
    <t>Silagan</t>
  </si>
  <si>
    <t>Francis</t>
  </si>
  <si>
    <t>Bagtic</t>
  </si>
  <si>
    <t>09308348510</t>
  </si>
  <si>
    <t>Somoño</t>
  </si>
  <si>
    <t>Justo</t>
  </si>
  <si>
    <t>Aradilla</t>
  </si>
  <si>
    <t>Marilyn</t>
  </si>
  <si>
    <t>09106120542</t>
  </si>
  <si>
    <t>Quilit</t>
  </si>
  <si>
    <t>Lorena</t>
  </si>
  <si>
    <t>09151930132</t>
  </si>
  <si>
    <t>09553896525</t>
  </si>
  <si>
    <t>Alingig</t>
  </si>
  <si>
    <t>09263410566</t>
  </si>
  <si>
    <t>Torrejos</t>
  </si>
  <si>
    <t>Asino</t>
  </si>
  <si>
    <t>Elmer</t>
  </si>
  <si>
    <t>Boctol</t>
  </si>
  <si>
    <t>09308192217</t>
  </si>
  <si>
    <t>Ranelo</t>
  </si>
  <si>
    <t>09676835955</t>
  </si>
  <si>
    <t>Eugene</t>
  </si>
  <si>
    <t>09087711214</t>
  </si>
  <si>
    <t>09066229926</t>
  </si>
  <si>
    <t>Bernaldez</t>
  </si>
  <si>
    <t>Gerry</t>
  </si>
  <si>
    <t>09070190559</t>
  </si>
  <si>
    <t>Lacea</t>
  </si>
  <si>
    <t>Expedito</t>
  </si>
  <si>
    <t>Cantomimbo</t>
  </si>
  <si>
    <t>09101086466</t>
  </si>
  <si>
    <t>Sanchez</t>
  </si>
  <si>
    <t>Laurence</t>
  </si>
  <si>
    <t>09205989052</t>
  </si>
  <si>
    <t>Ollanas</t>
  </si>
  <si>
    <t>Jonas</t>
  </si>
  <si>
    <t>Haguilanan</t>
  </si>
  <si>
    <t>09291231124</t>
  </si>
  <si>
    <t>Gaudiario</t>
  </si>
  <si>
    <t>Felmer</t>
  </si>
  <si>
    <t>09503369751</t>
  </si>
  <si>
    <t>Narbay</t>
  </si>
  <si>
    <t>09636058814</t>
  </si>
  <si>
    <t>LGU- Corella</t>
  </si>
  <si>
    <t>Marilyn Gaterin</t>
  </si>
  <si>
    <t>10, 350</t>
  </si>
  <si>
    <t>Butlig Jr.</t>
  </si>
  <si>
    <t>Jovinal</t>
  </si>
  <si>
    <t>Lianto</t>
  </si>
  <si>
    <t>Jusoy</t>
  </si>
  <si>
    <t>Ginalyn</t>
  </si>
  <si>
    <t>Emie</t>
  </si>
  <si>
    <t>Aparicio</t>
  </si>
  <si>
    <t>Reymart</t>
  </si>
  <si>
    <t>Baago</t>
  </si>
  <si>
    <t>Celosia</t>
  </si>
  <si>
    <t>Ralph Kenneth</t>
  </si>
  <si>
    <t>Rufo hill</t>
  </si>
  <si>
    <t>Libertad Norte</t>
  </si>
  <si>
    <t>Ma. Angel</t>
  </si>
  <si>
    <t>Pahamutang</t>
  </si>
  <si>
    <t>Ronaldo</t>
  </si>
  <si>
    <t>Nika</t>
  </si>
  <si>
    <t>Naigro</t>
  </si>
  <si>
    <t>Mark Anthony</t>
  </si>
  <si>
    <t>Leonardo</t>
  </si>
  <si>
    <t>Balistoy</t>
  </si>
  <si>
    <t>Alfonso</t>
  </si>
  <si>
    <t>Kagawasan</t>
  </si>
  <si>
    <t>Tirol</t>
  </si>
  <si>
    <t>Godofreda</t>
  </si>
  <si>
    <t>Tagbilaran</t>
  </si>
  <si>
    <t>Andales</t>
  </si>
  <si>
    <t>Angelyn</t>
  </si>
  <si>
    <t>Bugsoc</t>
  </si>
  <si>
    <t>bugsoc</t>
  </si>
  <si>
    <t>Elena</t>
  </si>
  <si>
    <t>Elesar</t>
  </si>
  <si>
    <t>Ponte</t>
  </si>
  <si>
    <t>Philip</t>
  </si>
  <si>
    <t>Niones</t>
  </si>
  <si>
    <t>Tito</t>
  </si>
  <si>
    <t>Tancawan</t>
  </si>
  <si>
    <t>Erjay</t>
  </si>
  <si>
    <t>Brisulda</t>
  </si>
  <si>
    <t>Mila</t>
  </si>
  <si>
    <t>Sabior Jr.</t>
  </si>
  <si>
    <t>Pedro</t>
  </si>
  <si>
    <t>Bagacay</t>
  </si>
  <si>
    <t>talibon</t>
  </si>
  <si>
    <t>Amila</t>
  </si>
  <si>
    <t>Roland</t>
  </si>
  <si>
    <t>Egmila</t>
  </si>
  <si>
    <t>Renato</t>
  </si>
  <si>
    <t>Euly</t>
  </si>
  <si>
    <t>Aspe</t>
  </si>
  <si>
    <t>Romsted</t>
  </si>
  <si>
    <t>Bunacan</t>
  </si>
  <si>
    <t>Tenajeros</t>
  </si>
  <si>
    <t>Greggy</t>
  </si>
  <si>
    <t>Ayeng</t>
  </si>
  <si>
    <t>Ted</t>
  </si>
  <si>
    <t>Catras</t>
  </si>
  <si>
    <t>Eduardo</t>
  </si>
  <si>
    <t>Ho</t>
  </si>
  <si>
    <t>Joey</t>
  </si>
  <si>
    <t>April 2-10</t>
  </si>
  <si>
    <t>09319345300</t>
  </si>
  <si>
    <t>09102793054</t>
  </si>
  <si>
    <t>09810019148</t>
  </si>
  <si>
    <t>09945174308</t>
  </si>
  <si>
    <t>09482695765</t>
  </si>
  <si>
    <t>09083397906</t>
  </si>
  <si>
    <t>09633835717</t>
  </si>
  <si>
    <t>09941091901</t>
  </si>
  <si>
    <t>09129261985</t>
  </si>
  <si>
    <t>09275683077</t>
  </si>
  <si>
    <t>09457632650</t>
  </si>
  <si>
    <t>09673677205</t>
  </si>
  <si>
    <t>09090277107</t>
  </si>
  <si>
    <t>09271866995</t>
  </si>
  <si>
    <t>09454683286</t>
  </si>
  <si>
    <t>09304263970</t>
  </si>
  <si>
    <t>09074922070</t>
  </si>
  <si>
    <t>09486327690</t>
  </si>
  <si>
    <t>09352602991</t>
  </si>
  <si>
    <t>09854983387</t>
  </si>
  <si>
    <t>09091889621</t>
  </si>
  <si>
    <t>09389231683</t>
  </si>
  <si>
    <t>09981703374</t>
  </si>
  <si>
    <t>09880805108</t>
  </si>
  <si>
    <t xml:space="preserve">Tilapia </t>
  </si>
  <si>
    <t>BFAR 7 FPSSD</t>
  </si>
  <si>
    <t>Elisa Cequiña</t>
  </si>
  <si>
    <t>0965740397</t>
  </si>
  <si>
    <t>09519106105</t>
  </si>
  <si>
    <t>Red tilapia</t>
  </si>
  <si>
    <t>April 4-10</t>
  </si>
  <si>
    <t>Red</t>
  </si>
  <si>
    <t>Mantica</t>
  </si>
  <si>
    <t>Patac</t>
  </si>
  <si>
    <t>Daen Sandy</t>
  </si>
  <si>
    <t>09513048074</t>
  </si>
  <si>
    <t>09500323296</t>
  </si>
  <si>
    <t>Magtangtang</t>
  </si>
  <si>
    <t>09537768180</t>
  </si>
  <si>
    <t>Alcoy</t>
  </si>
  <si>
    <t>Ubujar</t>
  </si>
  <si>
    <t>09163771867</t>
  </si>
  <si>
    <t>Meralona</t>
  </si>
  <si>
    <t>09538077644</t>
  </si>
  <si>
    <t>Hingpit</t>
  </si>
  <si>
    <t>Jose</t>
  </si>
  <si>
    <t>09195069294</t>
  </si>
  <si>
    <t>09664969222</t>
  </si>
  <si>
    <t>Dayondon</t>
  </si>
  <si>
    <t>09989131560</t>
  </si>
  <si>
    <t>09979332520</t>
  </si>
  <si>
    <t>Redjie Magsayo</t>
  </si>
  <si>
    <t>BASIL</t>
  </si>
  <si>
    <t>SAAD</t>
  </si>
  <si>
    <t>Enad</t>
  </si>
  <si>
    <t>John Leo</t>
  </si>
  <si>
    <t>Jaramillo</t>
  </si>
  <si>
    <t>John Agustin</t>
  </si>
  <si>
    <t>09543240465</t>
  </si>
  <si>
    <t>Apao</t>
  </si>
  <si>
    <t>Robuildam</t>
  </si>
  <si>
    <t>09499643421</t>
  </si>
  <si>
    <t>Buhayang</t>
  </si>
  <si>
    <t>Ilijan Sur</t>
  </si>
  <si>
    <t>09489297684</t>
  </si>
  <si>
    <t>Rodriguez</t>
  </si>
  <si>
    <t>Rodel</t>
  </si>
  <si>
    <t>Ilaya</t>
  </si>
  <si>
    <t>09753134093</t>
  </si>
  <si>
    <t>Miculob</t>
  </si>
  <si>
    <t>Trifon Jr.</t>
  </si>
  <si>
    <t>Bingag</t>
  </si>
  <si>
    <t>09530045226</t>
  </si>
  <si>
    <t>Baja</t>
  </si>
  <si>
    <t>Natalio</t>
  </si>
  <si>
    <t>West Ulbujan</t>
  </si>
  <si>
    <t>09291232532</t>
  </si>
  <si>
    <t>Lapori</t>
  </si>
  <si>
    <t>Tirso</t>
  </si>
  <si>
    <t>Cruspero</t>
  </si>
  <si>
    <t>Auxilio Jr.</t>
  </si>
  <si>
    <t>09472714454</t>
  </si>
  <si>
    <t>Suaybaguio</t>
  </si>
  <si>
    <t>Christian</t>
  </si>
  <si>
    <t>09359780284</t>
  </si>
  <si>
    <t>Cainghog</t>
  </si>
  <si>
    <t>Angelo</t>
  </si>
  <si>
    <t>09303904394</t>
  </si>
  <si>
    <t>Artiaga</t>
  </si>
  <si>
    <t>Cambangay Norte</t>
  </si>
  <si>
    <t>09814683459</t>
  </si>
  <si>
    <t>Amparado</t>
  </si>
  <si>
    <t>Adlaon</t>
  </si>
  <si>
    <t>09361432886</t>
  </si>
  <si>
    <t>Caiña</t>
  </si>
  <si>
    <t>Fel Kyle</t>
  </si>
  <si>
    <t>09074345610</t>
  </si>
  <si>
    <t>09854989320</t>
  </si>
  <si>
    <t>Maria Jean Salomon</t>
  </si>
  <si>
    <t>Common carp</t>
  </si>
  <si>
    <t>Lanta</t>
  </si>
  <si>
    <t>Marlon</t>
  </si>
  <si>
    <t>Villanueva</t>
  </si>
  <si>
    <t>Orcullo</t>
  </si>
  <si>
    <t>Alan</t>
  </si>
  <si>
    <t>Efren</t>
  </si>
  <si>
    <t>Mejias</t>
  </si>
  <si>
    <t>Renela</t>
  </si>
  <si>
    <t>09707588906</t>
  </si>
  <si>
    <t>Samoro</t>
  </si>
  <si>
    <t>Asucan</t>
  </si>
  <si>
    <t>Beverly</t>
  </si>
  <si>
    <t>09855094040</t>
  </si>
  <si>
    <t>Dabon</t>
  </si>
  <si>
    <t>Benvienido</t>
  </si>
  <si>
    <t>Sagbayan Sur</t>
  </si>
  <si>
    <t>09323147353</t>
  </si>
  <si>
    <t>Añana</t>
  </si>
  <si>
    <t>Manuel Jr.</t>
  </si>
  <si>
    <t>Babag</t>
  </si>
  <si>
    <t>LGU-Dagohoy</t>
  </si>
  <si>
    <t>Joselito P. Abello</t>
  </si>
  <si>
    <t>SAAD (fish cage)</t>
  </si>
  <si>
    <t>April 14-24</t>
  </si>
  <si>
    <t>April 16-25</t>
  </si>
  <si>
    <t>Carp</t>
  </si>
  <si>
    <t>April 14-25</t>
  </si>
  <si>
    <t>Lapore</t>
  </si>
  <si>
    <t>Melbert</t>
  </si>
  <si>
    <t>09265058405</t>
  </si>
  <si>
    <t>Catagdaan</t>
  </si>
  <si>
    <t>09636922307</t>
  </si>
  <si>
    <t>Buhangin</t>
  </si>
  <si>
    <t>Karl</t>
  </si>
  <si>
    <t>Macaas</t>
  </si>
  <si>
    <t>09158482603</t>
  </si>
  <si>
    <t>Sendrijas</t>
  </si>
  <si>
    <t>Nestor</t>
  </si>
  <si>
    <t>09481706088</t>
  </si>
  <si>
    <t>April 28</t>
  </si>
  <si>
    <t>Louie</t>
  </si>
  <si>
    <t>Florencio</t>
  </si>
  <si>
    <t>Butawan</t>
  </si>
  <si>
    <t>Marissa</t>
  </si>
  <si>
    <t>May 2025</t>
  </si>
  <si>
    <t xml:space="preserve">Apron </t>
  </si>
  <si>
    <t>Gregorio</t>
  </si>
  <si>
    <t>09087282414</t>
  </si>
  <si>
    <t>Oberes</t>
  </si>
  <si>
    <t>James Kyle</t>
  </si>
  <si>
    <t>09155076826</t>
  </si>
  <si>
    <t>Kara-an</t>
  </si>
  <si>
    <t>Lyndon</t>
  </si>
  <si>
    <t>Lapaz</t>
  </si>
  <si>
    <t>09616630924</t>
  </si>
  <si>
    <t>Borja</t>
  </si>
  <si>
    <t>Angelie</t>
  </si>
  <si>
    <t>San Vicente Norte</t>
  </si>
  <si>
    <t>09858215738</t>
  </si>
  <si>
    <t>Silveria</t>
  </si>
  <si>
    <t>Estaca</t>
  </si>
  <si>
    <t>Ombajin</t>
  </si>
  <si>
    <t>Julieto</t>
  </si>
  <si>
    <t>Sta. Catalina</t>
  </si>
  <si>
    <t>09066711785</t>
  </si>
  <si>
    <t>Buenaven</t>
  </si>
  <si>
    <t>09772038290</t>
  </si>
  <si>
    <t>Alforo</t>
  </si>
  <si>
    <t>Era May</t>
  </si>
  <si>
    <t>09639006848</t>
  </si>
  <si>
    <t>Dapar</t>
  </si>
  <si>
    <t>Juan</t>
  </si>
  <si>
    <t>09956173351</t>
  </si>
  <si>
    <t xml:space="preserve">Torrentira </t>
  </si>
  <si>
    <t>Albert</t>
  </si>
  <si>
    <t>09298494736</t>
  </si>
  <si>
    <t>Embradora</t>
  </si>
  <si>
    <t>Bonifacio</t>
  </si>
  <si>
    <t>Betalmos</t>
  </si>
  <si>
    <t>Shella Mae</t>
  </si>
  <si>
    <t>Ma. Rosario</t>
  </si>
  <si>
    <t>09972190441</t>
  </si>
  <si>
    <t>Cesar</t>
  </si>
  <si>
    <t>Egmilan</t>
  </si>
  <si>
    <t xml:space="preserve">Logroño </t>
  </si>
  <si>
    <t>Bugaong</t>
  </si>
  <si>
    <t>09985771476</t>
  </si>
  <si>
    <t>Silver</t>
  </si>
  <si>
    <t>09851190659</t>
  </si>
  <si>
    <t>Palapar</t>
  </si>
  <si>
    <t>Patrocinia</t>
  </si>
  <si>
    <t>09308925137</t>
  </si>
  <si>
    <t>Cepada</t>
  </si>
  <si>
    <t>Fortunato</t>
  </si>
  <si>
    <t>09663626536</t>
  </si>
  <si>
    <t>Alvin</t>
  </si>
  <si>
    <t>09673263944</t>
  </si>
  <si>
    <t>Estorgio</t>
  </si>
  <si>
    <t>09532236764</t>
  </si>
  <si>
    <t>B</t>
  </si>
  <si>
    <t>Vallente</t>
  </si>
  <si>
    <t>Celestino</t>
  </si>
  <si>
    <t>09707753689</t>
  </si>
  <si>
    <t>Besas</t>
  </si>
  <si>
    <t>Benjamin</t>
  </si>
  <si>
    <t>May 5-15</t>
  </si>
  <si>
    <t>Andrie</t>
  </si>
  <si>
    <t>09102642411</t>
  </si>
  <si>
    <t>Jaso</t>
  </si>
  <si>
    <t>Lito</t>
  </si>
  <si>
    <t>Cereligia</t>
  </si>
  <si>
    <t>09385286269</t>
  </si>
  <si>
    <t>Cruz</t>
  </si>
  <si>
    <t>Rafael II</t>
  </si>
  <si>
    <t>Tiptip</t>
  </si>
  <si>
    <t>Cañete</t>
  </si>
  <si>
    <t>09164156160</t>
  </si>
  <si>
    <t>Ybañez</t>
  </si>
  <si>
    <t>Elma</t>
  </si>
  <si>
    <t>09098144908</t>
  </si>
  <si>
    <t>09984545414</t>
  </si>
  <si>
    <t>Winifredo</t>
  </si>
  <si>
    <t>9303550034</t>
  </si>
  <si>
    <t>Orang</t>
  </si>
  <si>
    <t>Fidel</t>
  </si>
  <si>
    <t>La Union</t>
  </si>
  <si>
    <t>09525583406</t>
  </si>
  <si>
    <t>Bacalso</t>
  </si>
  <si>
    <t>Bryan</t>
  </si>
  <si>
    <t>Triple Union</t>
  </si>
  <si>
    <t>09754530548</t>
  </si>
  <si>
    <t>Viodor</t>
  </si>
  <si>
    <t>Baguhan</t>
  </si>
  <si>
    <t>09275550852</t>
  </si>
  <si>
    <t>Baring</t>
  </si>
  <si>
    <t>Carlos Jr.</t>
  </si>
  <si>
    <t>Pres. CPG</t>
  </si>
  <si>
    <t>09638757115</t>
  </si>
  <si>
    <t>Llup</t>
  </si>
  <si>
    <t>Datag</t>
  </si>
  <si>
    <t>09554902705</t>
  </si>
  <si>
    <t>Simbajon</t>
  </si>
  <si>
    <t>Jason</t>
  </si>
  <si>
    <t>09462406918</t>
  </si>
  <si>
    <t>Ocsin</t>
  </si>
  <si>
    <t>Roseller John</t>
  </si>
  <si>
    <t>09126454121</t>
  </si>
  <si>
    <t>Agias</t>
  </si>
  <si>
    <t>09510776829</t>
  </si>
  <si>
    <t>Revilla</t>
  </si>
  <si>
    <t>Dionisio Jr.</t>
  </si>
  <si>
    <t>09935300191</t>
  </si>
  <si>
    <t>Dominguez</t>
  </si>
  <si>
    <t>Retsin</t>
  </si>
  <si>
    <t>09954756509</t>
  </si>
  <si>
    <t>Galamiton</t>
  </si>
  <si>
    <t>Isidro</t>
  </si>
  <si>
    <t>09684332391</t>
  </si>
  <si>
    <t>Tadena</t>
  </si>
  <si>
    <t>Niño</t>
  </si>
  <si>
    <t>09480051298</t>
  </si>
  <si>
    <t>Sugala</t>
  </si>
  <si>
    <t>Narciso</t>
  </si>
  <si>
    <t>Bartolo</t>
  </si>
  <si>
    <t>Rosalinda</t>
  </si>
  <si>
    <t>09936155690</t>
  </si>
  <si>
    <t>Kristine</t>
  </si>
  <si>
    <t>Tac-an</t>
  </si>
  <si>
    <t>Stephen</t>
  </si>
  <si>
    <t>09480556715</t>
  </si>
  <si>
    <t>Marino</t>
  </si>
  <si>
    <t>Aldrin</t>
  </si>
  <si>
    <t xml:space="preserve">Poblacion </t>
  </si>
  <si>
    <t>09771201413</t>
  </si>
  <si>
    <t>Uli</t>
  </si>
  <si>
    <t>Jennifer</t>
  </si>
  <si>
    <t>09382448587</t>
  </si>
  <si>
    <t>09503322714</t>
  </si>
  <si>
    <t>Mantahinay</t>
  </si>
  <si>
    <t>Renel John</t>
  </si>
  <si>
    <t>Bulawan</t>
  </si>
  <si>
    <t>Meriam</t>
  </si>
  <si>
    <t>09104646909</t>
  </si>
  <si>
    <t>Salpocial</t>
  </si>
  <si>
    <t>09234310226</t>
  </si>
  <si>
    <t>Andulana</t>
  </si>
  <si>
    <t>Aleja</t>
  </si>
  <si>
    <t>Nabuad</t>
  </si>
  <si>
    <t>09946249115</t>
  </si>
  <si>
    <t>Cristal</t>
  </si>
  <si>
    <t>Aniceto</t>
  </si>
  <si>
    <t>09935979699</t>
  </si>
  <si>
    <t>LGU- Loay</t>
  </si>
  <si>
    <t>Ma. Villana Villa</t>
  </si>
  <si>
    <t>Adriano</t>
  </si>
  <si>
    <t>Poblacion 2</t>
  </si>
  <si>
    <t>Amihan</t>
  </si>
  <si>
    <t>Josemel</t>
  </si>
  <si>
    <t>09671882963</t>
  </si>
  <si>
    <t>Santander</t>
  </si>
  <si>
    <t>09518966909</t>
  </si>
  <si>
    <t>Carnecer</t>
  </si>
  <si>
    <t>Marc Andrew</t>
  </si>
  <si>
    <t>09934147538</t>
  </si>
  <si>
    <t>Betarmos</t>
  </si>
  <si>
    <t>Mahahay</t>
  </si>
  <si>
    <t>09204289952</t>
  </si>
  <si>
    <t>Dexter</t>
  </si>
  <si>
    <t>Fatima</t>
  </si>
  <si>
    <t>Cecilio</t>
  </si>
  <si>
    <t>Ace Brian</t>
  </si>
  <si>
    <t>09462224701</t>
  </si>
  <si>
    <t>Salarda</t>
  </si>
  <si>
    <t>Juna</t>
  </si>
  <si>
    <t>Villa Garcia</t>
  </si>
  <si>
    <t>09380769830</t>
  </si>
  <si>
    <t>Madredijo</t>
  </si>
  <si>
    <t>Annalyn</t>
  </si>
  <si>
    <t>09943009462</t>
  </si>
  <si>
    <t>Alolino</t>
  </si>
  <si>
    <t>Maura</t>
  </si>
  <si>
    <t>09504114877</t>
  </si>
  <si>
    <t>Arsenia</t>
  </si>
  <si>
    <t>09192310575</t>
  </si>
  <si>
    <t>Castro</t>
  </si>
  <si>
    <t>Gabi</t>
  </si>
  <si>
    <t>09651458199</t>
  </si>
  <si>
    <t>May 15-26</t>
  </si>
  <si>
    <t>Hilbero</t>
  </si>
  <si>
    <t>Felix</t>
  </si>
  <si>
    <t>09514344407</t>
  </si>
  <si>
    <t>June 2025</t>
  </si>
  <si>
    <t>Caño</t>
  </si>
  <si>
    <t>Tortor</t>
  </si>
  <si>
    <t>James</t>
  </si>
  <si>
    <t>Masonoy</t>
  </si>
  <si>
    <t>09915938750</t>
  </si>
  <si>
    <t>Cepe</t>
  </si>
  <si>
    <t>Ranulfo</t>
  </si>
  <si>
    <t>09950685479</t>
  </si>
  <si>
    <t>Belamia</t>
  </si>
  <si>
    <t>Alberto</t>
  </si>
  <si>
    <t>09389231466</t>
  </si>
  <si>
    <t>Dagaang</t>
  </si>
  <si>
    <t>09850278632</t>
  </si>
  <si>
    <t>Garcera</t>
  </si>
  <si>
    <t>Agapito</t>
  </si>
  <si>
    <t>Banahao</t>
  </si>
  <si>
    <t>09060386497</t>
  </si>
  <si>
    <t>Esto</t>
  </si>
  <si>
    <t>Francisco</t>
  </si>
  <si>
    <t>Arsenio</t>
  </si>
  <si>
    <t>Dusita</t>
  </si>
  <si>
    <t>09973868429</t>
  </si>
  <si>
    <t>Buaya</t>
  </si>
  <si>
    <t>Cang-iras</t>
  </si>
  <si>
    <t>09095253887</t>
  </si>
  <si>
    <t>Lauro</t>
  </si>
  <si>
    <t>Saniel</t>
  </si>
  <si>
    <t>Carlson</t>
  </si>
  <si>
    <t>09994115265</t>
  </si>
  <si>
    <t>LGU-Bayawan City</t>
  </si>
  <si>
    <t>Bayawan. Neg. Or.</t>
  </si>
  <si>
    <t>09539243631</t>
  </si>
  <si>
    <t>Ricky Abayon</t>
  </si>
  <si>
    <t>Embrodura</t>
  </si>
  <si>
    <t>09671884735</t>
  </si>
  <si>
    <t>09979428040</t>
  </si>
  <si>
    <t>Paran</t>
  </si>
  <si>
    <t>Cris Kenneth</t>
  </si>
  <si>
    <t>Baogo</t>
  </si>
  <si>
    <t>Charlito</t>
  </si>
  <si>
    <t>Tagsip</t>
  </si>
  <si>
    <t>Marcos</t>
  </si>
  <si>
    <t>09649703582</t>
  </si>
  <si>
    <t>Jade Ryhiel</t>
  </si>
  <si>
    <t>09537768027</t>
  </si>
  <si>
    <t>Orilla</t>
  </si>
  <si>
    <t>Ram</t>
  </si>
  <si>
    <t>09949134985</t>
  </si>
  <si>
    <t>Curib</t>
  </si>
  <si>
    <t>Yulsid</t>
  </si>
  <si>
    <t>09664617145</t>
  </si>
  <si>
    <t>Miano</t>
  </si>
  <si>
    <t>Silverio</t>
  </si>
  <si>
    <t>Abaca</t>
  </si>
  <si>
    <t>Arjie</t>
  </si>
  <si>
    <t>Poblacion West</t>
  </si>
  <si>
    <t>09553825008</t>
  </si>
  <si>
    <t>Egagamao</t>
  </si>
  <si>
    <t>09858580377</t>
  </si>
  <si>
    <t>Patrick</t>
  </si>
  <si>
    <t>09483192984</t>
  </si>
  <si>
    <t>Baldapan</t>
  </si>
  <si>
    <t>Candido</t>
  </si>
  <si>
    <t>09102651077</t>
  </si>
  <si>
    <t>Johnrey</t>
  </si>
  <si>
    <t>09318482188</t>
  </si>
  <si>
    <t>Secotito</t>
  </si>
  <si>
    <t>09854977713</t>
  </si>
  <si>
    <t>Andie</t>
  </si>
  <si>
    <t>Carpentero</t>
  </si>
  <si>
    <t>Ricardo</t>
  </si>
  <si>
    <t>Kang-iras</t>
  </si>
  <si>
    <t>09944463483</t>
  </si>
  <si>
    <t>Dupa</t>
  </si>
  <si>
    <t>Felipe</t>
  </si>
  <si>
    <t>Lucob</t>
  </si>
  <si>
    <t>Junmar</t>
  </si>
  <si>
    <t>09947610537</t>
  </si>
  <si>
    <t>Divino</t>
  </si>
  <si>
    <t>09634504510</t>
  </si>
  <si>
    <t>Can-oling</t>
  </si>
  <si>
    <t>09434194240</t>
  </si>
  <si>
    <t>Abriol</t>
  </si>
  <si>
    <t>John Chloe</t>
  </si>
  <si>
    <t>09688561435</t>
  </si>
  <si>
    <t>BFAR 7-FPSSD</t>
  </si>
  <si>
    <t xml:space="preserve">San Roque </t>
  </si>
  <si>
    <t>Elisa D. Cequiña</t>
  </si>
  <si>
    <t>Rulida</t>
  </si>
  <si>
    <t>09701770804</t>
  </si>
  <si>
    <t>09481841436</t>
  </si>
  <si>
    <t>June 2-10</t>
  </si>
  <si>
    <t>broodstock</t>
  </si>
  <si>
    <t xml:space="preserve">carp </t>
  </si>
  <si>
    <t xml:space="preserve">red tilapia </t>
  </si>
  <si>
    <t>June 13</t>
  </si>
  <si>
    <t>Ferdinand</t>
  </si>
  <si>
    <t>09276544456</t>
  </si>
  <si>
    <t>Omaña</t>
  </si>
  <si>
    <t>Anastacia</t>
  </si>
  <si>
    <t>09568144996</t>
  </si>
  <si>
    <t>Lebita</t>
  </si>
  <si>
    <t>09537624069</t>
  </si>
  <si>
    <t>Marvin Peter</t>
  </si>
  <si>
    <t>09558006193</t>
  </si>
  <si>
    <t>Jovic</t>
  </si>
  <si>
    <t>09197366823</t>
  </si>
  <si>
    <t>09977610537</t>
  </si>
  <si>
    <t>Ligaya</t>
  </si>
  <si>
    <t>Gaudencio</t>
  </si>
  <si>
    <t>09641413741</t>
  </si>
  <si>
    <t>Labrador</t>
  </si>
  <si>
    <t>09606160473</t>
  </si>
  <si>
    <t>Jetafe</t>
  </si>
  <si>
    <t>09081952673</t>
  </si>
  <si>
    <t>Anita</t>
  </si>
  <si>
    <t>09502197150</t>
  </si>
  <si>
    <t>koi Carp</t>
  </si>
  <si>
    <t>Pinat</t>
  </si>
  <si>
    <t>Nunila</t>
  </si>
  <si>
    <t>Rabuya</t>
  </si>
  <si>
    <t>Adriano Jr</t>
  </si>
  <si>
    <t>09555230841</t>
  </si>
  <si>
    <t>Cordova</t>
  </si>
  <si>
    <t>09270136313</t>
  </si>
  <si>
    <t>Comamao</t>
  </si>
  <si>
    <t>Roger</t>
  </si>
  <si>
    <t>Kabasacan</t>
  </si>
  <si>
    <t>09512083755</t>
  </si>
  <si>
    <t>Villaver</t>
  </si>
  <si>
    <t>Jay</t>
  </si>
  <si>
    <t>09270136994</t>
  </si>
  <si>
    <t>Jala</t>
  </si>
  <si>
    <t>09077675624</t>
  </si>
  <si>
    <t>Mutuc</t>
  </si>
  <si>
    <t>Gemeniano</t>
  </si>
  <si>
    <t>09516421859</t>
  </si>
  <si>
    <t>Celergia</t>
  </si>
  <si>
    <t>Taming</t>
  </si>
  <si>
    <t>Quisto</t>
  </si>
  <si>
    <t>Eddie</t>
  </si>
  <si>
    <t>09759159554</t>
  </si>
  <si>
    <t>Alcano</t>
  </si>
  <si>
    <t>Rodrigo Jr.</t>
  </si>
  <si>
    <t>09103933384</t>
  </si>
  <si>
    <t>Bonio</t>
  </si>
  <si>
    <t>Cabatuan</t>
  </si>
  <si>
    <t>09984298561</t>
  </si>
  <si>
    <t>Concordio</t>
  </si>
  <si>
    <t>Reserva</t>
  </si>
  <si>
    <t>Ronald</t>
  </si>
  <si>
    <t>Pandan</t>
  </si>
  <si>
    <t>Alfeo</t>
  </si>
  <si>
    <t>09936140958</t>
  </si>
  <si>
    <t>Jubel</t>
  </si>
  <si>
    <t>09203397065</t>
  </si>
  <si>
    <t>Cloma</t>
  </si>
  <si>
    <t>Teves</t>
  </si>
  <si>
    <t>Marshel May</t>
  </si>
  <si>
    <t>Pooc Oriental</t>
  </si>
  <si>
    <t>09309965083</t>
  </si>
  <si>
    <t>Bangod</t>
  </si>
  <si>
    <t>Jessa</t>
  </si>
  <si>
    <t>09957747043</t>
  </si>
  <si>
    <t>June 16-20</t>
  </si>
  <si>
    <t>Clarin National School of Fisheries</t>
  </si>
  <si>
    <t>09462227701</t>
  </si>
  <si>
    <t>Ace Brian Cecilio</t>
  </si>
  <si>
    <t>Balanio</t>
  </si>
  <si>
    <t>09105046543</t>
  </si>
  <si>
    <t>Jeremy</t>
  </si>
  <si>
    <t>09572462467</t>
  </si>
  <si>
    <t>Climente</t>
  </si>
  <si>
    <t>Banahaw</t>
  </si>
  <si>
    <t>Dag-um</t>
  </si>
  <si>
    <t>09362894210</t>
  </si>
  <si>
    <t>Milla</t>
  </si>
  <si>
    <t>Abello</t>
  </si>
  <si>
    <t>Joselito</t>
  </si>
  <si>
    <t>09925711091</t>
  </si>
  <si>
    <t>Sotto</t>
  </si>
  <si>
    <t>Perlita</t>
  </si>
  <si>
    <t>Libertad Sur</t>
  </si>
  <si>
    <t>09666974396</t>
  </si>
  <si>
    <t>Cebu Technological University - Moalboal Campus</t>
  </si>
  <si>
    <t>Moalboal</t>
  </si>
  <si>
    <t>09913089893</t>
  </si>
  <si>
    <t>Rufino A. Deresas Jr.</t>
  </si>
  <si>
    <t>Lagrimas</t>
  </si>
  <si>
    <t>Jam Alphie</t>
  </si>
  <si>
    <t>Tinibgan</t>
  </si>
  <si>
    <t xml:space="preserve">Domingo </t>
  </si>
  <si>
    <t>D.</t>
  </si>
  <si>
    <t>June 24-26</t>
  </si>
  <si>
    <t>June 18-23</t>
  </si>
  <si>
    <t>June 16-23</t>
  </si>
  <si>
    <t>Ramizo</t>
  </si>
  <si>
    <t>Garry</t>
  </si>
  <si>
    <t>Atup</t>
  </si>
  <si>
    <t>Lino</t>
  </si>
  <si>
    <t>Campatod</t>
  </si>
  <si>
    <t>Rene</t>
  </si>
  <si>
    <t>M</t>
  </si>
  <si>
    <t>09187842541</t>
  </si>
  <si>
    <t xml:space="preserve">Excel </t>
  </si>
  <si>
    <t>09284212184</t>
  </si>
  <si>
    <t>Bonghanoy</t>
  </si>
  <si>
    <t>Jhunlee</t>
  </si>
  <si>
    <t>09098791419</t>
  </si>
  <si>
    <t>Saco</t>
  </si>
  <si>
    <t>Jerwin</t>
  </si>
  <si>
    <t>09926355132</t>
  </si>
  <si>
    <t xml:space="preserve">Ymbong </t>
  </si>
  <si>
    <t>Rizalie</t>
  </si>
  <si>
    <t>Buyaw</t>
  </si>
  <si>
    <t>0985362901</t>
  </si>
  <si>
    <t>Madugol</t>
  </si>
  <si>
    <t>09073809209</t>
  </si>
  <si>
    <t>09108407713</t>
  </si>
  <si>
    <t>Abonite</t>
  </si>
  <si>
    <t>09551396644</t>
  </si>
  <si>
    <t>Palma</t>
  </si>
  <si>
    <t>Ceresio Sr.</t>
  </si>
  <si>
    <t>09630079276</t>
  </si>
  <si>
    <t>Cagas</t>
  </si>
  <si>
    <t>Jesuel</t>
  </si>
  <si>
    <t>09565220473</t>
  </si>
  <si>
    <t>Macabudbud</t>
  </si>
  <si>
    <t>Allan</t>
  </si>
  <si>
    <t>09488752555</t>
  </si>
  <si>
    <t>Amore</t>
  </si>
  <si>
    <t>Cloyd Prrol</t>
  </si>
  <si>
    <t>09858313057</t>
  </si>
  <si>
    <t>Tado</t>
  </si>
  <si>
    <t>Alberto Sr.</t>
  </si>
  <si>
    <t>Anibongan</t>
  </si>
  <si>
    <t>Arnulfo Jr.</t>
  </si>
  <si>
    <t>09516398357</t>
  </si>
  <si>
    <t>Bitancor</t>
  </si>
  <si>
    <t>Belen</t>
  </si>
  <si>
    <t>Geronides</t>
  </si>
  <si>
    <t>Crisben</t>
  </si>
  <si>
    <t>09484828424</t>
  </si>
  <si>
    <t>Cristian Nel</t>
  </si>
  <si>
    <t>09484836625</t>
  </si>
  <si>
    <t>Cequiña</t>
  </si>
  <si>
    <t>Adrian Paul</t>
  </si>
  <si>
    <t>Lutao</t>
  </si>
  <si>
    <t>09095313285</t>
  </si>
  <si>
    <t>Nuyad</t>
  </si>
  <si>
    <t>Valmoria</t>
  </si>
  <si>
    <t>Nonie</t>
  </si>
  <si>
    <t>09616917037</t>
  </si>
  <si>
    <t>Anto</t>
  </si>
  <si>
    <t>Juvelen</t>
  </si>
  <si>
    <t>Sta. Fe</t>
  </si>
  <si>
    <t>09389446522</t>
  </si>
  <si>
    <t>Visto</t>
  </si>
  <si>
    <t>Arthur</t>
  </si>
  <si>
    <t>Cantaub</t>
  </si>
  <si>
    <t>09457317531</t>
  </si>
  <si>
    <t>Romil</t>
  </si>
  <si>
    <t>09457614229</t>
  </si>
  <si>
    <t>09267553612</t>
  </si>
  <si>
    <t>09083586558</t>
  </si>
  <si>
    <t>Sambayon</t>
  </si>
  <si>
    <t>Calixto</t>
  </si>
  <si>
    <t>Recones</t>
  </si>
  <si>
    <t>Mercy</t>
  </si>
  <si>
    <t>Tauran</t>
  </si>
  <si>
    <t>July 1-3</t>
  </si>
  <si>
    <t>Tagadiad</t>
  </si>
  <si>
    <t>09777852161</t>
  </si>
  <si>
    <t>Nogaloda</t>
  </si>
  <si>
    <t xml:space="preserve">Rogelio Jr. </t>
  </si>
  <si>
    <t>09384700617</t>
  </si>
  <si>
    <t>Balite</t>
  </si>
  <si>
    <t>Dionisio</t>
  </si>
  <si>
    <t>09095529269</t>
  </si>
  <si>
    <t>Tapic</t>
  </si>
  <si>
    <t>09509501046</t>
  </si>
  <si>
    <t>Abellana</t>
  </si>
  <si>
    <t>Nomer</t>
  </si>
  <si>
    <t>Impas</t>
  </si>
  <si>
    <t>09484480754</t>
  </si>
  <si>
    <t>C</t>
  </si>
  <si>
    <t>Brina</t>
  </si>
  <si>
    <t>Candelario</t>
  </si>
  <si>
    <t>Micarandayo</t>
  </si>
  <si>
    <t>Teresita</t>
  </si>
  <si>
    <t>Herminia</t>
  </si>
  <si>
    <t>R</t>
  </si>
  <si>
    <t>Ebua</t>
  </si>
  <si>
    <t>L</t>
  </si>
  <si>
    <t>Hagopit</t>
  </si>
  <si>
    <t>Policios</t>
  </si>
  <si>
    <t>Karen</t>
  </si>
  <si>
    <t>09163367990</t>
  </si>
  <si>
    <t>Cuamag</t>
  </si>
  <si>
    <t>Josefina</t>
  </si>
  <si>
    <t>Estrera</t>
  </si>
  <si>
    <t>Merlie</t>
  </si>
  <si>
    <t>09076181038</t>
  </si>
  <si>
    <t>Nenita</t>
  </si>
  <si>
    <t>09701099062</t>
  </si>
  <si>
    <t>Jalop</t>
  </si>
  <si>
    <t>Robert</t>
  </si>
  <si>
    <t>09564481999</t>
  </si>
  <si>
    <t>Panganoron</t>
  </si>
  <si>
    <t>Linny</t>
  </si>
  <si>
    <t>09096788377</t>
  </si>
  <si>
    <t>Daling</t>
  </si>
  <si>
    <t>0951267454</t>
  </si>
  <si>
    <t>Doyugan</t>
  </si>
  <si>
    <t>Purita</t>
  </si>
  <si>
    <t>09083138729</t>
  </si>
  <si>
    <t>Butron</t>
  </si>
  <si>
    <t>Rosita</t>
  </si>
  <si>
    <t>09702567604</t>
  </si>
  <si>
    <t>09502449171</t>
  </si>
  <si>
    <t>Junry</t>
  </si>
  <si>
    <t>09815691133</t>
  </si>
  <si>
    <t>09461845835</t>
  </si>
  <si>
    <t>Bajao</t>
  </si>
  <si>
    <t>Faustino</t>
  </si>
  <si>
    <t>09983879827</t>
  </si>
  <si>
    <t>Salesale</t>
  </si>
  <si>
    <t>Julian</t>
  </si>
  <si>
    <t>09385136747</t>
  </si>
  <si>
    <t>Betinol</t>
  </si>
  <si>
    <t>Antero</t>
  </si>
  <si>
    <t>Dacayana</t>
  </si>
  <si>
    <t>Buenasuerte</t>
  </si>
  <si>
    <t>Reyan</t>
  </si>
  <si>
    <t>09123858734</t>
  </si>
  <si>
    <t>Lolito</t>
  </si>
  <si>
    <t>Mary Ann</t>
  </si>
  <si>
    <t>09303550034</t>
  </si>
  <si>
    <t>Emma</t>
  </si>
  <si>
    <t>09363104289</t>
  </si>
  <si>
    <t>Cajetas</t>
  </si>
  <si>
    <t>Leomar</t>
  </si>
  <si>
    <t>09099669835</t>
  </si>
  <si>
    <t>09467559912</t>
  </si>
  <si>
    <t>Argie</t>
  </si>
  <si>
    <t>Josie</t>
  </si>
  <si>
    <t>09946535244</t>
  </si>
  <si>
    <t>Buslon</t>
  </si>
  <si>
    <t>Jaymar</t>
  </si>
  <si>
    <t>09488679951</t>
  </si>
  <si>
    <t>Cadenas</t>
  </si>
  <si>
    <t xml:space="preserve">Sapong </t>
  </si>
  <si>
    <t>June 4-7</t>
  </si>
  <si>
    <t>July 4-7</t>
  </si>
  <si>
    <t>Roselter John</t>
  </si>
  <si>
    <t>Estorpe</t>
  </si>
  <si>
    <t>Cainsican</t>
  </si>
  <si>
    <t>Alfuesto</t>
  </si>
  <si>
    <t>Eric Jay</t>
  </si>
  <si>
    <t>Hayahay</t>
  </si>
  <si>
    <t>Nueva Esperanza</t>
  </si>
  <si>
    <t>Gulpertario</t>
  </si>
  <si>
    <t>Roderick</t>
  </si>
  <si>
    <t>Camias</t>
  </si>
  <si>
    <t>09957622346</t>
  </si>
  <si>
    <t>09090351982</t>
  </si>
  <si>
    <t>09467928988</t>
  </si>
  <si>
    <t>09107918501</t>
  </si>
  <si>
    <t>Javier Joey</t>
  </si>
  <si>
    <t>09101707347</t>
  </si>
  <si>
    <t>Saladaga</t>
  </si>
  <si>
    <t>Cagawasan Sur</t>
  </si>
  <si>
    <t>09266654259</t>
  </si>
  <si>
    <t>Morino</t>
  </si>
  <si>
    <t>Marcelina Sr.</t>
  </si>
  <si>
    <t>09207729372</t>
  </si>
  <si>
    <t>Jumawan</t>
  </si>
  <si>
    <t>Rudy</t>
  </si>
  <si>
    <t>Tebjong</t>
  </si>
  <si>
    <t>Siquijor</t>
  </si>
  <si>
    <t>09053070069</t>
  </si>
  <si>
    <t>PFO-Siquijor</t>
  </si>
  <si>
    <t>09976340591</t>
  </si>
  <si>
    <t>Dave Bonachita</t>
  </si>
  <si>
    <t>0961803822</t>
  </si>
  <si>
    <t>Nilo</t>
  </si>
  <si>
    <t>Hebali</t>
  </si>
  <si>
    <t>09958861298</t>
  </si>
  <si>
    <t>Samorano</t>
  </si>
  <si>
    <t>Judith</t>
  </si>
  <si>
    <t>Vieja</t>
  </si>
  <si>
    <t>09754515466</t>
  </si>
  <si>
    <t>Nahawan National High School</t>
  </si>
  <si>
    <t xml:space="preserve"> Larena, Siquijor</t>
  </si>
  <si>
    <t>Helen</t>
  </si>
  <si>
    <t>09260545641</t>
  </si>
  <si>
    <t>Annabelle Cereligia</t>
  </si>
  <si>
    <t>Bitang</t>
  </si>
  <si>
    <t>POblacion</t>
  </si>
  <si>
    <t>09817937970</t>
  </si>
  <si>
    <t>Dagatan</t>
  </si>
  <si>
    <t>Alma</t>
  </si>
  <si>
    <t>Putingbato</t>
  </si>
  <si>
    <t>09532642849</t>
  </si>
  <si>
    <t>09487519912</t>
  </si>
  <si>
    <t>Gaudencio Jr.</t>
  </si>
  <si>
    <t>Melloria</t>
  </si>
  <si>
    <t>Glecerio</t>
  </si>
  <si>
    <t>Lolito Jr.</t>
  </si>
  <si>
    <t>Nueva Montaña</t>
  </si>
  <si>
    <t>Casakit</t>
  </si>
  <si>
    <t>Maricris</t>
  </si>
  <si>
    <t>Cenia</t>
  </si>
  <si>
    <t>Baba</t>
  </si>
  <si>
    <t>Epifanio</t>
  </si>
  <si>
    <t>Parmis</t>
  </si>
  <si>
    <t>Elimar</t>
  </si>
  <si>
    <t>Apita</t>
  </si>
  <si>
    <t>Erwin</t>
  </si>
  <si>
    <t>Mae</t>
  </si>
  <si>
    <t>09395213493</t>
  </si>
  <si>
    <t>Nogalada</t>
  </si>
  <si>
    <t>Llorente</t>
  </si>
  <si>
    <t>09851129338</t>
  </si>
  <si>
    <t>Lascoña</t>
  </si>
  <si>
    <t>09658915619</t>
  </si>
  <si>
    <t>09361373925</t>
  </si>
  <si>
    <t>Candido Sr.</t>
  </si>
  <si>
    <t>Quezon</t>
  </si>
  <si>
    <t>09209681602</t>
  </si>
  <si>
    <t>Fernandez</t>
  </si>
  <si>
    <t>Bongbong</t>
  </si>
  <si>
    <t>Gonzales</t>
  </si>
  <si>
    <t>Voltaire</t>
  </si>
  <si>
    <t>J.A Clarin St.</t>
  </si>
  <si>
    <t>09755081528</t>
  </si>
  <si>
    <t>Campugao</t>
  </si>
  <si>
    <t>Sumatra</t>
  </si>
  <si>
    <t>Jocil</t>
  </si>
  <si>
    <t>Gamalo</t>
  </si>
  <si>
    <t>Landymar</t>
  </si>
  <si>
    <t>Inagtuban</t>
  </si>
  <si>
    <t>09945581108</t>
  </si>
  <si>
    <t>09484432550</t>
  </si>
  <si>
    <t>July 2025</t>
  </si>
  <si>
    <t>July 7-14</t>
  </si>
  <si>
    <t>tilapia</t>
  </si>
  <si>
    <t>hito</t>
  </si>
  <si>
    <t>Dumaguit</t>
  </si>
  <si>
    <t>09488813589</t>
  </si>
  <si>
    <t>Goles</t>
  </si>
  <si>
    <t>09368035275</t>
  </si>
  <si>
    <t>Lastomen</t>
  </si>
  <si>
    <t>Boyore</t>
  </si>
  <si>
    <t>Kevin</t>
  </si>
  <si>
    <t>Ylaya</t>
  </si>
  <si>
    <t>Jacobo</t>
  </si>
  <si>
    <t>Lucero</t>
  </si>
  <si>
    <t>09103769457</t>
  </si>
  <si>
    <t>Gutierez</t>
  </si>
  <si>
    <t>John Paul</t>
  </si>
  <si>
    <t>Villa Anunciado</t>
  </si>
  <si>
    <t>09073922769</t>
  </si>
  <si>
    <t>Acquiat</t>
  </si>
  <si>
    <t>Marcelo</t>
  </si>
  <si>
    <t>Bogaong</t>
  </si>
  <si>
    <t>Taacon</t>
  </si>
  <si>
    <t>Ireneo</t>
  </si>
  <si>
    <t>09519604640</t>
  </si>
  <si>
    <t>09655772394</t>
  </si>
  <si>
    <t>Carlos</t>
  </si>
  <si>
    <t>Dumalaoron</t>
  </si>
  <si>
    <t>09974967609</t>
  </si>
  <si>
    <t>Guedelquiver</t>
  </si>
  <si>
    <t>Anely</t>
  </si>
  <si>
    <t>Jagboyo</t>
  </si>
  <si>
    <t>Jumar</t>
  </si>
  <si>
    <t>09096744964</t>
  </si>
  <si>
    <t>Lumiguid</t>
  </si>
  <si>
    <t>Casiano</t>
  </si>
  <si>
    <t>July 16-21</t>
  </si>
  <si>
    <t>Tinahora</t>
  </si>
  <si>
    <t>Leo Jay</t>
  </si>
  <si>
    <t>United Sevilla Fisherfolk Association</t>
  </si>
  <si>
    <t>09105862664</t>
  </si>
  <si>
    <t>Eduardo Abanto</t>
  </si>
  <si>
    <t>Ilijan</t>
  </si>
  <si>
    <t>Cagyo-Danao Irrigators Association</t>
  </si>
  <si>
    <t>09106986936</t>
  </si>
  <si>
    <t>Rico T. Ranolo Jr.</t>
  </si>
  <si>
    <t xml:space="preserve">Medel </t>
  </si>
  <si>
    <t>Norman</t>
  </si>
  <si>
    <t>Baang</t>
  </si>
  <si>
    <t>09705700786</t>
  </si>
  <si>
    <t>Bulair</t>
  </si>
  <si>
    <t>Jimmy</t>
  </si>
  <si>
    <t>July 23-25</t>
  </si>
  <si>
    <t>carp</t>
  </si>
  <si>
    <t>July 22-24</t>
  </si>
  <si>
    <t>July 22-25</t>
  </si>
  <si>
    <t>Jomel</t>
  </si>
  <si>
    <t>Pait</t>
  </si>
  <si>
    <t>Panilagao</t>
  </si>
  <si>
    <t>Centillas</t>
  </si>
  <si>
    <t>Bernabe</t>
  </si>
  <si>
    <t>09389997031</t>
  </si>
  <si>
    <t>09649332167</t>
  </si>
  <si>
    <t>Christian Noel</t>
  </si>
  <si>
    <t>09507027322</t>
  </si>
  <si>
    <t>Cajote</t>
  </si>
  <si>
    <t>Ranilo</t>
  </si>
  <si>
    <t>Limocon</t>
  </si>
  <si>
    <t>Janho</t>
  </si>
  <si>
    <t>09807737433</t>
  </si>
  <si>
    <t>09702345634</t>
  </si>
  <si>
    <t>Sergio Jr.</t>
  </si>
  <si>
    <t>Cabasakan</t>
  </si>
  <si>
    <t>09502048356</t>
  </si>
  <si>
    <t>Rasonabe</t>
  </si>
  <si>
    <t>Randel</t>
  </si>
  <si>
    <t>09161276627</t>
  </si>
  <si>
    <t>Mangco</t>
  </si>
  <si>
    <t>Leonie Laine</t>
  </si>
  <si>
    <t>Calabacita</t>
  </si>
  <si>
    <t>09385977865</t>
  </si>
  <si>
    <t>Taro</t>
  </si>
  <si>
    <t>Buenaventurada</t>
  </si>
  <si>
    <t>June 2-3</t>
  </si>
  <si>
    <t>Doblas</t>
  </si>
  <si>
    <t>Clemente</t>
  </si>
  <si>
    <t>LGU-Corella</t>
  </si>
  <si>
    <t>'09655740397</t>
  </si>
  <si>
    <t>July 8-10</t>
  </si>
  <si>
    <t>August 2025</t>
  </si>
  <si>
    <t>Galve</t>
  </si>
  <si>
    <t>Lady Joebeth</t>
  </si>
  <si>
    <t>Lataoan</t>
  </si>
  <si>
    <t>09072126914</t>
  </si>
  <si>
    <t>Inferido</t>
  </si>
  <si>
    <t>Tontunan</t>
  </si>
  <si>
    <t>09107764099</t>
  </si>
  <si>
    <t>Lim</t>
  </si>
  <si>
    <t>Julievon Romer</t>
  </si>
  <si>
    <t>09503316569</t>
  </si>
  <si>
    <t>Labastilla</t>
  </si>
  <si>
    <t>Rande</t>
  </si>
  <si>
    <t>Pondol</t>
  </si>
  <si>
    <t>09942930653</t>
  </si>
  <si>
    <t>Lorenz Jake</t>
  </si>
  <si>
    <t>Liloan Sur</t>
  </si>
  <si>
    <t>09385149267</t>
  </si>
  <si>
    <t>BFAR-CVMNDTC</t>
  </si>
  <si>
    <t>09753941622</t>
  </si>
  <si>
    <t>Juan Cabusao</t>
  </si>
  <si>
    <t>09531723129</t>
  </si>
  <si>
    <t>Bitasolo</t>
  </si>
  <si>
    <t>09760039730</t>
  </si>
  <si>
    <t>Ruloma</t>
  </si>
  <si>
    <t>09927324740</t>
  </si>
  <si>
    <t>Sako</t>
  </si>
  <si>
    <t>09367635918</t>
  </si>
  <si>
    <t>Pamacsalan</t>
  </si>
  <si>
    <t>09516422233</t>
  </si>
  <si>
    <t>Manigo</t>
  </si>
  <si>
    <t>Tarcelo</t>
  </si>
  <si>
    <t>09357944341</t>
  </si>
  <si>
    <t>Olaer</t>
  </si>
  <si>
    <t>09173065219</t>
  </si>
  <si>
    <t>Lambojon</t>
  </si>
  <si>
    <t>09950677457</t>
  </si>
  <si>
    <t xml:space="preserve">Ocsin </t>
  </si>
  <si>
    <t>Tabor</t>
  </si>
  <si>
    <t>Alejandre Jr.</t>
  </si>
  <si>
    <t>Poblacion Weste</t>
  </si>
  <si>
    <t>Poblaion Weste</t>
  </si>
  <si>
    <t>09814117437</t>
  </si>
  <si>
    <t xml:space="preserve">Banol </t>
  </si>
  <si>
    <t>Mark Ian</t>
  </si>
  <si>
    <t>09759530942</t>
  </si>
  <si>
    <t>Millomina</t>
  </si>
  <si>
    <t>Jewyn</t>
  </si>
  <si>
    <t>09291523428</t>
  </si>
  <si>
    <t>Cabil</t>
  </si>
  <si>
    <t>Rollie</t>
  </si>
  <si>
    <t>09817948464</t>
  </si>
  <si>
    <t>Avenido</t>
  </si>
  <si>
    <t>Joefer</t>
  </si>
  <si>
    <t>Casate</t>
  </si>
  <si>
    <t>09953436672</t>
  </si>
  <si>
    <t>Galope</t>
  </si>
  <si>
    <t>Miguel</t>
  </si>
  <si>
    <t>Panas</t>
  </si>
  <si>
    <t>09460634553</t>
  </si>
  <si>
    <t>Jean</t>
  </si>
  <si>
    <t>09507469754</t>
  </si>
  <si>
    <t xml:space="preserve">Dabon </t>
  </si>
  <si>
    <t>Celapuan</t>
  </si>
  <si>
    <t>Rowena</t>
  </si>
  <si>
    <t>09557363248</t>
  </si>
  <si>
    <t>09177007691</t>
  </si>
  <si>
    <t>Julita</t>
  </si>
  <si>
    <t>09279927239</t>
  </si>
  <si>
    <t>Dexter Piquero</t>
  </si>
  <si>
    <t>Bastemin</t>
  </si>
  <si>
    <t>Farlie</t>
  </si>
  <si>
    <t>09363738022</t>
  </si>
  <si>
    <t>Tino</t>
  </si>
  <si>
    <t>Joven</t>
  </si>
  <si>
    <t>Niepes</t>
  </si>
  <si>
    <t>John Lloyd</t>
  </si>
  <si>
    <t>09525088439</t>
  </si>
  <si>
    <t>09814681567</t>
  </si>
  <si>
    <t>August 1-11</t>
  </si>
  <si>
    <t>Aug.4-11</t>
  </si>
  <si>
    <t>Magsaysay Upland Farmers and Fisherfolk Association (MUFFA)</t>
  </si>
  <si>
    <t>Bentillo</t>
  </si>
  <si>
    <t>Raph Jovan</t>
  </si>
  <si>
    <t>Lubang</t>
  </si>
  <si>
    <t>09938935269</t>
  </si>
  <si>
    <t>Donato</t>
  </si>
  <si>
    <t>Villafuerto</t>
  </si>
  <si>
    <t>09161252246</t>
  </si>
  <si>
    <t>Cameros</t>
  </si>
  <si>
    <t>09123879185</t>
  </si>
  <si>
    <t>Baay</t>
  </si>
  <si>
    <t>Pablo</t>
  </si>
  <si>
    <t>09502810388</t>
  </si>
  <si>
    <t>Cantoyok</t>
  </si>
  <si>
    <t>Samuya</t>
  </si>
  <si>
    <t>Wilson</t>
  </si>
  <si>
    <t>09926343238</t>
  </si>
  <si>
    <t>Marimon</t>
  </si>
  <si>
    <t>Napo</t>
  </si>
  <si>
    <t>Rey Saldy</t>
  </si>
  <si>
    <t>2025 CFFF PRODUCTION</t>
  </si>
  <si>
    <t>August 12-14</t>
  </si>
  <si>
    <t>Amora</t>
  </si>
  <si>
    <t>Quirino</t>
  </si>
  <si>
    <t>09073823880</t>
  </si>
  <si>
    <t>Balio</t>
  </si>
  <si>
    <t>Edsel</t>
  </si>
  <si>
    <t>09816653021</t>
  </si>
  <si>
    <t>Pongcol</t>
  </si>
  <si>
    <t>Taytay</t>
  </si>
  <si>
    <t>Ochavillo</t>
  </si>
  <si>
    <t>Alisa</t>
  </si>
  <si>
    <t>West Poblacion</t>
  </si>
  <si>
    <t>09678458381</t>
  </si>
  <si>
    <t>09859076280</t>
  </si>
  <si>
    <t>Masias</t>
  </si>
  <si>
    <t>Alsthon Joy</t>
  </si>
  <si>
    <t>09226916102</t>
  </si>
  <si>
    <t>Avergonzado</t>
  </si>
  <si>
    <t>Jesson</t>
  </si>
  <si>
    <t>Benjie</t>
  </si>
  <si>
    <t>PFO-Negros Oriental</t>
  </si>
  <si>
    <t>Dumaguete City</t>
  </si>
  <si>
    <t>Chritopher Sabrido</t>
  </si>
  <si>
    <t>09291390837</t>
  </si>
  <si>
    <t>Langbid</t>
  </si>
  <si>
    <t>09976324877</t>
  </si>
  <si>
    <t>Madelo</t>
  </si>
  <si>
    <t>Mariel</t>
  </si>
  <si>
    <t>Bacolod</t>
  </si>
  <si>
    <t>Gio Christopher</t>
  </si>
  <si>
    <t>09319567465</t>
  </si>
  <si>
    <t>Marlou</t>
  </si>
  <si>
    <t>Ambuan</t>
  </si>
  <si>
    <t>09959834348</t>
  </si>
  <si>
    <t>Dominise</t>
  </si>
  <si>
    <t>Jess</t>
  </si>
  <si>
    <t>Labu-on</t>
  </si>
  <si>
    <t>09467142424</t>
  </si>
  <si>
    <t>Jone</t>
  </si>
  <si>
    <t>Cristy</t>
  </si>
  <si>
    <t>09518683384</t>
  </si>
  <si>
    <t>09857190659</t>
  </si>
  <si>
    <t xml:space="preserve">Lambus </t>
  </si>
  <si>
    <t>Ivan</t>
  </si>
  <si>
    <t>August 18-28</t>
  </si>
  <si>
    <t>August 18-27</t>
  </si>
  <si>
    <t>Aug.16-28</t>
  </si>
  <si>
    <t>September 2025</t>
  </si>
  <si>
    <t>Cenabre</t>
  </si>
  <si>
    <t>Reggie</t>
  </si>
  <si>
    <t>09106055127</t>
  </si>
  <si>
    <t>Dacua</t>
  </si>
  <si>
    <t>Cambacay</t>
  </si>
  <si>
    <t>09457435636</t>
  </si>
  <si>
    <t>Joan</t>
  </si>
  <si>
    <t>Candumayao</t>
  </si>
  <si>
    <t>09483456397</t>
  </si>
  <si>
    <t>Concha</t>
  </si>
  <si>
    <t>Jemil Rence</t>
  </si>
  <si>
    <t>09463657092</t>
  </si>
  <si>
    <t>Ruel Andre</t>
  </si>
  <si>
    <t>09661545785</t>
  </si>
  <si>
    <t>Pelog</t>
  </si>
  <si>
    <t>Gandulfos</t>
  </si>
  <si>
    <t>Dumilig</t>
  </si>
  <si>
    <t>Dindo</t>
  </si>
  <si>
    <t>09814473987</t>
  </si>
  <si>
    <t>Sto. Niño Farmers' Association</t>
  </si>
  <si>
    <t>09931299716</t>
  </si>
  <si>
    <t>Nestor Lozada</t>
  </si>
  <si>
    <t>Toradio</t>
  </si>
  <si>
    <t>09508222640</t>
  </si>
  <si>
    <t>Migue</t>
  </si>
  <si>
    <t>Miguelito</t>
  </si>
  <si>
    <t>09207692597</t>
  </si>
  <si>
    <t>09977418117</t>
  </si>
  <si>
    <t>Vales</t>
  </si>
  <si>
    <t xml:space="preserve">Bayong </t>
  </si>
  <si>
    <t>09384759568</t>
  </si>
  <si>
    <t>Leoncio</t>
  </si>
  <si>
    <t>Villondo</t>
  </si>
  <si>
    <t>Hagbuyo</t>
  </si>
  <si>
    <t>09488723511</t>
  </si>
  <si>
    <t>Ando</t>
  </si>
  <si>
    <t>Peter Dexter</t>
  </si>
  <si>
    <t>09512387464</t>
  </si>
  <si>
    <t>Bontilao</t>
  </si>
  <si>
    <t>09567327007</t>
  </si>
  <si>
    <t>Gulilat</t>
  </si>
  <si>
    <t>Elvera</t>
  </si>
  <si>
    <t>Salubre</t>
  </si>
  <si>
    <t>Edmund</t>
  </si>
  <si>
    <t>09061753381</t>
  </si>
  <si>
    <t>Idulsa</t>
  </si>
  <si>
    <t>09817946957</t>
  </si>
  <si>
    <t>Conia</t>
  </si>
  <si>
    <t>Tersa Mae</t>
  </si>
  <si>
    <t>09109979929</t>
  </si>
  <si>
    <t>Perejan</t>
  </si>
  <si>
    <t>Nueva</t>
  </si>
  <si>
    <t>09073019363</t>
  </si>
  <si>
    <t>Jimenos</t>
  </si>
  <si>
    <t>09070749611</t>
  </si>
  <si>
    <t>Consolacion</t>
  </si>
  <si>
    <t>09652104352</t>
  </si>
  <si>
    <t>Cecile</t>
  </si>
  <si>
    <t>09261519989</t>
  </si>
  <si>
    <t>09670410306</t>
  </si>
  <si>
    <t>Leonisa</t>
  </si>
  <si>
    <t>San Isidro National High School</t>
  </si>
  <si>
    <t>09460333014</t>
  </si>
  <si>
    <t>Marloue Mahumot</t>
  </si>
  <si>
    <t>Pogoy</t>
  </si>
  <si>
    <t>Ducay</t>
  </si>
  <si>
    <t>Marlene</t>
  </si>
  <si>
    <t>09482469329</t>
  </si>
  <si>
    <t>Quiño</t>
  </si>
  <si>
    <t>Dano</t>
  </si>
  <si>
    <t>Hanopol</t>
  </si>
  <si>
    <t>09380776611</t>
  </si>
  <si>
    <t>Ambuloc</t>
  </si>
  <si>
    <t>Petalcorin</t>
  </si>
  <si>
    <t>Warlito</t>
  </si>
  <si>
    <t>09669270911</t>
  </si>
  <si>
    <t>Manlangit</t>
  </si>
  <si>
    <t>Janriel</t>
  </si>
  <si>
    <t>09704967669</t>
  </si>
  <si>
    <t xml:space="preserve">Bueno </t>
  </si>
  <si>
    <t>Arthur Jr.</t>
  </si>
  <si>
    <t>09457382224</t>
  </si>
  <si>
    <t>LGU-Bilar</t>
  </si>
  <si>
    <t>09925257752</t>
  </si>
  <si>
    <t>Sheila Mae Pedrablanca</t>
  </si>
  <si>
    <t>TARGET</t>
  </si>
  <si>
    <t>Pedrablanca</t>
  </si>
  <si>
    <t>Sheila Mae</t>
  </si>
  <si>
    <t>Lobrigas</t>
  </si>
  <si>
    <t>Agustina</t>
  </si>
  <si>
    <t>Montojo</t>
  </si>
  <si>
    <t>Aden</t>
  </si>
  <si>
    <t>09943357643</t>
  </si>
  <si>
    <t>Logroño</t>
  </si>
  <si>
    <t>09938935691</t>
  </si>
  <si>
    <t>Corella Aqua Farmers Association</t>
  </si>
  <si>
    <t>Tanday</t>
  </si>
  <si>
    <t>09655740397</t>
  </si>
  <si>
    <t>Aloja Tilapia Growers Association</t>
  </si>
  <si>
    <t>Aloja</t>
  </si>
  <si>
    <t>09667564563</t>
  </si>
  <si>
    <t>Antonino Pancho</t>
  </si>
  <si>
    <t xml:space="preserve">Degamo </t>
  </si>
  <si>
    <t>Lapacan Sur</t>
  </si>
  <si>
    <t>09199277289</t>
  </si>
  <si>
    <t>Sept. 1-8</t>
  </si>
  <si>
    <t>September 1-8</t>
  </si>
  <si>
    <t xml:space="preserve">Villafuerte </t>
  </si>
  <si>
    <t>Guibao</t>
  </si>
  <si>
    <t>Danielo</t>
  </si>
  <si>
    <t>Baucan Norte</t>
  </si>
  <si>
    <t>09604346788</t>
  </si>
  <si>
    <t>09653956078</t>
  </si>
  <si>
    <t>Algodon</t>
  </si>
  <si>
    <t>Cansague Sur</t>
  </si>
  <si>
    <t>Rosalie</t>
  </si>
  <si>
    <t>Islo</t>
  </si>
  <si>
    <t>Jabbah</t>
  </si>
  <si>
    <t>Nelson Paner</t>
  </si>
  <si>
    <t>Gov. Boyles</t>
  </si>
  <si>
    <t>Fampilo</t>
  </si>
  <si>
    <t>Abuloc</t>
  </si>
  <si>
    <t>Labuon</t>
  </si>
  <si>
    <t>09632359583</t>
  </si>
  <si>
    <t xml:space="preserve">Guinob-an Tilapia Growers Assn. </t>
  </si>
  <si>
    <t>Guinob-an</t>
  </si>
  <si>
    <t>09202231435</t>
  </si>
  <si>
    <t>Bernard Calamba</t>
  </si>
  <si>
    <t>Sept. 10-12</t>
  </si>
  <si>
    <t>September 10-12</t>
  </si>
  <si>
    <t>Joel Clapano</t>
  </si>
  <si>
    <t>Sept.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</si>
</sst>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_);_(* \(#,##0.0\);_(* &quot;-&quot;?_);_(@_)"/>
  </numFmts>
  <fonts count="56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u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b/>
      <i/>
      <sz val="20"/>
      <color theme="3"/>
      <name val="Cambria"/>
      <family val="1"/>
      <scheme val="major"/>
    </font>
    <font>
      <b/>
      <u/>
      <sz val="10"/>
      <color rgb="FFFF0000"/>
      <name val="Arial"/>
      <family val="2"/>
    </font>
    <font>
      <b/>
      <u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theme="5"/>
      <name val="Arial"/>
      <family val="2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i/>
      <sz val="10"/>
      <name val="Arial"/>
      <family val="2"/>
    </font>
    <font>
      <b/>
      <i/>
      <sz val="18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70C0"/>
      <name val="Cambria"/>
      <family val="1"/>
      <scheme val="maj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rgb="FF00206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9"/>
      <color rgb="FFFF000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.6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D3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D38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2CAB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5" fillId="0" borderId="0"/>
  </cellStyleXfs>
  <cellXfs count="39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5" fillId="0" borderId="5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8" fillId="0" borderId="11" xfId="0" applyFont="1" applyBorder="1"/>
    <xf numFmtId="38" fontId="9" fillId="0" borderId="4" xfId="0" applyNumberFormat="1" applyFont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4" xfId="0" applyFont="1" applyBorder="1"/>
    <xf numFmtId="0" fontId="9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3" fontId="0" fillId="0" borderId="0" xfId="0" applyNumberFormat="1"/>
    <xf numFmtId="0" fontId="4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0" fontId="0" fillId="0" borderId="2" xfId="0" applyBorder="1"/>
    <xf numFmtId="0" fontId="5" fillId="0" borderId="12" xfId="0" applyFont="1" applyBorder="1"/>
    <xf numFmtId="0" fontId="7" fillId="0" borderId="0" xfId="0" applyFont="1" applyAlignment="1">
      <alignment horizontal="right"/>
    </xf>
    <xf numFmtId="0" fontId="0" fillId="0" borderId="5" xfId="0" applyBorder="1"/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" fontId="0" fillId="0" borderId="2" xfId="0" applyNumberFormat="1" applyBorder="1"/>
    <xf numFmtId="0" fontId="9" fillId="0" borderId="4" xfId="0" applyFont="1" applyBorder="1" applyAlignment="1">
      <alignment horizontal="center"/>
    </xf>
    <xf numFmtId="0" fontId="0" fillId="0" borderId="4" xfId="0" applyBorder="1" applyAlignment="1">
      <alignment horizontal="right"/>
    </xf>
    <xf numFmtId="3" fontId="8" fillId="0" borderId="4" xfId="0" applyNumberFormat="1" applyFont="1" applyBorder="1" applyAlignment="1">
      <alignment horizontal="center"/>
    </xf>
    <xf numFmtId="0" fontId="8" fillId="0" borderId="11" xfId="0" applyFont="1" applyBorder="1" applyAlignment="1">
      <alignment horizontal="right"/>
    </xf>
    <xf numFmtId="4" fontId="7" fillId="0" borderId="4" xfId="0" applyNumberFormat="1" applyFont="1" applyBorder="1"/>
    <xf numFmtId="0" fontId="0" fillId="0" borderId="5" xfId="0" applyBorder="1" applyAlignment="1">
      <alignment horizontal="righ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3" fontId="8" fillId="0" borderId="6" xfId="0" applyNumberFormat="1" applyFont="1" applyBorder="1" applyAlignment="1">
      <alignment horizontal="center"/>
    </xf>
    <xf numFmtId="4" fontId="7" fillId="0" borderId="5" xfId="0" applyNumberFormat="1" applyFont="1" applyBorder="1"/>
    <xf numFmtId="0" fontId="10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right"/>
    </xf>
    <xf numFmtId="4" fontId="0" fillId="0" borderId="14" xfId="0" applyNumberFormat="1" applyBorder="1"/>
    <xf numFmtId="0" fontId="9" fillId="0" borderId="0" xfId="0" applyFont="1"/>
    <xf numFmtId="0" fontId="15" fillId="0" borderId="3" xfId="0" applyFont="1" applyBorder="1"/>
    <xf numFmtId="0" fontId="15" fillId="0" borderId="4" xfId="0" applyFont="1" applyBorder="1"/>
    <xf numFmtId="0" fontId="15" fillId="0" borderId="6" xfId="0" applyFont="1" applyBorder="1"/>
    <xf numFmtId="0" fontId="0" fillId="0" borderId="9" xfId="0" applyBorder="1"/>
    <xf numFmtId="0" fontId="14" fillId="0" borderId="9" xfId="0" applyFont="1" applyBorder="1" applyAlignment="1">
      <alignment horizontal="center" vertical="center"/>
    </xf>
    <xf numFmtId="165" fontId="0" fillId="0" borderId="0" xfId="0" applyNumberFormat="1"/>
    <xf numFmtId="3" fontId="4" fillId="0" borderId="0" xfId="0" applyNumberFormat="1" applyFont="1"/>
    <xf numFmtId="43" fontId="9" fillId="0" borderId="4" xfId="1" applyFont="1" applyFill="1" applyBorder="1" applyAlignment="1">
      <alignment horizontal="center"/>
    </xf>
    <xf numFmtId="43" fontId="0" fillId="0" borderId="14" xfId="1" applyFont="1" applyFill="1" applyBorder="1"/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38" fontId="4" fillId="0" borderId="0" xfId="0" applyNumberFormat="1" applyFont="1"/>
    <xf numFmtId="0" fontId="9" fillId="0" borderId="5" xfId="0" applyFont="1" applyBorder="1" applyAlignment="1">
      <alignment horizontal="right"/>
    </xf>
    <xf numFmtId="38" fontId="9" fillId="0" borderId="6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5" fillId="0" borderId="7" xfId="0" applyFont="1" applyBorder="1"/>
    <xf numFmtId="0" fontId="15" fillId="0" borderId="12" xfId="0" applyFont="1" applyBorder="1"/>
    <xf numFmtId="0" fontId="15" fillId="0" borderId="13" xfId="0" applyFont="1" applyBorder="1"/>
    <xf numFmtId="166" fontId="0" fillId="0" borderId="0" xfId="0" applyNumberFormat="1"/>
    <xf numFmtId="0" fontId="15" fillId="0" borderId="14" xfId="0" applyFont="1" applyBorder="1" applyAlignment="1">
      <alignment horizontal="center"/>
    </xf>
    <xf numFmtId="0" fontId="2" fillId="0" borderId="0" xfId="0" applyFont="1"/>
    <xf numFmtId="0" fontId="2" fillId="0" borderId="11" xfId="0" applyFont="1" applyBorder="1"/>
    <xf numFmtId="0" fontId="2" fillId="0" borderId="14" xfId="0" applyFont="1" applyBorder="1"/>
    <xf numFmtId="0" fontId="2" fillId="0" borderId="5" xfId="0" applyFont="1" applyBorder="1"/>
    <xf numFmtId="43" fontId="4" fillId="0" borderId="0" xfId="1" applyFont="1" applyFill="1"/>
    <xf numFmtId="0" fontId="2" fillId="0" borderId="2" xfId="0" applyFont="1" applyBorder="1"/>
    <xf numFmtId="0" fontId="2" fillId="0" borderId="3" xfId="0" applyFont="1" applyBorder="1"/>
    <xf numFmtId="43" fontId="4" fillId="0" borderId="4" xfId="1" applyFont="1" applyFill="1" applyBorder="1"/>
    <xf numFmtId="0" fontId="2" fillId="0" borderId="6" xfId="0" applyFont="1" applyBorder="1"/>
    <xf numFmtId="43" fontId="4" fillId="0" borderId="2" xfId="1" applyFont="1" applyFill="1" applyBorder="1"/>
    <xf numFmtId="0" fontId="0" fillId="0" borderId="12" xfId="0" applyBorder="1" applyAlignment="1">
      <alignment horizontal="center"/>
    </xf>
    <xf numFmtId="43" fontId="9" fillId="0" borderId="4" xfId="1" applyFont="1" applyFill="1" applyBorder="1"/>
    <xf numFmtId="43" fontId="9" fillId="0" borderId="5" xfId="1" applyFont="1" applyFill="1" applyBorder="1"/>
    <xf numFmtId="43" fontId="0" fillId="0" borderId="0" xfId="1" applyFont="1" applyFill="1" applyBorder="1"/>
    <xf numFmtId="43" fontId="0" fillId="0" borderId="0" xfId="1" applyFont="1" applyFill="1"/>
    <xf numFmtId="43" fontId="9" fillId="0" borderId="0" xfId="1" applyFont="1" applyFill="1"/>
    <xf numFmtId="0" fontId="12" fillId="0" borderId="0" xfId="0" applyFont="1"/>
    <xf numFmtId="43" fontId="4" fillId="0" borderId="0" xfId="1" applyFont="1" applyFill="1" applyAlignment="1">
      <alignment horizontal="right"/>
    </xf>
    <xf numFmtId="0" fontId="23" fillId="0" borderId="4" xfId="0" applyFont="1" applyBorder="1" applyAlignment="1">
      <alignment horizontal="left"/>
    </xf>
    <xf numFmtId="0" fontId="24" fillId="0" borderId="0" xfId="0" applyFont="1" applyAlignment="1">
      <alignment horizontal="left"/>
    </xf>
    <xf numFmtId="3" fontId="24" fillId="0" borderId="0" xfId="0" applyNumberFormat="1" applyFont="1" applyAlignment="1">
      <alignment horizontal="left"/>
    </xf>
    <xf numFmtId="0" fontId="27" fillId="0" borderId="4" xfId="0" applyFont="1" applyBorder="1" applyAlignment="1">
      <alignment horizontal="left"/>
    </xf>
    <xf numFmtId="0" fontId="25" fillId="0" borderId="0" xfId="0" applyFont="1"/>
    <xf numFmtId="165" fontId="29" fillId="0" borderId="14" xfId="1" applyNumberFormat="1" applyFont="1" applyFill="1" applyBorder="1"/>
    <xf numFmtId="165" fontId="30" fillId="0" borderId="14" xfId="1" applyNumberFormat="1" applyFont="1" applyFill="1" applyBorder="1"/>
    <xf numFmtId="165" fontId="30" fillId="0" borderId="14" xfId="0" applyNumberFormat="1" applyFont="1" applyBorder="1"/>
    <xf numFmtId="165" fontId="29" fillId="0" borderId="14" xfId="1" applyNumberFormat="1" applyFont="1" applyFill="1" applyBorder="1" applyAlignment="1">
      <alignment vertical="center"/>
    </xf>
    <xf numFmtId="0" fontId="29" fillId="0" borderId="14" xfId="0" applyFont="1" applyBorder="1"/>
    <xf numFmtId="165" fontId="29" fillId="0" borderId="14" xfId="1" applyNumberFormat="1" applyFont="1" applyBorder="1"/>
    <xf numFmtId="0" fontId="31" fillId="0" borderId="14" xfId="0" applyFont="1" applyBorder="1" applyAlignment="1">
      <alignment horizontal="right"/>
    </xf>
    <xf numFmtId="0" fontId="34" fillId="0" borderId="0" xfId="0" applyFont="1"/>
    <xf numFmtId="165" fontId="22" fillId="9" borderId="14" xfId="0" applyNumberFormat="1" applyFont="1" applyFill="1" applyBorder="1" applyAlignment="1">
      <alignment vertical="center"/>
    </xf>
    <xf numFmtId="2" fontId="22" fillId="9" borderId="14" xfId="0" applyNumberFormat="1" applyFont="1" applyFill="1" applyBorder="1" applyAlignment="1">
      <alignment vertical="center"/>
    </xf>
    <xf numFmtId="20" fontId="0" fillId="0" borderId="0" xfId="0" applyNumberFormat="1"/>
    <xf numFmtId="0" fontId="35" fillId="0" borderId="0" xfId="0" applyFont="1"/>
    <xf numFmtId="165" fontId="35" fillId="6" borderId="0" xfId="0" applyNumberFormat="1" applyFont="1" applyFill="1"/>
    <xf numFmtId="165" fontId="35" fillId="0" borderId="0" xfId="0" applyNumberFormat="1" applyFont="1"/>
    <xf numFmtId="0" fontId="35" fillId="6" borderId="0" xfId="0" applyFont="1" applyFill="1"/>
    <xf numFmtId="0" fontId="36" fillId="0" borderId="0" xfId="0" applyFont="1"/>
    <xf numFmtId="165" fontId="36" fillId="0" borderId="0" xfId="0" applyNumberFormat="1" applyFont="1"/>
    <xf numFmtId="166" fontId="36" fillId="0" borderId="0" xfId="0" applyNumberFormat="1" applyFont="1"/>
    <xf numFmtId="166" fontId="35" fillId="6" borderId="0" xfId="0" applyNumberFormat="1" applyFont="1" applyFill="1"/>
    <xf numFmtId="0" fontId="33" fillId="0" borderId="14" xfId="0" applyFont="1" applyBorder="1" applyAlignment="1">
      <alignment vertical="center"/>
    </xf>
    <xf numFmtId="0" fontId="38" fillId="11" borderId="14" xfId="0" applyFont="1" applyFill="1" applyBorder="1"/>
    <xf numFmtId="165" fontId="38" fillId="11" borderId="14" xfId="0" applyNumberFormat="1" applyFont="1" applyFill="1" applyBorder="1"/>
    <xf numFmtId="0" fontId="39" fillId="11" borderId="14" xfId="0" applyFont="1" applyFill="1" applyBorder="1"/>
    <xf numFmtId="0" fontId="0" fillId="0" borderId="0" xfId="0" applyAlignment="1">
      <alignment vertical="center"/>
    </xf>
    <xf numFmtId="0" fontId="41" fillId="0" borderId="14" xfId="0" applyFont="1" applyBorder="1"/>
    <xf numFmtId="2" fontId="41" fillId="0" borderId="14" xfId="0" applyNumberFormat="1" applyFont="1" applyBorder="1" applyAlignment="1">
      <alignment vertical="center"/>
    </xf>
    <xf numFmtId="165" fontId="41" fillId="0" borderId="14" xfId="1" applyNumberFormat="1" applyFont="1" applyFill="1" applyBorder="1"/>
    <xf numFmtId="0" fontId="2" fillId="0" borderId="14" xfId="0" applyFont="1" applyBorder="1" applyAlignment="1">
      <alignment horizontal="center"/>
    </xf>
    <xf numFmtId="0" fontId="42" fillId="0" borderId="14" xfId="0" applyFont="1" applyBorder="1"/>
    <xf numFmtId="0" fontId="42" fillId="0" borderId="14" xfId="0" quotePrefix="1" applyFont="1" applyBorder="1"/>
    <xf numFmtId="0" fontId="42" fillId="10" borderId="14" xfId="0" applyFont="1" applyFill="1" applyBorder="1" applyAlignment="1">
      <alignment horizontal="center"/>
    </xf>
    <xf numFmtId="43" fontId="2" fillId="10" borderId="14" xfId="1" applyFont="1" applyFill="1" applyBorder="1"/>
    <xf numFmtId="0" fontId="42" fillId="10" borderId="14" xfId="0" applyFont="1" applyFill="1" applyBorder="1"/>
    <xf numFmtId="0" fontId="42" fillId="10" borderId="14" xfId="0" quotePrefix="1" applyFont="1" applyFill="1" applyBorder="1"/>
    <xf numFmtId="3" fontId="2" fillId="10" borderId="14" xfId="0" applyNumberFormat="1" applyFont="1" applyFill="1" applyBorder="1"/>
    <xf numFmtId="0" fontId="2" fillId="10" borderId="14" xfId="0" applyFont="1" applyFill="1" applyBorder="1"/>
    <xf numFmtId="165" fontId="42" fillId="0" borderId="14" xfId="1" applyNumberFormat="1" applyFont="1" applyFill="1" applyBorder="1"/>
    <xf numFmtId="43" fontId="42" fillId="0" borderId="14" xfId="1" applyFont="1" applyFill="1" applyBorder="1"/>
    <xf numFmtId="165" fontId="42" fillId="10" borderId="14" xfId="1" applyNumberFormat="1" applyFont="1" applyFill="1" applyBorder="1"/>
    <xf numFmtId="0" fontId="41" fillId="0" borderId="14" xfId="0" applyFont="1" applyBorder="1" applyAlignment="1">
      <alignment horizontal="center" vertical="center"/>
    </xf>
    <xf numFmtId="0" fontId="41" fillId="0" borderId="14" xfId="0" quotePrefix="1" applyFont="1" applyBorder="1"/>
    <xf numFmtId="0" fontId="20" fillId="0" borderId="14" xfId="0" applyFont="1" applyBorder="1"/>
    <xf numFmtId="0" fontId="20" fillId="12" borderId="14" xfId="0" applyFont="1" applyFill="1" applyBorder="1" applyAlignment="1">
      <alignment vertical="center"/>
    </xf>
    <xf numFmtId="0" fontId="35" fillId="11" borderId="14" xfId="0" applyFont="1" applyFill="1" applyBorder="1"/>
    <xf numFmtId="0" fontId="2" fillId="10" borderId="14" xfId="0" applyFont="1" applyFill="1" applyBorder="1" applyAlignment="1">
      <alignment horizontal="center"/>
    </xf>
    <xf numFmtId="165" fontId="30" fillId="10" borderId="14" xfId="1" applyNumberFormat="1" applyFont="1" applyFill="1" applyBorder="1" applyAlignment="1"/>
    <xf numFmtId="17" fontId="29" fillId="0" borderId="14" xfId="0" quotePrefix="1" applyNumberFormat="1" applyFont="1" applyBorder="1" applyAlignment="1">
      <alignment horizontal="left"/>
    </xf>
    <xf numFmtId="165" fontId="30" fillId="10" borderId="14" xfId="0" applyNumberFormat="1" applyFont="1" applyFill="1" applyBorder="1"/>
    <xf numFmtId="165" fontId="29" fillId="0" borderId="14" xfId="1" applyNumberFormat="1" applyFont="1" applyFill="1" applyBorder="1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30" fillId="10" borderId="14" xfId="1" applyNumberFormat="1" applyFont="1" applyFill="1" applyBorder="1"/>
    <xf numFmtId="0" fontId="20" fillId="10" borderId="14" xfId="0" applyFont="1" applyFill="1" applyBorder="1"/>
    <xf numFmtId="17" fontId="29" fillId="10" borderId="14" xfId="0" applyNumberFormat="1" applyFont="1" applyFill="1" applyBorder="1" applyAlignment="1">
      <alignment horizontal="left"/>
    </xf>
    <xf numFmtId="17" fontId="29" fillId="10" borderId="14" xfId="0" quotePrefix="1" applyNumberFormat="1" applyFont="1" applyFill="1" applyBorder="1" applyAlignment="1">
      <alignment horizontal="left"/>
    </xf>
    <xf numFmtId="165" fontId="29" fillId="10" borderId="14" xfId="1" applyNumberFormat="1" applyFont="1" applyFill="1" applyBorder="1" applyAlignment="1"/>
    <xf numFmtId="165" fontId="29" fillId="10" borderId="14" xfId="1" applyNumberFormat="1" applyFont="1" applyFill="1" applyBorder="1" applyAlignment="1">
      <alignment vertical="center"/>
    </xf>
    <xf numFmtId="0" fontId="44" fillId="10" borderId="14" xfId="0" applyFont="1" applyFill="1" applyBorder="1"/>
    <xf numFmtId="0" fontId="32" fillId="3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43" fontId="42" fillId="10" borderId="14" xfId="1" applyFont="1" applyFill="1" applyBorder="1"/>
    <xf numFmtId="3" fontId="0" fillId="0" borderId="0" xfId="0" quotePrefix="1" applyNumberFormat="1"/>
    <xf numFmtId="165" fontId="47" fillId="10" borderId="14" xfId="0" applyNumberFormat="1" applyFont="1" applyFill="1" applyBorder="1"/>
    <xf numFmtId="0" fontId="44" fillId="0" borderId="14" xfId="0" applyFont="1" applyBorder="1"/>
    <xf numFmtId="0" fontId="42" fillId="4" borderId="14" xfId="0" applyFont="1" applyFill="1" applyBorder="1"/>
    <xf numFmtId="0" fontId="2" fillId="0" borderId="8" xfId="0" applyFont="1" applyBorder="1" applyAlignment="1">
      <alignment horizontal="center"/>
    </xf>
    <xf numFmtId="165" fontId="48" fillId="0" borderId="0" xfId="1" applyNumberFormat="1" applyFont="1" applyFill="1" applyAlignment="1"/>
    <xf numFmtId="43" fontId="0" fillId="10" borderId="0" xfId="0" quotePrefix="1" applyNumberFormat="1" applyFill="1"/>
    <xf numFmtId="0" fontId="33" fillId="10" borderId="14" xfId="0" applyFont="1" applyFill="1" applyBorder="1" applyAlignment="1">
      <alignment horizontal="center"/>
    </xf>
    <xf numFmtId="0" fontId="41" fillId="10" borderId="14" xfId="0" applyFont="1" applyFill="1" applyBorder="1" applyAlignment="1">
      <alignment horizontal="center"/>
    </xf>
    <xf numFmtId="43" fontId="0" fillId="10" borderId="0" xfId="0" quotePrefix="1" applyNumberFormat="1" applyFill="1" applyAlignment="1">
      <alignment horizontal="left"/>
    </xf>
    <xf numFmtId="16" fontId="0" fillId="0" borderId="0" xfId="0" quotePrefix="1" applyNumberFormat="1"/>
    <xf numFmtId="0" fontId="41" fillId="10" borderId="14" xfId="0" applyFont="1" applyFill="1" applyBorder="1" applyAlignment="1">
      <alignment horizontal="left"/>
    </xf>
    <xf numFmtId="0" fontId="0" fillId="10" borderId="14" xfId="0" applyFill="1" applyBorder="1" applyAlignment="1">
      <alignment horizontal="right"/>
    </xf>
    <xf numFmtId="0" fontId="0" fillId="10" borderId="14" xfId="0" applyFill="1" applyBorder="1" applyAlignment="1">
      <alignment horizontal="left"/>
    </xf>
    <xf numFmtId="0" fontId="41" fillId="10" borderId="14" xfId="0" quotePrefix="1" applyFont="1" applyFill="1" applyBorder="1"/>
    <xf numFmtId="3" fontId="41" fillId="10" borderId="14" xfId="0" applyNumberFormat="1" applyFont="1" applyFill="1" applyBorder="1"/>
    <xf numFmtId="0" fontId="33" fillId="10" borderId="14" xfId="0" applyFont="1" applyFill="1" applyBorder="1" applyAlignment="1">
      <alignment vertical="center" wrapText="1"/>
    </xf>
    <xf numFmtId="0" fontId="41" fillId="10" borderId="14" xfId="0" applyFont="1" applyFill="1" applyBorder="1"/>
    <xf numFmtId="0" fontId="33" fillId="10" borderId="14" xfId="0" applyFont="1" applyFill="1" applyBorder="1" applyAlignment="1">
      <alignment vertical="center"/>
    </xf>
    <xf numFmtId="0" fontId="41" fillId="10" borderId="14" xfId="0" quotePrefix="1" applyFont="1" applyFill="1" applyBorder="1" applyAlignment="1">
      <alignment vertical="center"/>
    </xf>
    <xf numFmtId="0" fontId="33" fillId="10" borderId="14" xfId="0" applyFont="1" applyFill="1" applyBorder="1"/>
    <xf numFmtId="165" fontId="41" fillId="10" borderId="14" xfId="1" applyNumberFormat="1" applyFont="1" applyFill="1" applyBorder="1"/>
    <xf numFmtId="0" fontId="33" fillId="10" borderId="14" xfId="0" applyFont="1" applyFill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42" fillId="10" borderId="14" xfId="0" applyFont="1" applyFill="1" applyBorder="1" applyAlignment="1">
      <alignment horizontal="left"/>
    </xf>
    <xf numFmtId="0" fontId="2" fillId="10" borderId="14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41" fillId="10" borderId="14" xfId="0" applyFont="1" applyFill="1" applyBorder="1" applyAlignment="1">
      <alignment horizontal="left" wrapText="1"/>
    </xf>
    <xf numFmtId="0" fontId="50" fillId="0" borderId="0" xfId="0" quotePrefix="1" applyFont="1"/>
    <xf numFmtId="0" fontId="41" fillId="10" borderId="14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wrapText="1"/>
    </xf>
    <xf numFmtId="165" fontId="41" fillId="10" borderId="14" xfId="1" applyNumberFormat="1" applyFont="1" applyFill="1" applyBorder="1" applyAlignment="1"/>
    <xf numFmtId="0" fontId="49" fillId="10" borderId="14" xfId="0" applyFont="1" applyFill="1" applyBorder="1"/>
    <xf numFmtId="0" fontId="7" fillId="0" borderId="0" xfId="0" applyFont="1" applyAlignment="1">
      <alignment horizontal="left"/>
    </xf>
    <xf numFmtId="0" fontId="0" fillId="0" borderId="8" xfId="0" applyBorder="1" applyAlignment="1">
      <alignment horizontal="left"/>
    </xf>
    <xf numFmtId="0" fontId="50" fillId="10" borderId="0" xfId="0" quotePrefix="1" applyFont="1" applyFill="1"/>
    <xf numFmtId="0" fontId="7" fillId="0" borderId="11" xfId="0" applyFont="1" applyBorder="1" applyAlignment="1">
      <alignment horizontal="center"/>
    </xf>
    <xf numFmtId="0" fontId="0" fillId="10" borderId="0" xfId="0" applyFill="1"/>
    <xf numFmtId="165" fontId="0" fillId="10" borderId="0" xfId="0" quotePrefix="1" applyNumberFormat="1" applyFill="1"/>
    <xf numFmtId="165" fontId="0" fillId="10" borderId="0" xfId="1" applyNumberFormat="1" applyFont="1" applyFill="1"/>
    <xf numFmtId="165" fontId="0" fillId="10" borderId="0" xfId="0" applyNumberFormat="1" applyFill="1"/>
    <xf numFmtId="3" fontId="0" fillId="10" borderId="0" xfId="0" applyNumberFormat="1" applyFill="1"/>
    <xf numFmtId="0" fontId="2" fillId="2" borderId="14" xfId="0" applyFont="1" applyFill="1" applyBorder="1"/>
    <xf numFmtId="0" fontId="2" fillId="13" borderId="14" xfId="0" applyFont="1" applyFill="1" applyBorder="1" applyAlignment="1">
      <alignment horizontal="center"/>
    </xf>
    <xf numFmtId="3" fontId="44" fillId="10" borderId="14" xfId="0" applyNumberFormat="1" applyFont="1" applyFill="1" applyBorder="1"/>
    <xf numFmtId="0" fontId="0" fillId="6" borderId="0" xfId="0" applyFill="1"/>
    <xf numFmtId="0" fontId="33" fillId="13" borderId="14" xfId="0" applyFont="1" applyFill="1" applyBorder="1" applyAlignment="1">
      <alignment horizontal="center"/>
    </xf>
    <xf numFmtId="0" fontId="2" fillId="5" borderId="14" xfId="0" applyFont="1" applyFill="1" applyBorder="1"/>
    <xf numFmtId="0" fontId="0" fillId="14" borderId="0" xfId="0" quotePrefix="1" applyFill="1"/>
    <xf numFmtId="2" fontId="41" fillId="0" borderId="14" xfId="0" applyNumberFormat="1" applyFont="1" applyBorder="1"/>
    <xf numFmtId="17" fontId="29" fillId="15" borderId="14" xfId="0" quotePrefix="1" applyNumberFormat="1" applyFont="1" applyFill="1" applyBorder="1"/>
    <xf numFmtId="165" fontId="29" fillId="15" borderId="14" xfId="1" applyNumberFormat="1" applyFont="1" applyFill="1" applyBorder="1"/>
    <xf numFmtId="165" fontId="30" fillId="15" borderId="14" xfId="1" applyNumberFormat="1" applyFont="1" applyFill="1" applyBorder="1"/>
    <xf numFmtId="165" fontId="30" fillId="15" borderId="14" xfId="0" applyNumberFormat="1" applyFont="1" applyFill="1" applyBorder="1"/>
    <xf numFmtId="165" fontId="45" fillId="15" borderId="14" xfId="0" applyNumberFormat="1" applyFont="1" applyFill="1" applyBorder="1"/>
    <xf numFmtId="165" fontId="46" fillId="15" borderId="14" xfId="0" applyNumberFormat="1" applyFont="1" applyFill="1" applyBorder="1"/>
    <xf numFmtId="0" fontId="20" fillId="15" borderId="14" xfId="0" applyFont="1" applyFill="1" applyBorder="1"/>
    <xf numFmtId="0" fontId="44" fillId="15" borderId="14" xfId="0" applyFont="1" applyFill="1" applyBorder="1"/>
    <xf numFmtId="165" fontId="44" fillId="15" borderId="14" xfId="1" applyNumberFormat="1" applyFont="1" applyFill="1" applyBorder="1"/>
    <xf numFmtId="165" fontId="47" fillId="15" borderId="14" xfId="0" applyNumberFormat="1" applyFont="1" applyFill="1" applyBorder="1"/>
    <xf numFmtId="0" fontId="2" fillId="16" borderId="14" xfId="0" applyFont="1" applyFill="1" applyBorder="1"/>
    <xf numFmtId="0" fontId="42" fillId="14" borderId="14" xfId="0" applyFont="1" applyFill="1" applyBorder="1"/>
    <xf numFmtId="0" fontId="52" fillId="14" borderId="0" xfId="0" quotePrefix="1" applyFont="1" applyFill="1"/>
    <xf numFmtId="0" fontId="52" fillId="10" borderId="0" xfId="0" quotePrefix="1" applyFont="1" applyFill="1"/>
    <xf numFmtId="0" fontId="42" fillId="13" borderId="14" xfId="0" applyFont="1" applyFill="1" applyBorder="1" applyAlignment="1">
      <alignment horizontal="center"/>
    </xf>
    <xf numFmtId="17" fontId="29" fillId="17" borderId="14" xfId="0" quotePrefix="1" applyNumberFormat="1" applyFont="1" applyFill="1" applyBorder="1" applyAlignment="1">
      <alignment horizontal="left"/>
    </xf>
    <xf numFmtId="165" fontId="29" fillId="17" borderId="14" xfId="1" applyNumberFormat="1" applyFont="1" applyFill="1" applyBorder="1"/>
    <xf numFmtId="165" fontId="30" fillId="17" borderId="14" xfId="1" applyNumberFormat="1" applyFont="1" applyFill="1" applyBorder="1"/>
    <xf numFmtId="165" fontId="30" fillId="17" borderId="14" xfId="0" applyNumberFormat="1" applyFont="1" applyFill="1" applyBorder="1"/>
    <xf numFmtId="0" fontId="44" fillId="17" borderId="14" xfId="0" applyFont="1" applyFill="1" applyBorder="1"/>
    <xf numFmtId="3" fontId="44" fillId="17" borderId="14" xfId="0" applyNumberFormat="1" applyFont="1" applyFill="1" applyBorder="1"/>
    <xf numFmtId="0" fontId="20" fillId="17" borderId="14" xfId="0" applyFont="1" applyFill="1" applyBorder="1"/>
    <xf numFmtId="0" fontId="41" fillId="13" borderId="14" xfId="0" applyFont="1" applyFill="1" applyBorder="1" applyAlignment="1">
      <alignment horizontal="center"/>
    </xf>
    <xf numFmtId="0" fontId="2" fillId="9" borderId="14" xfId="0" applyFont="1" applyFill="1" applyBorder="1"/>
    <xf numFmtId="165" fontId="0" fillId="10" borderId="0" xfId="1" quotePrefix="1" applyNumberFormat="1" applyFont="1" applyFill="1"/>
    <xf numFmtId="0" fontId="42" fillId="16" borderId="14" xfId="0" applyFont="1" applyFill="1" applyBorder="1"/>
    <xf numFmtId="0" fontId="2" fillId="6" borderId="14" xfId="0" applyFont="1" applyFill="1" applyBorder="1"/>
    <xf numFmtId="3" fontId="41" fillId="10" borderId="14" xfId="0" applyNumberFormat="1" applyFont="1" applyFill="1" applyBorder="1" applyAlignment="1">
      <alignment horizontal="right"/>
    </xf>
    <xf numFmtId="0" fontId="33" fillId="9" borderId="14" xfId="0" applyFont="1" applyFill="1" applyBorder="1"/>
    <xf numFmtId="165" fontId="47" fillId="17" borderId="14" xfId="0" applyNumberFormat="1" applyFont="1" applyFill="1" applyBorder="1"/>
    <xf numFmtId="17" fontId="29" fillId="18" borderId="14" xfId="0" quotePrefix="1" applyNumberFormat="1" applyFont="1" applyFill="1" applyBorder="1" applyAlignment="1">
      <alignment horizontal="left"/>
    </xf>
    <xf numFmtId="165" fontId="29" fillId="18" borderId="14" xfId="1" applyNumberFormat="1" applyFont="1" applyFill="1" applyBorder="1"/>
    <xf numFmtId="165" fontId="30" fillId="18" borderId="14" xfId="1" applyNumberFormat="1" applyFont="1" applyFill="1" applyBorder="1"/>
    <xf numFmtId="165" fontId="30" fillId="18" borderId="14" xfId="0" applyNumberFormat="1" applyFont="1" applyFill="1" applyBorder="1"/>
    <xf numFmtId="0" fontId="44" fillId="18" borderId="14" xfId="0" applyFont="1" applyFill="1" applyBorder="1"/>
    <xf numFmtId="165" fontId="47" fillId="18" borderId="14" xfId="0" applyNumberFormat="1" applyFont="1" applyFill="1" applyBorder="1"/>
    <xf numFmtId="0" fontId="20" fillId="18" borderId="14" xfId="0" applyFont="1" applyFill="1" applyBorder="1"/>
    <xf numFmtId="165" fontId="44" fillId="18" borderId="14" xfId="1" applyNumberFormat="1" applyFont="1" applyFill="1" applyBorder="1"/>
    <xf numFmtId="0" fontId="33" fillId="18" borderId="14" xfId="0" applyFont="1" applyFill="1" applyBorder="1" applyAlignment="1">
      <alignment wrapText="1"/>
    </xf>
    <xf numFmtId="0" fontId="42" fillId="18" borderId="14" xfId="0" applyFont="1" applyFill="1" applyBorder="1"/>
    <xf numFmtId="0" fontId="10" fillId="0" borderId="14" xfId="0" applyFont="1" applyBorder="1" applyAlignment="1">
      <alignment wrapText="1"/>
    </xf>
    <xf numFmtId="17" fontId="29" fillId="11" borderId="14" xfId="0" quotePrefix="1" applyNumberFormat="1" applyFont="1" applyFill="1" applyBorder="1" applyAlignment="1">
      <alignment horizontal="left"/>
    </xf>
    <xf numFmtId="165" fontId="29" fillId="11" borderId="14" xfId="1" applyNumberFormat="1" applyFont="1" applyFill="1" applyBorder="1"/>
    <xf numFmtId="165" fontId="30" fillId="11" borderId="14" xfId="1" applyNumberFormat="1" applyFont="1" applyFill="1" applyBorder="1"/>
    <xf numFmtId="165" fontId="30" fillId="11" borderId="14" xfId="0" applyNumberFormat="1" applyFont="1" applyFill="1" applyBorder="1"/>
    <xf numFmtId="0" fontId="44" fillId="11" borderId="14" xfId="0" applyFont="1" applyFill="1" applyBorder="1"/>
    <xf numFmtId="165" fontId="47" fillId="11" borderId="14" xfId="0" applyNumberFormat="1" applyFont="1" applyFill="1" applyBorder="1"/>
    <xf numFmtId="0" fontId="20" fillId="11" borderId="14" xfId="0" applyFont="1" applyFill="1" applyBorder="1"/>
    <xf numFmtId="165" fontId="29" fillId="11" borderId="14" xfId="1" applyNumberFormat="1" applyFont="1" applyFill="1" applyBorder="1" applyAlignment="1"/>
    <xf numFmtId="165" fontId="30" fillId="11" borderId="14" xfId="1" applyNumberFormat="1" applyFont="1" applyFill="1" applyBorder="1" applyAlignment="1"/>
    <xf numFmtId="3" fontId="44" fillId="11" borderId="14" xfId="0" applyNumberFormat="1" applyFont="1" applyFill="1" applyBorder="1"/>
    <xf numFmtId="165" fontId="29" fillId="11" borderId="14" xfId="1" applyNumberFormat="1" applyFont="1" applyFill="1" applyBorder="1" applyAlignment="1">
      <alignment vertical="center"/>
    </xf>
    <xf numFmtId="37" fontId="44" fillId="11" borderId="14" xfId="1" applyNumberFormat="1" applyFont="1" applyFill="1" applyBorder="1"/>
    <xf numFmtId="17" fontId="29" fillId="19" borderId="14" xfId="0" quotePrefix="1" applyNumberFormat="1" applyFont="1" applyFill="1" applyBorder="1" applyAlignment="1">
      <alignment horizontal="left"/>
    </xf>
    <xf numFmtId="165" fontId="29" fillId="19" borderId="14" xfId="1" applyNumberFormat="1" applyFont="1" applyFill="1" applyBorder="1" applyAlignment="1"/>
    <xf numFmtId="165" fontId="30" fillId="19" borderId="14" xfId="1" applyNumberFormat="1" applyFont="1" applyFill="1" applyBorder="1"/>
    <xf numFmtId="165" fontId="29" fillId="19" borderId="14" xfId="1" applyNumberFormat="1" applyFont="1" applyFill="1" applyBorder="1" applyAlignment="1">
      <alignment vertical="center"/>
    </xf>
    <xf numFmtId="165" fontId="30" fillId="19" borderId="14" xfId="0" applyNumberFormat="1" applyFont="1" applyFill="1" applyBorder="1"/>
    <xf numFmtId="0" fontId="44" fillId="19" borderId="14" xfId="0" applyFont="1" applyFill="1" applyBorder="1"/>
    <xf numFmtId="165" fontId="47" fillId="19" borderId="14" xfId="0" applyNumberFormat="1" applyFont="1" applyFill="1" applyBorder="1"/>
    <xf numFmtId="0" fontId="20" fillId="19" borderId="14" xfId="0" applyFont="1" applyFill="1" applyBorder="1"/>
    <xf numFmtId="165" fontId="30" fillId="19" borderId="14" xfId="1" applyNumberFormat="1" applyFont="1" applyFill="1" applyBorder="1" applyAlignment="1"/>
    <xf numFmtId="3" fontId="52" fillId="10" borderId="0" xfId="0" quotePrefix="1" applyNumberFormat="1" applyFont="1" applyFill="1"/>
    <xf numFmtId="0" fontId="42" fillId="20" borderId="14" xfId="0" applyFont="1" applyFill="1" applyBorder="1"/>
    <xf numFmtId="17" fontId="29" fillId="21" borderId="14" xfId="0" quotePrefix="1" applyNumberFormat="1" applyFont="1" applyFill="1" applyBorder="1" applyAlignment="1">
      <alignment horizontal="left"/>
    </xf>
    <xf numFmtId="165" fontId="29" fillId="21" borderId="14" xfId="1" applyNumberFormat="1" applyFont="1" applyFill="1" applyBorder="1" applyAlignment="1"/>
    <xf numFmtId="165" fontId="30" fillId="21" borderId="14" xfId="1" applyNumberFormat="1" applyFont="1" applyFill="1" applyBorder="1"/>
    <xf numFmtId="165" fontId="30" fillId="21" borderId="14" xfId="1" applyNumberFormat="1" applyFont="1" applyFill="1" applyBorder="1" applyAlignment="1"/>
    <xf numFmtId="165" fontId="30" fillId="21" borderId="14" xfId="0" applyNumberFormat="1" applyFont="1" applyFill="1" applyBorder="1"/>
    <xf numFmtId="0" fontId="44" fillId="21" borderId="14" xfId="0" applyFont="1" applyFill="1" applyBorder="1"/>
    <xf numFmtId="3" fontId="44" fillId="21" borderId="14" xfId="0" applyNumberFormat="1" applyFont="1" applyFill="1" applyBorder="1"/>
    <xf numFmtId="165" fontId="47" fillId="21" borderId="14" xfId="0" applyNumberFormat="1" applyFont="1" applyFill="1" applyBorder="1"/>
    <xf numFmtId="0" fontId="20" fillId="21" borderId="14" xfId="0" applyFont="1" applyFill="1" applyBorder="1"/>
    <xf numFmtId="165" fontId="29" fillId="21" borderId="14" xfId="1" applyNumberFormat="1" applyFont="1" applyFill="1" applyBorder="1" applyAlignment="1">
      <alignment horizontal="center"/>
    </xf>
    <xf numFmtId="165" fontId="29" fillId="21" borderId="14" xfId="1" applyNumberFormat="1" applyFont="1" applyFill="1" applyBorder="1" applyAlignment="1">
      <alignment vertical="center"/>
    </xf>
    <xf numFmtId="43" fontId="0" fillId="5" borderId="0" xfId="0" quotePrefix="1" applyNumberFormat="1" applyFill="1" applyAlignment="1">
      <alignment horizontal="left"/>
    </xf>
    <xf numFmtId="16" fontId="50" fillId="0" borderId="0" xfId="0" quotePrefix="1" applyNumberFormat="1" applyFont="1"/>
    <xf numFmtId="0" fontId="2" fillId="22" borderId="14" xfId="0" applyFont="1" applyFill="1" applyBorder="1" applyAlignment="1">
      <alignment horizontal="center"/>
    </xf>
    <xf numFmtId="0" fontId="42" fillId="10" borderId="14" xfId="0" applyFont="1" applyFill="1" applyBorder="1" applyAlignment="1">
      <alignment horizontal="left" wrapText="1"/>
    </xf>
    <xf numFmtId="0" fontId="20" fillId="23" borderId="14" xfId="0" applyFont="1" applyFill="1" applyBorder="1"/>
    <xf numFmtId="17" fontId="53" fillId="23" borderId="14" xfId="0" quotePrefix="1" applyNumberFormat="1" applyFont="1" applyFill="1" applyBorder="1"/>
    <xf numFmtId="165" fontId="53" fillId="23" borderId="14" xfId="1" applyNumberFormat="1" applyFont="1" applyFill="1" applyBorder="1" applyAlignment="1"/>
    <xf numFmtId="165" fontId="20" fillId="23" borderId="14" xfId="1" applyNumberFormat="1" applyFont="1" applyFill="1" applyBorder="1"/>
    <xf numFmtId="165" fontId="53" fillId="23" borderId="14" xfId="1" applyNumberFormat="1" applyFont="1" applyFill="1" applyBorder="1" applyAlignment="1">
      <alignment vertical="center"/>
    </xf>
    <xf numFmtId="165" fontId="20" fillId="23" borderId="14" xfId="0" applyNumberFormat="1" applyFont="1" applyFill="1" applyBorder="1"/>
    <xf numFmtId="0" fontId="53" fillId="23" borderId="14" xfId="0" applyFont="1" applyFill="1" applyBorder="1"/>
    <xf numFmtId="165" fontId="20" fillId="23" borderId="14" xfId="1" applyNumberFormat="1" applyFont="1" applyFill="1" applyBorder="1" applyAlignment="1"/>
    <xf numFmtId="17" fontId="53" fillId="23" borderId="14" xfId="0" quotePrefix="1" applyNumberFormat="1" applyFont="1" applyFill="1" applyBorder="1" applyAlignment="1">
      <alignment horizontal="left"/>
    </xf>
    <xf numFmtId="41" fontId="20" fillId="23" borderId="14" xfId="1" applyNumberFormat="1" applyFont="1" applyFill="1" applyBorder="1" applyAlignment="1"/>
    <xf numFmtId="0" fontId="2" fillId="20" borderId="14" xfId="0" applyFont="1" applyFill="1" applyBorder="1"/>
    <xf numFmtId="17" fontId="29" fillId="24" borderId="14" xfId="0" quotePrefix="1" applyNumberFormat="1" applyFont="1" applyFill="1" applyBorder="1" applyAlignment="1">
      <alignment horizontal="left"/>
    </xf>
    <xf numFmtId="165" fontId="29" fillId="24" borderId="14" xfId="1" applyNumberFormat="1" applyFont="1" applyFill="1" applyBorder="1" applyAlignment="1"/>
    <xf numFmtId="165" fontId="30" fillId="24" borderId="14" xfId="1" applyNumberFormat="1" applyFont="1" applyFill="1" applyBorder="1"/>
    <xf numFmtId="165" fontId="29" fillId="24" borderId="14" xfId="1" applyNumberFormat="1" applyFont="1" applyFill="1" applyBorder="1" applyAlignment="1">
      <alignment vertical="center"/>
    </xf>
    <xf numFmtId="165" fontId="30" fillId="24" borderId="14" xfId="1" applyNumberFormat="1" applyFont="1" applyFill="1" applyBorder="1" applyAlignment="1"/>
    <xf numFmtId="165" fontId="30" fillId="24" borderId="14" xfId="0" applyNumberFormat="1" applyFont="1" applyFill="1" applyBorder="1"/>
    <xf numFmtId="0" fontId="44" fillId="24" borderId="14" xfId="0" applyFont="1" applyFill="1" applyBorder="1"/>
    <xf numFmtId="165" fontId="47" fillId="24" borderId="14" xfId="0" applyNumberFormat="1" applyFont="1" applyFill="1" applyBorder="1"/>
    <xf numFmtId="0" fontId="20" fillId="24" borderId="14" xfId="0" applyFont="1" applyFill="1" applyBorder="1"/>
    <xf numFmtId="0" fontId="43" fillId="24" borderId="14" xfId="0" applyFont="1" applyFill="1" applyBorder="1"/>
    <xf numFmtId="165" fontId="44" fillId="24" borderId="14" xfId="1" applyNumberFormat="1" applyFont="1" applyFill="1" applyBorder="1"/>
    <xf numFmtId="165" fontId="22" fillId="9" borderId="9" xfId="0" applyNumberFormat="1" applyFont="1" applyFill="1" applyBorder="1" applyAlignment="1">
      <alignment horizontal="center" vertical="center"/>
    </xf>
    <xf numFmtId="165" fontId="22" fillId="9" borderId="15" xfId="0" applyNumberFormat="1" applyFont="1" applyFill="1" applyBorder="1" applyAlignment="1">
      <alignment horizontal="center" vertical="center"/>
    </xf>
    <xf numFmtId="165" fontId="22" fillId="9" borderId="10" xfId="0" applyNumberFormat="1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right" vertical="center"/>
    </xf>
    <xf numFmtId="0" fontId="22" fillId="9" borderId="15" xfId="0" applyFont="1" applyFill="1" applyBorder="1" applyAlignment="1">
      <alignment horizontal="right" vertical="center"/>
    </xf>
    <xf numFmtId="0" fontId="22" fillId="9" borderId="10" xfId="0" applyFont="1" applyFill="1" applyBorder="1" applyAlignment="1">
      <alignment horizontal="right" vertical="center"/>
    </xf>
    <xf numFmtId="2" fontId="22" fillId="9" borderId="9" xfId="0" applyNumberFormat="1" applyFont="1" applyFill="1" applyBorder="1" applyAlignment="1">
      <alignment horizontal="right" vertical="center"/>
    </xf>
    <xf numFmtId="2" fontId="22" fillId="9" borderId="15" xfId="0" applyNumberFormat="1" applyFont="1" applyFill="1" applyBorder="1" applyAlignment="1">
      <alignment horizontal="right" vertical="center"/>
    </xf>
    <xf numFmtId="2" fontId="22" fillId="9" borderId="10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166" fontId="28" fillId="0" borderId="9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166" fontId="28" fillId="0" borderId="9" xfId="0" applyNumberFormat="1" applyFont="1" applyBorder="1" applyAlignment="1">
      <alignment horizontal="right"/>
    </xf>
    <xf numFmtId="166" fontId="28" fillId="0" borderId="15" xfId="0" applyNumberFormat="1" applyFont="1" applyBorder="1" applyAlignment="1">
      <alignment horizontal="right"/>
    </xf>
    <xf numFmtId="166" fontId="28" fillId="0" borderId="10" xfId="0" applyNumberFormat="1" applyFont="1" applyBorder="1" applyAlignment="1">
      <alignment horizontal="right"/>
    </xf>
    <xf numFmtId="0" fontId="20" fillId="7" borderId="14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/>
    </xf>
    <xf numFmtId="166" fontId="28" fillId="0" borderId="15" xfId="0" applyNumberFormat="1" applyFont="1" applyBorder="1" applyAlignment="1">
      <alignment horizontal="center"/>
    </xf>
    <xf numFmtId="166" fontId="28" fillId="0" borderId="10" xfId="0" applyNumberFormat="1" applyFont="1" applyBorder="1" applyAlignment="1">
      <alignment horizontal="center"/>
    </xf>
    <xf numFmtId="0" fontId="22" fillId="9" borderId="9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0" fontId="22" fillId="9" borderId="10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/>
    </xf>
    <xf numFmtId="0" fontId="32" fillId="5" borderId="10" xfId="0" applyFont="1" applyFill="1" applyBorder="1" applyAlignment="1">
      <alignment horizontal="center" vertical="center"/>
    </xf>
    <xf numFmtId="0" fontId="32" fillId="7" borderId="9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0" fontId="32" fillId="7" borderId="10" xfId="0" applyFont="1" applyFill="1" applyBorder="1" applyAlignment="1">
      <alignment horizontal="center" vertical="center"/>
    </xf>
    <xf numFmtId="0" fontId="32" fillId="8" borderId="9" xfId="0" applyFont="1" applyFill="1" applyBorder="1" applyAlignment="1">
      <alignment horizontal="center" vertical="center"/>
    </xf>
    <xf numFmtId="0" fontId="32" fillId="8" borderId="15" xfId="0" applyFont="1" applyFill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32" fillId="3" borderId="15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1" fillId="0" borderId="0" xfId="0" applyFont="1" applyAlignment="1">
      <alignment horizontal="center"/>
    </xf>
    <xf numFmtId="164" fontId="40" fillId="0" borderId="0" xfId="0" quotePrefix="1" applyNumberFormat="1" applyFont="1" applyAlignment="1">
      <alignment horizontal="center"/>
    </xf>
    <xf numFmtId="164" fontId="40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4 2" xfId="2" xr:uid="{89E4397B-E664-49BB-806C-CDC146AE6071}"/>
  </cellStyles>
  <dxfs count="0"/>
  <tableStyles count="0" defaultTableStyle="TableStyleMedium2" defaultPivotStyle="PivotStyleMedium9"/>
  <colors>
    <mruColors>
      <color rgb="FFB2CAB8"/>
      <color rgb="FF8FB398"/>
      <color rgb="FFFFCCFF"/>
      <color rgb="FFFFEDB3"/>
      <color rgb="FFF8D184"/>
      <color rgb="FFF8D590"/>
      <color rgb="FFF8D388"/>
      <color rgb="FFB3FFFF"/>
      <color rgb="FFFF9E6D"/>
      <color rgb="FFFBD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T86"/>
  <sheetViews>
    <sheetView view="pageBreakPreview" topLeftCell="A25" zoomScale="80" zoomScaleNormal="73" zoomScaleSheetLayoutView="80" zoomScalePageLayoutView="84" workbookViewId="0">
      <selection activeCell="T34" sqref="T34"/>
    </sheetView>
  </sheetViews>
  <sheetFormatPr defaultRowHeight="15" x14ac:dyDescent="0.25"/>
  <cols>
    <col min="1" max="1" width="19.85546875" customWidth="1"/>
    <col min="2" max="2" width="24.28515625" customWidth="1"/>
    <col min="3" max="3" width="19.42578125" customWidth="1"/>
    <col min="4" max="4" width="29.28515625" customWidth="1"/>
    <col min="5" max="5" width="15.7109375" customWidth="1"/>
    <col min="6" max="6" width="13.140625" customWidth="1"/>
    <col min="7" max="7" width="23.140625" customWidth="1"/>
    <col min="8" max="8" width="16.42578125" customWidth="1"/>
    <col min="9" max="9" width="14.7109375" customWidth="1"/>
    <col min="10" max="10" width="17.140625" customWidth="1"/>
    <col min="11" max="11" width="16.85546875" customWidth="1"/>
    <col min="12" max="12" width="15.140625" customWidth="1"/>
    <col min="13" max="13" width="17.7109375" customWidth="1"/>
    <col min="14" max="14" width="14.85546875" customWidth="1"/>
    <col min="15" max="15" width="18.140625" customWidth="1"/>
    <col min="16" max="16" width="26.28515625" customWidth="1"/>
    <col min="17" max="17" width="18.42578125" customWidth="1"/>
    <col min="18" max="18" width="17.7109375" customWidth="1"/>
    <col min="19" max="19" width="26.7109375" customWidth="1"/>
    <col min="20" max="20" width="22.140625" customWidth="1"/>
    <col min="21" max="21" width="6.28515625" customWidth="1"/>
    <col min="22" max="22" width="21.7109375" customWidth="1"/>
    <col min="23" max="23" width="12.42578125" customWidth="1"/>
    <col min="24" max="24" width="16.5703125" customWidth="1"/>
  </cols>
  <sheetData>
    <row r="1" spans="1:20" ht="25.5" x14ac:dyDescent="0.35">
      <c r="A1" s="327" t="s">
        <v>2224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</row>
    <row r="3" spans="1:20" ht="30" customHeight="1" x14ac:dyDescent="0.25">
      <c r="A3" s="328" t="s">
        <v>98</v>
      </c>
      <c r="B3" s="341" t="s">
        <v>95</v>
      </c>
      <c r="C3" s="342"/>
      <c r="D3" s="343"/>
      <c r="E3" s="344" t="s">
        <v>122</v>
      </c>
      <c r="F3" s="345"/>
      <c r="G3" s="346"/>
      <c r="H3" s="347" t="s">
        <v>94</v>
      </c>
      <c r="I3" s="348"/>
      <c r="J3" s="349"/>
      <c r="K3" s="350" t="s">
        <v>99</v>
      </c>
      <c r="L3" s="351"/>
      <c r="M3" s="352"/>
      <c r="N3" s="340" t="s">
        <v>115</v>
      </c>
      <c r="O3" s="340"/>
      <c r="P3" s="340"/>
      <c r="Q3" s="330" t="s">
        <v>117</v>
      </c>
      <c r="R3" s="330"/>
      <c r="S3" s="330"/>
      <c r="T3" s="140" t="s">
        <v>124</v>
      </c>
    </row>
    <row r="4" spans="1:20" ht="17.25" x14ac:dyDescent="0.3">
      <c r="A4" s="329"/>
      <c r="B4" s="61" t="s">
        <v>93</v>
      </c>
      <c r="C4" s="61" t="s">
        <v>92</v>
      </c>
      <c r="D4" s="62" t="s">
        <v>18</v>
      </c>
      <c r="E4" s="61" t="s">
        <v>93</v>
      </c>
      <c r="F4" s="61" t="s">
        <v>92</v>
      </c>
      <c r="G4" s="62" t="s">
        <v>18</v>
      </c>
      <c r="H4" s="61" t="s">
        <v>93</v>
      </c>
      <c r="I4" s="74" t="s">
        <v>92</v>
      </c>
      <c r="J4" s="62" t="s">
        <v>18</v>
      </c>
      <c r="K4" s="61" t="s">
        <v>93</v>
      </c>
      <c r="L4" s="74" t="s">
        <v>92</v>
      </c>
      <c r="M4" s="62" t="s">
        <v>18</v>
      </c>
      <c r="N4" s="61" t="s">
        <v>93</v>
      </c>
      <c r="O4" s="74" t="s">
        <v>92</v>
      </c>
      <c r="P4" s="62" t="s">
        <v>18</v>
      </c>
      <c r="Q4" s="61" t="s">
        <v>93</v>
      </c>
      <c r="R4" s="61" t="s">
        <v>92</v>
      </c>
      <c r="S4" s="62" t="s">
        <v>18</v>
      </c>
      <c r="T4" s="23"/>
    </row>
    <row r="5" spans="1:20" ht="29.25" customHeight="1" x14ac:dyDescent="0.3">
      <c r="A5" s="217" t="s">
        <v>373</v>
      </c>
      <c r="B5" s="218">
        <v>166150</v>
      </c>
      <c r="C5" s="218">
        <v>7500</v>
      </c>
      <c r="D5" s="219">
        <f t="shared" ref="D5:D18" si="0">B5+C5</f>
        <v>173650</v>
      </c>
      <c r="E5" s="218"/>
      <c r="F5" s="218"/>
      <c r="G5" s="219"/>
      <c r="H5" s="218"/>
      <c r="I5" s="218"/>
      <c r="J5" s="219"/>
      <c r="K5" s="218"/>
      <c r="L5" s="218"/>
      <c r="M5" s="219"/>
      <c r="N5" s="218"/>
      <c r="O5" s="218"/>
      <c r="P5" s="220"/>
      <c r="Q5" s="221"/>
      <c r="R5" s="221"/>
      <c r="S5" s="222"/>
      <c r="T5" s="223">
        <v>67</v>
      </c>
    </row>
    <row r="6" spans="1:20" ht="29.25" customHeight="1" x14ac:dyDescent="0.3">
      <c r="A6" s="217" t="s">
        <v>458</v>
      </c>
      <c r="B6" s="218">
        <v>39900</v>
      </c>
      <c r="C6" s="218">
        <v>16750</v>
      </c>
      <c r="D6" s="219">
        <f t="shared" si="0"/>
        <v>56650</v>
      </c>
      <c r="E6" s="218"/>
      <c r="F6" s="218"/>
      <c r="G6" s="219"/>
      <c r="H6" s="218"/>
      <c r="I6" s="218"/>
      <c r="J6" s="219"/>
      <c r="K6" s="218"/>
      <c r="L6" s="218"/>
      <c r="M6" s="219"/>
      <c r="N6" s="218"/>
      <c r="O6" s="218"/>
      <c r="P6" s="220"/>
      <c r="Q6" s="224">
        <v>270</v>
      </c>
      <c r="R6" s="225"/>
      <c r="S6" s="226">
        <f>SUM(Q6+R6)</f>
        <v>270</v>
      </c>
      <c r="T6" s="223">
        <v>28</v>
      </c>
    </row>
    <row r="7" spans="1:20" ht="29.25" customHeight="1" x14ac:dyDescent="0.3">
      <c r="A7" s="232" t="s">
        <v>654</v>
      </c>
      <c r="B7" s="233">
        <v>126990</v>
      </c>
      <c r="C7" s="233">
        <v>13500</v>
      </c>
      <c r="D7" s="234">
        <f t="shared" si="0"/>
        <v>140490</v>
      </c>
      <c r="E7" s="233"/>
      <c r="F7" s="233"/>
      <c r="G7" s="234"/>
      <c r="H7" s="233"/>
      <c r="I7" s="233"/>
      <c r="J7" s="234"/>
      <c r="K7" s="233"/>
      <c r="L7" s="233"/>
      <c r="M7" s="234"/>
      <c r="N7" s="233"/>
      <c r="O7" s="233"/>
      <c r="P7" s="235"/>
      <c r="Q7" s="236"/>
      <c r="R7" s="237">
        <v>20000</v>
      </c>
      <c r="S7" s="246">
        <f t="shared" ref="S7:S14" si="1">SUM(Q7+R7)</f>
        <v>20000</v>
      </c>
      <c r="T7" s="238">
        <v>66</v>
      </c>
    </row>
    <row r="8" spans="1:20" ht="29.25" customHeight="1" x14ac:dyDescent="0.3">
      <c r="A8" s="232" t="s">
        <v>832</v>
      </c>
      <c r="B8" s="233">
        <v>170200</v>
      </c>
      <c r="C8" s="233">
        <v>14700</v>
      </c>
      <c r="D8" s="234">
        <f t="shared" si="0"/>
        <v>184900</v>
      </c>
      <c r="E8" s="233"/>
      <c r="F8" s="233"/>
      <c r="G8" s="234"/>
      <c r="H8" s="233"/>
      <c r="I8" s="233"/>
      <c r="J8" s="234"/>
      <c r="K8" s="233">
        <v>1000</v>
      </c>
      <c r="L8" s="233">
        <v>900</v>
      </c>
      <c r="M8" s="234">
        <f>SUM(K8,L8)</f>
        <v>1900</v>
      </c>
      <c r="N8" s="233"/>
      <c r="O8" s="233"/>
      <c r="P8" s="235"/>
      <c r="Q8" s="236"/>
      <c r="R8" s="236">
        <v>200</v>
      </c>
      <c r="S8" s="246">
        <f t="shared" si="1"/>
        <v>200</v>
      </c>
      <c r="T8" s="238">
        <v>70</v>
      </c>
    </row>
    <row r="9" spans="1:20" ht="29.25" customHeight="1" x14ac:dyDescent="0.3">
      <c r="A9" s="247" t="s">
        <v>1000</v>
      </c>
      <c r="B9" s="248">
        <v>106800</v>
      </c>
      <c r="C9" s="248">
        <v>8500</v>
      </c>
      <c r="D9" s="249">
        <f t="shared" si="0"/>
        <v>115300</v>
      </c>
      <c r="E9" s="248">
        <v>7</v>
      </c>
      <c r="F9" s="248"/>
      <c r="G9" s="249">
        <f>SUM(E9:F9)</f>
        <v>7</v>
      </c>
      <c r="H9" s="248"/>
      <c r="I9" s="248"/>
      <c r="J9" s="249"/>
      <c r="K9" s="248"/>
      <c r="L9" s="248"/>
      <c r="M9" s="249">
        <f t="shared" ref="M9:M16" si="2">SUM(K9,L9)</f>
        <v>0</v>
      </c>
      <c r="N9" s="248"/>
      <c r="O9" s="248"/>
      <c r="P9" s="250"/>
      <c r="Q9" s="251"/>
      <c r="R9" s="251">
        <v>1120</v>
      </c>
      <c r="S9" s="252">
        <f t="shared" si="1"/>
        <v>1120</v>
      </c>
      <c r="T9" s="253">
        <v>51</v>
      </c>
    </row>
    <row r="10" spans="1:20" ht="29.25" customHeight="1" x14ac:dyDescent="0.3">
      <c r="A10" s="247" t="s">
        <v>1001</v>
      </c>
      <c r="B10" s="248">
        <v>16800</v>
      </c>
      <c r="C10" s="248">
        <v>31150</v>
      </c>
      <c r="D10" s="249">
        <f t="shared" si="0"/>
        <v>47950</v>
      </c>
      <c r="E10" s="248"/>
      <c r="F10" s="248"/>
      <c r="G10" s="249"/>
      <c r="H10" s="248"/>
      <c r="I10" s="248"/>
      <c r="J10" s="249"/>
      <c r="K10" s="248"/>
      <c r="L10" s="248"/>
      <c r="M10" s="249">
        <f t="shared" si="2"/>
        <v>0</v>
      </c>
      <c r="N10" s="248"/>
      <c r="O10" s="248"/>
      <c r="P10" s="250"/>
      <c r="Q10" s="251"/>
      <c r="R10" s="251"/>
      <c r="S10" s="252">
        <f t="shared" si="1"/>
        <v>0</v>
      </c>
      <c r="T10" s="253">
        <v>11</v>
      </c>
    </row>
    <row r="11" spans="1:20" ht="29.25" customHeight="1" x14ac:dyDescent="0.3">
      <c r="A11" s="247" t="s">
        <v>1089</v>
      </c>
      <c r="B11" s="248">
        <v>66850</v>
      </c>
      <c r="C11" s="248">
        <v>17000</v>
      </c>
      <c r="D11" s="249">
        <f t="shared" si="0"/>
        <v>83850</v>
      </c>
      <c r="E11" s="248"/>
      <c r="F11" s="248"/>
      <c r="G11" s="249"/>
      <c r="H11" s="248"/>
      <c r="I11" s="248"/>
      <c r="J11" s="249"/>
      <c r="K11" s="248"/>
      <c r="L11" s="248"/>
      <c r="M11" s="249">
        <f t="shared" si="2"/>
        <v>0</v>
      </c>
      <c r="N11" s="248"/>
      <c r="O11" s="248"/>
      <c r="P11" s="250"/>
      <c r="Q11" s="251"/>
      <c r="R11" s="251"/>
      <c r="S11" s="252">
        <f t="shared" si="1"/>
        <v>0</v>
      </c>
      <c r="T11" s="253">
        <v>33</v>
      </c>
    </row>
    <row r="12" spans="1:20" ht="29.25" customHeight="1" x14ac:dyDescent="0.3">
      <c r="A12" s="247" t="s">
        <v>1112</v>
      </c>
      <c r="B12" s="248"/>
      <c r="C12" s="248">
        <v>15210</v>
      </c>
      <c r="D12" s="249">
        <f t="shared" si="0"/>
        <v>15210</v>
      </c>
      <c r="E12" s="248"/>
      <c r="F12" s="248"/>
      <c r="G12" s="249"/>
      <c r="H12" s="248"/>
      <c r="I12" s="248"/>
      <c r="J12" s="249"/>
      <c r="K12" s="248"/>
      <c r="L12" s="248"/>
      <c r="M12" s="249">
        <f t="shared" si="2"/>
        <v>0</v>
      </c>
      <c r="N12" s="248"/>
      <c r="O12" s="248"/>
      <c r="P12" s="250"/>
      <c r="Q12" s="251"/>
      <c r="R12" s="254"/>
      <c r="S12" s="252">
        <f t="shared" si="1"/>
        <v>0</v>
      </c>
      <c r="T12" s="253">
        <v>8</v>
      </c>
    </row>
    <row r="13" spans="1:20" ht="29.25" customHeight="1" x14ac:dyDescent="0.3">
      <c r="A13" s="258" t="s">
        <v>1257</v>
      </c>
      <c r="B13" s="259">
        <v>131600</v>
      </c>
      <c r="C13" s="259">
        <v>107520</v>
      </c>
      <c r="D13" s="260">
        <f t="shared" si="0"/>
        <v>239120</v>
      </c>
      <c r="E13" s="259"/>
      <c r="F13" s="259"/>
      <c r="G13" s="260"/>
      <c r="H13" s="259"/>
      <c r="I13" s="259"/>
      <c r="J13" s="260"/>
      <c r="K13" s="259">
        <v>350</v>
      </c>
      <c r="L13" s="259"/>
      <c r="M13" s="260">
        <f t="shared" si="2"/>
        <v>350</v>
      </c>
      <c r="N13" s="259"/>
      <c r="O13" s="259"/>
      <c r="P13" s="261"/>
      <c r="Q13" s="262"/>
      <c r="R13" s="262">
        <v>1000</v>
      </c>
      <c r="S13" s="263">
        <f t="shared" si="1"/>
        <v>1000</v>
      </c>
      <c r="T13" s="264">
        <v>65</v>
      </c>
    </row>
    <row r="14" spans="1:20" s="121" customFormat="1" ht="29.25" customHeight="1" x14ac:dyDescent="0.3">
      <c r="A14" s="258" t="s">
        <v>1384</v>
      </c>
      <c r="B14" s="265">
        <v>71000</v>
      </c>
      <c r="C14" s="265">
        <v>42200</v>
      </c>
      <c r="D14" s="260">
        <f t="shared" si="0"/>
        <v>113200</v>
      </c>
      <c r="E14" s="265"/>
      <c r="F14" s="265"/>
      <c r="G14" s="266"/>
      <c r="H14" s="265"/>
      <c r="I14" s="265"/>
      <c r="J14" s="266"/>
      <c r="K14" s="265">
        <v>11500</v>
      </c>
      <c r="L14" s="265"/>
      <c r="M14" s="260">
        <f t="shared" si="2"/>
        <v>11500</v>
      </c>
      <c r="N14" s="265">
        <v>2500</v>
      </c>
      <c r="O14" s="265">
        <v>50000</v>
      </c>
      <c r="P14" s="261">
        <f>SUM(N14+O14)</f>
        <v>52500</v>
      </c>
      <c r="Q14" s="262"/>
      <c r="R14" s="267"/>
      <c r="S14" s="263">
        <f t="shared" si="1"/>
        <v>0</v>
      </c>
      <c r="T14" s="264">
        <v>38</v>
      </c>
    </row>
    <row r="15" spans="1:20" ht="31.5" customHeight="1" x14ac:dyDescent="0.3">
      <c r="A15" s="258" t="s">
        <v>1397</v>
      </c>
      <c r="B15" s="265">
        <v>9100</v>
      </c>
      <c r="C15" s="265">
        <v>550</v>
      </c>
      <c r="D15" s="260">
        <f t="shared" si="0"/>
        <v>9650</v>
      </c>
      <c r="E15" s="268"/>
      <c r="F15" s="268"/>
      <c r="G15" s="260"/>
      <c r="H15" s="268"/>
      <c r="I15" s="268"/>
      <c r="J15" s="260"/>
      <c r="K15" s="265"/>
      <c r="L15" s="265"/>
      <c r="M15" s="260">
        <f t="shared" si="2"/>
        <v>0</v>
      </c>
      <c r="N15" s="265">
        <v>1000</v>
      </c>
      <c r="O15" s="268"/>
      <c r="P15" s="261">
        <f>SUM(N15+O15)</f>
        <v>1000</v>
      </c>
      <c r="Q15" s="262"/>
      <c r="R15" s="269"/>
      <c r="S15" s="263"/>
      <c r="T15" s="264">
        <v>6</v>
      </c>
    </row>
    <row r="16" spans="1:20" ht="29.25" customHeight="1" x14ac:dyDescent="0.3">
      <c r="A16" s="270" t="s">
        <v>1463</v>
      </c>
      <c r="B16" s="271">
        <v>17100</v>
      </c>
      <c r="C16" s="271"/>
      <c r="D16" s="272">
        <f t="shared" si="0"/>
        <v>17100</v>
      </c>
      <c r="E16" s="271"/>
      <c r="F16" s="273"/>
      <c r="G16" s="272"/>
      <c r="H16" s="273"/>
      <c r="I16" s="273"/>
      <c r="J16" s="272"/>
      <c r="K16" s="271">
        <v>5900</v>
      </c>
      <c r="L16" s="271"/>
      <c r="M16" s="272">
        <f t="shared" si="2"/>
        <v>5900</v>
      </c>
      <c r="N16" s="271">
        <v>6000</v>
      </c>
      <c r="O16" s="271">
        <v>300</v>
      </c>
      <c r="P16" s="274">
        <f>SUM(N16+O16)</f>
        <v>6300</v>
      </c>
      <c r="Q16" s="275"/>
      <c r="R16" s="275"/>
      <c r="S16" s="276"/>
      <c r="T16" s="277">
        <v>26</v>
      </c>
    </row>
    <row r="17" spans="1:20" ht="29.25" customHeight="1" x14ac:dyDescent="0.3">
      <c r="A17" s="270" t="s">
        <v>1585</v>
      </c>
      <c r="B17" s="271">
        <v>64350</v>
      </c>
      <c r="C17" s="271">
        <v>10300</v>
      </c>
      <c r="D17" s="272">
        <f t="shared" si="0"/>
        <v>74650</v>
      </c>
      <c r="E17" s="271"/>
      <c r="F17" s="271"/>
      <c r="G17" s="278"/>
      <c r="H17" s="271"/>
      <c r="I17" s="271"/>
      <c r="J17" s="278"/>
      <c r="K17" s="271"/>
      <c r="L17" s="271"/>
      <c r="M17" s="278"/>
      <c r="N17" s="271">
        <v>7900</v>
      </c>
      <c r="O17" s="271"/>
      <c r="P17" s="274">
        <f>SUM(N17+O17)</f>
        <v>7900</v>
      </c>
      <c r="Q17" s="275"/>
      <c r="R17" s="275"/>
      <c r="S17" s="276"/>
      <c r="T17" s="277">
        <v>47</v>
      </c>
    </row>
    <row r="18" spans="1:20" ht="29.25" customHeight="1" x14ac:dyDescent="0.3">
      <c r="A18" s="281" t="s">
        <v>1681</v>
      </c>
      <c r="B18" s="282">
        <v>54100</v>
      </c>
      <c r="C18" s="282">
        <v>15000</v>
      </c>
      <c r="D18" s="283">
        <f t="shared" si="0"/>
        <v>69100</v>
      </c>
      <c r="E18" s="282"/>
      <c r="F18" s="282"/>
      <c r="G18" s="284"/>
      <c r="H18" s="282"/>
      <c r="I18" s="282"/>
      <c r="J18" s="284"/>
      <c r="K18" s="282"/>
      <c r="L18" s="282"/>
      <c r="M18" s="284"/>
      <c r="N18" s="282"/>
      <c r="O18" s="282">
        <v>30000</v>
      </c>
      <c r="P18" s="285">
        <f>SUM(N18+O18)</f>
        <v>30000</v>
      </c>
      <c r="Q18" s="286"/>
      <c r="R18" s="287">
        <v>12000</v>
      </c>
      <c r="S18" s="288">
        <v>12000</v>
      </c>
      <c r="T18" s="289">
        <v>38</v>
      </c>
    </row>
    <row r="19" spans="1:20" ht="29.25" customHeight="1" x14ac:dyDescent="0.3">
      <c r="A19" s="281" t="s">
        <v>1685</v>
      </c>
      <c r="B19" s="282">
        <v>14350</v>
      </c>
      <c r="C19" s="282">
        <v>2500</v>
      </c>
      <c r="D19" s="283">
        <f t="shared" ref="D19:D31" si="3">B19+C19</f>
        <v>16850</v>
      </c>
      <c r="E19" s="290">
        <v>10</v>
      </c>
      <c r="F19" s="291"/>
      <c r="G19" s="283">
        <f>SUM(E19:F19)</f>
        <v>10</v>
      </c>
      <c r="H19" s="291"/>
      <c r="I19" s="291"/>
      <c r="J19" s="283"/>
      <c r="K19" s="291"/>
      <c r="L19" s="291"/>
      <c r="M19" s="283"/>
      <c r="N19" s="291">
        <v>3260</v>
      </c>
      <c r="O19" s="291"/>
      <c r="P19" s="285">
        <f>SUM(N19:O19)</f>
        <v>3260</v>
      </c>
      <c r="Q19" s="286"/>
      <c r="R19" s="286"/>
      <c r="S19" s="288"/>
      <c r="T19" s="289">
        <v>10</v>
      </c>
    </row>
    <row r="20" spans="1:20" ht="29.25" customHeight="1" x14ac:dyDescent="0.3">
      <c r="A20" s="281" t="s">
        <v>1785</v>
      </c>
      <c r="B20" s="282">
        <v>2500</v>
      </c>
      <c r="C20" s="282">
        <v>20000</v>
      </c>
      <c r="D20" s="283">
        <f t="shared" si="3"/>
        <v>22500</v>
      </c>
      <c r="E20" s="282">
        <v>60</v>
      </c>
      <c r="F20" s="291"/>
      <c r="G20" s="283">
        <f>SUM(E20:F20)</f>
        <v>60</v>
      </c>
      <c r="H20" s="291"/>
      <c r="I20" s="291"/>
      <c r="J20" s="283"/>
      <c r="K20" s="282"/>
      <c r="L20" s="291"/>
      <c r="M20" s="283"/>
      <c r="N20" s="282">
        <v>14350</v>
      </c>
      <c r="O20" s="282"/>
      <c r="P20" s="285">
        <f>SUM(N20:O20)</f>
        <v>14350</v>
      </c>
      <c r="Q20" s="286"/>
      <c r="R20" s="286"/>
      <c r="S20" s="288"/>
      <c r="T20" s="289">
        <v>21</v>
      </c>
    </row>
    <row r="21" spans="1:20" ht="29.25" customHeight="1" x14ac:dyDescent="0.3">
      <c r="A21" s="281" t="s">
        <v>1783</v>
      </c>
      <c r="B21" s="282">
        <v>9350</v>
      </c>
      <c r="C21" s="282">
        <v>22000</v>
      </c>
      <c r="D21" s="283">
        <f t="shared" si="3"/>
        <v>31350</v>
      </c>
      <c r="E21" s="282"/>
      <c r="F21" s="291"/>
      <c r="G21" s="283"/>
      <c r="H21" s="291"/>
      <c r="I21" s="291"/>
      <c r="J21" s="283"/>
      <c r="K21" s="282"/>
      <c r="L21" s="291"/>
      <c r="M21" s="283"/>
      <c r="N21" s="282">
        <v>1500</v>
      </c>
      <c r="O21" s="291"/>
      <c r="P21" s="285">
        <f>SUM(N21:O21)</f>
        <v>1500</v>
      </c>
      <c r="Q21" s="286"/>
      <c r="R21" s="286"/>
      <c r="S21" s="288"/>
      <c r="T21" s="289">
        <v>15</v>
      </c>
    </row>
    <row r="22" spans="1:20" ht="28.5" customHeight="1" x14ac:dyDescent="0.3">
      <c r="A22" s="297" t="s">
        <v>1860</v>
      </c>
      <c r="B22" s="298">
        <v>69900</v>
      </c>
      <c r="C22" s="298">
        <v>11000</v>
      </c>
      <c r="D22" s="299">
        <f t="shared" si="3"/>
        <v>80900</v>
      </c>
      <c r="E22" s="298">
        <v>20</v>
      </c>
      <c r="F22" s="300"/>
      <c r="G22" s="299">
        <f>E22+F22</f>
        <v>20</v>
      </c>
      <c r="H22" s="300"/>
      <c r="I22" s="300"/>
      <c r="J22" s="299"/>
      <c r="K22" s="300"/>
      <c r="L22" s="300"/>
      <c r="M22" s="299"/>
      <c r="N22" s="300">
        <v>1700</v>
      </c>
      <c r="O22" s="300"/>
      <c r="P22" s="301">
        <f>N22+O22</f>
        <v>1700</v>
      </c>
      <c r="Q22" s="302"/>
      <c r="R22" s="302"/>
      <c r="S22" s="301"/>
      <c r="T22" s="296">
        <v>39</v>
      </c>
    </row>
    <row r="23" spans="1:20" ht="28.5" customHeight="1" x14ac:dyDescent="0.3">
      <c r="A23" s="297" t="s">
        <v>1943</v>
      </c>
      <c r="B23" s="298">
        <v>75150</v>
      </c>
      <c r="C23" s="298">
        <v>29610</v>
      </c>
      <c r="D23" s="299">
        <f t="shared" si="3"/>
        <v>104760</v>
      </c>
      <c r="E23" s="298"/>
      <c r="F23" s="298"/>
      <c r="G23" s="303"/>
      <c r="H23" s="300"/>
      <c r="I23" s="300"/>
      <c r="J23" s="299"/>
      <c r="K23" s="300"/>
      <c r="L23" s="300"/>
      <c r="M23" s="299"/>
      <c r="N23" s="300"/>
      <c r="O23" s="300"/>
      <c r="P23" s="301">
        <f t="shared" ref="P23:P26" si="4">N23+O23</f>
        <v>0</v>
      </c>
      <c r="Q23" s="302"/>
      <c r="R23" s="302"/>
      <c r="S23" s="301"/>
      <c r="T23" s="296">
        <v>53</v>
      </c>
    </row>
    <row r="24" spans="1:20" ht="25.5" customHeight="1" x14ac:dyDescent="0.3">
      <c r="A24" s="304" t="s">
        <v>2035</v>
      </c>
      <c r="B24" s="298">
        <v>104900</v>
      </c>
      <c r="C24" s="298">
        <v>84800</v>
      </c>
      <c r="D24" s="299">
        <f t="shared" si="3"/>
        <v>189700</v>
      </c>
      <c r="E24" s="298"/>
      <c r="F24" s="300"/>
      <c r="G24" s="299"/>
      <c r="H24" s="300"/>
      <c r="I24" s="300"/>
      <c r="J24" s="299"/>
      <c r="K24" s="300"/>
      <c r="L24" s="300">
        <v>550</v>
      </c>
      <c r="M24" s="299">
        <v>550</v>
      </c>
      <c r="N24" s="300">
        <v>300</v>
      </c>
      <c r="O24" s="300"/>
      <c r="P24" s="301">
        <f t="shared" si="4"/>
        <v>300</v>
      </c>
      <c r="Q24" s="302"/>
      <c r="R24" s="302"/>
      <c r="S24" s="301"/>
      <c r="T24" s="296">
        <v>52</v>
      </c>
    </row>
    <row r="25" spans="1:20" ht="25.5" customHeight="1" x14ac:dyDescent="0.3">
      <c r="A25" s="304" t="s">
        <v>2070</v>
      </c>
      <c r="B25" s="298">
        <v>46700</v>
      </c>
      <c r="C25" s="298"/>
      <c r="D25" s="299">
        <f t="shared" si="3"/>
        <v>46700</v>
      </c>
      <c r="E25" s="298"/>
      <c r="F25" s="298"/>
      <c r="G25" s="303"/>
      <c r="H25" s="298"/>
      <c r="I25" s="298"/>
      <c r="J25" s="303"/>
      <c r="K25" s="298"/>
      <c r="L25" s="298"/>
      <c r="M25" s="299"/>
      <c r="N25" s="298">
        <v>1000</v>
      </c>
      <c r="O25" s="298"/>
      <c r="P25" s="301">
        <f t="shared" si="4"/>
        <v>1000</v>
      </c>
      <c r="Q25" s="302"/>
      <c r="R25" s="302"/>
      <c r="S25" s="301"/>
      <c r="T25" s="296">
        <v>21</v>
      </c>
    </row>
    <row r="26" spans="1:20" ht="25.5" customHeight="1" x14ac:dyDescent="0.3">
      <c r="A26" s="304" t="s">
        <v>2089</v>
      </c>
      <c r="B26" s="298">
        <v>7500</v>
      </c>
      <c r="C26" s="298">
        <v>17100</v>
      </c>
      <c r="D26" s="299">
        <f t="shared" si="3"/>
        <v>24600</v>
      </c>
      <c r="E26" s="298"/>
      <c r="F26" s="298"/>
      <c r="G26" s="303"/>
      <c r="H26" s="298"/>
      <c r="I26" s="298"/>
      <c r="J26" s="303"/>
      <c r="K26" s="298"/>
      <c r="L26" s="298"/>
      <c r="M26" s="303"/>
      <c r="N26" s="298"/>
      <c r="O26" s="298">
        <v>30000</v>
      </c>
      <c r="P26" s="301">
        <f t="shared" si="4"/>
        <v>30000</v>
      </c>
      <c r="Q26" s="302"/>
      <c r="R26" s="305"/>
      <c r="S26" s="301"/>
      <c r="T26" s="296">
        <v>9</v>
      </c>
    </row>
    <row r="27" spans="1:20" ht="25.5" customHeight="1" x14ac:dyDescent="0.3">
      <c r="A27" s="307" t="s">
        <v>2202</v>
      </c>
      <c r="B27" s="308">
        <v>44600</v>
      </c>
      <c r="C27" s="308">
        <v>36170</v>
      </c>
      <c r="D27" s="309">
        <f t="shared" si="3"/>
        <v>80770</v>
      </c>
      <c r="E27" s="310"/>
      <c r="F27" s="310"/>
      <c r="G27" s="311"/>
      <c r="H27" s="310"/>
      <c r="I27" s="310"/>
      <c r="J27" s="309"/>
      <c r="K27" s="310">
        <v>1200</v>
      </c>
      <c r="L27" s="310">
        <v>7500</v>
      </c>
      <c r="M27" s="311">
        <f>K27+L27</f>
        <v>8700</v>
      </c>
      <c r="N27" s="310"/>
      <c r="O27" s="310"/>
      <c r="P27" s="312"/>
      <c r="Q27" s="313"/>
      <c r="R27" s="313"/>
      <c r="S27" s="314"/>
      <c r="T27" s="315">
        <v>42</v>
      </c>
    </row>
    <row r="28" spans="1:20" ht="25.5" customHeight="1" x14ac:dyDescent="0.3">
      <c r="A28" s="307" t="s">
        <v>2225</v>
      </c>
      <c r="B28" s="308">
        <v>2800</v>
      </c>
      <c r="C28" s="308">
        <v>500</v>
      </c>
      <c r="D28" s="309">
        <f t="shared" si="3"/>
        <v>3300</v>
      </c>
      <c r="E28" s="308">
        <v>404</v>
      </c>
      <c r="F28" s="310"/>
      <c r="G28" s="311">
        <v>404</v>
      </c>
      <c r="H28" s="310"/>
      <c r="I28" s="310"/>
      <c r="J28" s="309"/>
      <c r="K28" s="310"/>
      <c r="L28" s="310"/>
      <c r="M28" s="311">
        <f t="shared" ref="M28:M29" si="5">K28+L28</f>
        <v>0</v>
      </c>
      <c r="N28" s="310"/>
      <c r="O28" s="310"/>
      <c r="P28" s="312"/>
      <c r="Q28" s="313"/>
      <c r="R28" s="313"/>
      <c r="S28" s="314"/>
      <c r="T28" s="316">
        <v>7</v>
      </c>
    </row>
    <row r="29" spans="1:20" ht="25.5" customHeight="1" x14ac:dyDescent="0.3">
      <c r="A29" s="307" t="s">
        <v>2269</v>
      </c>
      <c r="B29" s="308">
        <v>9020</v>
      </c>
      <c r="C29" s="308">
        <v>7500</v>
      </c>
      <c r="D29" s="309">
        <f t="shared" si="3"/>
        <v>16520</v>
      </c>
      <c r="E29" s="310">
        <v>330</v>
      </c>
      <c r="F29" s="310">
        <v>1000</v>
      </c>
      <c r="G29" s="311">
        <f>E29+F29</f>
        <v>1330</v>
      </c>
      <c r="H29" s="310"/>
      <c r="I29" s="310"/>
      <c r="J29" s="309"/>
      <c r="K29" s="308">
        <v>90</v>
      </c>
      <c r="L29" s="308"/>
      <c r="M29" s="311">
        <f t="shared" si="5"/>
        <v>90</v>
      </c>
      <c r="N29" s="310"/>
      <c r="O29" s="310"/>
      <c r="P29" s="312"/>
      <c r="Q29" s="313"/>
      <c r="R29" s="317">
        <v>22200</v>
      </c>
      <c r="S29" s="314">
        <f>R29</f>
        <v>22200</v>
      </c>
      <c r="T29" s="315">
        <v>22</v>
      </c>
    </row>
    <row r="30" spans="1:20" ht="25.5" customHeight="1" x14ac:dyDescent="0.3">
      <c r="A30" s="152" t="s">
        <v>2379</v>
      </c>
      <c r="B30" s="153">
        <v>146560</v>
      </c>
      <c r="C30" s="153">
        <v>92350</v>
      </c>
      <c r="D30" s="149">
        <f t="shared" si="3"/>
        <v>238910</v>
      </c>
      <c r="E30" s="154">
        <v>55</v>
      </c>
      <c r="F30" s="154"/>
      <c r="G30" s="143">
        <f>E30+F30</f>
        <v>55</v>
      </c>
      <c r="H30" s="154"/>
      <c r="I30" s="154"/>
      <c r="J30" s="149"/>
      <c r="K30" s="153"/>
      <c r="L30" s="153"/>
      <c r="M30" s="143"/>
      <c r="N30" s="154"/>
      <c r="O30" s="154"/>
      <c r="P30" s="145"/>
      <c r="Q30" s="155"/>
      <c r="R30" s="155"/>
      <c r="S30" s="166"/>
      <c r="T30" s="150">
        <v>49</v>
      </c>
    </row>
    <row r="31" spans="1:20" ht="25.5" customHeight="1" x14ac:dyDescent="0.3">
      <c r="A31" s="152" t="s">
        <v>2402</v>
      </c>
      <c r="B31" s="153">
        <v>5960</v>
      </c>
      <c r="C31" s="153">
        <v>11300</v>
      </c>
      <c r="D31" s="149">
        <f t="shared" si="3"/>
        <v>17260</v>
      </c>
      <c r="E31" s="154"/>
      <c r="F31" s="154"/>
      <c r="G31" s="143"/>
      <c r="H31" s="154"/>
      <c r="I31" s="154"/>
      <c r="J31" s="149"/>
      <c r="K31" s="153"/>
      <c r="L31" s="153"/>
      <c r="M31" s="143"/>
      <c r="N31" s="154"/>
      <c r="O31" s="154"/>
      <c r="P31" s="145"/>
      <c r="Q31" s="155"/>
      <c r="R31" s="155"/>
      <c r="S31" s="166"/>
      <c r="T31" s="150">
        <v>9</v>
      </c>
    </row>
    <row r="32" spans="1:20" ht="25.5" customHeight="1" x14ac:dyDescent="0.3">
      <c r="A32" s="152"/>
      <c r="B32" s="153"/>
      <c r="C32" s="153"/>
      <c r="D32" s="149"/>
      <c r="E32" s="154"/>
      <c r="F32" s="154"/>
      <c r="G32" s="143"/>
      <c r="H32" s="154"/>
      <c r="I32" s="154"/>
      <c r="J32" s="149"/>
      <c r="K32" s="153"/>
      <c r="L32" s="154"/>
      <c r="M32" s="143"/>
      <c r="N32" s="154"/>
      <c r="O32" s="154"/>
      <c r="P32" s="145"/>
      <c r="Q32" s="155"/>
      <c r="R32" s="155"/>
      <c r="S32" s="166"/>
      <c r="T32" s="150"/>
    </row>
    <row r="33" spans="1:20" ht="25.5" customHeight="1" x14ac:dyDescent="0.3">
      <c r="A33" s="152"/>
      <c r="B33" s="153"/>
      <c r="C33" s="153"/>
      <c r="D33" s="149"/>
      <c r="E33" s="153"/>
      <c r="F33" s="154"/>
      <c r="G33" s="143"/>
      <c r="H33" s="154"/>
      <c r="I33" s="154"/>
      <c r="J33" s="149"/>
      <c r="K33" s="153"/>
      <c r="L33" s="154"/>
      <c r="M33" s="143"/>
      <c r="N33" s="153"/>
      <c r="O33" s="154"/>
      <c r="P33" s="145"/>
      <c r="Q33" s="155"/>
      <c r="R33" s="155"/>
      <c r="S33" s="166"/>
      <c r="T33" s="150"/>
    </row>
    <row r="34" spans="1:20" ht="25.5" customHeight="1" x14ac:dyDescent="0.3">
      <c r="A34" s="152"/>
      <c r="B34" s="153"/>
      <c r="C34" s="153"/>
      <c r="D34" s="149"/>
      <c r="E34" s="153"/>
      <c r="F34" s="154"/>
      <c r="G34" s="143"/>
      <c r="H34" s="154"/>
      <c r="I34" s="154"/>
      <c r="J34" s="149"/>
      <c r="K34" s="153"/>
      <c r="L34" s="153"/>
      <c r="M34" s="143"/>
      <c r="N34" s="153"/>
      <c r="O34" s="154"/>
      <c r="P34" s="145"/>
      <c r="Q34" s="155"/>
      <c r="R34" s="155"/>
      <c r="S34" s="166"/>
      <c r="T34" s="150"/>
    </row>
    <row r="35" spans="1:20" ht="25.5" customHeight="1" x14ac:dyDescent="0.3">
      <c r="A35" s="152"/>
      <c r="B35" s="153"/>
      <c r="C35" s="153"/>
      <c r="D35" s="149"/>
      <c r="E35" s="153"/>
      <c r="F35" s="154"/>
      <c r="G35" s="143"/>
      <c r="H35" s="154"/>
      <c r="I35" s="154"/>
      <c r="J35" s="149"/>
      <c r="K35" s="153"/>
      <c r="L35" s="153"/>
      <c r="M35" s="143"/>
      <c r="N35" s="154"/>
      <c r="O35" s="154"/>
      <c r="P35" s="145"/>
      <c r="Q35" s="155"/>
      <c r="R35" s="211"/>
      <c r="S35" s="166"/>
      <c r="T35" s="150"/>
    </row>
    <row r="36" spans="1:20" ht="25.5" customHeight="1" x14ac:dyDescent="0.3">
      <c r="A36" s="152"/>
      <c r="B36" s="153"/>
      <c r="C36" s="153"/>
      <c r="D36" s="149"/>
      <c r="E36" s="153"/>
      <c r="F36" s="154"/>
      <c r="G36" s="143"/>
      <c r="H36" s="154"/>
      <c r="I36" s="154"/>
      <c r="J36" s="149"/>
      <c r="K36" s="153"/>
      <c r="L36" s="153"/>
      <c r="M36" s="143"/>
      <c r="N36" s="153"/>
      <c r="O36" s="154"/>
      <c r="P36" s="145"/>
      <c r="Q36" s="155"/>
      <c r="R36" s="155"/>
      <c r="S36" s="166"/>
      <c r="T36" s="150"/>
    </row>
    <row r="37" spans="1:20" ht="25.5" customHeight="1" x14ac:dyDescent="0.3">
      <c r="A37" s="152"/>
      <c r="B37" s="153"/>
      <c r="C37" s="153"/>
      <c r="D37" s="149"/>
      <c r="E37" s="153"/>
      <c r="F37" s="154"/>
      <c r="G37" s="143"/>
      <c r="H37" s="154"/>
      <c r="I37" s="154"/>
      <c r="J37" s="149"/>
      <c r="K37" s="153"/>
      <c r="L37" s="153"/>
      <c r="M37" s="143"/>
      <c r="N37" s="153"/>
      <c r="O37" s="154"/>
      <c r="P37" s="145"/>
      <c r="Q37" s="155"/>
      <c r="R37" s="155"/>
      <c r="S37" s="166"/>
      <c r="T37" s="150"/>
    </row>
    <row r="38" spans="1:20" ht="25.5" customHeight="1" x14ac:dyDescent="0.3">
      <c r="A38" s="152"/>
      <c r="B38" s="153"/>
      <c r="C38" s="153"/>
      <c r="D38" s="149"/>
      <c r="E38" s="153"/>
      <c r="F38" s="154"/>
      <c r="G38" s="143"/>
      <c r="H38" s="154"/>
      <c r="I38" s="154"/>
      <c r="J38" s="149"/>
      <c r="K38" s="154"/>
      <c r="L38" s="154"/>
      <c r="M38" s="143"/>
      <c r="N38" s="153"/>
      <c r="O38" s="154"/>
      <c r="P38" s="145"/>
      <c r="Q38" s="155"/>
      <c r="R38" s="155"/>
      <c r="S38" s="166"/>
      <c r="T38" s="150"/>
    </row>
    <row r="39" spans="1:20" ht="25.5" customHeight="1" x14ac:dyDescent="0.3">
      <c r="A39" s="152"/>
      <c r="B39" s="153"/>
      <c r="C39" s="153"/>
      <c r="D39" s="149"/>
      <c r="E39" s="153"/>
      <c r="F39" s="154"/>
      <c r="G39" s="143"/>
      <c r="H39" s="154"/>
      <c r="I39" s="154"/>
      <c r="J39" s="149"/>
      <c r="K39" s="153"/>
      <c r="L39" s="153"/>
      <c r="M39" s="143"/>
      <c r="N39" s="154"/>
      <c r="O39" s="154"/>
      <c r="P39" s="145"/>
      <c r="Q39" s="155"/>
      <c r="R39" s="155"/>
      <c r="S39" s="166"/>
      <c r="T39" s="150"/>
    </row>
    <row r="40" spans="1:20" ht="25.5" customHeight="1" x14ac:dyDescent="0.3">
      <c r="A40" s="152"/>
      <c r="B40" s="153"/>
      <c r="C40" s="153"/>
      <c r="D40" s="149"/>
      <c r="E40" s="153"/>
      <c r="F40" s="154"/>
      <c r="G40" s="143"/>
      <c r="H40" s="154"/>
      <c r="I40" s="154"/>
      <c r="J40" s="149"/>
      <c r="K40" s="154"/>
      <c r="L40" s="154"/>
      <c r="M40" s="143"/>
      <c r="N40" s="153"/>
      <c r="O40" s="153"/>
      <c r="P40" s="145"/>
      <c r="Q40" s="155"/>
      <c r="R40" s="155"/>
      <c r="S40" s="166"/>
      <c r="T40" s="150"/>
    </row>
    <row r="41" spans="1:20" ht="25.5" customHeight="1" x14ac:dyDescent="0.3">
      <c r="A41" s="152"/>
      <c r="B41" s="153"/>
      <c r="C41" s="153"/>
      <c r="D41" s="149"/>
      <c r="E41" s="154"/>
      <c r="F41" s="154"/>
      <c r="G41" s="143"/>
      <c r="H41" s="154"/>
      <c r="I41" s="154"/>
      <c r="J41" s="149"/>
      <c r="K41" s="154"/>
      <c r="L41" s="154"/>
      <c r="M41" s="143"/>
      <c r="N41" s="154"/>
      <c r="O41" s="154"/>
      <c r="P41" s="145"/>
      <c r="Q41" s="155"/>
      <c r="R41" s="155"/>
      <c r="S41" s="166"/>
      <c r="T41" s="150"/>
    </row>
    <row r="42" spans="1:20" ht="25.5" customHeight="1" x14ac:dyDescent="0.3">
      <c r="A42" s="152"/>
      <c r="B42" s="153"/>
      <c r="C42" s="153"/>
      <c r="D42" s="149"/>
      <c r="E42" s="154"/>
      <c r="F42" s="154"/>
      <c r="G42" s="143"/>
      <c r="H42" s="154"/>
      <c r="I42" s="154"/>
      <c r="J42" s="149"/>
      <c r="K42" s="154"/>
      <c r="L42" s="154"/>
      <c r="M42" s="143"/>
      <c r="N42" s="154"/>
      <c r="O42" s="154"/>
      <c r="P42" s="145"/>
      <c r="Q42" s="155"/>
      <c r="R42" s="155"/>
      <c r="S42" s="166"/>
      <c r="T42" s="150"/>
    </row>
    <row r="43" spans="1:20" ht="25.5" customHeight="1" x14ac:dyDescent="0.3">
      <c r="A43" s="152"/>
      <c r="B43" s="153"/>
      <c r="C43" s="153"/>
      <c r="D43" s="149"/>
      <c r="E43" s="153"/>
      <c r="F43" s="154"/>
      <c r="G43" s="143"/>
      <c r="H43" s="154"/>
      <c r="I43" s="154"/>
      <c r="J43" s="149"/>
      <c r="K43" s="154"/>
      <c r="L43" s="154"/>
      <c r="M43" s="143"/>
      <c r="N43" s="154"/>
      <c r="O43" s="154"/>
      <c r="P43" s="145"/>
      <c r="Q43" s="155"/>
      <c r="R43" s="155"/>
      <c r="S43" s="166"/>
      <c r="T43" s="150"/>
    </row>
    <row r="44" spans="1:20" ht="25.5" customHeight="1" x14ac:dyDescent="0.3">
      <c r="A44" s="152"/>
      <c r="B44" s="153"/>
      <c r="C44" s="153"/>
      <c r="D44" s="149"/>
      <c r="E44" s="154"/>
      <c r="F44" s="154"/>
      <c r="G44" s="143"/>
      <c r="H44" s="154"/>
      <c r="I44" s="154"/>
      <c r="J44" s="149"/>
      <c r="K44" s="154"/>
      <c r="L44" s="154"/>
      <c r="M44" s="143"/>
      <c r="N44" s="154"/>
      <c r="O44" s="154"/>
      <c r="P44" s="145"/>
      <c r="Q44" s="155"/>
      <c r="R44" s="155"/>
      <c r="S44" s="166"/>
      <c r="T44" s="150"/>
    </row>
    <row r="45" spans="1:20" ht="25.5" customHeight="1" x14ac:dyDescent="0.3">
      <c r="A45" s="152"/>
      <c r="B45" s="153"/>
      <c r="C45" s="153"/>
      <c r="D45" s="149"/>
      <c r="E45" s="154"/>
      <c r="F45" s="154"/>
      <c r="G45" s="143"/>
      <c r="H45" s="154"/>
      <c r="I45" s="154"/>
      <c r="J45" s="149"/>
      <c r="K45" s="153"/>
      <c r="L45" s="154"/>
      <c r="M45" s="143"/>
      <c r="N45" s="154"/>
      <c r="O45" s="154"/>
      <c r="P45" s="145"/>
      <c r="Q45" s="155"/>
      <c r="R45" s="155"/>
      <c r="S45" s="166"/>
      <c r="T45" s="150"/>
    </row>
    <row r="46" spans="1:20" ht="25.5" customHeight="1" x14ac:dyDescent="0.3">
      <c r="A46" s="152"/>
      <c r="B46" s="153"/>
      <c r="C46" s="153"/>
      <c r="D46" s="149"/>
      <c r="E46" s="154"/>
      <c r="F46" s="154"/>
      <c r="G46" s="143"/>
      <c r="H46" s="154"/>
      <c r="I46" s="154"/>
      <c r="J46" s="149"/>
      <c r="K46" s="153"/>
      <c r="L46" s="154"/>
      <c r="M46" s="143"/>
      <c r="N46" s="154"/>
      <c r="O46" s="154"/>
      <c r="P46" s="145"/>
      <c r="Q46" s="155"/>
      <c r="R46" s="155"/>
      <c r="S46" s="166"/>
      <c r="T46" s="150"/>
    </row>
    <row r="47" spans="1:20" ht="25.5" customHeight="1" x14ac:dyDescent="0.3">
      <c r="A47" s="152"/>
      <c r="B47" s="153"/>
      <c r="C47" s="154"/>
      <c r="D47" s="149"/>
      <c r="E47" s="154"/>
      <c r="F47" s="154"/>
      <c r="G47" s="143"/>
      <c r="H47" s="154"/>
      <c r="I47" s="154"/>
      <c r="J47" s="149"/>
      <c r="K47" s="153"/>
      <c r="L47" s="154"/>
      <c r="M47" s="143"/>
      <c r="N47" s="154"/>
      <c r="O47" s="154"/>
      <c r="P47" s="145"/>
      <c r="Q47" s="155"/>
      <c r="R47" s="155"/>
      <c r="S47" s="166"/>
      <c r="T47" s="150"/>
    </row>
    <row r="48" spans="1:20" ht="25.5" customHeight="1" x14ac:dyDescent="0.3">
      <c r="A48" s="152"/>
      <c r="B48" s="153"/>
      <c r="C48" s="153"/>
      <c r="D48" s="149"/>
      <c r="E48" s="154"/>
      <c r="F48" s="154"/>
      <c r="G48" s="143"/>
      <c r="H48" s="154"/>
      <c r="I48" s="154"/>
      <c r="J48" s="149"/>
      <c r="K48" s="153"/>
      <c r="L48" s="153"/>
      <c r="M48" s="143"/>
      <c r="N48" s="154"/>
      <c r="O48" s="154"/>
      <c r="P48" s="145"/>
      <c r="Q48" s="155"/>
      <c r="R48" s="155"/>
      <c r="S48" s="166"/>
      <c r="T48" s="150"/>
    </row>
    <row r="49" spans="1:20" ht="25.5" customHeight="1" x14ac:dyDescent="0.3">
      <c r="A49" s="152"/>
      <c r="B49" s="153"/>
      <c r="C49" s="153"/>
      <c r="D49" s="149">
        <f t="shared" ref="D49:D67" si="6">B49+C49</f>
        <v>0</v>
      </c>
      <c r="E49" s="154"/>
      <c r="F49" s="154"/>
      <c r="G49" s="143">
        <f t="shared" ref="G49:G68" si="7">E49+F49</f>
        <v>0</v>
      </c>
      <c r="H49" s="154"/>
      <c r="I49" s="154"/>
      <c r="J49" s="149"/>
      <c r="K49" s="153"/>
      <c r="L49" s="154"/>
      <c r="M49" s="143">
        <f t="shared" ref="M49:M68" si="8">K49+L49</f>
        <v>0</v>
      </c>
      <c r="N49" s="154"/>
      <c r="O49" s="154"/>
      <c r="P49" s="145">
        <f t="shared" ref="P49:P68" si="9">N49+O49</f>
        <v>0</v>
      </c>
      <c r="Q49" s="155"/>
      <c r="R49" s="155"/>
      <c r="S49" s="166">
        <f t="shared" ref="S49:S69" si="10">Q49+R49</f>
        <v>0</v>
      </c>
      <c r="T49" s="150"/>
    </row>
    <row r="50" spans="1:20" ht="25.5" customHeight="1" x14ac:dyDescent="0.3">
      <c r="A50" s="152"/>
      <c r="B50" s="153"/>
      <c r="C50" s="153"/>
      <c r="D50" s="149">
        <f t="shared" si="6"/>
        <v>0</v>
      </c>
      <c r="E50" s="154"/>
      <c r="F50" s="154"/>
      <c r="G50" s="143">
        <f t="shared" si="7"/>
        <v>0</v>
      </c>
      <c r="H50" s="154"/>
      <c r="I50" s="154"/>
      <c r="J50" s="149"/>
      <c r="K50" s="153"/>
      <c r="L50" s="153"/>
      <c r="M50" s="143">
        <f t="shared" si="8"/>
        <v>0</v>
      </c>
      <c r="N50" s="154"/>
      <c r="O50" s="154"/>
      <c r="P50" s="145">
        <f t="shared" si="9"/>
        <v>0</v>
      </c>
      <c r="Q50" s="155"/>
      <c r="R50" s="155"/>
      <c r="S50" s="166">
        <f t="shared" si="10"/>
        <v>0</v>
      </c>
      <c r="T50" s="150"/>
    </row>
    <row r="51" spans="1:20" ht="25.5" customHeight="1" x14ac:dyDescent="0.3">
      <c r="A51" s="152"/>
      <c r="B51" s="153"/>
      <c r="C51" s="154"/>
      <c r="D51" s="149">
        <f t="shared" si="6"/>
        <v>0</v>
      </c>
      <c r="E51" s="154"/>
      <c r="F51" s="154"/>
      <c r="G51" s="143">
        <f t="shared" si="7"/>
        <v>0</v>
      </c>
      <c r="H51" s="154"/>
      <c r="I51" s="154"/>
      <c r="J51" s="149"/>
      <c r="K51" s="153"/>
      <c r="L51" s="154"/>
      <c r="M51" s="143">
        <f t="shared" si="8"/>
        <v>0</v>
      </c>
      <c r="N51" s="154"/>
      <c r="O51" s="153"/>
      <c r="P51" s="145">
        <f t="shared" si="9"/>
        <v>0</v>
      </c>
      <c r="Q51" s="155"/>
      <c r="R51" s="155"/>
      <c r="S51" s="166">
        <f t="shared" si="10"/>
        <v>0</v>
      </c>
      <c r="T51" s="150"/>
    </row>
    <row r="52" spans="1:20" ht="25.5" customHeight="1" x14ac:dyDescent="0.3">
      <c r="A52" s="152"/>
      <c r="B52" s="153"/>
      <c r="C52" s="153"/>
      <c r="D52" s="149">
        <f t="shared" si="6"/>
        <v>0</v>
      </c>
      <c r="E52" s="153"/>
      <c r="F52" s="154"/>
      <c r="G52" s="143">
        <f t="shared" si="7"/>
        <v>0</v>
      </c>
      <c r="H52" s="154"/>
      <c r="I52" s="154"/>
      <c r="J52" s="149"/>
      <c r="K52" s="153"/>
      <c r="L52" s="153"/>
      <c r="M52" s="143">
        <f t="shared" si="8"/>
        <v>0</v>
      </c>
      <c r="N52" s="154"/>
      <c r="O52" s="153"/>
      <c r="P52" s="145">
        <f t="shared" si="9"/>
        <v>0</v>
      </c>
      <c r="Q52" s="155"/>
      <c r="R52" s="155"/>
      <c r="S52" s="166">
        <f t="shared" si="10"/>
        <v>0</v>
      </c>
      <c r="T52" s="150"/>
    </row>
    <row r="53" spans="1:20" ht="25.5" customHeight="1" x14ac:dyDescent="0.3">
      <c r="A53" s="152"/>
      <c r="B53" s="153"/>
      <c r="C53" s="153"/>
      <c r="D53" s="149">
        <f t="shared" si="6"/>
        <v>0</v>
      </c>
      <c r="E53" s="153"/>
      <c r="F53" s="154"/>
      <c r="G53" s="143">
        <f t="shared" si="7"/>
        <v>0</v>
      </c>
      <c r="H53" s="154"/>
      <c r="I53" s="154"/>
      <c r="J53" s="149"/>
      <c r="K53" s="153"/>
      <c r="L53" s="153"/>
      <c r="M53" s="143">
        <f t="shared" si="8"/>
        <v>0</v>
      </c>
      <c r="N53" s="153"/>
      <c r="O53" s="154"/>
      <c r="P53" s="145">
        <f t="shared" si="9"/>
        <v>0</v>
      </c>
      <c r="Q53" s="155"/>
      <c r="R53" s="155"/>
      <c r="S53" s="166">
        <f t="shared" si="10"/>
        <v>0</v>
      </c>
      <c r="T53" s="150"/>
    </row>
    <row r="54" spans="1:20" ht="25.5" customHeight="1" x14ac:dyDescent="0.3">
      <c r="A54" s="151"/>
      <c r="B54" s="153"/>
      <c r="C54" s="153"/>
      <c r="D54" s="149">
        <f t="shared" si="6"/>
        <v>0</v>
      </c>
      <c r="E54" s="153"/>
      <c r="F54" s="153"/>
      <c r="G54" s="143">
        <f t="shared" si="7"/>
        <v>0</v>
      </c>
      <c r="H54" s="153"/>
      <c r="I54" s="153"/>
      <c r="J54" s="143"/>
      <c r="K54" s="153"/>
      <c r="L54" s="153"/>
      <c r="M54" s="143">
        <f t="shared" si="8"/>
        <v>0</v>
      </c>
      <c r="N54" s="153"/>
      <c r="O54" s="153"/>
      <c r="P54" s="145">
        <f t="shared" si="9"/>
        <v>0</v>
      </c>
      <c r="Q54" s="155"/>
      <c r="R54" s="155"/>
      <c r="S54" s="166">
        <f t="shared" si="10"/>
        <v>0</v>
      </c>
      <c r="T54" s="150"/>
    </row>
    <row r="55" spans="1:20" ht="25.5" customHeight="1" x14ac:dyDescent="0.3">
      <c r="A55" s="152"/>
      <c r="B55" s="153"/>
      <c r="C55" s="153"/>
      <c r="D55" s="149">
        <f t="shared" si="6"/>
        <v>0</v>
      </c>
      <c r="E55" s="153"/>
      <c r="F55" s="153"/>
      <c r="G55" s="143">
        <f t="shared" si="7"/>
        <v>0</v>
      </c>
      <c r="H55" s="153"/>
      <c r="I55" s="153"/>
      <c r="J55" s="143"/>
      <c r="K55" s="153"/>
      <c r="L55" s="153"/>
      <c r="M55" s="143">
        <f t="shared" si="8"/>
        <v>0</v>
      </c>
      <c r="N55" s="153"/>
      <c r="O55" s="153"/>
      <c r="P55" s="145">
        <f t="shared" si="9"/>
        <v>0</v>
      </c>
      <c r="Q55" s="155"/>
      <c r="R55" s="155"/>
      <c r="S55" s="166">
        <f t="shared" si="10"/>
        <v>0</v>
      </c>
      <c r="T55" s="150"/>
    </row>
    <row r="56" spans="1:20" ht="25.5" customHeight="1" x14ac:dyDescent="0.3">
      <c r="A56" s="152"/>
      <c r="B56" s="153"/>
      <c r="C56" s="153"/>
      <c r="D56" s="149">
        <f t="shared" si="6"/>
        <v>0</v>
      </c>
      <c r="E56" s="154"/>
      <c r="F56" s="154"/>
      <c r="G56" s="143">
        <f t="shared" si="7"/>
        <v>0</v>
      </c>
      <c r="H56" s="154"/>
      <c r="I56" s="154"/>
      <c r="J56" s="149"/>
      <c r="K56" s="153"/>
      <c r="L56" s="154"/>
      <c r="M56" s="143">
        <f t="shared" si="8"/>
        <v>0</v>
      </c>
      <c r="N56" s="154"/>
      <c r="O56" s="154"/>
      <c r="P56" s="145">
        <f t="shared" si="9"/>
        <v>0</v>
      </c>
      <c r="Q56" s="155"/>
      <c r="R56" s="155"/>
      <c r="S56" s="166">
        <f t="shared" si="10"/>
        <v>0</v>
      </c>
      <c r="T56" s="150"/>
    </row>
    <row r="57" spans="1:20" ht="25.5" customHeight="1" x14ac:dyDescent="0.3">
      <c r="A57" s="152"/>
      <c r="B57" s="153"/>
      <c r="C57" s="153"/>
      <c r="D57" s="149">
        <f t="shared" si="6"/>
        <v>0</v>
      </c>
      <c r="E57" s="154"/>
      <c r="F57" s="154"/>
      <c r="G57" s="143">
        <f t="shared" si="7"/>
        <v>0</v>
      </c>
      <c r="H57" s="154"/>
      <c r="I57" s="154"/>
      <c r="J57" s="149"/>
      <c r="K57" s="154"/>
      <c r="L57" s="154"/>
      <c r="M57" s="143">
        <f t="shared" si="8"/>
        <v>0</v>
      </c>
      <c r="N57" s="153"/>
      <c r="O57" s="154"/>
      <c r="P57" s="145">
        <f t="shared" si="9"/>
        <v>0</v>
      </c>
      <c r="Q57" s="155"/>
      <c r="R57" s="155"/>
      <c r="S57" s="166">
        <f t="shared" si="10"/>
        <v>0</v>
      </c>
      <c r="T57" s="150"/>
    </row>
    <row r="58" spans="1:20" ht="25.5" customHeight="1" x14ac:dyDescent="0.3">
      <c r="A58" s="152"/>
      <c r="B58" s="154"/>
      <c r="C58" s="153"/>
      <c r="D58" s="149">
        <f t="shared" si="6"/>
        <v>0</v>
      </c>
      <c r="E58" s="154"/>
      <c r="F58" s="154"/>
      <c r="G58" s="143">
        <f t="shared" si="7"/>
        <v>0</v>
      </c>
      <c r="H58" s="154"/>
      <c r="I58" s="154"/>
      <c r="J58" s="149"/>
      <c r="K58" s="154"/>
      <c r="L58" s="154"/>
      <c r="M58" s="143">
        <f t="shared" si="8"/>
        <v>0</v>
      </c>
      <c r="N58" s="154"/>
      <c r="O58" s="154"/>
      <c r="P58" s="145">
        <f t="shared" si="9"/>
        <v>0</v>
      </c>
      <c r="Q58" s="155"/>
      <c r="R58" s="155"/>
      <c r="S58" s="166">
        <f t="shared" si="10"/>
        <v>0</v>
      </c>
      <c r="T58" s="150"/>
    </row>
    <row r="59" spans="1:20" ht="25.5" customHeight="1" x14ac:dyDescent="0.3">
      <c r="A59" s="152"/>
      <c r="B59" s="153"/>
      <c r="C59" s="153"/>
      <c r="D59" s="149">
        <f t="shared" si="6"/>
        <v>0</v>
      </c>
      <c r="E59" s="153"/>
      <c r="F59" s="154"/>
      <c r="G59" s="143">
        <f t="shared" si="7"/>
        <v>0</v>
      </c>
      <c r="H59" s="154"/>
      <c r="I59" s="154"/>
      <c r="J59" s="149"/>
      <c r="K59" s="153"/>
      <c r="L59" s="154"/>
      <c r="M59" s="143">
        <f t="shared" si="8"/>
        <v>0</v>
      </c>
      <c r="N59" s="154"/>
      <c r="O59" s="154"/>
      <c r="P59" s="145">
        <f t="shared" si="9"/>
        <v>0</v>
      </c>
      <c r="Q59" s="155"/>
      <c r="R59" s="155"/>
      <c r="S59" s="166">
        <f t="shared" si="10"/>
        <v>0</v>
      </c>
      <c r="T59" s="150"/>
    </row>
    <row r="60" spans="1:20" ht="25.5" customHeight="1" x14ac:dyDescent="0.3">
      <c r="A60" s="152"/>
      <c r="B60" s="153"/>
      <c r="C60" s="153"/>
      <c r="D60" s="149">
        <f t="shared" si="6"/>
        <v>0</v>
      </c>
      <c r="E60" s="154"/>
      <c r="F60" s="154"/>
      <c r="G60" s="143">
        <f t="shared" si="7"/>
        <v>0</v>
      </c>
      <c r="H60" s="154"/>
      <c r="I60" s="154"/>
      <c r="J60" s="149"/>
      <c r="K60" s="153"/>
      <c r="L60" s="154"/>
      <c r="M60" s="143">
        <f t="shared" si="8"/>
        <v>0</v>
      </c>
      <c r="N60" s="154"/>
      <c r="O60" s="154"/>
      <c r="P60" s="145">
        <f t="shared" si="9"/>
        <v>0</v>
      </c>
      <c r="Q60" s="155"/>
      <c r="R60" s="155"/>
      <c r="S60" s="166">
        <f t="shared" si="10"/>
        <v>0</v>
      </c>
      <c r="T60" s="150"/>
    </row>
    <row r="61" spans="1:20" ht="25.5" customHeight="1" x14ac:dyDescent="0.3">
      <c r="A61" s="152"/>
      <c r="B61" s="153"/>
      <c r="C61" s="153"/>
      <c r="D61" s="149">
        <f t="shared" si="6"/>
        <v>0</v>
      </c>
      <c r="E61" s="154"/>
      <c r="F61" s="154"/>
      <c r="G61" s="143">
        <f t="shared" si="7"/>
        <v>0</v>
      </c>
      <c r="H61" s="154"/>
      <c r="I61" s="154"/>
      <c r="J61" s="149"/>
      <c r="K61" s="153"/>
      <c r="L61" s="154"/>
      <c r="M61" s="143">
        <f t="shared" si="8"/>
        <v>0</v>
      </c>
      <c r="N61" s="154"/>
      <c r="O61" s="154"/>
      <c r="P61" s="145">
        <f t="shared" si="9"/>
        <v>0</v>
      </c>
      <c r="Q61" s="155"/>
      <c r="R61" s="155"/>
      <c r="S61" s="166">
        <f t="shared" si="10"/>
        <v>0</v>
      </c>
      <c r="T61" s="150"/>
    </row>
    <row r="62" spans="1:20" ht="25.5" customHeight="1" x14ac:dyDescent="0.3">
      <c r="A62" s="152"/>
      <c r="B62" s="153"/>
      <c r="C62" s="153"/>
      <c r="D62" s="149">
        <f t="shared" si="6"/>
        <v>0</v>
      </c>
      <c r="E62" s="154"/>
      <c r="F62" s="154"/>
      <c r="G62" s="143">
        <f t="shared" si="7"/>
        <v>0</v>
      </c>
      <c r="H62" s="154"/>
      <c r="I62" s="154"/>
      <c r="J62" s="149"/>
      <c r="K62" s="154"/>
      <c r="L62" s="154"/>
      <c r="M62" s="143">
        <f t="shared" si="8"/>
        <v>0</v>
      </c>
      <c r="N62" s="154"/>
      <c r="O62" s="154"/>
      <c r="P62" s="145">
        <f t="shared" si="9"/>
        <v>0</v>
      </c>
      <c r="Q62" s="155"/>
      <c r="R62" s="155"/>
      <c r="S62" s="166">
        <f t="shared" si="10"/>
        <v>0</v>
      </c>
      <c r="T62" s="150"/>
    </row>
    <row r="63" spans="1:20" ht="25.5" customHeight="1" x14ac:dyDescent="0.3">
      <c r="A63" s="152"/>
      <c r="B63" s="153"/>
      <c r="C63" s="153"/>
      <c r="D63" s="149">
        <f t="shared" si="6"/>
        <v>0</v>
      </c>
      <c r="E63" s="153"/>
      <c r="F63" s="154"/>
      <c r="G63" s="143">
        <f t="shared" si="7"/>
        <v>0</v>
      </c>
      <c r="H63" s="154"/>
      <c r="I63" s="154"/>
      <c r="J63" s="149"/>
      <c r="K63" s="154"/>
      <c r="L63" s="154"/>
      <c r="M63" s="143">
        <f t="shared" si="8"/>
        <v>0</v>
      </c>
      <c r="N63" s="154"/>
      <c r="O63" s="154"/>
      <c r="P63" s="145">
        <f t="shared" si="9"/>
        <v>0</v>
      </c>
      <c r="Q63" s="155"/>
      <c r="R63" s="155"/>
      <c r="S63" s="166">
        <f t="shared" si="10"/>
        <v>0</v>
      </c>
      <c r="T63" s="150"/>
    </row>
    <row r="64" spans="1:20" ht="25.5" customHeight="1" x14ac:dyDescent="0.3">
      <c r="A64" s="152"/>
      <c r="B64" s="153"/>
      <c r="C64" s="153"/>
      <c r="D64" s="149">
        <f t="shared" si="6"/>
        <v>0</v>
      </c>
      <c r="E64" s="154"/>
      <c r="F64" s="153"/>
      <c r="G64" s="143">
        <f t="shared" si="7"/>
        <v>0</v>
      </c>
      <c r="H64" s="154"/>
      <c r="I64" s="154"/>
      <c r="J64" s="149"/>
      <c r="K64" s="153"/>
      <c r="L64" s="154"/>
      <c r="M64" s="143">
        <f t="shared" si="8"/>
        <v>0</v>
      </c>
      <c r="N64" s="154"/>
      <c r="O64" s="154"/>
      <c r="P64" s="145">
        <f t="shared" si="9"/>
        <v>0</v>
      </c>
      <c r="Q64" s="155"/>
      <c r="R64" s="155"/>
      <c r="S64" s="166">
        <f t="shared" si="10"/>
        <v>0</v>
      </c>
      <c r="T64" s="150"/>
    </row>
    <row r="65" spans="1:20" ht="25.5" customHeight="1" x14ac:dyDescent="0.3">
      <c r="A65" s="144"/>
      <c r="B65" s="146"/>
      <c r="C65" s="146"/>
      <c r="D65" s="149">
        <f t="shared" si="6"/>
        <v>0</v>
      </c>
      <c r="E65" s="101"/>
      <c r="F65" s="146"/>
      <c r="G65" s="143">
        <f t="shared" si="7"/>
        <v>0</v>
      </c>
      <c r="H65" s="101"/>
      <c r="I65" s="101"/>
      <c r="J65" s="99"/>
      <c r="K65" s="146"/>
      <c r="L65" s="101"/>
      <c r="M65" s="143">
        <f t="shared" si="8"/>
        <v>0</v>
      </c>
      <c r="N65" s="101"/>
      <c r="O65" s="101"/>
      <c r="P65" s="145">
        <f t="shared" si="9"/>
        <v>0</v>
      </c>
      <c r="Q65" s="167"/>
      <c r="R65" s="167"/>
      <c r="S65" s="166">
        <f t="shared" si="10"/>
        <v>0</v>
      </c>
      <c r="T65" s="139"/>
    </row>
    <row r="66" spans="1:20" ht="25.5" customHeight="1" x14ac:dyDescent="0.3">
      <c r="A66" s="144"/>
      <c r="B66" s="146"/>
      <c r="C66" s="146"/>
      <c r="D66" s="149">
        <f t="shared" si="6"/>
        <v>0</v>
      </c>
      <c r="E66" s="101"/>
      <c r="F66" s="146"/>
      <c r="G66" s="143">
        <f t="shared" si="7"/>
        <v>0</v>
      </c>
      <c r="H66" s="101"/>
      <c r="I66" s="101"/>
      <c r="J66" s="99"/>
      <c r="K66" s="146"/>
      <c r="L66" s="101"/>
      <c r="M66" s="143">
        <f t="shared" si="8"/>
        <v>0</v>
      </c>
      <c r="N66" s="101"/>
      <c r="O66" s="101"/>
      <c r="P66" s="145">
        <f t="shared" si="9"/>
        <v>0</v>
      </c>
      <c r="Q66" s="167"/>
      <c r="R66" s="167"/>
      <c r="S66" s="166">
        <f t="shared" si="10"/>
        <v>0</v>
      </c>
      <c r="T66" s="139"/>
    </row>
    <row r="67" spans="1:20" ht="25.5" customHeight="1" x14ac:dyDescent="0.3">
      <c r="A67" s="144"/>
      <c r="B67" s="146"/>
      <c r="C67" s="146"/>
      <c r="D67" s="149">
        <f t="shared" si="6"/>
        <v>0</v>
      </c>
      <c r="E67" s="101"/>
      <c r="F67" s="146"/>
      <c r="G67" s="143">
        <f t="shared" si="7"/>
        <v>0</v>
      </c>
      <c r="H67" s="101"/>
      <c r="I67" s="101"/>
      <c r="J67" s="99"/>
      <c r="K67" s="146"/>
      <c r="L67" s="101"/>
      <c r="M67" s="143">
        <f t="shared" si="8"/>
        <v>0</v>
      </c>
      <c r="N67" s="101"/>
      <c r="O67" s="101"/>
      <c r="P67" s="145">
        <f t="shared" si="9"/>
        <v>0</v>
      </c>
      <c r="Q67" s="167"/>
      <c r="R67" s="167"/>
      <c r="S67" s="166">
        <f t="shared" si="10"/>
        <v>0</v>
      </c>
      <c r="T67" s="139"/>
    </row>
    <row r="68" spans="1:20" ht="25.5" customHeight="1" x14ac:dyDescent="0.3">
      <c r="A68" s="144"/>
      <c r="B68" s="146"/>
      <c r="C68" s="146"/>
      <c r="D68" s="149">
        <f t="shared" ref="D68:D69" si="11">B68+C68</f>
        <v>0</v>
      </c>
      <c r="E68" s="101"/>
      <c r="F68" s="101"/>
      <c r="G68" s="143">
        <f t="shared" si="7"/>
        <v>0</v>
      </c>
      <c r="H68" s="101"/>
      <c r="I68" s="101"/>
      <c r="J68" s="99"/>
      <c r="K68" s="101"/>
      <c r="L68" s="101"/>
      <c r="M68" s="143">
        <f t="shared" si="8"/>
        <v>0</v>
      </c>
      <c r="N68" s="101"/>
      <c r="O68" s="101"/>
      <c r="P68" s="145">
        <f t="shared" si="9"/>
        <v>0</v>
      </c>
      <c r="Q68" s="167"/>
      <c r="R68" s="167"/>
      <c r="S68" s="166">
        <f t="shared" si="10"/>
        <v>0</v>
      </c>
      <c r="T68" s="139"/>
    </row>
    <row r="69" spans="1:20" ht="22.5" customHeight="1" x14ac:dyDescent="0.3">
      <c r="A69" s="102"/>
      <c r="B69" s="103"/>
      <c r="C69" s="103"/>
      <c r="D69" s="149">
        <f t="shared" si="11"/>
        <v>0</v>
      </c>
      <c r="E69" s="98"/>
      <c r="F69" s="98"/>
      <c r="G69" s="99">
        <f t="shared" ref="G69" si="12">SUM(E69:F69)</f>
        <v>0</v>
      </c>
      <c r="H69" s="98"/>
      <c r="I69" s="98"/>
      <c r="J69" s="99">
        <f t="shared" ref="J69" si="13">SUM(H69:I69)</f>
        <v>0</v>
      </c>
      <c r="K69" s="98"/>
      <c r="L69" s="98"/>
      <c r="M69" s="99">
        <f t="shared" ref="M69" si="14">SUM(K69:L69)</f>
        <v>0</v>
      </c>
      <c r="N69" s="98"/>
      <c r="O69" s="102"/>
      <c r="P69" s="100">
        <f t="shared" ref="P69" si="15">SUM(N69:O69)</f>
        <v>0</v>
      </c>
      <c r="Q69" s="167"/>
      <c r="R69" s="167"/>
      <c r="S69" s="166">
        <f t="shared" si="10"/>
        <v>0</v>
      </c>
      <c r="T69" s="139"/>
    </row>
    <row r="70" spans="1:20" ht="29.25" customHeight="1" x14ac:dyDescent="0.4">
      <c r="A70" s="118" t="s">
        <v>96</v>
      </c>
      <c r="B70" s="119">
        <f>SUM(B5:B69)</f>
        <v>1580230</v>
      </c>
      <c r="C70" s="119">
        <f>SUM(C5:C69)</f>
        <v>634710</v>
      </c>
      <c r="D70" s="119">
        <f>SUM(D5:D68)</f>
        <v>2214940</v>
      </c>
      <c r="E70" s="119">
        <f>SUM(E5:E69)</f>
        <v>886</v>
      </c>
      <c r="F70" s="119">
        <f>SUM(F5:F69)</f>
        <v>1000</v>
      </c>
      <c r="G70" s="119">
        <f>SUM(G5:G69)</f>
        <v>1886</v>
      </c>
      <c r="H70" s="119">
        <f>SUM(H5:H69)</f>
        <v>0</v>
      </c>
      <c r="I70" s="119">
        <f>SUM(I5:I69)</f>
        <v>0</v>
      </c>
      <c r="J70" s="119">
        <f>SUM(H70:I70)</f>
        <v>0</v>
      </c>
      <c r="K70" s="119">
        <f t="shared" ref="K70:P70" si="16">SUM(K5:K69)</f>
        <v>20040</v>
      </c>
      <c r="L70" s="119">
        <f t="shared" si="16"/>
        <v>8950</v>
      </c>
      <c r="M70" s="119">
        <f t="shared" si="16"/>
        <v>28990</v>
      </c>
      <c r="N70" s="119">
        <f t="shared" si="16"/>
        <v>39510</v>
      </c>
      <c r="O70" s="119">
        <f t="shared" si="16"/>
        <v>110300</v>
      </c>
      <c r="P70" s="119">
        <f t="shared" si="16"/>
        <v>149810</v>
      </c>
      <c r="Q70" s="120"/>
      <c r="R70" s="120"/>
      <c r="S70" s="119">
        <f>SUM(S5:S69)</f>
        <v>56790</v>
      </c>
      <c r="T70" s="141">
        <f>SUM(T5:T69)</f>
        <v>903</v>
      </c>
    </row>
    <row r="71" spans="1:20" ht="26.25" customHeight="1" x14ac:dyDescent="0.25">
      <c r="A71" s="337">
        <f>D70*0.2</f>
        <v>442988</v>
      </c>
      <c r="B71" s="338"/>
      <c r="C71" s="338"/>
      <c r="D71" s="339"/>
      <c r="E71" s="334">
        <f>G70*0.2</f>
        <v>377.20000000000005</v>
      </c>
      <c r="F71" s="335"/>
      <c r="G71" s="336"/>
      <c r="H71" s="334">
        <f>J70*0.2</f>
        <v>0</v>
      </c>
      <c r="I71" s="356"/>
      <c r="J71" s="357"/>
      <c r="K71" s="334">
        <f>M70*0.2</f>
        <v>5798</v>
      </c>
      <c r="L71" s="356"/>
      <c r="M71" s="357"/>
      <c r="N71" s="334">
        <f>P70*0.2</f>
        <v>29962</v>
      </c>
      <c r="O71" s="356"/>
      <c r="P71" s="357"/>
      <c r="Q71" s="331"/>
      <c r="R71" s="332"/>
      <c r="S71" s="333"/>
    </row>
    <row r="72" spans="1:20" ht="36.75" customHeight="1" x14ac:dyDescent="0.25">
      <c r="A72" s="353" t="s">
        <v>100</v>
      </c>
      <c r="B72" s="354"/>
      <c r="C72" s="355"/>
      <c r="D72" s="106">
        <f>D70+A71</f>
        <v>2657928</v>
      </c>
      <c r="E72" s="318">
        <f>G70+E71</f>
        <v>2263.1999999999998</v>
      </c>
      <c r="F72" s="319"/>
      <c r="G72" s="320"/>
      <c r="H72" s="318">
        <f>J70+H71</f>
        <v>0</v>
      </c>
      <c r="I72" s="319"/>
      <c r="J72" s="320"/>
      <c r="K72" s="318">
        <f>M70+K71</f>
        <v>34788</v>
      </c>
      <c r="L72" s="319"/>
      <c r="M72" s="320"/>
      <c r="N72" s="318">
        <f>P70+N71</f>
        <v>179772</v>
      </c>
      <c r="O72" s="319"/>
      <c r="P72" s="320"/>
      <c r="Q72" s="318">
        <f>S70+Q71</f>
        <v>56790</v>
      </c>
      <c r="R72" s="319"/>
      <c r="S72" s="320"/>
    </row>
    <row r="73" spans="1:20" ht="37.5" customHeight="1" x14ac:dyDescent="0.25">
      <c r="A73" s="358" t="s">
        <v>116</v>
      </c>
      <c r="B73" s="359"/>
      <c r="C73" s="360"/>
      <c r="D73" s="107">
        <f>D72/6000000*(100)</f>
        <v>44.2988</v>
      </c>
      <c r="E73" s="324">
        <f>E72/10000*(100)</f>
        <v>22.631999999999998</v>
      </c>
      <c r="F73" s="325"/>
      <c r="G73" s="326"/>
      <c r="H73" s="321">
        <f>H72/6000*(100)</f>
        <v>0</v>
      </c>
      <c r="I73" s="322"/>
      <c r="J73" s="323"/>
      <c r="K73" s="321">
        <f>K72/270000*(100)</f>
        <v>12.884444444444446</v>
      </c>
      <c r="L73" s="322"/>
      <c r="M73" s="323"/>
      <c r="N73" s="321">
        <f>N72/150000*(100)</f>
        <v>119.848</v>
      </c>
      <c r="O73" s="322"/>
      <c r="P73" s="323"/>
      <c r="Q73" s="321">
        <f>Q72/20000*(100)</f>
        <v>283.95</v>
      </c>
      <c r="R73" s="322"/>
      <c r="S73" s="323"/>
    </row>
    <row r="74" spans="1:20" ht="23.25" x14ac:dyDescent="0.25">
      <c r="B74" s="373" t="s">
        <v>95</v>
      </c>
      <c r="C74" s="374"/>
      <c r="D74" s="375"/>
      <c r="E74" s="376" t="s">
        <v>97</v>
      </c>
      <c r="F74" s="377"/>
      <c r="G74" s="378"/>
      <c r="H74" s="361" t="s">
        <v>94</v>
      </c>
      <c r="I74" s="362"/>
      <c r="J74" s="363"/>
      <c r="K74" s="364" t="s">
        <v>99</v>
      </c>
      <c r="L74" s="365"/>
      <c r="M74" s="366"/>
      <c r="N74" s="367" t="s">
        <v>115</v>
      </c>
      <c r="O74" s="368"/>
      <c r="P74" s="369"/>
      <c r="Q74" s="370" t="s">
        <v>118</v>
      </c>
      <c r="R74" s="371"/>
      <c r="S74" s="372"/>
    </row>
    <row r="75" spans="1:20" ht="23.25" x14ac:dyDescent="0.25">
      <c r="B75" s="156"/>
      <c r="C75" s="156"/>
      <c r="D75" s="156"/>
      <c r="E75" s="157"/>
      <c r="F75" s="157"/>
      <c r="G75" s="157"/>
      <c r="H75" s="158"/>
      <c r="I75" s="158"/>
      <c r="J75" s="158"/>
      <c r="K75" s="159"/>
      <c r="L75" s="159"/>
      <c r="M75" s="159"/>
      <c r="N75" s="160"/>
      <c r="O75" s="160"/>
      <c r="P75" s="160"/>
      <c r="Q75" s="161"/>
      <c r="R75" s="161"/>
      <c r="S75" s="161"/>
    </row>
    <row r="76" spans="1:20" x14ac:dyDescent="0.25">
      <c r="Q76" s="57"/>
    </row>
    <row r="77" spans="1:20" s="109" customFormat="1" ht="44.25" customHeight="1" x14ac:dyDescent="0.4">
      <c r="B77" s="111"/>
      <c r="C77" s="111"/>
      <c r="D77" s="111">
        <f>SUM(D26:D46)</f>
        <v>381360</v>
      </c>
      <c r="G77" s="111">
        <f>SUM(G26:G46)</f>
        <v>1789</v>
      </c>
      <c r="H77" s="111"/>
      <c r="J77" s="114"/>
      <c r="K77" s="111"/>
      <c r="L77" s="111"/>
      <c r="M77" s="111">
        <f>SUM(M26:M46)</f>
        <v>8790</v>
      </c>
      <c r="P77" s="111">
        <f>SUM(P26:P46)</f>
        <v>30000</v>
      </c>
      <c r="S77" s="111">
        <f>SUM(S26:S46)</f>
        <v>22200</v>
      </c>
      <c r="T77" s="109">
        <f>SUM(T26:T46)</f>
        <v>138</v>
      </c>
    </row>
    <row r="78" spans="1:20" s="109" customFormat="1" ht="34.5" customHeight="1" x14ac:dyDescent="0.4">
      <c r="B78" s="111"/>
      <c r="D78" s="115"/>
      <c r="E78" s="111"/>
      <c r="G78" s="115"/>
      <c r="H78" s="112"/>
      <c r="J78" s="115"/>
      <c r="K78" s="111"/>
      <c r="L78" s="111"/>
      <c r="M78" s="114"/>
    </row>
    <row r="79" spans="1:20" s="113" customFormat="1" ht="57.75" customHeight="1" x14ac:dyDescent="0.4">
      <c r="B79" s="114"/>
      <c r="D79" s="110"/>
      <c r="E79" s="115"/>
      <c r="G79" s="110"/>
      <c r="J79" s="110"/>
      <c r="M79" s="116"/>
    </row>
    <row r="80" spans="1:20" x14ac:dyDescent="0.25">
      <c r="B80" s="57"/>
      <c r="C80" s="57"/>
      <c r="E80" s="57"/>
      <c r="M80" s="57"/>
    </row>
    <row r="81" spans="2:15" x14ac:dyDescent="0.25">
      <c r="B81" s="73"/>
      <c r="C81" s="73"/>
      <c r="M81" s="73"/>
      <c r="O81" s="57"/>
    </row>
    <row r="82" spans="2:15" x14ac:dyDescent="0.25">
      <c r="B82" s="57"/>
      <c r="C82" s="57"/>
      <c r="M82" s="57"/>
    </row>
    <row r="83" spans="2:15" x14ac:dyDescent="0.25">
      <c r="B83" s="73"/>
    </row>
    <row r="84" spans="2:15" x14ac:dyDescent="0.25">
      <c r="I84" s="108"/>
    </row>
    <row r="85" spans="2:15" x14ac:dyDescent="0.25">
      <c r="I85" s="108"/>
    </row>
    <row r="86" spans="2:15" x14ac:dyDescent="0.25">
      <c r="I86" s="108"/>
    </row>
  </sheetData>
  <mergeCells count="32">
    <mergeCell ref="A73:C73"/>
    <mergeCell ref="H74:J74"/>
    <mergeCell ref="K74:M74"/>
    <mergeCell ref="N74:P74"/>
    <mergeCell ref="Q74:S74"/>
    <mergeCell ref="B74:D74"/>
    <mergeCell ref="E74:G74"/>
    <mergeCell ref="A1:S1"/>
    <mergeCell ref="A3:A4"/>
    <mergeCell ref="Q3:S3"/>
    <mergeCell ref="Q72:S72"/>
    <mergeCell ref="Q71:S71"/>
    <mergeCell ref="E71:G71"/>
    <mergeCell ref="A71:D71"/>
    <mergeCell ref="N3:P3"/>
    <mergeCell ref="B3:D3"/>
    <mergeCell ref="E3:G3"/>
    <mergeCell ref="H3:J3"/>
    <mergeCell ref="K3:M3"/>
    <mergeCell ref="A72:C72"/>
    <mergeCell ref="N71:P71"/>
    <mergeCell ref="K71:M71"/>
    <mergeCell ref="H71:J71"/>
    <mergeCell ref="E72:G72"/>
    <mergeCell ref="Q73:S73"/>
    <mergeCell ref="E73:G73"/>
    <mergeCell ref="H73:J73"/>
    <mergeCell ref="K73:M73"/>
    <mergeCell ref="N73:P73"/>
    <mergeCell ref="H72:J72"/>
    <mergeCell ref="K72:M72"/>
    <mergeCell ref="N72:P72"/>
  </mergeCells>
  <printOptions horizontalCentered="1" verticalCentered="1"/>
  <pageMargins left="0" right="0" top="0.75" bottom="0.75" header="0.3" footer="0.3"/>
  <pageSetup paperSize="5" scale="4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F49"/>
  <sheetViews>
    <sheetView view="pageLayout" zoomScale="136" zoomScaleNormal="100" zoomScalePageLayoutView="136" workbookViewId="0">
      <selection activeCell="F12" sqref="F12"/>
    </sheetView>
  </sheetViews>
  <sheetFormatPr defaultRowHeight="15" x14ac:dyDescent="0.25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</cols>
  <sheetData>
    <row r="1" spans="1:6" ht="30.75" customHeight="1" x14ac:dyDescent="0.25"/>
    <row r="2" spans="1:6" ht="20.25" customHeight="1" x14ac:dyDescent="0.25">
      <c r="A2" s="55"/>
      <c r="B2" s="69" t="s">
        <v>112</v>
      </c>
      <c r="C2" s="56"/>
      <c r="D2" s="69" t="s">
        <v>113</v>
      </c>
      <c r="E2" s="56"/>
      <c r="F2" s="69" t="s">
        <v>114</v>
      </c>
    </row>
    <row r="3" spans="1:6" ht="15.75" x14ac:dyDescent="0.25">
      <c r="A3" s="70">
        <v>1</v>
      </c>
      <c r="B3" s="52" t="s">
        <v>85</v>
      </c>
      <c r="C3" s="70">
        <v>1</v>
      </c>
      <c r="D3" s="52" t="s">
        <v>51</v>
      </c>
      <c r="E3" s="70">
        <v>1</v>
      </c>
      <c r="F3" s="52" t="s">
        <v>63</v>
      </c>
    </row>
    <row r="4" spans="1:6" ht="15.75" x14ac:dyDescent="0.25">
      <c r="A4" s="71">
        <v>2</v>
      </c>
      <c r="B4" s="53" t="s">
        <v>79</v>
      </c>
      <c r="C4" s="71">
        <v>2</v>
      </c>
      <c r="D4" s="53" t="s">
        <v>58</v>
      </c>
      <c r="E4" s="71">
        <v>2</v>
      </c>
      <c r="F4" s="53" t="s">
        <v>39</v>
      </c>
    </row>
    <row r="5" spans="1:6" ht="15.75" x14ac:dyDescent="0.25">
      <c r="A5" s="71">
        <v>3</v>
      </c>
      <c r="B5" s="53" t="s">
        <v>82</v>
      </c>
      <c r="C5" s="71">
        <v>3</v>
      </c>
      <c r="D5" s="53" t="s">
        <v>43</v>
      </c>
      <c r="E5" s="71">
        <v>3</v>
      </c>
      <c r="F5" s="53" t="s">
        <v>46</v>
      </c>
    </row>
    <row r="6" spans="1:6" ht="15.75" x14ac:dyDescent="0.25">
      <c r="A6" s="71">
        <v>4</v>
      </c>
      <c r="B6" s="53" t="s">
        <v>55</v>
      </c>
      <c r="C6" s="71">
        <v>4</v>
      </c>
      <c r="D6" s="53" t="s">
        <v>57</v>
      </c>
      <c r="E6" s="71">
        <v>4</v>
      </c>
      <c r="F6" s="53" t="s">
        <v>44</v>
      </c>
    </row>
    <row r="7" spans="1:6" ht="15.75" x14ac:dyDescent="0.25">
      <c r="A7" s="71">
        <v>5</v>
      </c>
      <c r="B7" s="53" t="s">
        <v>48</v>
      </c>
      <c r="C7" s="71">
        <v>5</v>
      </c>
      <c r="D7" s="53" t="s">
        <v>45</v>
      </c>
      <c r="E7" s="71">
        <v>5</v>
      </c>
      <c r="F7" s="53" t="s">
        <v>68</v>
      </c>
    </row>
    <row r="8" spans="1:6" ht="15.75" x14ac:dyDescent="0.25">
      <c r="A8" s="71">
        <v>6</v>
      </c>
      <c r="B8" s="53" t="s">
        <v>49</v>
      </c>
      <c r="C8" s="71">
        <v>6</v>
      </c>
      <c r="D8" s="53" t="s">
        <v>72</v>
      </c>
      <c r="E8" s="71">
        <v>6</v>
      </c>
      <c r="F8" s="53" t="s">
        <v>42</v>
      </c>
    </row>
    <row r="9" spans="1:6" ht="15.75" x14ac:dyDescent="0.25">
      <c r="A9" s="71">
        <v>7</v>
      </c>
      <c r="B9" s="53" t="s">
        <v>70</v>
      </c>
      <c r="C9" s="71">
        <v>7</v>
      </c>
      <c r="D9" s="53" t="s">
        <v>47</v>
      </c>
      <c r="E9" s="71">
        <v>7</v>
      </c>
      <c r="F9" s="53" t="s">
        <v>88</v>
      </c>
    </row>
    <row r="10" spans="1:6" ht="15.75" x14ac:dyDescent="0.25">
      <c r="A10" s="71">
        <v>8</v>
      </c>
      <c r="B10" s="53" t="s">
        <v>73</v>
      </c>
      <c r="C10" s="71">
        <v>8</v>
      </c>
      <c r="D10" s="53" t="s">
        <v>90</v>
      </c>
      <c r="E10" s="71">
        <v>8</v>
      </c>
      <c r="F10" s="53" t="s">
        <v>84</v>
      </c>
    </row>
    <row r="11" spans="1:6" ht="15.75" x14ac:dyDescent="0.25">
      <c r="A11" s="71">
        <v>9</v>
      </c>
      <c r="B11" s="53" t="s">
        <v>71</v>
      </c>
      <c r="C11" s="71">
        <v>9</v>
      </c>
      <c r="D11" s="53" t="s">
        <v>54</v>
      </c>
      <c r="E11" s="71">
        <v>9</v>
      </c>
      <c r="F11" s="53" t="s">
        <v>81</v>
      </c>
    </row>
    <row r="12" spans="1:6" ht="15.75" x14ac:dyDescent="0.25">
      <c r="A12" s="71">
        <v>10</v>
      </c>
      <c r="B12" s="53" t="s">
        <v>67</v>
      </c>
      <c r="C12" s="71">
        <v>10</v>
      </c>
      <c r="D12" s="53" t="s">
        <v>60</v>
      </c>
      <c r="E12" s="71">
        <v>10</v>
      </c>
      <c r="F12" s="53" t="s">
        <v>75</v>
      </c>
    </row>
    <row r="13" spans="1:6" ht="15.75" x14ac:dyDescent="0.25">
      <c r="A13" s="71">
        <v>11</v>
      </c>
      <c r="B13" s="53" t="s">
        <v>74</v>
      </c>
      <c r="C13" s="71">
        <v>11</v>
      </c>
      <c r="D13" s="53" t="s">
        <v>64</v>
      </c>
      <c r="E13" s="71">
        <v>11</v>
      </c>
      <c r="F13" s="53" t="s">
        <v>76</v>
      </c>
    </row>
    <row r="14" spans="1:6" ht="15.75" x14ac:dyDescent="0.25">
      <c r="A14" s="71">
        <v>12</v>
      </c>
      <c r="B14" s="53" t="s">
        <v>83</v>
      </c>
      <c r="C14" s="71">
        <v>12</v>
      </c>
      <c r="D14" s="53" t="s">
        <v>53</v>
      </c>
      <c r="E14" s="71">
        <v>12</v>
      </c>
      <c r="F14" s="53" t="s">
        <v>77</v>
      </c>
    </row>
    <row r="15" spans="1:6" ht="15.75" x14ac:dyDescent="0.25">
      <c r="A15" s="71">
        <v>13</v>
      </c>
      <c r="B15" s="53" t="s">
        <v>65</v>
      </c>
      <c r="C15" s="71">
        <v>13</v>
      </c>
      <c r="D15" s="53" t="s">
        <v>50</v>
      </c>
      <c r="E15" s="71">
        <v>13</v>
      </c>
      <c r="F15" s="53" t="s">
        <v>78</v>
      </c>
    </row>
    <row r="16" spans="1:6" ht="15.75" x14ac:dyDescent="0.25">
      <c r="A16" s="71">
        <v>14</v>
      </c>
      <c r="B16" s="53" t="s">
        <v>62</v>
      </c>
      <c r="C16" s="71">
        <v>14</v>
      </c>
      <c r="D16" s="53" t="s">
        <v>59</v>
      </c>
      <c r="E16" s="71">
        <v>14</v>
      </c>
      <c r="F16" s="53" t="s">
        <v>52</v>
      </c>
    </row>
    <row r="17" spans="1:6" ht="15.75" x14ac:dyDescent="0.25">
      <c r="A17" s="71">
        <v>15</v>
      </c>
      <c r="B17" s="53" t="s">
        <v>56</v>
      </c>
      <c r="C17" s="71"/>
      <c r="D17" s="53"/>
      <c r="E17" s="71">
        <v>15</v>
      </c>
      <c r="F17" s="53" t="s">
        <v>86</v>
      </c>
    </row>
    <row r="18" spans="1:6" ht="15.75" x14ac:dyDescent="0.25">
      <c r="A18" s="71"/>
      <c r="B18" s="53"/>
      <c r="C18" s="71"/>
      <c r="D18" s="53"/>
      <c r="E18" s="71">
        <v>16</v>
      </c>
      <c r="F18" s="53" t="s">
        <v>69</v>
      </c>
    </row>
    <row r="19" spans="1:6" ht="15.75" x14ac:dyDescent="0.25">
      <c r="A19" s="71"/>
      <c r="B19" s="53"/>
      <c r="C19" s="71"/>
      <c r="D19" s="53"/>
      <c r="E19" s="71">
        <v>17</v>
      </c>
      <c r="F19" s="53" t="s">
        <v>80</v>
      </c>
    </row>
    <row r="20" spans="1:6" ht="15.75" x14ac:dyDescent="0.25">
      <c r="A20" s="71"/>
      <c r="B20" s="53"/>
      <c r="C20" s="71"/>
      <c r="D20" s="53"/>
      <c r="E20" s="71">
        <v>18</v>
      </c>
      <c r="F20" s="53" t="s">
        <v>61</v>
      </c>
    </row>
    <row r="21" spans="1:6" ht="15.75" x14ac:dyDescent="0.25">
      <c r="A21" s="72"/>
      <c r="B21" s="54"/>
      <c r="C21" s="72"/>
      <c r="D21" s="54"/>
      <c r="E21" s="72">
        <v>19</v>
      </c>
      <c r="F21" s="54" t="s">
        <v>66</v>
      </c>
    </row>
    <row r="34" spans="1:2" ht="18.75" x14ac:dyDescent="0.25">
      <c r="A34" s="55"/>
      <c r="B34" s="69" t="s">
        <v>112</v>
      </c>
    </row>
    <row r="35" spans="1:2" ht="15.75" x14ac:dyDescent="0.25">
      <c r="A35" s="70">
        <v>1</v>
      </c>
      <c r="B35" s="52" t="s">
        <v>85</v>
      </c>
    </row>
    <row r="36" spans="1:2" ht="15.75" x14ac:dyDescent="0.25">
      <c r="A36" s="71">
        <v>2</v>
      </c>
      <c r="B36" s="53" t="s">
        <v>79</v>
      </c>
    </row>
    <row r="37" spans="1:2" ht="15.75" x14ac:dyDescent="0.25">
      <c r="A37" s="71">
        <v>3</v>
      </c>
      <c r="B37" s="53" t="s">
        <v>82</v>
      </c>
    </row>
    <row r="38" spans="1:2" ht="15.75" x14ac:dyDescent="0.25">
      <c r="A38" s="71">
        <v>4</v>
      </c>
      <c r="B38" s="53" t="s">
        <v>55</v>
      </c>
    </row>
    <row r="39" spans="1:2" ht="15.75" x14ac:dyDescent="0.25">
      <c r="A39" s="71">
        <v>5</v>
      </c>
      <c r="B39" s="53" t="s">
        <v>48</v>
      </c>
    </row>
    <row r="40" spans="1:2" ht="15.75" x14ac:dyDescent="0.25">
      <c r="A40" s="71">
        <v>6</v>
      </c>
      <c r="B40" s="53" t="s">
        <v>49</v>
      </c>
    </row>
    <row r="41" spans="1:2" ht="15.75" x14ac:dyDescent="0.25">
      <c r="A41" s="71">
        <v>7</v>
      </c>
      <c r="B41" s="53" t="s">
        <v>70</v>
      </c>
    </row>
    <row r="42" spans="1:2" ht="15.75" x14ac:dyDescent="0.25">
      <c r="A42" s="71">
        <v>8</v>
      </c>
      <c r="B42" s="53" t="s">
        <v>73</v>
      </c>
    </row>
    <row r="43" spans="1:2" ht="15.75" x14ac:dyDescent="0.25">
      <c r="A43" s="71">
        <v>9</v>
      </c>
      <c r="B43" s="53" t="s">
        <v>71</v>
      </c>
    </row>
    <row r="44" spans="1:2" ht="15.75" x14ac:dyDescent="0.25">
      <c r="A44" s="71">
        <v>10</v>
      </c>
      <c r="B44" s="53" t="s">
        <v>67</v>
      </c>
    </row>
    <row r="45" spans="1:2" ht="15.75" x14ac:dyDescent="0.25">
      <c r="A45" s="71">
        <v>11</v>
      </c>
      <c r="B45" s="53" t="s">
        <v>74</v>
      </c>
    </row>
    <row r="46" spans="1:2" ht="15.75" x14ac:dyDescent="0.25">
      <c r="A46" s="71">
        <v>12</v>
      </c>
      <c r="B46" s="53" t="s">
        <v>83</v>
      </c>
    </row>
    <row r="47" spans="1:2" ht="15.75" x14ac:dyDescent="0.25">
      <c r="A47" s="71">
        <v>13</v>
      </c>
      <c r="B47" s="53" t="s">
        <v>65</v>
      </c>
    </row>
    <row r="48" spans="1:2" ht="15.75" x14ac:dyDescent="0.25">
      <c r="A48" s="71">
        <v>14</v>
      </c>
      <c r="B48" s="53" t="s">
        <v>62</v>
      </c>
    </row>
    <row r="49" spans="1:2" ht="15.75" x14ac:dyDescent="0.25">
      <c r="A49" s="71">
        <v>15</v>
      </c>
      <c r="B49" s="53" t="s">
        <v>56</v>
      </c>
    </row>
  </sheetData>
  <sortState xmlns:xlrd2="http://schemas.microsoft.com/office/spreadsheetml/2017/richdata2" ref="A2:F21">
    <sortCondition ref="F3"/>
  </sortState>
  <printOptions horizontalCentered="1"/>
  <pageMargins left="0.7" right="0.7" top="0.75" bottom="0.75" header="0.3" footer="0.3"/>
  <pageSetup orientation="landscape" r:id="rId1"/>
  <headerFooter>
    <oddHeader>&amp;C
&amp;"-,Bold"&amp;14PROVINCE OF BOHOL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ED17-330B-4B90-8F2F-08F9F90A25B7}">
  <sheetPr>
    <tabColor theme="5"/>
  </sheetPr>
  <dimension ref="A1:O43"/>
  <sheetViews>
    <sheetView view="pageBreakPreview" topLeftCell="A14" zoomScale="96" zoomScaleNormal="100" zoomScaleSheetLayoutView="96" workbookViewId="0">
      <selection activeCell="J18" sqref="J18:L29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4.2851562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2272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1</v>
      </c>
      <c r="B12" s="194" t="s">
        <v>2292</v>
      </c>
      <c r="C12" s="177"/>
      <c r="D12" s="185" t="s">
        <v>706</v>
      </c>
      <c r="E12" s="187" t="s">
        <v>64</v>
      </c>
      <c r="F12" s="179" t="s">
        <v>2293</v>
      </c>
      <c r="G12" s="185" t="s">
        <v>2294</v>
      </c>
      <c r="H12" s="185" t="s">
        <v>40</v>
      </c>
      <c r="I12" s="244">
        <v>6000</v>
      </c>
      <c r="J12" s="123" t="s">
        <v>123</v>
      </c>
      <c r="K12" s="77" t="s">
        <v>1311</v>
      </c>
      <c r="L12" s="117" t="s">
        <v>41</v>
      </c>
    </row>
    <row r="13" spans="1:15" ht="45.75" customHeight="1" x14ac:dyDescent="0.25">
      <c r="A13" s="172">
        <v>5</v>
      </c>
      <c r="B13" s="295" t="s">
        <v>2334</v>
      </c>
      <c r="C13" s="177"/>
      <c r="D13" s="176" t="s">
        <v>364</v>
      </c>
      <c r="E13" s="194" t="s">
        <v>60</v>
      </c>
      <c r="F13" s="131" t="s">
        <v>2335</v>
      </c>
      <c r="G13" s="176" t="s">
        <v>2336</v>
      </c>
      <c r="H13" s="130" t="s">
        <v>40</v>
      </c>
      <c r="I13" s="198">
        <v>1000</v>
      </c>
      <c r="J13" s="123" t="s">
        <v>123</v>
      </c>
      <c r="K13" s="77"/>
      <c r="L13" s="117" t="s">
        <v>41</v>
      </c>
      <c r="M13" s="105"/>
    </row>
    <row r="14" spans="1:15" ht="39.75" customHeight="1" x14ac:dyDescent="0.25">
      <c r="A14" s="172">
        <v>5</v>
      </c>
      <c r="B14" s="295" t="s">
        <v>2355</v>
      </c>
      <c r="C14" s="177"/>
      <c r="D14" s="176"/>
      <c r="E14" s="194" t="s">
        <v>44</v>
      </c>
      <c r="F14" s="131" t="s">
        <v>2356</v>
      </c>
      <c r="G14" s="191" t="s">
        <v>2357</v>
      </c>
      <c r="H14" s="130" t="s">
        <v>40</v>
      </c>
      <c r="I14" s="198">
        <v>3000</v>
      </c>
      <c r="J14" s="123" t="s">
        <v>123</v>
      </c>
      <c r="K14" s="77" t="s">
        <v>2358</v>
      </c>
      <c r="L14" s="117" t="s">
        <v>41</v>
      </c>
      <c r="M14" s="105"/>
    </row>
    <row r="15" spans="1:15" ht="33.75" customHeight="1" x14ac:dyDescent="0.25">
      <c r="A15" s="173">
        <v>8</v>
      </c>
      <c r="B15" s="194" t="s">
        <v>2368</v>
      </c>
      <c r="C15" s="177"/>
      <c r="D15" s="185" t="s">
        <v>2369</v>
      </c>
      <c r="E15" s="187" t="s">
        <v>70</v>
      </c>
      <c r="F15" s="179" t="s">
        <v>2370</v>
      </c>
      <c r="G15" s="176" t="s">
        <v>1195</v>
      </c>
      <c r="H15" s="185" t="s">
        <v>40</v>
      </c>
      <c r="I15" s="186">
        <v>16950</v>
      </c>
      <c r="J15" s="123" t="s">
        <v>123</v>
      </c>
      <c r="K15" s="77" t="s">
        <v>1311</v>
      </c>
      <c r="L15" s="117" t="s">
        <v>41</v>
      </c>
      <c r="M15" s="105"/>
      <c r="O15" s="57"/>
    </row>
    <row r="16" spans="1:15" ht="32.25" customHeight="1" x14ac:dyDescent="0.25">
      <c r="A16" s="239">
        <v>8</v>
      </c>
      <c r="B16" s="194" t="s">
        <v>2371</v>
      </c>
      <c r="C16" s="182"/>
      <c r="D16" s="176" t="s">
        <v>2372</v>
      </c>
      <c r="E16" s="176" t="s">
        <v>46</v>
      </c>
      <c r="F16" s="179" t="s">
        <v>2373</v>
      </c>
      <c r="G16" s="185" t="s">
        <v>2374</v>
      </c>
      <c r="H16" s="130" t="s">
        <v>40</v>
      </c>
      <c r="I16" s="186">
        <v>56900</v>
      </c>
      <c r="J16" s="123" t="s">
        <v>123</v>
      </c>
      <c r="K16" s="77" t="s">
        <v>1311</v>
      </c>
      <c r="L16" s="117" t="s">
        <v>41</v>
      </c>
      <c r="O16" s="57"/>
    </row>
    <row r="17" spans="1:15" ht="32.25" customHeight="1" x14ac:dyDescent="0.25">
      <c r="A17" s="239">
        <v>12</v>
      </c>
      <c r="B17" s="194" t="s">
        <v>2397</v>
      </c>
      <c r="C17" s="182"/>
      <c r="D17" s="176" t="s">
        <v>2398</v>
      </c>
      <c r="E17" s="176" t="s">
        <v>80</v>
      </c>
      <c r="F17" s="179" t="s">
        <v>2399</v>
      </c>
      <c r="G17" s="185" t="s">
        <v>2400</v>
      </c>
      <c r="H17" s="133" t="s">
        <v>40</v>
      </c>
      <c r="I17" s="186">
        <v>10000</v>
      </c>
      <c r="J17" s="123" t="s">
        <v>123</v>
      </c>
      <c r="K17" s="77"/>
      <c r="L17" s="117" t="s">
        <v>41</v>
      </c>
      <c r="O17" s="57"/>
    </row>
    <row r="18" spans="1:15" ht="31.5" customHeight="1" x14ac:dyDescent="0.25">
      <c r="A18" s="173"/>
      <c r="B18" s="187"/>
      <c r="C18" s="182"/>
      <c r="D18" s="185"/>
      <c r="E18" s="187"/>
      <c r="F18" s="179"/>
      <c r="G18" s="185"/>
      <c r="H18" s="133"/>
      <c r="I18" s="186"/>
      <c r="J18" s="123"/>
      <c r="K18" s="77"/>
      <c r="L18" s="117"/>
      <c r="O18" s="57"/>
    </row>
    <row r="19" spans="1:15" ht="36" customHeight="1" x14ac:dyDescent="0.25">
      <c r="A19" s="173"/>
      <c r="B19" s="187"/>
      <c r="C19" s="182"/>
      <c r="D19" s="185"/>
      <c r="E19" s="187"/>
      <c r="F19" s="179"/>
      <c r="G19" s="185"/>
      <c r="H19" s="185"/>
      <c r="I19" s="186"/>
      <c r="J19" s="123"/>
      <c r="K19" s="77"/>
      <c r="L19" s="117"/>
      <c r="O19" s="57"/>
    </row>
    <row r="20" spans="1:15" ht="47.25" customHeight="1" x14ac:dyDescent="0.25">
      <c r="A20" s="173"/>
      <c r="B20" s="187"/>
      <c r="C20" s="182"/>
      <c r="D20" s="185"/>
      <c r="E20" s="187"/>
      <c r="F20" s="179"/>
      <c r="G20" s="185"/>
      <c r="H20" s="185"/>
      <c r="I20" s="186"/>
      <c r="J20" s="123"/>
      <c r="K20" s="77"/>
      <c r="L20" s="117"/>
      <c r="O20" s="57"/>
    </row>
    <row r="21" spans="1:15" ht="27" customHeight="1" x14ac:dyDescent="0.25">
      <c r="A21" s="173"/>
      <c r="B21" s="194"/>
      <c r="C21" s="182"/>
      <c r="D21" s="176"/>
      <c r="E21" s="176"/>
      <c r="F21" s="179"/>
      <c r="G21" s="185"/>
      <c r="H21" s="130"/>
      <c r="I21" s="198"/>
      <c r="J21" s="123"/>
      <c r="K21" s="77"/>
      <c r="L21" s="117"/>
      <c r="O21" s="57"/>
    </row>
    <row r="22" spans="1:15" ht="35.25" customHeight="1" x14ac:dyDescent="0.25">
      <c r="A22" s="173"/>
      <c r="B22" s="187"/>
      <c r="C22" s="177"/>
      <c r="D22" s="176"/>
      <c r="E22" s="194"/>
      <c r="F22" s="179"/>
      <c r="G22" s="176"/>
      <c r="H22" s="185"/>
      <c r="I22" s="198"/>
      <c r="J22" s="123"/>
      <c r="K22" s="77"/>
      <c r="L22" s="117"/>
      <c r="O22" s="57"/>
    </row>
    <row r="23" spans="1:15" ht="42" customHeight="1" x14ac:dyDescent="0.25">
      <c r="A23" s="173"/>
      <c r="B23" s="181"/>
      <c r="C23" s="182"/>
      <c r="D23" s="183"/>
      <c r="E23" s="183"/>
      <c r="F23" s="179"/>
      <c r="G23" s="185"/>
      <c r="H23" s="187"/>
      <c r="I23" s="186"/>
      <c r="J23" s="123"/>
      <c r="K23" s="77"/>
      <c r="L23" s="117"/>
      <c r="O23" s="57"/>
    </row>
    <row r="24" spans="1:15" ht="33" customHeight="1" x14ac:dyDescent="0.25">
      <c r="A24" s="173"/>
      <c r="B24" s="181"/>
      <c r="C24" s="182"/>
      <c r="D24" s="183"/>
      <c r="E24" s="183"/>
      <c r="F24" s="184"/>
      <c r="G24" s="185"/>
      <c r="H24" s="191"/>
      <c r="I24" s="186"/>
      <c r="J24" s="123"/>
      <c r="K24" s="77"/>
      <c r="L24" s="117"/>
      <c r="O24" s="57"/>
    </row>
    <row r="25" spans="1:15" ht="18" customHeight="1" x14ac:dyDescent="0.25">
      <c r="A25" s="173"/>
      <c r="B25" s="181"/>
      <c r="C25" s="182"/>
      <c r="D25" s="183"/>
      <c r="E25" s="183"/>
      <c r="F25" s="184"/>
      <c r="G25" s="183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85"/>
      <c r="H27" s="187"/>
      <c r="I27" s="186"/>
      <c r="J27" s="123"/>
      <c r="K27" s="77"/>
      <c r="L27" s="117"/>
      <c r="O27" s="57"/>
    </row>
    <row r="28" spans="1:15" ht="16.5" customHeight="1" x14ac:dyDescent="0.25">
      <c r="A28" s="196"/>
      <c r="B28" s="197"/>
      <c r="C28" s="133"/>
      <c r="D28" s="133"/>
      <c r="E28" s="133"/>
      <c r="F28" s="179"/>
      <c r="G28" s="185"/>
      <c r="H28" s="187"/>
      <c r="I28" s="186"/>
      <c r="J28" s="123"/>
      <c r="K28" s="77"/>
      <c r="L28" s="117"/>
      <c r="O28" s="57"/>
    </row>
    <row r="29" spans="1:15" ht="16.5" customHeight="1" x14ac:dyDescent="0.25">
      <c r="A29" s="196"/>
      <c r="B29" s="197"/>
      <c r="C29" s="133"/>
      <c r="D29" s="133"/>
      <c r="E29" s="133"/>
      <c r="F29" s="179"/>
      <c r="G29" s="133"/>
      <c r="H29" s="187"/>
      <c r="I29" s="186"/>
      <c r="J29" s="123"/>
      <c r="K29" s="77"/>
      <c r="L29" s="117"/>
      <c r="O29" s="57"/>
    </row>
    <row r="30" spans="1:15" x14ac:dyDescent="0.25">
      <c r="A30" s="137"/>
      <c r="B30" s="77"/>
      <c r="C30" s="122"/>
      <c r="D30" s="77"/>
      <c r="E30" s="77"/>
      <c r="F30" s="138"/>
      <c r="G30" s="77"/>
      <c r="H30" s="104"/>
      <c r="I30" s="124"/>
      <c r="J30" s="122"/>
      <c r="K30" s="77"/>
      <c r="L30" s="77"/>
      <c r="O30" s="57"/>
    </row>
    <row r="31" spans="1:15" x14ac:dyDescent="0.25">
      <c r="I31" s="26"/>
      <c r="J31" s="26"/>
    </row>
    <row r="32" spans="1:15" x14ac:dyDescent="0.25">
      <c r="F32" s="25"/>
      <c r="I32" s="51" t="s">
        <v>19</v>
      </c>
      <c r="J32" s="26"/>
      <c r="K32" s="175"/>
      <c r="L32" s="25"/>
    </row>
    <row r="33" spans="2:12" x14ac:dyDescent="0.25">
      <c r="I33" s="26" t="s">
        <v>103</v>
      </c>
      <c r="J33" s="26"/>
      <c r="K33" s="195" t="s">
        <v>2378</v>
      </c>
      <c r="L33" s="165"/>
    </row>
    <row r="34" spans="2:12" x14ac:dyDescent="0.25">
      <c r="B34" t="s">
        <v>20</v>
      </c>
      <c r="E34" t="s">
        <v>21</v>
      </c>
      <c r="I34" s="26" t="s">
        <v>104</v>
      </c>
      <c r="J34" s="95"/>
      <c r="K34" s="202" t="s">
        <v>119</v>
      </c>
      <c r="L34" s="205">
        <f>SUM(I12:I16)</f>
        <v>83850</v>
      </c>
    </row>
    <row r="35" spans="2:12" x14ac:dyDescent="0.25">
      <c r="I35" s="26" t="s">
        <v>121</v>
      </c>
      <c r="J35" s="95"/>
      <c r="K35" s="195" t="s">
        <v>2404</v>
      </c>
      <c r="L35" s="206"/>
    </row>
    <row r="36" spans="2:12" x14ac:dyDescent="0.25">
      <c r="I36" s="26" t="s">
        <v>147</v>
      </c>
      <c r="J36" s="95"/>
      <c r="K36" s="195" t="s">
        <v>119</v>
      </c>
      <c r="L36" s="205">
        <v>10000</v>
      </c>
    </row>
    <row r="37" spans="2:12" x14ac:dyDescent="0.25">
      <c r="I37" s="26" t="s">
        <v>105</v>
      </c>
      <c r="J37" s="95"/>
      <c r="K37" s="202"/>
      <c r="L37" s="205"/>
    </row>
    <row r="38" spans="2:12" x14ac:dyDescent="0.25">
      <c r="B38" s="27"/>
      <c r="E38" s="147"/>
      <c r="F38" s="147"/>
      <c r="G38" s="147"/>
      <c r="H38" s="147"/>
      <c r="I38" s="26" t="s">
        <v>107</v>
      </c>
      <c r="J38" s="95"/>
      <c r="K38" s="195"/>
      <c r="L38" s="205"/>
    </row>
    <row r="39" spans="2:12" x14ac:dyDescent="0.25">
      <c r="B39" s="162" t="s">
        <v>173</v>
      </c>
      <c r="C39" s="162"/>
      <c r="D39" s="162"/>
      <c r="E39" s="163" t="s">
        <v>125</v>
      </c>
      <c r="F39" s="148"/>
      <c r="G39" s="148"/>
      <c r="H39" s="148"/>
      <c r="I39" s="26" t="s">
        <v>108</v>
      </c>
      <c r="J39" s="94"/>
      <c r="K39" s="202"/>
      <c r="L39" s="206"/>
    </row>
    <row r="40" spans="2:12" x14ac:dyDescent="0.25">
      <c r="B40" t="s">
        <v>172</v>
      </c>
      <c r="E40" t="s">
        <v>126</v>
      </c>
      <c r="I40" s="26" t="s">
        <v>22</v>
      </c>
      <c r="J40" s="97"/>
      <c r="K40" s="195"/>
      <c r="L40" s="205"/>
    </row>
    <row r="41" spans="2:12" x14ac:dyDescent="0.25">
      <c r="I41" s="3" t="s">
        <v>109</v>
      </c>
      <c r="J41" s="95"/>
      <c r="K41" s="202"/>
      <c r="L41" s="208"/>
    </row>
    <row r="42" spans="2:12" x14ac:dyDescent="0.25">
      <c r="I42" s="3" t="s">
        <v>87</v>
      </c>
      <c r="J42" s="95"/>
      <c r="K42" s="202"/>
      <c r="L42" s="208"/>
    </row>
    <row r="43" spans="2:12" x14ac:dyDescent="0.25">
      <c r="G43" s="25">
        <f>SUM(I12:I29)</f>
        <v>93850</v>
      </c>
      <c r="L43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F3A7-13FF-4DBF-92D9-F4F62B2CE55B}">
  <sheetPr>
    <tabColor theme="5"/>
  </sheetPr>
  <dimension ref="A1:U378"/>
  <sheetViews>
    <sheetView view="pageBreakPreview" topLeftCell="A61" zoomScaleNormal="100" zoomScaleSheetLayoutView="100" workbookViewId="0">
      <selection activeCell="M72" sqref="L72:M189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2272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/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/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2379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SUM(J12,J15:J43,J45:J55,J57:J63)</f>
        <v>155060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186</v>
      </c>
      <c r="S11" s="208">
        <f>SUM(J13:J14,J44,J56)</f>
        <v>55</v>
      </c>
    </row>
    <row r="12" spans="1:19" x14ac:dyDescent="0.25">
      <c r="A12" s="128">
        <v>1</v>
      </c>
      <c r="B12" s="191" t="s">
        <v>2273</v>
      </c>
      <c r="C12" s="130" t="s">
        <v>2274</v>
      </c>
      <c r="D12" s="130"/>
      <c r="E12" s="130" t="s">
        <v>127</v>
      </c>
      <c r="F12" s="130" t="s">
        <v>2222</v>
      </c>
      <c r="G12" s="130" t="s">
        <v>47</v>
      </c>
      <c r="H12" s="131"/>
      <c r="I12" s="133" t="s">
        <v>40</v>
      </c>
      <c r="J12" s="132">
        <v>300</v>
      </c>
      <c r="K12" s="129">
        <v>105</v>
      </c>
      <c r="L12" s="126" t="s">
        <v>120</v>
      </c>
      <c r="M12" s="126" t="s">
        <v>41</v>
      </c>
      <c r="O12">
        <f>J12/5</f>
        <v>60</v>
      </c>
      <c r="Q12" s="25"/>
      <c r="R12" s="230"/>
      <c r="S12" s="208"/>
    </row>
    <row r="13" spans="1:19" x14ac:dyDescent="0.25">
      <c r="A13" s="128">
        <v>1</v>
      </c>
      <c r="B13" s="191" t="s">
        <v>2273</v>
      </c>
      <c r="C13" s="130" t="s">
        <v>2274</v>
      </c>
      <c r="D13" s="130"/>
      <c r="E13" s="130" t="s">
        <v>127</v>
      </c>
      <c r="F13" s="130" t="s">
        <v>2222</v>
      </c>
      <c r="G13" s="130" t="s">
        <v>47</v>
      </c>
      <c r="H13" s="131"/>
      <c r="I13" s="306" t="s">
        <v>186</v>
      </c>
      <c r="J13" s="132">
        <v>10</v>
      </c>
      <c r="K13" s="129">
        <v>150</v>
      </c>
      <c r="L13" s="126" t="s">
        <v>120</v>
      </c>
      <c r="M13" s="126" t="s">
        <v>41</v>
      </c>
      <c r="O13">
        <f>J13/5</f>
        <v>2</v>
      </c>
      <c r="Q13" s="25"/>
      <c r="R13" s="229" t="s">
        <v>2401</v>
      </c>
      <c r="S13" s="208"/>
    </row>
    <row r="14" spans="1:19" x14ac:dyDescent="0.25">
      <c r="A14" s="128">
        <v>1</v>
      </c>
      <c r="B14" s="191" t="s">
        <v>1017</v>
      </c>
      <c r="C14" s="130" t="s">
        <v>1344</v>
      </c>
      <c r="D14" s="130"/>
      <c r="E14" s="130" t="s">
        <v>127</v>
      </c>
      <c r="F14" s="130" t="s">
        <v>144</v>
      </c>
      <c r="G14" s="130" t="s">
        <v>43</v>
      </c>
      <c r="H14" s="131" t="s">
        <v>2275</v>
      </c>
      <c r="I14" s="306" t="s">
        <v>186</v>
      </c>
      <c r="J14" s="132">
        <v>15</v>
      </c>
      <c r="K14" s="129">
        <v>225</v>
      </c>
      <c r="L14" s="126" t="s">
        <v>120</v>
      </c>
      <c r="M14" s="126" t="s">
        <v>41</v>
      </c>
      <c r="O14">
        <f t="shared" ref="O14:O186" si="0">J14/5</f>
        <v>3</v>
      </c>
      <c r="Q14" s="25"/>
      <c r="R14" s="204" t="s">
        <v>119</v>
      </c>
      <c r="S14" s="207">
        <f>SUM(J64:J71)</f>
        <v>6760</v>
      </c>
    </row>
    <row r="15" spans="1:19" x14ac:dyDescent="0.25">
      <c r="A15" s="128">
        <v>1</v>
      </c>
      <c r="B15" s="191" t="s">
        <v>2276</v>
      </c>
      <c r="C15" s="130" t="s">
        <v>182</v>
      </c>
      <c r="D15" s="130"/>
      <c r="E15" s="130" t="s">
        <v>127</v>
      </c>
      <c r="F15" s="130" t="s">
        <v>2277</v>
      </c>
      <c r="G15" s="130" t="s">
        <v>46</v>
      </c>
      <c r="H15" s="131" t="s">
        <v>2278</v>
      </c>
      <c r="I15" s="130" t="s">
        <v>40</v>
      </c>
      <c r="J15" s="132">
        <v>500</v>
      </c>
      <c r="K15" s="129">
        <v>175</v>
      </c>
      <c r="L15" s="126" t="s">
        <v>120</v>
      </c>
      <c r="M15" s="126" t="s">
        <v>41</v>
      </c>
      <c r="O15">
        <f t="shared" si="0"/>
        <v>100</v>
      </c>
      <c r="Q15" s="25"/>
      <c r="R15" s="230"/>
      <c r="S15" s="207"/>
    </row>
    <row r="16" spans="1:19" x14ac:dyDescent="0.25">
      <c r="A16" s="128">
        <v>1</v>
      </c>
      <c r="B16" s="191" t="s">
        <v>1678</v>
      </c>
      <c r="C16" s="130" t="s">
        <v>2279</v>
      </c>
      <c r="D16" s="130"/>
      <c r="E16" s="168" t="s">
        <v>129</v>
      </c>
      <c r="F16" s="130" t="s">
        <v>2280</v>
      </c>
      <c r="G16" s="130" t="s">
        <v>49</v>
      </c>
      <c r="H16" s="131" t="s">
        <v>2281</v>
      </c>
      <c r="I16" s="130" t="s">
        <v>40</v>
      </c>
      <c r="J16" s="132">
        <v>1000</v>
      </c>
      <c r="K16" s="129">
        <v>250</v>
      </c>
      <c r="L16" s="126" t="s">
        <v>120</v>
      </c>
      <c r="M16" s="126" t="s">
        <v>41</v>
      </c>
      <c r="O16">
        <f t="shared" si="0"/>
        <v>200</v>
      </c>
      <c r="R16" s="229"/>
      <c r="S16" s="207"/>
    </row>
    <row r="17" spans="1:19" x14ac:dyDescent="0.25">
      <c r="A17" s="128">
        <v>1</v>
      </c>
      <c r="B17" s="191" t="s">
        <v>2282</v>
      </c>
      <c r="C17" s="130" t="s">
        <v>2283</v>
      </c>
      <c r="D17" s="130"/>
      <c r="E17" s="130" t="s">
        <v>127</v>
      </c>
      <c r="F17" s="130" t="s">
        <v>565</v>
      </c>
      <c r="G17" s="130" t="s">
        <v>56</v>
      </c>
      <c r="H17" s="131" t="s">
        <v>2284</v>
      </c>
      <c r="I17" s="133" t="s">
        <v>40</v>
      </c>
      <c r="J17" s="132">
        <v>200</v>
      </c>
      <c r="K17" s="129">
        <v>50</v>
      </c>
      <c r="L17" s="126" t="s">
        <v>120</v>
      </c>
      <c r="M17" s="126" t="s">
        <v>41</v>
      </c>
      <c r="O17">
        <f t="shared" si="0"/>
        <v>40</v>
      </c>
      <c r="R17" s="230"/>
      <c r="S17" s="207"/>
    </row>
    <row r="18" spans="1:19" x14ac:dyDescent="0.25">
      <c r="A18" s="128">
        <v>1</v>
      </c>
      <c r="B18" s="191" t="s">
        <v>1020</v>
      </c>
      <c r="C18" s="130" t="s">
        <v>2285</v>
      </c>
      <c r="D18" s="130"/>
      <c r="E18" s="130" t="s">
        <v>127</v>
      </c>
      <c r="F18" s="130" t="s">
        <v>60</v>
      </c>
      <c r="G18" s="130" t="s">
        <v>54</v>
      </c>
      <c r="H18" s="131" t="s">
        <v>2286</v>
      </c>
      <c r="I18" s="130" t="s">
        <v>40</v>
      </c>
      <c r="J18" s="132">
        <v>1000</v>
      </c>
      <c r="K18" s="129">
        <v>250</v>
      </c>
      <c r="L18" s="126" t="s">
        <v>120</v>
      </c>
      <c r="M18" s="126" t="s">
        <v>41</v>
      </c>
      <c r="O18">
        <f t="shared" si="0"/>
        <v>200</v>
      </c>
      <c r="Q18" s="57"/>
      <c r="R18" s="279"/>
      <c r="S18" s="207"/>
    </row>
    <row r="19" spans="1:19" x14ac:dyDescent="0.25">
      <c r="A19" s="128">
        <v>1</v>
      </c>
      <c r="B19" s="191" t="s">
        <v>2287</v>
      </c>
      <c r="C19" s="130" t="s">
        <v>2288</v>
      </c>
      <c r="D19" s="130"/>
      <c r="E19" s="130" t="s">
        <v>127</v>
      </c>
      <c r="F19" s="130" t="s">
        <v>616</v>
      </c>
      <c r="G19" s="130" t="s">
        <v>43</v>
      </c>
      <c r="H19" s="131"/>
      <c r="I19" s="133" t="s">
        <v>40</v>
      </c>
      <c r="J19" s="132">
        <v>200</v>
      </c>
      <c r="K19" s="129">
        <v>50</v>
      </c>
      <c r="L19" s="126" t="s">
        <v>120</v>
      </c>
      <c r="M19" s="126" t="s">
        <v>41</v>
      </c>
      <c r="O19">
        <f t="shared" si="0"/>
        <v>40</v>
      </c>
      <c r="R19" s="230"/>
      <c r="S19" s="208"/>
    </row>
    <row r="20" spans="1:19" x14ac:dyDescent="0.25">
      <c r="A20" s="128">
        <v>1</v>
      </c>
      <c r="B20" s="191" t="s">
        <v>2289</v>
      </c>
      <c r="C20" s="130" t="s">
        <v>2290</v>
      </c>
      <c r="D20" s="130"/>
      <c r="E20" s="130" t="s">
        <v>127</v>
      </c>
      <c r="F20" s="130" t="s">
        <v>1248</v>
      </c>
      <c r="G20" s="130" t="s">
        <v>56</v>
      </c>
      <c r="H20" s="131" t="s">
        <v>2291</v>
      </c>
      <c r="I20" s="130" t="s">
        <v>40</v>
      </c>
      <c r="J20" s="132">
        <v>500</v>
      </c>
      <c r="K20" s="129">
        <v>125</v>
      </c>
      <c r="L20" s="126" t="s">
        <v>120</v>
      </c>
      <c r="M20" s="126" t="s">
        <v>41</v>
      </c>
      <c r="O20">
        <f t="shared" si="0"/>
        <v>100</v>
      </c>
      <c r="Q20" s="25"/>
      <c r="R20" s="230"/>
      <c r="S20" s="207"/>
    </row>
    <row r="21" spans="1:19" x14ac:dyDescent="0.25">
      <c r="A21" s="128">
        <v>1</v>
      </c>
      <c r="B21" s="191" t="s">
        <v>2295</v>
      </c>
      <c r="C21" s="130" t="s">
        <v>1768</v>
      </c>
      <c r="D21" s="130"/>
      <c r="E21" s="130" t="s">
        <v>127</v>
      </c>
      <c r="F21" s="130" t="s">
        <v>1070</v>
      </c>
      <c r="G21" s="130" t="s">
        <v>72</v>
      </c>
      <c r="H21" s="131" t="s">
        <v>2296</v>
      </c>
      <c r="I21" s="133" t="s">
        <v>40</v>
      </c>
      <c r="J21" s="132">
        <v>300</v>
      </c>
      <c r="K21" s="129">
        <v>105</v>
      </c>
      <c r="L21" s="126" t="s">
        <v>120</v>
      </c>
      <c r="M21" s="126" t="s">
        <v>41</v>
      </c>
      <c r="O21">
        <f t="shared" si="0"/>
        <v>60</v>
      </c>
      <c r="R21" s="279"/>
      <c r="S21" s="207"/>
    </row>
    <row r="22" spans="1:19" x14ac:dyDescent="0.25">
      <c r="A22" s="128">
        <v>1</v>
      </c>
      <c r="B22" s="191" t="s">
        <v>2297</v>
      </c>
      <c r="C22" s="130" t="s">
        <v>2298</v>
      </c>
      <c r="D22" s="130"/>
      <c r="E22" s="130" t="s">
        <v>127</v>
      </c>
      <c r="F22" s="130" t="s">
        <v>150</v>
      </c>
      <c r="G22" s="130" t="s">
        <v>48</v>
      </c>
      <c r="H22" s="131" t="s">
        <v>2299</v>
      </c>
      <c r="I22" s="130" t="s">
        <v>40</v>
      </c>
      <c r="J22" s="132">
        <v>1000</v>
      </c>
      <c r="K22" s="164">
        <v>250</v>
      </c>
      <c r="L22" s="126" t="s">
        <v>120</v>
      </c>
      <c r="M22" s="126" t="s">
        <v>41</v>
      </c>
      <c r="O22">
        <f t="shared" si="0"/>
        <v>200</v>
      </c>
      <c r="R22" s="229"/>
      <c r="S22" s="25"/>
    </row>
    <row r="23" spans="1:19" x14ac:dyDescent="0.25">
      <c r="A23" s="128">
        <v>1</v>
      </c>
      <c r="B23" s="191" t="s">
        <v>553</v>
      </c>
      <c r="C23" s="130" t="s">
        <v>629</v>
      </c>
      <c r="D23" s="130"/>
      <c r="E23" s="130" t="s">
        <v>127</v>
      </c>
      <c r="F23" s="130" t="s">
        <v>184</v>
      </c>
      <c r="G23" s="130" t="s">
        <v>42</v>
      </c>
      <c r="H23" s="131" t="s">
        <v>2300</v>
      </c>
      <c r="I23" s="133" t="s">
        <v>40</v>
      </c>
      <c r="J23" s="132">
        <v>300</v>
      </c>
      <c r="K23" s="129">
        <v>105</v>
      </c>
      <c r="L23" s="126" t="s">
        <v>120</v>
      </c>
      <c r="M23" s="126" t="s">
        <v>41</v>
      </c>
      <c r="O23">
        <f t="shared" si="0"/>
        <v>60</v>
      </c>
      <c r="R23" s="230"/>
      <c r="S23" s="25"/>
    </row>
    <row r="24" spans="1:19" x14ac:dyDescent="0.25">
      <c r="A24" s="128">
        <v>1</v>
      </c>
      <c r="B24" s="191" t="s">
        <v>2301</v>
      </c>
      <c r="C24" s="130" t="s">
        <v>1533</v>
      </c>
      <c r="D24" s="130"/>
      <c r="E24" s="168" t="s">
        <v>129</v>
      </c>
      <c r="F24" s="130" t="s">
        <v>2302</v>
      </c>
      <c r="G24" s="130" t="s">
        <v>69</v>
      </c>
      <c r="H24" s="131" t="s">
        <v>2303</v>
      </c>
      <c r="I24" s="130" t="s">
        <v>40</v>
      </c>
      <c r="J24" s="132">
        <v>400</v>
      </c>
      <c r="K24" s="129">
        <v>100</v>
      </c>
      <c r="L24" s="126" t="s">
        <v>120</v>
      </c>
      <c r="M24" s="126" t="s">
        <v>41</v>
      </c>
      <c r="O24">
        <f t="shared" si="0"/>
        <v>80</v>
      </c>
      <c r="R24" s="292"/>
      <c r="S24" s="57"/>
    </row>
    <row r="25" spans="1:19" x14ac:dyDescent="0.25">
      <c r="A25" s="128">
        <v>1</v>
      </c>
      <c r="B25" s="191" t="s">
        <v>2304</v>
      </c>
      <c r="C25" s="130" t="s">
        <v>2305</v>
      </c>
      <c r="D25" s="130"/>
      <c r="E25" s="130" t="s">
        <v>127</v>
      </c>
      <c r="F25" s="130" t="s">
        <v>2306</v>
      </c>
      <c r="G25" s="130" t="s">
        <v>64</v>
      </c>
      <c r="H25" s="131" t="s">
        <v>2307</v>
      </c>
      <c r="I25" s="130" t="s">
        <v>40</v>
      </c>
      <c r="J25" s="132">
        <v>500</v>
      </c>
      <c r="K25" s="129">
        <v>175</v>
      </c>
      <c r="L25" s="126" t="s">
        <v>120</v>
      </c>
      <c r="M25" s="126" t="s">
        <v>41</v>
      </c>
      <c r="O25">
        <f t="shared" si="0"/>
        <v>100</v>
      </c>
      <c r="R25" s="171"/>
      <c r="S25" s="57"/>
    </row>
    <row r="26" spans="1:19" x14ac:dyDescent="0.25">
      <c r="A26" s="128">
        <v>1</v>
      </c>
      <c r="B26" s="191" t="s">
        <v>167</v>
      </c>
      <c r="C26" s="130" t="s">
        <v>1791</v>
      </c>
      <c r="D26" s="130"/>
      <c r="E26" s="130" t="s">
        <v>127</v>
      </c>
      <c r="F26" s="130" t="s">
        <v>130</v>
      </c>
      <c r="G26" s="130" t="s">
        <v>43</v>
      </c>
      <c r="H26" s="131"/>
      <c r="I26" s="130" t="s">
        <v>40</v>
      </c>
      <c r="J26" s="132">
        <v>10000</v>
      </c>
      <c r="K26" s="129">
        <v>2500</v>
      </c>
      <c r="L26" s="126" t="s">
        <v>120</v>
      </c>
      <c r="M26" s="126" t="s">
        <v>41</v>
      </c>
      <c r="O26">
        <f t="shared" si="0"/>
        <v>2000</v>
      </c>
      <c r="R26" s="171"/>
      <c r="S26" s="57"/>
    </row>
    <row r="27" spans="1:19" x14ac:dyDescent="0.25">
      <c r="A27" s="128">
        <v>1</v>
      </c>
      <c r="B27" s="191" t="s">
        <v>2308</v>
      </c>
      <c r="C27" s="130" t="s">
        <v>2309</v>
      </c>
      <c r="D27" s="130"/>
      <c r="E27" s="130" t="s">
        <v>127</v>
      </c>
      <c r="F27" s="130"/>
      <c r="G27" s="130" t="s">
        <v>60</v>
      </c>
      <c r="H27" s="131" t="s">
        <v>2310</v>
      </c>
      <c r="I27" s="130" t="s">
        <v>40</v>
      </c>
      <c r="J27" s="132">
        <v>500</v>
      </c>
      <c r="K27" s="129">
        <v>175</v>
      </c>
      <c r="L27" s="126" t="s">
        <v>120</v>
      </c>
      <c r="M27" s="126" t="s">
        <v>41</v>
      </c>
      <c r="O27">
        <f t="shared" si="0"/>
        <v>100</v>
      </c>
      <c r="R27" s="25"/>
      <c r="S27" s="25"/>
    </row>
    <row r="28" spans="1:19" x14ac:dyDescent="0.25">
      <c r="A28" s="128">
        <v>1</v>
      </c>
      <c r="B28" s="191" t="s">
        <v>2311</v>
      </c>
      <c r="C28" s="130" t="s">
        <v>665</v>
      </c>
      <c r="D28" s="130"/>
      <c r="E28" s="130" t="s">
        <v>127</v>
      </c>
      <c r="F28" s="130" t="s">
        <v>1418</v>
      </c>
      <c r="G28" s="130" t="s">
        <v>69</v>
      </c>
      <c r="H28" s="131" t="s">
        <v>2312</v>
      </c>
      <c r="I28" s="130" t="s">
        <v>40</v>
      </c>
      <c r="J28" s="132">
        <v>1000</v>
      </c>
      <c r="K28" s="129">
        <v>250</v>
      </c>
      <c r="L28" s="126" t="s">
        <v>120</v>
      </c>
      <c r="M28" s="126" t="s">
        <v>41</v>
      </c>
      <c r="O28">
        <f t="shared" si="0"/>
        <v>200</v>
      </c>
      <c r="R28" s="25"/>
      <c r="S28" s="25"/>
    </row>
    <row r="29" spans="1:19" x14ac:dyDescent="0.25">
      <c r="A29" s="128">
        <v>1</v>
      </c>
      <c r="B29" s="191" t="s">
        <v>2311</v>
      </c>
      <c r="C29" s="130" t="s">
        <v>665</v>
      </c>
      <c r="D29" s="130"/>
      <c r="E29" s="130" t="s">
        <v>127</v>
      </c>
      <c r="F29" s="130" t="s">
        <v>1418</v>
      </c>
      <c r="G29" s="130" t="s">
        <v>69</v>
      </c>
      <c r="H29" s="131" t="s">
        <v>2312</v>
      </c>
      <c r="I29" s="240" t="s">
        <v>145</v>
      </c>
      <c r="J29" s="132">
        <v>500</v>
      </c>
      <c r="K29" s="129">
        <v>125</v>
      </c>
      <c r="L29" s="126" t="s">
        <v>120</v>
      </c>
      <c r="M29" s="126" t="s">
        <v>41</v>
      </c>
      <c r="O29">
        <f t="shared" si="0"/>
        <v>100</v>
      </c>
      <c r="R29" s="25"/>
      <c r="S29" s="57"/>
    </row>
    <row r="30" spans="1:19" x14ac:dyDescent="0.25">
      <c r="A30" s="128">
        <v>1</v>
      </c>
      <c r="B30" s="191" t="s">
        <v>2313</v>
      </c>
      <c r="C30" s="130" t="s">
        <v>2314</v>
      </c>
      <c r="D30" s="130"/>
      <c r="E30" s="168" t="s">
        <v>129</v>
      </c>
      <c r="F30" s="130" t="s">
        <v>128</v>
      </c>
      <c r="G30" s="130" t="s">
        <v>54</v>
      </c>
      <c r="H30" s="131"/>
      <c r="I30" s="133" t="s">
        <v>40</v>
      </c>
      <c r="J30" s="132">
        <v>500</v>
      </c>
      <c r="K30" s="129">
        <v>175</v>
      </c>
      <c r="L30" s="126" t="s">
        <v>120</v>
      </c>
      <c r="M30" s="126" t="s">
        <v>41</v>
      </c>
      <c r="O30">
        <f t="shared" si="0"/>
        <v>100</v>
      </c>
      <c r="R30" s="25"/>
      <c r="S30" s="25"/>
    </row>
    <row r="31" spans="1:19" x14ac:dyDescent="0.25">
      <c r="A31" s="128">
        <v>1</v>
      </c>
      <c r="B31" s="191" t="s">
        <v>2315</v>
      </c>
      <c r="C31" s="130" t="s">
        <v>2316</v>
      </c>
      <c r="D31" s="130"/>
      <c r="E31" s="130" t="s">
        <v>127</v>
      </c>
      <c r="F31" s="130" t="s">
        <v>128</v>
      </c>
      <c r="G31" s="130" t="s">
        <v>54</v>
      </c>
      <c r="H31" s="131" t="s">
        <v>2317</v>
      </c>
      <c r="I31" s="130" t="s">
        <v>40</v>
      </c>
      <c r="J31" s="132">
        <v>500</v>
      </c>
      <c r="K31" s="129">
        <v>175</v>
      </c>
      <c r="L31" s="126" t="s">
        <v>120</v>
      </c>
      <c r="M31" s="126" t="s">
        <v>41</v>
      </c>
      <c r="O31">
        <f t="shared" si="0"/>
        <v>100</v>
      </c>
      <c r="R31" s="25"/>
    </row>
    <row r="32" spans="1:19" x14ac:dyDescent="0.25">
      <c r="A32" s="128">
        <v>1</v>
      </c>
      <c r="B32" s="191" t="s">
        <v>2318</v>
      </c>
      <c r="C32" s="130" t="s">
        <v>1073</v>
      </c>
      <c r="D32" s="130"/>
      <c r="E32" s="130" t="s">
        <v>127</v>
      </c>
      <c r="F32" s="130" t="s">
        <v>346</v>
      </c>
      <c r="G32" s="130" t="s">
        <v>42</v>
      </c>
      <c r="H32" s="131" t="s">
        <v>2319</v>
      </c>
      <c r="I32" s="130" t="s">
        <v>40</v>
      </c>
      <c r="J32" s="132">
        <v>500</v>
      </c>
      <c r="K32" s="129">
        <v>125</v>
      </c>
      <c r="L32" s="126" t="s">
        <v>120</v>
      </c>
      <c r="M32" s="126" t="s">
        <v>41</v>
      </c>
      <c r="O32">
        <f t="shared" si="0"/>
        <v>100</v>
      </c>
      <c r="R32" s="25"/>
    </row>
    <row r="33" spans="1:21" x14ac:dyDescent="0.25">
      <c r="A33" s="128">
        <v>1</v>
      </c>
      <c r="B33" s="191" t="s">
        <v>2318</v>
      </c>
      <c r="C33" s="130" t="s">
        <v>1073</v>
      </c>
      <c r="D33" s="130"/>
      <c r="E33" s="130" t="s">
        <v>127</v>
      </c>
      <c r="F33" s="130" t="s">
        <v>346</v>
      </c>
      <c r="G33" s="130" t="s">
        <v>42</v>
      </c>
      <c r="H33" s="131" t="s">
        <v>2319</v>
      </c>
      <c r="I33" s="240" t="s">
        <v>145</v>
      </c>
      <c r="J33" s="132">
        <v>500</v>
      </c>
      <c r="K33" s="129">
        <v>125</v>
      </c>
      <c r="L33" s="126" t="s">
        <v>120</v>
      </c>
      <c r="M33" s="126" t="s">
        <v>41</v>
      </c>
      <c r="O33">
        <f t="shared" si="0"/>
        <v>100</v>
      </c>
      <c r="R33" s="25"/>
    </row>
    <row r="34" spans="1:21" x14ac:dyDescent="0.25">
      <c r="A34" s="128">
        <v>1</v>
      </c>
      <c r="B34" s="191" t="s">
        <v>2320</v>
      </c>
      <c r="C34" s="130" t="s">
        <v>2321</v>
      </c>
      <c r="D34" s="130"/>
      <c r="E34" s="168" t="s">
        <v>129</v>
      </c>
      <c r="F34" s="130" t="s">
        <v>949</v>
      </c>
      <c r="G34" s="130" t="s">
        <v>43</v>
      </c>
      <c r="H34" s="131" t="s">
        <v>2322</v>
      </c>
      <c r="I34" s="133" t="s">
        <v>40</v>
      </c>
      <c r="J34" s="132">
        <v>300</v>
      </c>
      <c r="K34" s="129">
        <v>105</v>
      </c>
      <c r="L34" s="126" t="s">
        <v>120</v>
      </c>
      <c r="M34" s="126" t="s">
        <v>41</v>
      </c>
      <c r="O34">
        <f t="shared" si="0"/>
        <v>60</v>
      </c>
    </row>
    <row r="35" spans="1:21" x14ac:dyDescent="0.25">
      <c r="A35" s="128">
        <v>2</v>
      </c>
      <c r="B35" s="191" t="s">
        <v>2323</v>
      </c>
      <c r="C35" s="130" t="s">
        <v>417</v>
      </c>
      <c r="D35" s="130"/>
      <c r="E35" s="130" t="s">
        <v>127</v>
      </c>
      <c r="F35" s="130" t="s">
        <v>2324</v>
      </c>
      <c r="G35" s="130" t="s">
        <v>58</v>
      </c>
      <c r="H35" s="131" t="s">
        <v>2325</v>
      </c>
      <c r="I35" s="130" t="s">
        <v>40</v>
      </c>
      <c r="J35" s="132">
        <v>1000</v>
      </c>
      <c r="K35" s="129" t="s">
        <v>123</v>
      </c>
      <c r="L35" s="126" t="s">
        <v>120</v>
      </c>
      <c r="M35" s="126" t="s">
        <v>41</v>
      </c>
      <c r="O35">
        <f t="shared" si="0"/>
        <v>200</v>
      </c>
      <c r="R35" s="25"/>
      <c r="S35" s="25"/>
      <c r="T35" s="25"/>
      <c r="U35" s="25"/>
    </row>
    <row r="36" spans="1:21" x14ac:dyDescent="0.25">
      <c r="A36" s="128">
        <v>5</v>
      </c>
      <c r="B36" s="191" t="s">
        <v>2326</v>
      </c>
      <c r="C36" s="130" t="s">
        <v>1242</v>
      </c>
      <c r="D36" s="130"/>
      <c r="E36" s="130" t="s">
        <v>127</v>
      </c>
      <c r="F36" s="130" t="s">
        <v>146</v>
      </c>
      <c r="G36" s="130" t="s">
        <v>57</v>
      </c>
      <c r="H36" s="131" t="s">
        <v>2327</v>
      </c>
      <c r="I36" s="130" t="s">
        <v>40</v>
      </c>
      <c r="J36" s="132">
        <v>5000</v>
      </c>
      <c r="K36" s="129">
        <v>1250</v>
      </c>
      <c r="L36" s="126" t="s">
        <v>120</v>
      </c>
      <c r="M36" s="126" t="s">
        <v>41</v>
      </c>
      <c r="O36">
        <f t="shared" si="0"/>
        <v>1000</v>
      </c>
      <c r="R36" s="25"/>
    </row>
    <row r="37" spans="1:21" x14ac:dyDescent="0.25">
      <c r="A37" s="128">
        <v>5</v>
      </c>
      <c r="B37" s="191" t="s">
        <v>516</v>
      </c>
      <c r="C37" s="130" t="s">
        <v>643</v>
      </c>
      <c r="D37" s="130"/>
      <c r="E37" s="130" t="s">
        <v>127</v>
      </c>
      <c r="F37" s="130" t="s">
        <v>130</v>
      </c>
      <c r="G37" s="130" t="s">
        <v>43</v>
      </c>
      <c r="H37" s="131"/>
      <c r="I37" s="130" t="s">
        <v>40</v>
      </c>
      <c r="J37" s="132">
        <v>2000</v>
      </c>
      <c r="K37" s="129">
        <v>500</v>
      </c>
      <c r="L37" s="126" t="s">
        <v>120</v>
      </c>
      <c r="M37" s="126" t="s">
        <v>41</v>
      </c>
      <c r="O37">
        <f t="shared" si="0"/>
        <v>400</v>
      </c>
      <c r="R37" s="25"/>
    </row>
    <row r="38" spans="1:21" x14ac:dyDescent="0.25">
      <c r="A38" s="128">
        <v>5</v>
      </c>
      <c r="B38" s="191" t="s">
        <v>505</v>
      </c>
      <c r="C38" s="130" t="s">
        <v>2328</v>
      </c>
      <c r="D38" s="130"/>
      <c r="E38" s="168" t="s">
        <v>129</v>
      </c>
      <c r="F38" s="130" t="s">
        <v>159</v>
      </c>
      <c r="G38" s="130" t="s">
        <v>54</v>
      </c>
      <c r="H38" s="131" t="s">
        <v>2329</v>
      </c>
      <c r="I38" s="130" t="s">
        <v>40</v>
      </c>
      <c r="J38" s="132">
        <v>2000</v>
      </c>
      <c r="K38" s="129">
        <v>500</v>
      </c>
      <c r="L38" s="126" t="s">
        <v>120</v>
      </c>
      <c r="M38" s="126" t="s">
        <v>41</v>
      </c>
      <c r="O38">
        <f t="shared" si="0"/>
        <v>400</v>
      </c>
    </row>
    <row r="39" spans="1:21" x14ac:dyDescent="0.25">
      <c r="A39" s="128">
        <v>5</v>
      </c>
      <c r="B39" s="191" t="s">
        <v>1840</v>
      </c>
      <c r="C39" s="130" t="s">
        <v>2330</v>
      </c>
      <c r="D39" s="130"/>
      <c r="E39" s="168" t="s">
        <v>129</v>
      </c>
      <c r="F39" s="130" t="s">
        <v>1225</v>
      </c>
      <c r="G39" s="130" t="s">
        <v>61</v>
      </c>
      <c r="H39" s="131" t="s">
        <v>2331</v>
      </c>
      <c r="I39" s="130" t="s">
        <v>40</v>
      </c>
      <c r="J39" s="132">
        <v>1000</v>
      </c>
      <c r="K39" s="129">
        <v>250</v>
      </c>
      <c r="L39" s="126" t="s">
        <v>120</v>
      </c>
      <c r="M39" s="126" t="s">
        <v>41</v>
      </c>
      <c r="O39">
        <f t="shared" si="0"/>
        <v>200</v>
      </c>
    </row>
    <row r="40" spans="1:21" x14ac:dyDescent="0.25">
      <c r="A40" s="128">
        <v>5</v>
      </c>
      <c r="B40" s="191" t="s">
        <v>810</v>
      </c>
      <c r="C40" s="130" t="s">
        <v>162</v>
      </c>
      <c r="D40" s="130"/>
      <c r="E40" s="168" t="s">
        <v>129</v>
      </c>
      <c r="F40" s="130" t="s">
        <v>156</v>
      </c>
      <c r="G40" s="130" t="s">
        <v>47</v>
      </c>
      <c r="H40" s="131" t="s">
        <v>2332</v>
      </c>
      <c r="I40" s="130" t="s">
        <v>40</v>
      </c>
      <c r="J40" s="132">
        <v>500</v>
      </c>
      <c r="K40" s="129">
        <v>125</v>
      </c>
      <c r="L40" s="126" t="s">
        <v>120</v>
      </c>
      <c r="M40" s="126" t="s">
        <v>41</v>
      </c>
      <c r="O40">
        <f t="shared" si="0"/>
        <v>100</v>
      </c>
    </row>
    <row r="41" spans="1:21" x14ac:dyDescent="0.25">
      <c r="A41" s="128">
        <v>5</v>
      </c>
      <c r="B41" s="191" t="s">
        <v>197</v>
      </c>
      <c r="C41" s="130" t="s">
        <v>2333</v>
      </c>
      <c r="D41" s="130"/>
      <c r="E41" s="168" t="s">
        <v>129</v>
      </c>
      <c r="F41" s="130" t="s">
        <v>130</v>
      </c>
      <c r="G41" s="130" t="s">
        <v>43</v>
      </c>
      <c r="H41" s="131" t="s">
        <v>155</v>
      </c>
      <c r="I41" s="130" t="s">
        <v>40</v>
      </c>
      <c r="J41" s="132">
        <v>30000</v>
      </c>
      <c r="K41" s="129">
        <v>7500</v>
      </c>
      <c r="L41" s="126" t="s">
        <v>120</v>
      </c>
      <c r="M41" s="126" t="s">
        <v>41</v>
      </c>
      <c r="O41">
        <f t="shared" si="0"/>
        <v>6000</v>
      </c>
    </row>
    <row r="42" spans="1:21" x14ac:dyDescent="0.25">
      <c r="A42" s="128">
        <v>5</v>
      </c>
      <c r="B42" s="191" t="s">
        <v>2337</v>
      </c>
      <c r="C42" s="130" t="s">
        <v>1664</v>
      </c>
      <c r="D42" s="130"/>
      <c r="E42" s="130" t="s">
        <v>127</v>
      </c>
      <c r="F42" s="130" t="s">
        <v>130</v>
      </c>
      <c r="G42" s="130" t="s">
        <v>43</v>
      </c>
      <c r="H42" s="131"/>
      <c r="I42" s="133" t="s">
        <v>40</v>
      </c>
      <c r="J42" s="136">
        <v>12000</v>
      </c>
      <c r="K42" s="164">
        <v>3000</v>
      </c>
      <c r="L42" s="126" t="s">
        <v>120</v>
      </c>
      <c r="M42" s="126" t="s">
        <v>41</v>
      </c>
      <c r="O42">
        <f t="shared" si="0"/>
        <v>2400</v>
      </c>
    </row>
    <row r="43" spans="1:21" x14ac:dyDescent="0.25">
      <c r="A43" s="128">
        <v>5</v>
      </c>
      <c r="B43" s="191" t="s">
        <v>2338</v>
      </c>
      <c r="C43" s="130" t="s">
        <v>2339</v>
      </c>
      <c r="D43" s="130"/>
      <c r="E43" s="168" t="s">
        <v>129</v>
      </c>
      <c r="F43" s="130" t="s">
        <v>1035</v>
      </c>
      <c r="G43" s="130" t="s">
        <v>42</v>
      </c>
      <c r="H43" s="131" t="s">
        <v>2340</v>
      </c>
      <c r="I43" s="133" t="s">
        <v>40</v>
      </c>
      <c r="J43" s="136">
        <v>300</v>
      </c>
      <c r="K43" s="164">
        <v>75</v>
      </c>
      <c r="L43" s="126" t="s">
        <v>120</v>
      </c>
      <c r="M43" s="126" t="s">
        <v>41</v>
      </c>
      <c r="O43">
        <f t="shared" si="0"/>
        <v>60</v>
      </c>
    </row>
    <row r="44" spans="1:21" x14ac:dyDescent="0.25">
      <c r="A44" s="128">
        <v>5</v>
      </c>
      <c r="B44" s="191" t="s">
        <v>2338</v>
      </c>
      <c r="C44" s="130" t="s">
        <v>2339</v>
      </c>
      <c r="D44" s="130"/>
      <c r="E44" s="168" t="s">
        <v>129</v>
      </c>
      <c r="F44" s="130" t="s">
        <v>1035</v>
      </c>
      <c r="G44" s="130" t="s">
        <v>42</v>
      </c>
      <c r="H44" s="131" t="s">
        <v>2340</v>
      </c>
      <c r="I44" s="306" t="s">
        <v>186</v>
      </c>
      <c r="J44" s="136">
        <v>10</v>
      </c>
      <c r="K44" s="164">
        <v>100</v>
      </c>
      <c r="L44" s="126" t="s">
        <v>120</v>
      </c>
      <c r="M44" s="126" t="s">
        <v>41</v>
      </c>
      <c r="O44">
        <f t="shared" si="0"/>
        <v>2</v>
      </c>
      <c r="R44" s="57"/>
    </row>
    <row r="45" spans="1:21" x14ac:dyDescent="0.25">
      <c r="A45" s="128">
        <v>5</v>
      </c>
      <c r="B45" s="191" t="s">
        <v>2341</v>
      </c>
      <c r="C45" s="130" t="s">
        <v>2116</v>
      </c>
      <c r="D45" s="130"/>
      <c r="E45" s="168" t="s">
        <v>129</v>
      </c>
      <c r="F45" s="130" t="s">
        <v>178</v>
      </c>
      <c r="G45" s="130" t="s">
        <v>49</v>
      </c>
      <c r="H45" s="131"/>
      <c r="I45" s="130" t="s">
        <v>40</v>
      </c>
      <c r="J45" s="136">
        <v>400</v>
      </c>
      <c r="K45" s="164">
        <v>100</v>
      </c>
      <c r="L45" s="126" t="s">
        <v>120</v>
      </c>
      <c r="M45" s="126" t="s">
        <v>41</v>
      </c>
      <c r="O45">
        <f t="shared" si="0"/>
        <v>80</v>
      </c>
    </row>
    <row r="46" spans="1:21" x14ac:dyDescent="0.25">
      <c r="A46" s="128">
        <v>5</v>
      </c>
      <c r="B46" s="191" t="s">
        <v>2342</v>
      </c>
      <c r="C46" s="130" t="s">
        <v>169</v>
      </c>
      <c r="D46" s="130"/>
      <c r="E46" s="130" t="s">
        <v>127</v>
      </c>
      <c r="F46" s="130" t="s">
        <v>2343</v>
      </c>
      <c r="G46" s="130" t="s">
        <v>55</v>
      </c>
      <c r="H46" s="131" t="s">
        <v>2344</v>
      </c>
      <c r="I46" s="130" t="s">
        <v>40</v>
      </c>
      <c r="J46" s="136">
        <v>1000</v>
      </c>
      <c r="K46" s="164">
        <v>250</v>
      </c>
      <c r="L46" s="126" t="s">
        <v>120</v>
      </c>
      <c r="M46" s="126" t="s">
        <v>41</v>
      </c>
      <c r="O46">
        <f t="shared" si="0"/>
        <v>200</v>
      </c>
    </row>
    <row r="47" spans="1:21" x14ac:dyDescent="0.25">
      <c r="A47" s="128">
        <v>5</v>
      </c>
      <c r="B47" s="191" t="s">
        <v>814</v>
      </c>
      <c r="C47" s="130" t="s">
        <v>815</v>
      </c>
      <c r="D47" s="130"/>
      <c r="E47" s="130" t="s">
        <v>127</v>
      </c>
      <c r="F47" s="130" t="s">
        <v>143</v>
      </c>
      <c r="G47" s="130" t="s">
        <v>44</v>
      </c>
      <c r="H47" s="131" t="s">
        <v>1625</v>
      </c>
      <c r="I47" s="130" t="s">
        <v>40</v>
      </c>
      <c r="J47" s="136">
        <v>5000</v>
      </c>
      <c r="K47" s="164">
        <v>1250</v>
      </c>
      <c r="L47" s="126" t="s">
        <v>120</v>
      </c>
      <c r="M47" s="126" t="s">
        <v>41</v>
      </c>
      <c r="O47">
        <f t="shared" si="0"/>
        <v>1000</v>
      </c>
      <c r="R47" s="57"/>
      <c r="S47" s="25"/>
    </row>
    <row r="48" spans="1:21" x14ac:dyDescent="0.25">
      <c r="A48" s="128">
        <v>5</v>
      </c>
      <c r="B48" s="191" t="s">
        <v>2345</v>
      </c>
      <c r="C48" s="130" t="s">
        <v>680</v>
      </c>
      <c r="D48" s="130"/>
      <c r="E48" s="130" t="s">
        <v>127</v>
      </c>
      <c r="F48" s="130" t="s">
        <v>1373</v>
      </c>
      <c r="G48" s="130" t="s">
        <v>54</v>
      </c>
      <c r="H48" s="131"/>
      <c r="I48" s="133" t="s">
        <v>40</v>
      </c>
      <c r="J48" s="136">
        <v>400</v>
      </c>
      <c r="K48" s="164">
        <v>140</v>
      </c>
      <c r="L48" s="126" t="s">
        <v>120</v>
      </c>
      <c r="M48" s="126" t="s">
        <v>41</v>
      </c>
      <c r="O48">
        <f t="shared" si="0"/>
        <v>80</v>
      </c>
    </row>
    <row r="49" spans="1:19" x14ac:dyDescent="0.25">
      <c r="A49" s="128">
        <v>5</v>
      </c>
      <c r="B49" s="191" t="s">
        <v>2346</v>
      </c>
      <c r="C49" s="130" t="s">
        <v>2347</v>
      </c>
      <c r="D49" s="130"/>
      <c r="E49" s="130" t="s">
        <v>127</v>
      </c>
      <c r="F49" s="130" t="s">
        <v>1728</v>
      </c>
      <c r="G49" s="130" t="s">
        <v>45</v>
      </c>
      <c r="H49" s="131" t="s">
        <v>2348</v>
      </c>
      <c r="I49" s="133" t="s">
        <v>40</v>
      </c>
      <c r="J49" s="136">
        <v>1500</v>
      </c>
      <c r="K49" s="164">
        <v>375</v>
      </c>
      <c r="L49" s="126" t="s">
        <v>120</v>
      </c>
      <c r="M49" s="126" t="s">
        <v>41</v>
      </c>
      <c r="O49">
        <f t="shared" si="0"/>
        <v>300</v>
      </c>
    </row>
    <row r="50" spans="1:19" x14ac:dyDescent="0.25">
      <c r="A50" s="128">
        <v>5</v>
      </c>
      <c r="B50" s="191" t="s">
        <v>2349</v>
      </c>
      <c r="C50" s="130" t="s">
        <v>2350</v>
      </c>
      <c r="D50" s="130"/>
      <c r="E50" s="130" t="s">
        <v>127</v>
      </c>
      <c r="F50" s="130" t="s">
        <v>1035</v>
      </c>
      <c r="G50" s="130" t="s">
        <v>42</v>
      </c>
      <c r="H50" s="131" t="s">
        <v>2351</v>
      </c>
      <c r="I50" s="133" t="s">
        <v>40</v>
      </c>
      <c r="J50" s="136">
        <v>3000</v>
      </c>
      <c r="K50" s="164">
        <v>750</v>
      </c>
      <c r="L50" s="126" t="s">
        <v>120</v>
      </c>
      <c r="M50" s="126" t="s">
        <v>41</v>
      </c>
      <c r="O50">
        <f t="shared" si="0"/>
        <v>600</v>
      </c>
    </row>
    <row r="51" spans="1:19" x14ac:dyDescent="0.25">
      <c r="A51" s="128">
        <v>5</v>
      </c>
      <c r="B51" s="191" t="s">
        <v>2349</v>
      </c>
      <c r="C51" s="130" t="s">
        <v>2350</v>
      </c>
      <c r="D51" s="130"/>
      <c r="E51" s="130" t="s">
        <v>127</v>
      </c>
      <c r="F51" s="130" t="s">
        <v>1035</v>
      </c>
      <c r="G51" s="130" t="s">
        <v>42</v>
      </c>
      <c r="H51" s="131" t="s">
        <v>2351</v>
      </c>
      <c r="I51" s="133" t="s">
        <v>40</v>
      </c>
      <c r="J51" s="136">
        <v>500</v>
      </c>
      <c r="K51" s="164" t="s">
        <v>123</v>
      </c>
      <c r="L51" s="126" t="s">
        <v>120</v>
      </c>
      <c r="M51" s="126" t="s">
        <v>41</v>
      </c>
      <c r="O51">
        <f t="shared" si="0"/>
        <v>100</v>
      </c>
    </row>
    <row r="52" spans="1:19" x14ac:dyDescent="0.25">
      <c r="A52" s="128">
        <v>5</v>
      </c>
      <c r="B52" s="191" t="s">
        <v>2352</v>
      </c>
      <c r="C52" s="130" t="s">
        <v>2353</v>
      </c>
      <c r="D52" s="130"/>
      <c r="E52" s="130" t="s">
        <v>127</v>
      </c>
      <c r="F52" s="130" t="s">
        <v>521</v>
      </c>
      <c r="G52" s="130" t="s">
        <v>49</v>
      </c>
      <c r="H52" s="131" t="s">
        <v>2354</v>
      </c>
      <c r="I52" s="130" t="s">
        <v>40</v>
      </c>
      <c r="J52" s="136">
        <v>5000</v>
      </c>
      <c r="K52" s="164">
        <v>1250</v>
      </c>
      <c r="L52" s="126" t="s">
        <v>120</v>
      </c>
      <c r="M52" s="126" t="s">
        <v>41</v>
      </c>
      <c r="O52">
        <f t="shared" si="0"/>
        <v>1000</v>
      </c>
    </row>
    <row r="53" spans="1:19" x14ac:dyDescent="0.25">
      <c r="A53" s="128">
        <v>8</v>
      </c>
      <c r="B53" s="191" t="s">
        <v>2359</v>
      </c>
      <c r="C53" s="130" t="s">
        <v>2360</v>
      </c>
      <c r="D53" s="130"/>
      <c r="E53" s="168" t="s">
        <v>129</v>
      </c>
      <c r="F53" s="130"/>
      <c r="G53" s="130" t="s">
        <v>44</v>
      </c>
      <c r="H53" s="131" t="s">
        <v>2356</v>
      </c>
      <c r="I53" s="133" t="s">
        <v>40</v>
      </c>
      <c r="J53" s="136">
        <v>2000</v>
      </c>
      <c r="K53" s="164">
        <v>500</v>
      </c>
      <c r="L53" s="126" t="s">
        <v>120</v>
      </c>
      <c r="M53" s="126" t="s">
        <v>41</v>
      </c>
      <c r="O53">
        <f t="shared" si="0"/>
        <v>400</v>
      </c>
    </row>
    <row r="54" spans="1:19" x14ac:dyDescent="0.25">
      <c r="A54" s="128">
        <v>8</v>
      </c>
      <c r="B54" s="191" t="s">
        <v>2361</v>
      </c>
      <c r="C54" s="130" t="s">
        <v>2362</v>
      </c>
      <c r="D54" s="130"/>
      <c r="E54" s="168" t="s">
        <v>129</v>
      </c>
      <c r="F54" s="130" t="s">
        <v>1219</v>
      </c>
      <c r="G54" s="130" t="s">
        <v>64</v>
      </c>
      <c r="H54" s="131"/>
      <c r="I54" s="130" t="s">
        <v>40</v>
      </c>
      <c r="J54" s="136">
        <v>400</v>
      </c>
      <c r="K54" s="164">
        <v>140</v>
      </c>
      <c r="L54" s="126" t="s">
        <v>120</v>
      </c>
      <c r="M54" s="126" t="s">
        <v>41</v>
      </c>
      <c r="O54">
        <f t="shared" si="0"/>
        <v>80</v>
      </c>
    </row>
    <row r="55" spans="1:19" x14ac:dyDescent="0.25">
      <c r="A55" s="128">
        <v>8</v>
      </c>
      <c r="B55" s="191" t="s">
        <v>2361</v>
      </c>
      <c r="C55" s="130" t="s">
        <v>2362</v>
      </c>
      <c r="D55" s="130"/>
      <c r="E55" s="168" t="s">
        <v>129</v>
      </c>
      <c r="F55" s="130" t="s">
        <v>1219</v>
      </c>
      <c r="G55" s="130" t="s">
        <v>64</v>
      </c>
      <c r="H55" s="131"/>
      <c r="I55" s="240" t="s">
        <v>145</v>
      </c>
      <c r="J55" s="136">
        <v>100</v>
      </c>
      <c r="K55" s="164">
        <v>25</v>
      </c>
      <c r="L55" s="126" t="s">
        <v>120</v>
      </c>
      <c r="M55" s="126" t="s">
        <v>41</v>
      </c>
      <c r="O55">
        <f t="shared" si="0"/>
        <v>20</v>
      </c>
      <c r="S55" s="57"/>
    </row>
    <row r="56" spans="1:19" x14ac:dyDescent="0.25">
      <c r="A56" s="128">
        <v>8</v>
      </c>
      <c r="B56" s="191" t="s">
        <v>2361</v>
      </c>
      <c r="C56" s="130" t="s">
        <v>2362</v>
      </c>
      <c r="D56" s="130"/>
      <c r="E56" s="168" t="s">
        <v>129</v>
      </c>
      <c r="F56" s="130" t="s">
        <v>1219</v>
      </c>
      <c r="G56" s="130" t="s">
        <v>64</v>
      </c>
      <c r="H56" s="131"/>
      <c r="I56" s="306" t="s">
        <v>186</v>
      </c>
      <c r="J56" s="136">
        <v>20</v>
      </c>
      <c r="K56" s="164">
        <v>200</v>
      </c>
      <c r="L56" s="126" t="s">
        <v>120</v>
      </c>
      <c r="M56" s="126" t="s">
        <v>41</v>
      </c>
      <c r="O56">
        <f t="shared" si="0"/>
        <v>4</v>
      </c>
    </row>
    <row r="57" spans="1:19" x14ac:dyDescent="0.25">
      <c r="A57" s="128">
        <v>8</v>
      </c>
      <c r="B57" s="191" t="s">
        <v>2363</v>
      </c>
      <c r="C57" s="130" t="s">
        <v>2364</v>
      </c>
      <c r="D57" s="130"/>
      <c r="E57" s="130" t="s">
        <v>127</v>
      </c>
      <c r="F57" s="130" t="s">
        <v>130</v>
      </c>
      <c r="G57" s="130" t="s">
        <v>43</v>
      </c>
      <c r="H57" s="131" t="s">
        <v>2365</v>
      </c>
      <c r="I57" s="133" t="s">
        <v>40</v>
      </c>
      <c r="J57" s="136">
        <v>17000</v>
      </c>
      <c r="K57" s="164">
        <v>4250</v>
      </c>
      <c r="L57" s="126" t="s">
        <v>120</v>
      </c>
      <c r="M57" s="126" t="s">
        <v>41</v>
      </c>
      <c r="O57">
        <f t="shared" si="0"/>
        <v>3400</v>
      </c>
    </row>
    <row r="58" spans="1:19" x14ac:dyDescent="0.25">
      <c r="A58" s="128">
        <v>8</v>
      </c>
      <c r="B58" s="191" t="s">
        <v>2366</v>
      </c>
      <c r="C58" s="130" t="s">
        <v>380</v>
      </c>
      <c r="D58" s="130"/>
      <c r="E58" s="130" t="s">
        <v>127</v>
      </c>
      <c r="F58" s="130" t="s">
        <v>240</v>
      </c>
      <c r="G58" s="130" t="s">
        <v>58</v>
      </c>
      <c r="H58" s="131" t="s">
        <v>2367</v>
      </c>
      <c r="I58" s="133" t="s">
        <v>40</v>
      </c>
      <c r="J58" s="136">
        <v>2000</v>
      </c>
      <c r="K58" s="164">
        <v>500</v>
      </c>
      <c r="L58" s="126" t="s">
        <v>120</v>
      </c>
      <c r="M58" s="126" t="s">
        <v>41</v>
      </c>
      <c r="O58">
        <f t="shared" si="0"/>
        <v>400</v>
      </c>
    </row>
    <row r="59" spans="1:19" x14ac:dyDescent="0.25">
      <c r="A59" s="128">
        <v>8</v>
      </c>
      <c r="B59" s="191" t="s">
        <v>614</v>
      </c>
      <c r="C59" s="130" t="s">
        <v>615</v>
      </c>
      <c r="D59" s="130"/>
      <c r="E59" s="130" t="s">
        <v>127</v>
      </c>
      <c r="F59" s="130" t="s">
        <v>616</v>
      </c>
      <c r="G59" s="130" t="s">
        <v>43</v>
      </c>
      <c r="H59" s="131"/>
      <c r="I59" s="133" t="s">
        <v>40</v>
      </c>
      <c r="J59" s="136">
        <v>25000</v>
      </c>
      <c r="K59" s="164">
        <v>625</v>
      </c>
      <c r="L59" s="126" t="s">
        <v>120</v>
      </c>
      <c r="M59" s="126" t="s">
        <v>41</v>
      </c>
      <c r="O59">
        <f t="shared" si="0"/>
        <v>5000</v>
      </c>
    </row>
    <row r="60" spans="1:19" x14ac:dyDescent="0.25">
      <c r="A60" s="128">
        <v>8</v>
      </c>
      <c r="B60" s="191" t="s">
        <v>588</v>
      </c>
      <c r="C60" s="130" t="s">
        <v>589</v>
      </c>
      <c r="D60" s="130"/>
      <c r="E60" s="168" t="s">
        <v>129</v>
      </c>
      <c r="F60" s="130" t="s">
        <v>590</v>
      </c>
      <c r="G60" s="130" t="s">
        <v>44</v>
      </c>
      <c r="H60" s="131" t="s">
        <v>591</v>
      </c>
      <c r="I60" s="130" t="s">
        <v>40</v>
      </c>
      <c r="J60" s="136">
        <v>10000</v>
      </c>
      <c r="K60" s="164">
        <v>2500</v>
      </c>
      <c r="L60" s="126" t="s">
        <v>120</v>
      </c>
      <c r="M60" s="126" t="s">
        <v>41</v>
      </c>
      <c r="O60">
        <f t="shared" si="0"/>
        <v>2000</v>
      </c>
      <c r="R60" s="57"/>
    </row>
    <row r="61" spans="1:19" x14ac:dyDescent="0.25">
      <c r="A61" s="128">
        <v>8</v>
      </c>
      <c r="B61" s="191" t="s">
        <v>588</v>
      </c>
      <c r="C61" s="130" t="s">
        <v>589</v>
      </c>
      <c r="D61" s="130"/>
      <c r="E61" s="168" t="s">
        <v>129</v>
      </c>
      <c r="F61" s="130" t="s">
        <v>590</v>
      </c>
      <c r="G61" s="130" t="s">
        <v>44</v>
      </c>
      <c r="H61" s="131" t="s">
        <v>591</v>
      </c>
      <c r="I61" s="130" t="s">
        <v>40</v>
      </c>
      <c r="J61" s="136">
        <v>7000</v>
      </c>
      <c r="K61" s="164" t="s">
        <v>123</v>
      </c>
      <c r="L61" s="126" t="s">
        <v>120</v>
      </c>
      <c r="M61" s="126" t="s">
        <v>41</v>
      </c>
      <c r="O61">
        <f t="shared" si="0"/>
        <v>1400</v>
      </c>
      <c r="R61" s="57"/>
    </row>
    <row r="62" spans="1:19" x14ac:dyDescent="0.25">
      <c r="A62" s="128">
        <v>8</v>
      </c>
      <c r="B62" s="191" t="s">
        <v>2375</v>
      </c>
      <c r="C62" s="191" t="s">
        <v>716</v>
      </c>
      <c r="D62" s="130"/>
      <c r="E62" s="168" t="s">
        <v>129</v>
      </c>
      <c r="F62" s="130" t="s">
        <v>1373</v>
      </c>
      <c r="G62" s="199" t="s">
        <v>54</v>
      </c>
      <c r="H62" s="131"/>
      <c r="I62" s="133" t="s">
        <v>40</v>
      </c>
      <c r="J62" s="136">
        <v>200</v>
      </c>
      <c r="K62" s="164">
        <v>50</v>
      </c>
      <c r="L62" s="126" t="s">
        <v>120</v>
      </c>
      <c r="M62" s="126" t="s">
        <v>41</v>
      </c>
      <c r="O62">
        <f t="shared" si="0"/>
        <v>40</v>
      </c>
    </row>
    <row r="63" spans="1:19" x14ac:dyDescent="0.25">
      <c r="A63" s="231">
        <v>8</v>
      </c>
      <c r="B63" s="191" t="s">
        <v>1455</v>
      </c>
      <c r="C63" s="191" t="s">
        <v>224</v>
      </c>
      <c r="D63" s="130"/>
      <c r="E63" s="130" t="s">
        <v>127</v>
      </c>
      <c r="F63" s="130" t="s">
        <v>2376</v>
      </c>
      <c r="G63" s="130" t="s">
        <v>58</v>
      </c>
      <c r="H63" s="131" t="s">
        <v>2377</v>
      </c>
      <c r="I63" s="130" t="s">
        <v>40</v>
      </c>
      <c r="J63" s="136">
        <v>260</v>
      </c>
      <c r="K63" s="164">
        <v>65</v>
      </c>
      <c r="L63" s="126" t="s">
        <v>120</v>
      </c>
      <c r="M63" s="126" t="s">
        <v>41</v>
      </c>
      <c r="O63">
        <f t="shared" si="0"/>
        <v>52</v>
      </c>
    </row>
    <row r="64" spans="1:19" x14ac:dyDescent="0.25">
      <c r="A64" s="128">
        <v>10</v>
      </c>
      <c r="B64" s="191" t="s">
        <v>416</v>
      </c>
      <c r="C64" s="130" t="s">
        <v>568</v>
      </c>
      <c r="D64" s="130"/>
      <c r="E64" s="130" t="s">
        <v>127</v>
      </c>
      <c r="F64" s="130" t="s">
        <v>2380</v>
      </c>
      <c r="G64" s="130" t="s">
        <v>42</v>
      </c>
      <c r="H64" s="131"/>
      <c r="I64" s="133" t="s">
        <v>40</v>
      </c>
      <c r="J64" s="136">
        <v>500</v>
      </c>
      <c r="K64" s="164" t="s">
        <v>123</v>
      </c>
      <c r="L64" s="126" t="s">
        <v>120</v>
      </c>
      <c r="M64" s="126" t="s">
        <v>41</v>
      </c>
      <c r="O64">
        <f t="shared" si="0"/>
        <v>100</v>
      </c>
      <c r="R64" s="25"/>
    </row>
    <row r="65" spans="1:18" x14ac:dyDescent="0.25">
      <c r="A65" s="128">
        <v>10</v>
      </c>
      <c r="B65" s="191" t="s">
        <v>2381</v>
      </c>
      <c r="C65" s="130" t="s">
        <v>2382</v>
      </c>
      <c r="D65" s="130"/>
      <c r="E65" s="130" t="s">
        <v>127</v>
      </c>
      <c r="F65" s="130" t="s">
        <v>2383</v>
      </c>
      <c r="G65" s="130" t="s">
        <v>55</v>
      </c>
      <c r="H65" s="131" t="s">
        <v>2384</v>
      </c>
      <c r="I65" s="133" t="s">
        <v>40</v>
      </c>
      <c r="J65" s="136">
        <v>500</v>
      </c>
      <c r="K65" s="164">
        <v>125</v>
      </c>
      <c r="L65" s="126" t="s">
        <v>120</v>
      </c>
      <c r="M65" s="126" t="s">
        <v>41</v>
      </c>
      <c r="O65">
        <f t="shared" si="0"/>
        <v>100</v>
      </c>
      <c r="R65" s="25"/>
    </row>
    <row r="66" spans="1:18" x14ac:dyDescent="0.25">
      <c r="A66" s="128">
        <v>10</v>
      </c>
      <c r="B66" s="191" t="s">
        <v>1855</v>
      </c>
      <c r="C66" s="130" t="s">
        <v>695</v>
      </c>
      <c r="D66" s="130"/>
      <c r="E66" s="130" t="s">
        <v>127</v>
      </c>
      <c r="F66" s="130" t="s">
        <v>364</v>
      </c>
      <c r="G66" s="130" t="s">
        <v>60</v>
      </c>
      <c r="H66" s="131" t="s">
        <v>2385</v>
      </c>
      <c r="I66" s="130" t="s">
        <v>40</v>
      </c>
      <c r="J66" s="136">
        <v>500</v>
      </c>
      <c r="K66" s="164">
        <v>125</v>
      </c>
      <c r="L66" s="126" t="s">
        <v>120</v>
      </c>
      <c r="M66" s="126" t="s">
        <v>41</v>
      </c>
      <c r="O66">
        <f t="shared" si="0"/>
        <v>100</v>
      </c>
      <c r="R66" s="25"/>
    </row>
    <row r="67" spans="1:18" x14ac:dyDescent="0.25">
      <c r="A67" s="128">
        <v>10</v>
      </c>
      <c r="B67" s="191" t="s">
        <v>2386</v>
      </c>
      <c r="C67" s="130" t="s">
        <v>168</v>
      </c>
      <c r="D67" s="130"/>
      <c r="E67" s="130" t="s">
        <v>127</v>
      </c>
      <c r="F67" s="130" t="s">
        <v>1749</v>
      </c>
      <c r="G67" s="130" t="s">
        <v>56</v>
      </c>
      <c r="H67" s="131"/>
      <c r="I67" s="133" t="s">
        <v>40</v>
      </c>
      <c r="J67" s="136">
        <v>260</v>
      </c>
      <c r="K67" s="164">
        <v>65</v>
      </c>
      <c r="L67" s="126" t="s">
        <v>120</v>
      </c>
      <c r="M67" s="126" t="s">
        <v>41</v>
      </c>
      <c r="O67">
        <f t="shared" si="0"/>
        <v>52</v>
      </c>
    </row>
    <row r="68" spans="1:18" x14ac:dyDescent="0.25">
      <c r="A68" s="128">
        <v>10</v>
      </c>
      <c r="B68" s="191" t="s">
        <v>2389</v>
      </c>
      <c r="C68" s="130" t="s">
        <v>2388</v>
      </c>
      <c r="D68" s="130"/>
      <c r="E68" s="130" t="s">
        <v>129</v>
      </c>
      <c r="F68" s="130" t="s">
        <v>2387</v>
      </c>
      <c r="G68" s="130" t="s">
        <v>60</v>
      </c>
      <c r="H68" s="131"/>
      <c r="I68" s="133" t="s">
        <v>40</v>
      </c>
      <c r="J68" s="136">
        <v>1000</v>
      </c>
      <c r="K68" s="164">
        <v>350</v>
      </c>
      <c r="L68" s="126" t="s">
        <v>120</v>
      </c>
      <c r="M68" s="126" t="s">
        <v>41</v>
      </c>
      <c r="O68">
        <f t="shared" si="0"/>
        <v>200</v>
      </c>
    </row>
    <row r="69" spans="1:18" x14ac:dyDescent="0.25">
      <c r="A69" s="128">
        <v>10</v>
      </c>
      <c r="B69" s="191" t="s">
        <v>2390</v>
      </c>
      <c r="C69" s="130" t="s">
        <v>2391</v>
      </c>
      <c r="D69" s="130"/>
      <c r="E69" s="130" t="s">
        <v>127</v>
      </c>
      <c r="F69" s="130" t="s">
        <v>2392</v>
      </c>
      <c r="G69" s="130" t="s">
        <v>59</v>
      </c>
      <c r="H69" s="131"/>
      <c r="I69" s="130" t="s">
        <v>40</v>
      </c>
      <c r="J69" s="136">
        <v>3000</v>
      </c>
      <c r="K69" s="164">
        <v>750</v>
      </c>
      <c r="L69" s="126" t="s">
        <v>120</v>
      </c>
      <c r="M69" s="126" t="s">
        <v>41</v>
      </c>
      <c r="O69">
        <f t="shared" si="0"/>
        <v>600</v>
      </c>
    </row>
    <row r="70" spans="1:18" x14ac:dyDescent="0.25">
      <c r="A70" s="128">
        <v>11</v>
      </c>
      <c r="B70" s="192" t="s">
        <v>2394</v>
      </c>
      <c r="C70" s="133" t="s">
        <v>2393</v>
      </c>
      <c r="D70" s="133"/>
      <c r="E70" s="130" t="s">
        <v>127</v>
      </c>
      <c r="F70" s="130" t="s">
        <v>1373</v>
      </c>
      <c r="G70" s="130" t="s">
        <v>54</v>
      </c>
      <c r="H70" s="131"/>
      <c r="I70" s="130" t="s">
        <v>40</v>
      </c>
      <c r="J70" s="136">
        <v>200</v>
      </c>
      <c r="K70" s="164">
        <v>50</v>
      </c>
      <c r="L70" s="130" t="s">
        <v>120</v>
      </c>
      <c r="M70" s="130" t="s">
        <v>41</v>
      </c>
      <c r="O70">
        <f t="shared" si="0"/>
        <v>40</v>
      </c>
    </row>
    <row r="71" spans="1:18" x14ac:dyDescent="0.25">
      <c r="A71" s="231">
        <v>11</v>
      </c>
      <c r="B71" s="192" t="s">
        <v>1093</v>
      </c>
      <c r="C71" s="133" t="s">
        <v>824</v>
      </c>
      <c r="D71" s="133"/>
      <c r="E71" s="130" t="s">
        <v>129</v>
      </c>
      <c r="F71" s="130" t="s">
        <v>2395</v>
      </c>
      <c r="G71" s="130" t="s">
        <v>48</v>
      </c>
      <c r="H71" s="131" t="s">
        <v>2396</v>
      </c>
      <c r="I71" s="130" t="s">
        <v>145</v>
      </c>
      <c r="J71" s="136">
        <v>800</v>
      </c>
      <c r="K71" s="164" t="s">
        <v>123</v>
      </c>
      <c r="L71" s="126" t="s">
        <v>120</v>
      </c>
      <c r="M71" s="126" t="s">
        <v>41</v>
      </c>
      <c r="O71">
        <f t="shared" si="0"/>
        <v>160</v>
      </c>
    </row>
    <row r="72" spans="1:18" x14ac:dyDescent="0.25">
      <c r="A72" s="128"/>
      <c r="B72" s="192"/>
      <c r="C72" s="133"/>
      <c r="D72" s="133"/>
      <c r="E72" s="130"/>
      <c r="F72" s="130"/>
      <c r="G72" s="130"/>
      <c r="H72" s="131"/>
      <c r="I72" s="130"/>
      <c r="J72" s="136"/>
      <c r="K72" s="164"/>
      <c r="L72" s="126"/>
      <c r="M72" s="126"/>
      <c r="O72">
        <f t="shared" si="0"/>
        <v>0</v>
      </c>
    </row>
    <row r="73" spans="1:18" x14ac:dyDescent="0.25">
      <c r="A73" s="128"/>
      <c r="B73" s="192"/>
      <c r="C73" s="133"/>
      <c r="D73" s="133"/>
      <c r="E73" s="130"/>
      <c r="F73" s="130"/>
      <c r="G73" s="130"/>
      <c r="H73" s="131"/>
      <c r="I73" s="130"/>
      <c r="J73" s="136"/>
      <c r="K73" s="164"/>
      <c r="L73" s="126"/>
      <c r="M73" s="126"/>
      <c r="O73">
        <f t="shared" si="0"/>
        <v>0</v>
      </c>
    </row>
    <row r="74" spans="1:18" x14ac:dyDescent="0.25">
      <c r="A74" s="128"/>
      <c r="B74" s="192"/>
      <c r="C74" s="133"/>
      <c r="D74" s="133"/>
      <c r="E74" s="130"/>
      <c r="F74" s="130"/>
      <c r="G74" s="130"/>
      <c r="H74" s="131"/>
      <c r="I74" s="133"/>
      <c r="J74" s="136"/>
      <c r="K74" s="164"/>
      <c r="L74" s="126"/>
      <c r="M74" s="126"/>
      <c r="O74">
        <f t="shared" si="0"/>
        <v>0</v>
      </c>
    </row>
    <row r="75" spans="1:18" x14ac:dyDescent="0.25">
      <c r="A75" s="128"/>
      <c r="B75" s="192"/>
      <c r="C75" s="133"/>
      <c r="D75" s="133"/>
      <c r="E75" s="130"/>
      <c r="F75" s="130"/>
      <c r="G75" s="130"/>
      <c r="H75" s="131"/>
      <c r="I75" s="133"/>
      <c r="J75" s="136"/>
      <c r="K75" s="164"/>
      <c r="L75" s="126"/>
      <c r="M75" s="126"/>
      <c r="O75">
        <f t="shared" si="0"/>
        <v>0</v>
      </c>
    </row>
    <row r="76" spans="1:18" x14ac:dyDescent="0.25">
      <c r="A76" s="128"/>
      <c r="B76" s="192"/>
      <c r="C76" s="133"/>
      <c r="D76" s="133"/>
      <c r="E76" s="130"/>
      <c r="F76" s="130"/>
      <c r="G76" s="130"/>
      <c r="H76" s="131"/>
      <c r="I76" s="130"/>
      <c r="J76" s="136"/>
      <c r="K76" s="164"/>
      <c r="L76" s="126"/>
      <c r="M76" s="126"/>
      <c r="O76">
        <f t="shared" si="0"/>
        <v>0</v>
      </c>
    </row>
    <row r="77" spans="1:18" x14ac:dyDescent="0.25">
      <c r="A77" s="128"/>
      <c r="B77" s="192"/>
      <c r="C77" s="133"/>
      <c r="D77" s="133"/>
      <c r="E77" s="130"/>
      <c r="F77" s="130"/>
      <c r="G77" s="130"/>
      <c r="H77" s="131"/>
      <c r="I77" s="130"/>
      <c r="J77" s="136"/>
      <c r="K77" s="164"/>
      <c r="L77" s="126"/>
      <c r="M77" s="126"/>
      <c r="O77">
        <f t="shared" si="0"/>
        <v>0</v>
      </c>
    </row>
    <row r="78" spans="1:18" x14ac:dyDescent="0.25">
      <c r="A78" s="128"/>
      <c r="B78" s="192"/>
      <c r="C78" s="133"/>
      <c r="D78" s="133"/>
      <c r="E78" s="130"/>
      <c r="F78" s="130"/>
      <c r="G78" s="130"/>
      <c r="H78" s="131"/>
      <c r="I78" s="130"/>
      <c r="J78" s="136"/>
      <c r="K78" s="164"/>
      <c r="L78" s="126"/>
      <c r="M78" s="126"/>
    </row>
    <row r="79" spans="1:18" x14ac:dyDescent="0.25">
      <c r="A79" s="128"/>
      <c r="B79" s="192"/>
      <c r="C79" s="133"/>
      <c r="D79" s="133"/>
      <c r="E79" s="130"/>
      <c r="F79" s="130"/>
      <c r="G79" s="130"/>
      <c r="H79" s="131"/>
      <c r="I79" s="130"/>
      <c r="J79" s="136"/>
      <c r="K79" s="164"/>
      <c r="L79" s="126"/>
      <c r="M79" s="126"/>
    </row>
    <row r="80" spans="1:18" x14ac:dyDescent="0.25">
      <c r="A80" s="128"/>
      <c r="B80" s="192"/>
      <c r="C80" s="133"/>
      <c r="D80" s="133"/>
      <c r="E80" s="130"/>
      <c r="F80" s="130"/>
      <c r="G80" s="130"/>
      <c r="H80" s="131"/>
      <c r="I80" s="130"/>
      <c r="J80" s="136"/>
      <c r="K80" s="164"/>
      <c r="L80" s="126"/>
      <c r="M80" s="126"/>
    </row>
    <row r="81" spans="1:18" x14ac:dyDescent="0.25">
      <c r="A81" s="128"/>
      <c r="B81" s="192"/>
      <c r="C81" s="133"/>
      <c r="D81" s="133"/>
      <c r="E81" s="130"/>
      <c r="F81" s="130"/>
      <c r="G81" s="130"/>
      <c r="H81" s="131"/>
      <c r="I81" s="130"/>
      <c r="J81" s="136"/>
      <c r="K81" s="164"/>
      <c r="L81" s="126"/>
      <c r="M81" s="126"/>
    </row>
    <row r="82" spans="1:18" x14ac:dyDescent="0.25">
      <c r="A82" s="128"/>
      <c r="B82" s="192"/>
      <c r="C82" s="133"/>
      <c r="D82" s="133"/>
      <c r="E82" s="130"/>
      <c r="F82" s="130"/>
      <c r="G82" s="130"/>
      <c r="H82" s="131"/>
      <c r="I82" s="130"/>
      <c r="J82" s="136"/>
      <c r="K82" s="164"/>
      <c r="L82" s="126"/>
      <c r="M82" s="126"/>
    </row>
    <row r="83" spans="1:18" x14ac:dyDescent="0.25">
      <c r="A83" s="128"/>
      <c r="B83" s="192"/>
      <c r="C83" s="133"/>
      <c r="D83" s="133"/>
      <c r="E83" s="130"/>
      <c r="F83" s="130"/>
      <c r="G83" s="130"/>
      <c r="H83" s="131"/>
      <c r="I83" s="130"/>
      <c r="J83" s="136"/>
      <c r="K83" s="164"/>
      <c r="L83" s="126"/>
      <c r="M83" s="126"/>
    </row>
    <row r="84" spans="1:18" x14ac:dyDescent="0.25">
      <c r="A84" s="128"/>
      <c r="B84" s="192"/>
      <c r="C84" s="133"/>
      <c r="D84" s="133"/>
      <c r="E84" s="130"/>
      <c r="F84" s="130"/>
      <c r="G84" s="130"/>
      <c r="H84" s="131"/>
      <c r="I84" s="130"/>
      <c r="J84" s="136"/>
      <c r="K84" s="164"/>
      <c r="L84" s="126"/>
      <c r="M84" s="126"/>
    </row>
    <row r="85" spans="1:18" x14ac:dyDescent="0.25">
      <c r="A85" s="128"/>
      <c r="B85" s="192"/>
      <c r="C85" s="133"/>
      <c r="D85" s="133"/>
      <c r="E85" s="130"/>
      <c r="F85" s="130"/>
      <c r="G85" s="130"/>
      <c r="H85" s="131"/>
      <c r="I85" s="130"/>
      <c r="J85" s="136"/>
      <c r="K85" s="164"/>
      <c r="L85" s="126"/>
      <c r="M85" s="126"/>
    </row>
    <row r="86" spans="1:18" x14ac:dyDescent="0.25">
      <c r="A86" s="128"/>
      <c r="B86" s="192"/>
      <c r="C86" s="133"/>
      <c r="D86" s="133"/>
      <c r="E86" s="130"/>
      <c r="F86" s="130"/>
      <c r="G86" s="130"/>
      <c r="H86" s="131"/>
      <c r="I86" s="130"/>
      <c r="J86" s="136"/>
      <c r="K86" s="164"/>
      <c r="L86" s="126"/>
      <c r="M86" s="126"/>
    </row>
    <row r="87" spans="1:18" x14ac:dyDescent="0.25">
      <c r="A87" s="128"/>
      <c r="B87" s="192"/>
      <c r="C87" s="133"/>
      <c r="D87" s="133"/>
      <c r="E87" s="130"/>
      <c r="F87" s="130"/>
      <c r="G87" s="130"/>
      <c r="H87" s="131"/>
      <c r="I87" s="130"/>
      <c r="J87" s="136"/>
      <c r="K87" s="164"/>
      <c r="L87" s="126"/>
      <c r="M87" s="126"/>
    </row>
    <row r="88" spans="1:18" x14ac:dyDescent="0.25">
      <c r="A88" s="128"/>
      <c r="B88" s="192"/>
      <c r="C88" s="133"/>
      <c r="D88" s="133"/>
      <c r="E88" s="130"/>
      <c r="F88" s="130"/>
      <c r="G88" s="130"/>
      <c r="H88" s="131"/>
      <c r="I88" s="130"/>
      <c r="J88" s="136"/>
      <c r="K88" s="164"/>
      <c r="L88" s="126"/>
      <c r="M88" s="126"/>
      <c r="O88">
        <f t="shared" si="0"/>
        <v>0</v>
      </c>
    </row>
    <row r="89" spans="1:18" x14ac:dyDescent="0.25">
      <c r="A89" s="128"/>
      <c r="B89" s="192"/>
      <c r="C89" s="133"/>
      <c r="D89" s="133"/>
      <c r="E89" s="130"/>
      <c r="F89" s="130"/>
      <c r="G89" s="130"/>
      <c r="H89" s="131"/>
      <c r="I89" s="133"/>
      <c r="J89" s="136"/>
      <c r="K89" s="164"/>
      <c r="L89" s="126"/>
      <c r="M89" s="126"/>
      <c r="O89">
        <f t="shared" si="0"/>
        <v>0</v>
      </c>
    </row>
    <row r="90" spans="1:18" x14ac:dyDescent="0.25">
      <c r="A90" s="128"/>
      <c r="B90" s="192"/>
      <c r="C90" s="133"/>
      <c r="D90" s="133"/>
      <c r="E90" s="130"/>
      <c r="F90" s="130"/>
      <c r="G90" s="130"/>
      <c r="H90" s="131"/>
      <c r="I90" s="130"/>
      <c r="J90" s="136"/>
      <c r="K90" s="164"/>
      <c r="L90" s="126"/>
      <c r="M90" s="126"/>
      <c r="O90">
        <f t="shared" si="0"/>
        <v>0</v>
      </c>
    </row>
    <row r="91" spans="1:18" x14ac:dyDescent="0.25">
      <c r="A91" s="142"/>
      <c r="B91" s="192"/>
      <c r="C91" s="133"/>
      <c r="D91" s="133"/>
      <c r="E91" s="130"/>
      <c r="F91" s="130"/>
      <c r="G91" s="130"/>
      <c r="H91" s="131"/>
      <c r="I91" s="130"/>
      <c r="J91" s="136"/>
      <c r="K91" s="164"/>
      <c r="L91" s="126"/>
      <c r="M91" s="126"/>
      <c r="O91">
        <f t="shared" si="0"/>
        <v>0</v>
      </c>
    </row>
    <row r="92" spans="1:18" x14ac:dyDescent="0.25">
      <c r="A92" s="142"/>
      <c r="B92" s="192"/>
      <c r="C92" s="133"/>
      <c r="D92" s="133"/>
      <c r="E92" s="130"/>
      <c r="F92" s="130"/>
      <c r="G92" s="130"/>
      <c r="H92" s="131"/>
      <c r="I92" s="130"/>
      <c r="J92" s="136"/>
      <c r="K92" s="164"/>
      <c r="L92" s="126"/>
      <c r="M92" s="126"/>
      <c r="O92">
        <f t="shared" si="0"/>
        <v>0</v>
      </c>
    </row>
    <row r="93" spans="1:18" x14ac:dyDescent="0.25">
      <c r="A93" s="142"/>
      <c r="B93" s="192"/>
      <c r="C93" s="133"/>
      <c r="D93" s="133"/>
      <c r="E93" s="130"/>
      <c r="F93" s="130"/>
      <c r="G93" s="130"/>
      <c r="H93" s="131"/>
      <c r="I93" s="130"/>
      <c r="J93" s="136"/>
      <c r="K93" s="164"/>
      <c r="L93" s="126"/>
      <c r="M93" s="126"/>
      <c r="O93">
        <f t="shared" si="0"/>
        <v>0</v>
      </c>
    </row>
    <row r="94" spans="1:18" x14ac:dyDescent="0.25">
      <c r="A94" s="142"/>
      <c r="B94" s="192"/>
      <c r="C94" s="133"/>
      <c r="D94" s="133"/>
      <c r="E94" s="130"/>
      <c r="F94" s="130"/>
      <c r="G94" s="130"/>
      <c r="H94" s="131"/>
      <c r="I94" s="130"/>
      <c r="J94" s="136"/>
      <c r="K94" s="164"/>
      <c r="L94" s="126"/>
      <c r="M94" s="126"/>
      <c r="O94">
        <f t="shared" si="0"/>
        <v>0</v>
      </c>
    </row>
    <row r="95" spans="1:18" x14ac:dyDescent="0.25">
      <c r="A95" s="142"/>
      <c r="B95" s="192"/>
      <c r="C95" s="133"/>
      <c r="D95" s="133"/>
      <c r="E95" s="130"/>
      <c r="F95" s="130"/>
      <c r="G95" s="130"/>
      <c r="H95" s="131"/>
      <c r="I95" s="130"/>
      <c r="J95" s="136"/>
      <c r="K95" s="164"/>
      <c r="L95" s="126"/>
      <c r="M95" s="126"/>
      <c r="O95">
        <f t="shared" si="0"/>
        <v>0</v>
      </c>
      <c r="R95" s="57"/>
    </row>
    <row r="96" spans="1:18" x14ac:dyDescent="0.25">
      <c r="A96" s="142"/>
      <c r="B96" s="192"/>
      <c r="C96" s="133"/>
      <c r="D96" s="133"/>
      <c r="E96" s="130"/>
      <c r="F96" s="130"/>
      <c r="G96" s="130"/>
      <c r="H96" s="131"/>
      <c r="I96" s="130"/>
      <c r="J96" s="136"/>
      <c r="K96" s="164"/>
      <c r="L96" s="126"/>
      <c r="M96" s="126"/>
      <c r="O96">
        <f t="shared" si="0"/>
        <v>0</v>
      </c>
    </row>
    <row r="97" spans="1:19" x14ac:dyDescent="0.25">
      <c r="A97" s="142"/>
      <c r="B97" s="192"/>
      <c r="C97" s="133"/>
      <c r="D97" s="133"/>
      <c r="E97" s="130"/>
      <c r="F97" s="130"/>
      <c r="G97" s="130"/>
      <c r="H97" s="131"/>
      <c r="I97" s="130"/>
      <c r="J97" s="136"/>
      <c r="K97" s="164"/>
      <c r="L97" s="126"/>
      <c r="M97" s="126"/>
      <c r="O97">
        <f t="shared" si="0"/>
        <v>0</v>
      </c>
    </row>
    <row r="98" spans="1:19" x14ac:dyDescent="0.25">
      <c r="A98" s="142"/>
      <c r="B98" s="192"/>
      <c r="C98" s="133"/>
      <c r="D98" s="133"/>
      <c r="E98" s="130"/>
      <c r="F98" s="130"/>
      <c r="G98" s="130"/>
      <c r="H98" s="131"/>
      <c r="I98" s="130"/>
      <c r="J98" s="136"/>
      <c r="K98" s="164"/>
      <c r="L98" s="126"/>
      <c r="M98" s="126"/>
      <c r="O98">
        <f t="shared" si="0"/>
        <v>0</v>
      </c>
    </row>
    <row r="99" spans="1:19" x14ac:dyDescent="0.25">
      <c r="A99" s="142"/>
      <c r="B99" s="192"/>
      <c r="C99" s="133"/>
      <c r="D99" s="133"/>
      <c r="E99" s="130"/>
      <c r="F99" s="130"/>
      <c r="G99" s="130"/>
      <c r="H99" s="131"/>
      <c r="I99" s="133"/>
      <c r="J99" s="136"/>
      <c r="K99" s="164"/>
      <c r="L99" s="126"/>
      <c r="M99" s="126"/>
      <c r="O99">
        <f t="shared" si="0"/>
        <v>0</v>
      </c>
      <c r="S99" s="57"/>
    </row>
    <row r="100" spans="1:19" x14ac:dyDescent="0.25">
      <c r="A100" s="142"/>
      <c r="B100" s="192"/>
      <c r="C100" s="133"/>
      <c r="D100" s="133"/>
      <c r="E100" s="130"/>
      <c r="F100" s="130"/>
      <c r="G100" s="130"/>
      <c r="H100" s="131"/>
      <c r="I100" s="133"/>
      <c r="J100" s="136"/>
      <c r="K100" s="164"/>
      <c r="L100" s="126"/>
      <c r="M100" s="126"/>
      <c r="O100">
        <f t="shared" si="0"/>
        <v>0</v>
      </c>
      <c r="R100" s="57"/>
    </row>
    <row r="101" spans="1:19" x14ac:dyDescent="0.25">
      <c r="A101" s="142"/>
      <c r="B101" s="192"/>
      <c r="C101" s="133"/>
      <c r="D101" s="133"/>
      <c r="E101" s="130"/>
      <c r="F101" s="130"/>
      <c r="G101" s="130"/>
      <c r="H101" s="131"/>
      <c r="I101" s="130"/>
      <c r="J101" s="136"/>
      <c r="K101" s="164"/>
      <c r="L101" s="126"/>
      <c r="M101" s="126"/>
      <c r="O101">
        <f t="shared" si="0"/>
        <v>0</v>
      </c>
    </row>
    <row r="102" spans="1:19" x14ac:dyDescent="0.25">
      <c r="A102" s="142"/>
      <c r="B102" s="192"/>
      <c r="C102" s="133"/>
      <c r="D102" s="133"/>
      <c r="E102" s="130"/>
      <c r="F102" s="130"/>
      <c r="G102" s="130"/>
      <c r="H102" s="131"/>
      <c r="I102" s="133"/>
      <c r="J102" s="136"/>
      <c r="K102" s="164"/>
      <c r="L102" s="126"/>
      <c r="M102" s="126"/>
      <c r="O102">
        <f t="shared" si="0"/>
        <v>0</v>
      </c>
      <c r="R102" s="57"/>
    </row>
    <row r="103" spans="1:19" x14ac:dyDescent="0.25">
      <c r="A103" s="142"/>
      <c r="B103" s="192"/>
      <c r="C103" s="133"/>
      <c r="D103" s="133"/>
      <c r="E103" s="130"/>
      <c r="F103" s="130"/>
      <c r="G103" s="130"/>
      <c r="H103" s="131"/>
      <c r="I103" s="130"/>
      <c r="J103" s="136"/>
      <c r="K103" s="164"/>
      <c r="L103" s="126"/>
      <c r="M103" s="126"/>
      <c r="O103">
        <f t="shared" si="0"/>
        <v>0</v>
      </c>
      <c r="R103" s="57"/>
    </row>
    <row r="104" spans="1:19" x14ac:dyDescent="0.25">
      <c r="A104" s="142"/>
      <c r="B104" s="192"/>
      <c r="C104" s="133"/>
      <c r="D104" s="130"/>
      <c r="E104" s="130"/>
      <c r="F104" s="130"/>
      <c r="G104" s="130"/>
      <c r="H104" s="131"/>
      <c r="I104" s="133"/>
      <c r="J104" s="136"/>
      <c r="K104" s="164"/>
      <c r="L104" s="126"/>
      <c r="M104" s="126"/>
      <c r="O104">
        <f t="shared" si="0"/>
        <v>0</v>
      </c>
    </row>
    <row r="105" spans="1:19" x14ac:dyDescent="0.25">
      <c r="A105" s="142"/>
      <c r="B105" s="192"/>
      <c r="C105" s="133"/>
      <c r="D105" s="130"/>
      <c r="E105" s="130"/>
      <c r="F105" s="130"/>
      <c r="G105" s="130"/>
      <c r="H105" s="131"/>
      <c r="I105" s="130"/>
      <c r="J105" s="136"/>
      <c r="K105" s="164"/>
      <c r="L105" s="126"/>
      <c r="M105" s="126"/>
      <c r="O105">
        <f t="shared" si="0"/>
        <v>0</v>
      </c>
    </row>
    <row r="106" spans="1:19" x14ac:dyDescent="0.25">
      <c r="A106" s="142"/>
      <c r="B106" s="192"/>
      <c r="C106" s="133"/>
      <c r="D106" s="133"/>
      <c r="E106" s="130"/>
      <c r="F106" s="130"/>
      <c r="G106" s="130"/>
      <c r="H106" s="131"/>
      <c r="I106" s="133"/>
      <c r="J106" s="136"/>
      <c r="K106" s="164"/>
      <c r="L106" s="126"/>
      <c r="M106" s="126"/>
      <c r="O106">
        <f t="shared" si="0"/>
        <v>0</v>
      </c>
    </row>
    <row r="107" spans="1:19" x14ac:dyDescent="0.25">
      <c r="A107" s="142"/>
      <c r="B107" s="192"/>
      <c r="C107" s="133"/>
      <c r="D107" s="133"/>
      <c r="E107" s="130"/>
      <c r="F107" s="130"/>
      <c r="G107" s="130"/>
      <c r="H107" s="131"/>
      <c r="I107" s="130"/>
      <c r="J107" s="136"/>
      <c r="K107" s="164"/>
      <c r="L107" s="126"/>
      <c r="M107" s="126"/>
      <c r="O107">
        <f t="shared" si="0"/>
        <v>0</v>
      </c>
    </row>
    <row r="108" spans="1:19" x14ac:dyDescent="0.25">
      <c r="A108" s="142"/>
      <c r="B108" s="192"/>
      <c r="C108" s="133"/>
      <c r="D108" s="133"/>
      <c r="E108" s="130"/>
      <c r="F108" s="130"/>
      <c r="G108" s="130"/>
      <c r="H108" s="131"/>
      <c r="I108" s="133"/>
      <c r="J108" s="136"/>
      <c r="K108" s="164"/>
      <c r="L108" s="126"/>
      <c r="M108" s="126"/>
      <c r="O108">
        <f t="shared" si="0"/>
        <v>0</v>
      </c>
    </row>
    <row r="109" spans="1:19" x14ac:dyDescent="0.25">
      <c r="A109" s="142"/>
      <c r="B109" s="192"/>
      <c r="C109" s="133"/>
      <c r="D109" s="133"/>
      <c r="E109" s="130"/>
      <c r="F109" s="130"/>
      <c r="G109" s="130"/>
      <c r="H109" s="131"/>
      <c r="I109" s="133"/>
      <c r="J109" s="136"/>
      <c r="K109" s="164"/>
      <c r="L109" s="126"/>
      <c r="M109" s="126"/>
      <c r="O109">
        <f t="shared" si="0"/>
        <v>0</v>
      </c>
    </row>
    <row r="110" spans="1:19" x14ac:dyDescent="0.25">
      <c r="A110" s="142"/>
      <c r="B110" s="192"/>
      <c r="C110" s="133"/>
      <c r="D110" s="133"/>
      <c r="E110" s="130"/>
      <c r="F110" s="130"/>
      <c r="G110" s="130"/>
      <c r="H110" s="131"/>
      <c r="I110" s="130"/>
      <c r="J110" s="136"/>
      <c r="K110" s="164"/>
      <c r="L110" s="126"/>
      <c r="M110" s="126"/>
      <c r="O110">
        <f t="shared" si="0"/>
        <v>0</v>
      </c>
      <c r="R110" s="57">
        <f>SUM(J108:J111,J113:J159)</f>
        <v>0</v>
      </c>
    </row>
    <row r="111" spans="1:19" x14ac:dyDescent="0.25">
      <c r="A111" s="142"/>
      <c r="B111" s="192"/>
      <c r="C111" s="133"/>
      <c r="D111" s="133"/>
      <c r="E111" s="130"/>
      <c r="F111" s="130"/>
      <c r="G111" s="130"/>
      <c r="H111" s="131"/>
      <c r="I111" s="130"/>
      <c r="J111" s="136"/>
      <c r="K111" s="164"/>
      <c r="L111" s="126"/>
      <c r="M111" s="126"/>
      <c r="O111">
        <f t="shared" si="0"/>
        <v>0</v>
      </c>
      <c r="R111" s="57"/>
    </row>
    <row r="112" spans="1:19" x14ac:dyDescent="0.25">
      <c r="A112" s="142"/>
      <c r="B112" s="192"/>
      <c r="C112" s="133"/>
      <c r="D112" s="133"/>
      <c r="E112" s="130"/>
      <c r="F112" s="130"/>
      <c r="G112" s="130"/>
      <c r="H112" s="131"/>
      <c r="I112" s="130"/>
      <c r="J112" s="136"/>
      <c r="K112" s="164"/>
      <c r="L112" s="126"/>
      <c r="M112" s="126"/>
      <c r="O112">
        <f t="shared" si="0"/>
        <v>0</v>
      </c>
    </row>
    <row r="113" spans="1:18" x14ac:dyDescent="0.25">
      <c r="A113" s="142"/>
      <c r="B113" s="192"/>
      <c r="C113" s="133"/>
      <c r="D113" s="133"/>
      <c r="E113" s="130"/>
      <c r="F113" s="130"/>
      <c r="G113" s="130"/>
      <c r="H113" s="131"/>
      <c r="I113" s="130"/>
      <c r="J113" s="136"/>
      <c r="K113" s="164"/>
      <c r="L113" s="126"/>
      <c r="M113" s="126"/>
      <c r="O113">
        <f t="shared" si="0"/>
        <v>0</v>
      </c>
      <c r="R113" s="57"/>
    </row>
    <row r="114" spans="1:18" x14ac:dyDescent="0.25">
      <c r="A114" s="142"/>
      <c r="B114" s="192"/>
      <c r="C114" s="133"/>
      <c r="D114" s="133"/>
      <c r="E114" s="130"/>
      <c r="F114" s="130"/>
      <c r="G114" s="130"/>
      <c r="H114" s="131"/>
      <c r="I114" s="130"/>
      <c r="J114" s="136"/>
      <c r="K114" s="164"/>
      <c r="L114" s="126"/>
      <c r="M114" s="126"/>
      <c r="O114">
        <f t="shared" si="0"/>
        <v>0</v>
      </c>
    </row>
    <row r="115" spans="1:18" x14ac:dyDescent="0.25">
      <c r="A115" s="142"/>
      <c r="B115" s="192"/>
      <c r="C115" s="133"/>
      <c r="D115" s="133"/>
      <c r="E115" s="130"/>
      <c r="F115" s="130"/>
      <c r="G115" s="130"/>
      <c r="H115" s="131"/>
      <c r="I115" s="130"/>
      <c r="J115" s="136"/>
      <c r="K115" s="164"/>
      <c r="L115" s="126"/>
      <c r="M115" s="126"/>
      <c r="O115">
        <f t="shared" si="0"/>
        <v>0</v>
      </c>
      <c r="R115" s="57"/>
    </row>
    <row r="116" spans="1:18" x14ac:dyDescent="0.25">
      <c r="A116" s="142"/>
      <c r="B116" s="192"/>
      <c r="C116" s="133"/>
      <c r="D116" s="133"/>
      <c r="E116" s="130"/>
      <c r="F116" s="130"/>
      <c r="G116" s="130"/>
      <c r="H116" s="131"/>
      <c r="I116" s="130"/>
      <c r="J116" s="136"/>
      <c r="K116" s="164"/>
      <c r="L116" s="126"/>
      <c r="M116" s="126"/>
      <c r="O116">
        <f t="shared" si="0"/>
        <v>0</v>
      </c>
    </row>
    <row r="117" spans="1:18" x14ac:dyDescent="0.25">
      <c r="A117" s="142"/>
      <c r="B117" s="192"/>
      <c r="C117" s="133"/>
      <c r="D117" s="133"/>
      <c r="E117" s="130"/>
      <c r="F117" s="130"/>
      <c r="G117" s="130"/>
      <c r="H117" s="131"/>
      <c r="I117" s="130"/>
      <c r="J117" s="136"/>
      <c r="K117" s="164"/>
      <c r="L117" s="126"/>
      <c r="M117" s="126"/>
      <c r="O117">
        <f t="shared" si="0"/>
        <v>0</v>
      </c>
      <c r="R117" s="57"/>
    </row>
    <row r="118" spans="1:18" x14ac:dyDescent="0.25">
      <c r="A118" s="142"/>
      <c r="B118" s="192"/>
      <c r="C118" s="133"/>
      <c r="D118" s="133"/>
      <c r="E118" s="130"/>
      <c r="F118" s="130"/>
      <c r="G118" s="130"/>
      <c r="H118" s="131"/>
      <c r="I118" s="133"/>
      <c r="J118" s="136"/>
      <c r="K118" s="164"/>
      <c r="L118" s="126"/>
      <c r="M118" s="126"/>
      <c r="O118">
        <f t="shared" si="0"/>
        <v>0</v>
      </c>
    </row>
    <row r="119" spans="1:18" x14ac:dyDescent="0.25">
      <c r="A119" s="142"/>
      <c r="B119" s="192"/>
      <c r="C119" s="133"/>
      <c r="D119" s="133"/>
      <c r="E119" s="130"/>
      <c r="F119" s="130"/>
      <c r="G119" s="130"/>
      <c r="H119" s="131"/>
      <c r="I119" s="130"/>
      <c r="J119" s="136"/>
      <c r="K119" s="164"/>
      <c r="L119" s="126"/>
      <c r="M119" s="126"/>
      <c r="O119">
        <f t="shared" si="0"/>
        <v>0</v>
      </c>
    </row>
    <row r="120" spans="1:18" x14ac:dyDescent="0.25">
      <c r="A120" s="142"/>
      <c r="B120" s="192"/>
      <c r="C120" s="133"/>
      <c r="D120" s="133"/>
      <c r="E120" s="130"/>
      <c r="F120" s="130"/>
      <c r="G120" s="130"/>
      <c r="H120" s="131"/>
      <c r="I120" s="130"/>
      <c r="J120" s="136"/>
      <c r="K120" s="164"/>
      <c r="L120" s="126"/>
      <c r="M120" s="126"/>
      <c r="O120">
        <f t="shared" si="0"/>
        <v>0</v>
      </c>
    </row>
    <row r="121" spans="1:18" x14ac:dyDescent="0.25">
      <c r="A121" s="142"/>
      <c r="B121" s="192"/>
      <c r="C121" s="133"/>
      <c r="D121" s="133"/>
      <c r="E121" s="130"/>
      <c r="F121" s="130"/>
      <c r="G121" s="130"/>
      <c r="H121" s="131"/>
      <c r="I121" s="130"/>
      <c r="J121" s="136"/>
      <c r="K121" s="164"/>
      <c r="L121" s="126"/>
      <c r="M121" s="126"/>
      <c r="O121">
        <f t="shared" si="0"/>
        <v>0</v>
      </c>
    </row>
    <row r="122" spans="1:18" x14ac:dyDescent="0.25">
      <c r="A122" s="142"/>
      <c r="B122" s="192"/>
      <c r="C122" s="133"/>
      <c r="D122" s="133"/>
      <c r="E122" s="130"/>
      <c r="F122" s="130"/>
      <c r="G122" s="130"/>
      <c r="H122" s="131"/>
      <c r="I122" s="133"/>
      <c r="J122" s="136"/>
      <c r="K122" s="164"/>
      <c r="L122" s="126"/>
      <c r="M122" s="126"/>
      <c r="O122">
        <f t="shared" si="0"/>
        <v>0</v>
      </c>
    </row>
    <row r="123" spans="1:18" x14ac:dyDescent="0.25">
      <c r="A123" s="142"/>
      <c r="B123" s="192"/>
      <c r="C123" s="133"/>
      <c r="D123" s="133"/>
      <c r="E123" s="130"/>
      <c r="F123" s="130"/>
      <c r="G123" s="130"/>
      <c r="H123" s="131"/>
      <c r="I123" s="133"/>
      <c r="J123" s="136"/>
      <c r="K123" s="164"/>
      <c r="L123" s="126"/>
      <c r="M123" s="126"/>
      <c r="O123">
        <f t="shared" si="0"/>
        <v>0</v>
      </c>
    </row>
    <row r="124" spans="1:18" x14ac:dyDescent="0.25">
      <c r="A124" s="142"/>
      <c r="B124" s="192"/>
      <c r="C124" s="133"/>
      <c r="D124" s="133"/>
      <c r="E124" s="130"/>
      <c r="F124" s="130"/>
      <c r="G124" s="130"/>
      <c r="H124" s="131"/>
      <c r="I124" s="133"/>
      <c r="J124" s="136"/>
      <c r="K124" s="164"/>
      <c r="L124" s="126"/>
      <c r="M124" s="126"/>
      <c r="O124">
        <f t="shared" si="0"/>
        <v>0</v>
      </c>
    </row>
    <row r="125" spans="1:18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8" x14ac:dyDescent="0.25">
      <c r="A126" s="142"/>
      <c r="B126" s="192"/>
      <c r="C126" s="133"/>
      <c r="D126" s="133"/>
      <c r="E126" s="130"/>
      <c r="F126" s="130"/>
      <c r="G126" s="130"/>
      <c r="H126" s="131"/>
      <c r="I126" s="130"/>
      <c r="J126" s="136"/>
      <c r="K126" s="164"/>
      <c r="L126" s="126"/>
      <c r="M126" s="126"/>
      <c r="O126">
        <f t="shared" si="0"/>
        <v>0</v>
      </c>
    </row>
    <row r="127" spans="1:18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8" x14ac:dyDescent="0.25">
      <c r="A128" s="142"/>
      <c r="B128" s="192"/>
      <c r="C128" s="133"/>
      <c r="D128" s="133"/>
      <c r="E128" s="130"/>
      <c r="F128" s="130"/>
      <c r="G128" s="130"/>
      <c r="H128" s="131"/>
      <c r="I128" s="133"/>
      <c r="J128" s="136"/>
      <c r="K128" s="164"/>
      <c r="L128" s="126"/>
      <c r="M128" s="126"/>
      <c r="O128">
        <f t="shared" si="0"/>
        <v>0</v>
      </c>
    </row>
    <row r="129" spans="1:15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5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5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5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5" x14ac:dyDescent="0.25">
      <c r="A133" s="142"/>
      <c r="B133" s="192"/>
      <c r="C133" s="133"/>
      <c r="D133" s="133"/>
      <c r="E133" s="130"/>
      <c r="F133" s="130"/>
      <c r="G133" s="130"/>
      <c r="H133" s="131"/>
      <c r="I133" s="133"/>
      <c r="J133" s="136"/>
      <c r="K133" s="164"/>
      <c r="L133" s="126"/>
      <c r="M133" s="126"/>
      <c r="O133">
        <f t="shared" si="0"/>
        <v>0</v>
      </c>
    </row>
    <row r="134" spans="1:15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5" x14ac:dyDescent="0.25">
      <c r="A135" s="142"/>
      <c r="B135" s="192"/>
      <c r="C135" s="133"/>
      <c r="D135" s="133"/>
      <c r="E135" s="130"/>
      <c r="F135" s="130"/>
      <c r="G135" s="130"/>
      <c r="H135" s="131"/>
      <c r="I135" s="130"/>
      <c r="J135" s="136"/>
      <c r="K135" s="164"/>
      <c r="L135" s="126"/>
      <c r="M135" s="126"/>
      <c r="O135">
        <f t="shared" si="0"/>
        <v>0</v>
      </c>
    </row>
    <row r="136" spans="1:15" x14ac:dyDescent="0.25">
      <c r="A136" s="142"/>
      <c r="B136" s="192"/>
      <c r="C136" s="133"/>
      <c r="D136" s="133"/>
      <c r="E136" s="130"/>
      <c r="F136" s="130"/>
      <c r="G136" s="130"/>
      <c r="H136" s="131"/>
      <c r="I136" s="130"/>
      <c r="J136" s="136"/>
      <c r="K136" s="164"/>
      <c r="L136" s="126"/>
      <c r="M136" s="126"/>
      <c r="O136">
        <f t="shared" si="0"/>
        <v>0</v>
      </c>
    </row>
    <row r="137" spans="1:15" x14ac:dyDescent="0.25">
      <c r="A137" s="142"/>
      <c r="B137" s="192"/>
      <c r="C137" s="133"/>
      <c r="D137" s="133"/>
      <c r="E137" s="130"/>
      <c r="F137" s="130"/>
      <c r="G137" s="130"/>
      <c r="H137" s="131"/>
      <c r="I137" s="130"/>
      <c r="J137" s="136"/>
      <c r="K137" s="164"/>
      <c r="L137" s="126"/>
      <c r="M137" s="126"/>
      <c r="O137">
        <f t="shared" si="0"/>
        <v>0</v>
      </c>
    </row>
    <row r="138" spans="1:15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5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5" x14ac:dyDescent="0.25">
      <c r="A140" s="142"/>
      <c r="B140" s="192"/>
      <c r="C140" s="133"/>
      <c r="D140" s="133"/>
      <c r="E140" s="130"/>
      <c r="F140" s="130"/>
      <c r="G140" s="130"/>
      <c r="H140" s="131"/>
      <c r="I140" s="130"/>
      <c r="J140" s="136"/>
      <c r="K140" s="164"/>
      <c r="L140" s="126"/>
      <c r="M140" s="126"/>
      <c r="O140">
        <f t="shared" si="0"/>
        <v>0</v>
      </c>
    </row>
    <row r="141" spans="1:15" x14ac:dyDescent="0.25">
      <c r="A141" s="142"/>
      <c r="B141" s="192"/>
      <c r="C141" s="133"/>
      <c r="D141" s="133"/>
      <c r="E141" s="130"/>
      <c r="F141" s="130"/>
      <c r="G141" s="130"/>
      <c r="H141" s="131"/>
      <c r="I141" s="130"/>
      <c r="J141" s="136"/>
      <c r="K141" s="164"/>
      <c r="L141" s="126"/>
      <c r="M141" s="126"/>
      <c r="O141">
        <f t="shared" si="0"/>
        <v>0</v>
      </c>
    </row>
    <row r="142" spans="1:15" x14ac:dyDescent="0.25">
      <c r="A142" s="142"/>
      <c r="B142" s="192"/>
      <c r="C142" s="133"/>
      <c r="D142" s="133"/>
      <c r="E142" s="130"/>
      <c r="F142" s="130"/>
      <c r="G142" s="130"/>
      <c r="H142" s="131"/>
      <c r="I142" s="130"/>
      <c r="J142" s="136"/>
      <c r="K142" s="164"/>
      <c r="L142" s="126"/>
      <c r="M142" s="126"/>
      <c r="O142">
        <f t="shared" si="0"/>
        <v>0</v>
      </c>
    </row>
    <row r="143" spans="1:15" x14ac:dyDescent="0.25">
      <c r="A143" s="142"/>
      <c r="B143" s="192"/>
      <c r="C143" s="133"/>
      <c r="D143" s="133"/>
      <c r="E143" s="130"/>
      <c r="F143" s="130"/>
      <c r="G143" s="130"/>
      <c r="H143" s="131"/>
      <c r="I143" s="130"/>
      <c r="J143" s="136"/>
      <c r="K143" s="164"/>
      <c r="L143" s="126"/>
      <c r="M143" s="126"/>
      <c r="O143">
        <f t="shared" si="0"/>
        <v>0</v>
      </c>
    </row>
    <row r="144" spans="1:15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8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</row>
    <row r="146" spans="1:18" x14ac:dyDescent="0.25">
      <c r="A146" s="142"/>
      <c r="B146" s="192"/>
      <c r="C146" s="133"/>
      <c r="D146" s="133"/>
      <c r="E146" s="130"/>
      <c r="F146" s="130"/>
      <c r="G146" s="130"/>
      <c r="H146" s="131"/>
      <c r="I146" s="130"/>
      <c r="J146" s="136"/>
      <c r="K146" s="164"/>
      <c r="L146" s="126"/>
      <c r="M146" s="126"/>
      <c r="O146">
        <f t="shared" si="0"/>
        <v>0</v>
      </c>
    </row>
    <row r="147" spans="1:18" x14ac:dyDescent="0.25">
      <c r="A147" s="142"/>
      <c r="B147" s="192"/>
      <c r="C147" s="133"/>
      <c r="D147" s="133"/>
      <c r="E147" s="130"/>
      <c r="F147" s="130"/>
      <c r="G147" s="130"/>
      <c r="H147" s="131"/>
      <c r="I147" s="133"/>
      <c r="J147" s="136"/>
      <c r="K147" s="164"/>
      <c r="L147" s="126"/>
      <c r="M147" s="126"/>
      <c r="O147">
        <f t="shared" si="0"/>
        <v>0</v>
      </c>
    </row>
    <row r="148" spans="1:18" x14ac:dyDescent="0.25">
      <c r="A148" s="142"/>
      <c r="B148" s="192"/>
      <c r="C148" s="133"/>
      <c r="D148" s="133"/>
      <c r="E148" s="130"/>
      <c r="F148" s="130"/>
      <c r="G148" s="130"/>
      <c r="H148" s="131"/>
      <c r="I148" s="133"/>
      <c r="J148" s="136"/>
      <c r="K148" s="164"/>
      <c r="L148" s="126"/>
      <c r="M148" s="126"/>
      <c r="O148">
        <f t="shared" si="0"/>
        <v>0</v>
      </c>
    </row>
    <row r="149" spans="1:18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8" x14ac:dyDescent="0.25">
      <c r="A150" s="142"/>
      <c r="B150" s="192"/>
      <c r="C150" s="133"/>
      <c r="D150" s="133"/>
      <c r="E150" s="130"/>
      <c r="F150" s="130"/>
      <c r="G150" s="130"/>
      <c r="H150" s="131"/>
      <c r="I150" s="133"/>
      <c r="J150" s="136"/>
      <c r="K150" s="164"/>
      <c r="L150" s="126"/>
      <c r="M150" s="126"/>
      <c r="O150">
        <f t="shared" si="0"/>
        <v>0</v>
      </c>
    </row>
    <row r="151" spans="1:18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  <c r="O151">
        <f t="shared" si="0"/>
        <v>0</v>
      </c>
    </row>
    <row r="152" spans="1:18" x14ac:dyDescent="0.25">
      <c r="A152" s="142"/>
      <c r="B152" s="192"/>
      <c r="C152" s="133"/>
      <c r="D152" s="133"/>
      <c r="E152" s="130"/>
      <c r="F152" s="130"/>
      <c r="G152" s="130"/>
      <c r="H152" s="131"/>
      <c r="I152" s="133"/>
      <c r="J152" s="136"/>
      <c r="K152" s="164"/>
      <c r="L152" s="126"/>
      <c r="M152" s="126"/>
      <c r="O152">
        <f t="shared" si="0"/>
        <v>0</v>
      </c>
      <c r="R152" s="57">
        <f>SUM(J136:J139,J142:J145,J152,J130,J105,J98:J99)</f>
        <v>0</v>
      </c>
    </row>
    <row r="153" spans="1:18" x14ac:dyDescent="0.25">
      <c r="A153" s="142"/>
      <c r="B153" s="192"/>
      <c r="C153" s="133"/>
      <c r="D153" s="133"/>
      <c r="E153" s="130"/>
      <c r="F153" s="130"/>
      <c r="G153" s="130"/>
      <c r="H153" s="131"/>
      <c r="I153" s="133"/>
      <c r="J153" s="136"/>
      <c r="K153" s="164"/>
      <c r="L153" s="126"/>
      <c r="M153" s="126"/>
      <c r="O153">
        <f t="shared" si="0"/>
        <v>0</v>
      </c>
      <c r="R153" s="57">
        <f>SUM(J153:J156)</f>
        <v>0</v>
      </c>
    </row>
    <row r="154" spans="1:18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  <c r="O154">
        <f t="shared" si="0"/>
        <v>0</v>
      </c>
    </row>
    <row r="155" spans="1:18" x14ac:dyDescent="0.25">
      <c r="A155" s="142"/>
      <c r="B155" s="192"/>
      <c r="C155" s="133"/>
      <c r="D155" s="133"/>
      <c r="E155" s="130"/>
      <c r="F155" s="130"/>
      <c r="G155" s="130"/>
      <c r="H155" s="131"/>
      <c r="I155" s="133"/>
      <c r="J155" s="136"/>
      <c r="K155" s="164"/>
      <c r="L155" s="126"/>
      <c r="M155" s="126"/>
      <c r="O155">
        <f t="shared" si="0"/>
        <v>0</v>
      </c>
    </row>
    <row r="156" spans="1:18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  <c r="O156">
        <f t="shared" si="0"/>
        <v>0</v>
      </c>
    </row>
    <row r="157" spans="1:18" x14ac:dyDescent="0.25">
      <c r="A157" s="142"/>
      <c r="B157" s="192"/>
      <c r="C157" s="133"/>
      <c r="D157" s="133"/>
      <c r="E157" s="130"/>
      <c r="F157" s="130"/>
      <c r="G157" s="130"/>
      <c r="H157" s="131"/>
      <c r="I157" s="133"/>
      <c r="J157" s="136"/>
      <c r="K157" s="164"/>
      <c r="L157" s="126"/>
      <c r="M157" s="126"/>
      <c r="O157">
        <f t="shared" si="0"/>
        <v>0</v>
      </c>
    </row>
    <row r="158" spans="1:18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  <c r="O158">
        <f t="shared" si="0"/>
        <v>0</v>
      </c>
    </row>
    <row r="159" spans="1:18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  <c r="O159">
        <f t="shared" si="0"/>
        <v>0</v>
      </c>
    </row>
    <row r="160" spans="1:18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  <c r="O160">
        <f t="shared" si="0"/>
        <v>0</v>
      </c>
    </row>
    <row r="161" spans="1:15" x14ac:dyDescent="0.25">
      <c r="A161" s="142"/>
      <c r="B161" s="192"/>
      <c r="C161" s="133"/>
      <c r="D161" s="133"/>
      <c r="E161" s="130"/>
      <c r="F161" s="130"/>
      <c r="G161" s="130"/>
      <c r="H161" s="131"/>
      <c r="I161" s="130"/>
      <c r="J161" s="136"/>
      <c r="K161" s="164"/>
      <c r="L161" s="126"/>
      <c r="M161" s="126"/>
      <c r="O161">
        <f t="shared" si="0"/>
        <v>0</v>
      </c>
    </row>
    <row r="162" spans="1:15" x14ac:dyDescent="0.25">
      <c r="A162" s="142"/>
      <c r="B162" s="192"/>
      <c r="C162" s="133"/>
      <c r="D162" s="133"/>
      <c r="E162" s="130"/>
      <c r="F162" s="130"/>
      <c r="G162" s="130"/>
      <c r="H162" s="131"/>
      <c r="I162" s="130"/>
      <c r="J162" s="136"/>
      <c r="K162" s="164"/>
      <c r="L162" s="126"/>
      <c r="M162" s="126"/>
      <c r="O162">
        <f t="shared" si="0"/>
        <v>0</v>
      </c>
    </row>
    <row r="163" spans="1:15" x14ac:dyDescent="0.25">
      <c r="A163" s="142"/>
      <c r="B163" s="192"/>
      <c r="C163" s="133"/>
      <c r="D163" s="133"/>
      <c r="E163" s="130"/>
      <c r="F163" s="130"/>
      <c r="G163" s="130"/>
      <c r="H163" s="131"/>
      <c r="I163" s="130"/>
      <c r="J163" s="136"/>
      <c r="K163" s="164"/>
      <c r="L163" s="126"/>
      <c r="M163" s="126"/>
      <c r="O163">
        <f t="shared" si="0"/>
        <v>0</v>
      </c>
    </row>
    <row r="164" spans="1:15" x14ac:dyDescent="0.25">
      <c r="A164" s="142"/>
      <c r="B164" s="192"/>
      <c r="C164" s="133"/>
      <c r="D164" s="133"/>
      <c r="E164" s="130"/>
      <c r="F164" s="130"/>
      <c r="G164" s="130"/>
      <c r="H164" s="131"/>
      <c r="I164" s="130"/>
      <c r="J164" s="136"/>
      <c r="K164" s="164"/>
      <c r="L164" s="126"/>
      <c r="M164" s="126"/>
      <c r="O164">
        <f t="shared" si="0"/>
        <v>0</v>
      </c>
    </row>
    <row r="165" spans="1:15" x14ac:dyDescent="0.25">
      <c r="A165" s="142"/>
      <c r="B165" s="192"/>
      <c r="C165" s="133"/>
      <c r="D165" s="133"/>
      <c r="E165" s="130"/>
      <c r="F165" s="130"/>
      <c r="G165" s="130"/>
      <c r="H165" s="131"/>
      <c r="I165" s="133"/>
      <c r="J165" s="136"/>
      <c r="K165" s="164"/>
      <c r="L165" s="126"/>
      <c r="M165" s="126"/>
      <c r="O165">
        <f t="shared" si="0"/>
        <v>0</v>
      </c>
    </row>
    <row r="166" spans="1:15" x14ac:dyDescent="0.25">
      <c r="A166" s="142"/>
      <c r="B166" s="192"/>
      <c r="C166" s="133"/>
      <c r="D166" s="133"/>
      <c r="E166" s="130"/>
      <c r="F166" s="130"/>
      <c r="G166" s="130"/>
      <c r="H166" s="131"/>
      <c r="I166" s="130"/>
      <c r="J166" s="136"/>
      <c r="K166" s="164"/>
      <c r="L166" s="126"/>
      <c r="M166" s="126"/>
      <c r="O166">
        <f t="shared" si="0"/>
        <v>0</v>
      </c>
    </row>
    <row r="167" spans="1:15" x14ac:dyDescent="0.25">
      <c r="A167" s="142"/>
      <c r="B167" s="192"/>
      <c r="C167" s="133"/>
      <c r="D167" s="133"/>
      <c r="E167" s="130"/>
      <c r="F167" s="130"/>
      <c r="G167" s="130"/>
      <c r="H167" s="131"/>
      <c r="I167" s="130"/>
      <c r="J167" s="136"/>
      <c r="K167" s="164"/>
      <c r="L167" s="126"/>
      <c r="M167" s="126"/>
      <c r="O167">
        <f t="shared" si="0"/>
        <v>0</v>
      </c>
    </row>
    <row r="168" spans="1:15" x14ac:dyDescent="0.25">
      <c r="A168" s="142"/>
      <c r="B168" s="192"/>
      <c r="C168" s="133"/>
      <c r="D168" s="133"/>
      <c r="E168" s="130"/>
      <c r="F168" s="130"/>
      <c r="G168" s="130"/>
      <c r="H168" s="131"/>
      <c r="I168" s="133"/>
      <c r="J168" s="136"/>
      <c r="K168" s="164"/>
      <c r="L168" s="126"/>
      <c r="M168" s="126"/>
      <c r="O168">
        <f t="shared" si="0"/>
        <v>0</v>
      </c>
    </row>
    <row r="169" spans="1:15" x14ac:dyDescent="0.25">
      <c r="A169" s="142"/>
      <c r="B169" s="192"/>
      <c r="C169" s="133"/>
      <c r="D169" s="133"/>
      <c r="E169" s="130"/>
      <c r="F169" s="130"/>
      <c r="G169" s="130"/>
      <c r="H169" s="131"/>
      <c r="I169" s="130"/>
      <c r="J169" s="136"/>
      <c r="K169" s="164"/>
      <c r="L169" s="126"/>
      <c r="M169" s="126"/>
      <c r="O169">
        <f t="shared" si="0"/>
        <v>0</v>
      </c>
    </row>
    <row r="170" spans="1:15" x14ac:dyDescent="0.25">
      <c r="A170" s="142"/>
      <c r="B170" s="192"/>
      <c r="C170" s="133"/>
      <c r="D170" s="133"/>
      <c r="E170" s="130"/>
      <c r="F170" s="130"/>
      <c r="G170" s="130"/>
      <c r="H170" s="131"/>
      <c r="I170" s="130"/>
      <c r="J170" s="136"/>
      <c r="K170" s="164"/>
      <c r="L170" s="126"/>
      <c r="M170" s="126"/>
      <c r="O170">
        <f t="shared" si="0"/>
        <v>0</v>
      </c>
    </row>
    <row r="171" spans="1:15" x14ac:dyDescent="0.25">
      <c r="A171" s="142"/>
      <c r="B171" s="192"/>
      <c r="C171" s="133"/>
      <c r="D171" s="133"/>
      <c r="E171" s="130"/>
      <c r="F171" s="130"/>
      <c r="G171" s="130"/>
      <c r="H171" s="131"/>
      <c r="I171" s="130"/>
      <c r="J171" s="136"/>
      <c r="K171" s="164"/>
      <c r="L171" s="126"/>
      <c r="M171" s="126"/>
      <c r="O171">
        <f t="shared" si="0"/>
        <v>0</v>
      </c>
    </row>
    <row r="172" spans="1:15" x14ac:dyDescent="0.25">
      <c r="A172" s="142"/>
      <c r="B172" s="192"/>
      <c r="C172" s="133"/>
      <c r="D172" s="133"/>
      <c r="E172" s="130"/>
      <c r="F172" s="130"/>
      <c r="G172" s="130"/>
      <c r="H172" s="131"/>
      <c r="I172" s="130"/>
      <c r="J172" s="136"/>
      <c r="K172" s="164"/>
      <c r="L172" s="126"/>
      <c r="M172" s="126"/>
      <c r="O172">
        <f t="shared" si="0"/>
        <v>0</v>
      </c>
    </row>
    <row r="173" spans="1:15" x14ac:dyDescent="0.25">
      <c r="A173" s="142"/>
      <c r="B173" s="192"/>
      <c r="C173" s="133"/>
      <c r="D173" s="133"/>
      <c r="E173" s="130"/>
      <c r="F173" s="130"/>
      <c r="G173" s="130"/>
      <c r="H173" s="131"/>
      <c r="I173" s="130"/>
      <c r="J173" s="136"/>
      <c r="K173" s="164"/>
      <c r="L173" s="126"/>
      <c r="M173" s="126"/>
      <c r="O173">
        <f t="shared" si="0"/>
        <v>0</v>
      </c>
    </row>
    <row r="174" spans="1:15" x14ac:dyDescent="0.25">
      <c r="A174" s="142"/>
      <c r="B174" s="192"/>
      <c r="C174" s="133"/>
      <c r="D174" s="133"/>
      <c r="E174" s="130"/>
      <c r="F174" s="130"/>
      <c r="G174" s="130"/>
      <c r="H174" s="131"/>
      <c r="I174" s="130"/>
      <c r="J174" s="136"/>
      <c r="K174" s="164"/>
      <c r="L174" s="126"/>
      <c r="M174" s="126"/>
      <c r="O174">
        <f t="shared" si="0"/>
        <v>0</v>
      </c>
    </row>
    <row r="175" spans="1:15" x14ac:dyDescent="0.25">
      <c r="A175" s="142"/>
      <c r="B175" s="192"/>
      <c r="C175" s="133"/>
      <c r="D175" s="133"/>
      <c r="E175" s="130"/>
      <c r="F175" s="130"/>
      <c r="G175" s="130"/>
      <c r="H175" s="131"/>
      <c r="I175" s="130"/>
      <c r="J175" s="136"/>
      <c r="K175" s="164"/>
      <c r="L175" s="126"/>
      <c r="M175" s="126"/>
      <c r="O175">
        <f t="shared" si="0"/>
        <v>0</v>
      </c>
    </row>
    <row r="176" spans="1:15" x14ac:dyDescent="0.25">
      <c r="A176" s="142"/>
      <c r="B176" s="192"/>
      <c r="C176" s="133"/>
      <c r="D176" s="133"/>
      <c r="E176" s="130"/>
      <c r="F176" s="130"/>
      <c r="G176" s="130"/>
      <c r="H176" s="131"/>
      <c r="I176" s="130"/>
      <c r="J176" s="136"/>
      <c r="K176" s="164"/>
      <c r="L176" s="126"/>
      <c r="M176" s="126"/>
      <c r="O176">
        <f t="shared" si="0"/>
        <v>0</v>
      </c>
    </row>
    <row r="177" spans="1:15" x14ac:dyDescent="0.25">
      <c r="A177" s="142"/>
      <c r="B177" s="192"/>
      <c r="C177" s="133"/>
      <c r="D177" s="133"/>
      <c r="E177" s="130"/>
      <c r="F177" s="130"/>
      <c r="G177" s="130"/>
      <c r="H177" s="131"/>
      <c r="I177" s="130"/>
      <c r="J177" s="136"/>
      <c r="K177" s="164"/>
      <c r="L177" s="126"/>
      <c r="M177" s="126"/>
      <c r="O177">
        <f t="shared" si="0"/>
        <v>0</v>
      </c>
    </row>
    <row r="178" spans="1:15" x14ac:dyDescent="0.25">
      <c r="A178" s="142"/>
      <c r="B178" s="192"/>
      <c r="C178" s="133"/>
      <c r="D178" s="133"/>
      <c r="E178" s="130"/>
      <c r="F178" s="130"/>
      <c r="G178" s="130"/>
      <c r="H178" s="131"/>
      <c r="I178" s="133"/>
      <c r="J178" s="136"/>
      <c r="K178" s="164"/>
      <c r="L178" s="126"/>
      <c r="M178" s="126"/>
      <c r="O178">
        <f t="shared" si="0"/>
        <v>0</v>
      </c>
    </row>
    <row r="179" spans="1:15" x14ac:dyDescent="0.25">
      <c r="A179" s="142"/>
      <c r="B179" s="192"/>
      <c r="C179" s="133"/>
      <c r="D179" s="133"/>
      <c r="E179" s="130"/>
      <c r="F179" s="130"/>
      <c r="G179" s="130"/>
      <c r="H179" s="131"/>
      <c r="I179" s="130"/>
      <c r="J179" s="136"/>
      <c r="K179" s="164"/>
      <c r="L179" s="126"/>
      <c r="M179" s="126"/>
      <c r="O179">
        <f t="shared" si="0"/>
        <v>0</v>
      </c>
    </row>
    <row r="180" spans="1:15" x14ac:dyDescent="0.25">
      <c r="A180" s="142"/>
      <c r="B180" s="192"/>
      <c r="C180" s="133"/>
      <c r="D180" s="133"/>
      <c r="E180" s="130"/>
      <c r="F180" s="130"/>
      <c r="G180" s="130"/>
      <c r="H180" s="131"/>
      <c r="I180" s="130"/>
      <c r="J180" s="136"/>
      <c r="K180" s="164"/>
      <c r="L180" s="126"/>
      <c r="M180" s="126"/>
      <c r="O180">
        <f t="shared" si="0"/>
        <v>0</v>
      </c>
    </row>
    <row r="181" spans="1:15" x14ac:dyDescent="0.25">
      <c r="A181" s="142"/>
      <c r="B181" s="192"/>
      <c r="C181" s="133"/>
      <c r="D181" s="133"/>
      <c r="E181" s="130"/>
      <c r="F181" s="130"/>
      <c r="G181" s="130"/>
      <c r="H181" s="131"/>
      <c r="I181" s="130"/>
      <c r="J181" s="136"/>
      <c r="K181" s="164"/>
      <c r="L181" s="126"/>
      <c r="M181" s="126"/>
      <c r="O181">
        <f t="shared" si="0"/>
        <v>0</v>
      </c>
    </row>
    <row r="182" spans="1:15" x14ac:dyDescent="0.25">
      <c r="A182" s="142"/>
      <c r="B182" s="192"/>
      <c r="C182" s="133"/>
      <c r="D182" s="133"/>
      <c r="E182" s="130"/>
      <c r="F182" s="130"/>
      <c r="G182" s="130"/>
      <c r="H182" s="131"/>
      <c r="I182" s="130"/>
      <c r="J182" s="136"/>
      <c r="K182" s="164"/>
      <c r="L182" s="126"/>
      <c r="M182" s="126"/>
      <c r="O182">
        <f t="shared" si="0"/>
        <v>0</v>
      </c>
    </row>
    <row r="183" spans="1:15" x14ac:dyDescent="0.25">
      <c r="A183" s="142"/>
      <c r="B183" s="192"/>
      <c r="C183" s="133"/>
      <c r="D183" s="133"/>
      <c r="E183" s="130"/>
      <c r="F183" s="130"/>
      <c r="G183" s="130"/>
      <c r="H183" s="131"/>
      <c r="I183" s="130"/>
      <c r="J183" s="136"/>
      <c r="K183" s="164"/>
      <c r="L183" s="126"/>
      <c r="M183" s="126"/>
      <c r="O183">
        <f t="shared" si="0"/>
        <v>0</v>
      </c>
    </row>
    <row r="184" spans="1:15" x14ac:dyDescent="0.25">
      <c r="A184" s="142"/>
      <c r="B184" s="192"/>
      <c r="C184" s="133"/>
      <c r="D184" s="133"/>
      <c r="E184" s="130"/>
      <c r="F184" s="130"/>
      <c r="G184" s="130"/>
      <c r="H184" s="131"/>
      <c r="I184" s="130"/>
      <c r="J184" s="136"/>
      <c r="K184" s="164"/>
      <c r="L184" s="126"/>
      <c r="M184" s="126"/>
      <c r="O184">
        <f t="shared" si="0"/>
        <v>0</v>
      </c>
    </row>
    <row r="185" spans="1:15" x14ac:dyDescent="0.25">
      <c r="A185" s="142"/>
      <c r="B185" s="192"/>
      <c r="C185" s="133"/>
      <c r="D185" s="133"/>
      <c r="E185" s="130"/>
      <c r="F185" s="130"/>
      <c r="G185" s="130"/>
      <c r="H185" s="131"/>
      <c r="I185" s="130"/>
      <c r="J185" s="136"/>
      <c r="K185" s="164"/>
      <c r="L185" s="126"/>
      <c r="M185" s="126"/>
      <c r="O185">
        <f t="shared" si="0"/>
        <v>0</v>
      </c>
    </row>
    <row r="186" spans="1:15" x14ac:dyDescent="0.25">
      <c r="A186" s="142"/>
      <c r="B186" s="192"/>
      <c r="C186" s="133"/>
      <c r="D186" s="133"/>
      <c r="E186" s="130"/>
      <c r="F186" s="130"/>
      <c r="G186" s="130"/>
      <c r="H186" s="131"/>
      <c r="I186" s="130"/>
      <c r="J186" s="136"/>
      <c r="K186" s="164"/>
      <c r="L186" s="126"/>
      <c r="M186" s="126"/>
      <c r="O186">
        <f t="shared" si="0"/>
        <v>0</v>
      </c>
    </row>
    <row r="187" spans="1:15" x14ac:dyDescent="0.25">
      <c r="A187" s="142"/>
      <c r="B187" s="192"/>
      <c r="C187" s="133"/>
      <c r="D187" s="133"/>
      <c r="E187" s="130"/>
      <c r="F187" s="130"/>
      <c r="G187" s="130"/>
      <c r="H187" s="131"/>
      <c r="I187" s="130"/>
      <c r="J187" s="136"/>
      <c r="K187" s="164"/>
      <c r="L187" s="126"/>
      <c r="M187" s="126"/>
    </row>
    <row r="188" spans="1:15" x14ac:dyDescent="0.25">
      <c r="A188" s="142"/>
      <c r="B188" s="192"/>
      <c r="C188" s="133"/>
      <c r="D188" s="133"/>
      <c r="E188" s="130"/>
      <c r="F188" s="130"/>
      <c r="G188" s="130"/>
      <c r="H188" s="131"/>
      <c r="I188" s="130"/>
      <c r="J188" s="136"/>
      <c r="K188" s="164"/>
      <c r="L188" s="126"/>
      <c r="M188" s="126"/>
    </row>
    <row r="189" spans="1:15" x14ac:dyDescent="0.25">
      <c r="A189" s="142"/>
      <c r="B189" s="192"/>
      <c r="C189" s="133"/>
      <c r="D189" s="133"/>
      <c r="E189" s="130"/>
      <c r="F189" s="130"/>
      <c r="G189" s="130"/>
      <c r="H189" s="131"/>
      <c r="I189" s="130"/>
      <c r="J189" s="136"/>
      <c r="K189" s="164"/>
      <c r="L189" s="126"/>
      <c r="M189" s="126"/>
    </row>
    <row r="190" spans="1:15" x14ac:dyDescent="0.25">
      <c r="A190" s="142"/>
      <c r="B190" s="192"/>
      <c r="C190" s="133"/>
      <c r="D190" s="133"/>
      <c r="E190" s="130"/>
      <c r="F190" s="130"/>
      <c r="G190" s="130"/>
      <c r="H190" s="131"/>
      <c r="I190" s="130"/>
      <c r="J190" s="136"/>
      <c r="K190" s="164"/>
      <c r="L190" s="126"/>
      <c r="M190" s="126"/>
    </row>
    <row r="191" spans="1:15" x14ac:dyDescent="0.25">
      <c r="A191" s="142"/>
      <c r="B191" s="192"/>
      <c r="C191" s="133"/>
      <c r="D191" s="133"/>
      <c r="E191" s="130"/>
      <c r="F191" s="130"/>
      <c r="G191" s="130"/>
      <c r="H191" s="131"/>
      <c r="I191" s="130"/>
      <c r="J191" s="136"/>
      <c r="K191" s="164"/>
      <c r="L191" s="126"/>
      <c r="M191" s="126"/>
    </row>
    <row r="192" spans="1:15" x14ac:dyDescent="0.25">
      <c r="A192" s="142"/>
      <c r="B192" s="193"/>
      <c r="C192" s="77"/>
      <c r="D192" s="77"/>
      <c r="E192" s="126"/>
      <c r="F192" s="126"/>
      <c r="G192" s="126"/>
      <c r="H192" s="127"/>
      <c r="I192" s="126"/>
      <c r="J192" s="134"/>
      <c r="K192" s="135"/>
      <c r="L192" s="126"/>
      <c r="M192" s="126"/>
      <c r="O192">
        <f>SUM(O12:O155)</f>
        <v>32375</v>
      </c>
    </row>
    <row r="193" spans="1:18" x14ac:dyDescent="0.25">
      <c r="A193" s="169"/>
      <c r="B193" s="190"/>
      <c r="J193" s="25"/>
      <c r="K193" s="88"/>
    </row>
    <row r="195" spans="1:18" x14ac:dyDescent="0.25">
      <c r="K195" s="90"/>
      <c r="L195" s="26"/>
    </row>
    <row r="196" spans="1:18" ht="16.5" customHeight="1" x14ac:dyDescent="0.25">
      <c r="C196" t="s">
        <v>20</v>
      </c>
      <c r="G196" t="s">
        <v>21</v>
      </c>
      <c r="K196" s="79" t="s">
        <v>103</v>
      </c>
      <c r="L196" s="94"/>
      <c r="R196" s="25"/>
    </row>
    <row r="197" spans="1:18" x14ac:dyDescent="0.25">
      <c r="K197" s="79" t="s">
        <v>104</v>
      </c>
      <c r="L197" s="94"/>
      <c r="M197" s="57"/>
    </row>
    <row r="198" spans="1:18" x14ac:dyDescent="0.25">
      <c r="K198" s="79" t="s">
        <v>119</v>
      </c>
      <c r="L198" s="95"/>
    </row>
    <row r="199" spans="1:18" x14ac:dyDescent="0.25">
      <c r="C199" s="91" t="s">
        <v>173</v>
      </c>
      <c r="D199" s="91"/>
      <c r="G199" s="391" t="s">
        <v>125</v>
      </c>
      <c r="H199" s="391"/>
      <c r="I199" s="391"/>
      <c r="J199" s="391"/>
      <c r="K199" s="79" t="s">
        <v>160</v>
      </c>
      <c r="L199" s="95"/>
    </row>
    <row r="200" spans="1:18" x14ac:dyDescent="0.25">
      <c r="C200" t="s">
        <v>153</v>
      </c>
      <c r="G200" s="392" t="s">
        <v>126</v>
      </c>
      <c r="H200" s="392"/>
      <c r="I200" s="392"/>
      <c r="J200" s="392"/>
      <c r="K200" s="79" t="s">
        <v>105</v>
      </c>
      <c r="L200" s="94"/>
    </row>
    <row r="201" spans="1:18" x14ac:dyDescent="0.25">
      <c r="K201" s="79" t="s">
        <v>106</v>
      </c>
      <c r="L201" s="95"/>
    </row>
    <row r="202" spans="1:18" x14ac:dyDescent="0.25">
      <c r="K202" s="79" t="s">
        <v>108</v>
      </c>
      <c r="L202" s="170"/>
    </row>
    <row r="203" spans="1:18" x14ac:dyDescent="0.25">
      <c r="K203" s="79" t="s">
        <v>22</v>
      </c>
      <c r="L203" s="95"/>
    </row>
    <row r="204" spans="1:18" x14ac:dyDescent="0.25">
      <c r="C204" s="27"/>
      <c r="D204" s="27"/>
      <c r="G204" s="27"/>
      <c r="H204" s="27"/>
      <c r="I204" s="27"/>
      <c r="K204" s="92" t="s">
        <v>101</v>
      </c>
      <c r="L204" s="58"/>
    </row>
    <row r="205" spans="1:18" x14ac:dyDescent="0.25">
      <c r="K205" s="92" t="s">
        <v>102</v>
      </c>
      <c r="L205" s="26"/>
    </row>
    <row r="206" spans="1:18" x14ac:dyDescent="0.25">
      <c r="K206" s="79"/>
      <c r="L206" s="26"/>
    </row>
    <row r="207" spans="1:18" x14ac:dyDescent="0.25">
      <c r="K207" s="79"/>
      <c r="L207" s="58"/>
    </row>
    <row r="208" spans="1:18" x14ac:dyDescent="0.25">
      <c r="K208" s="79"/>
      <c r="L208" s="58"/>
    </row>
    <row r="228" spans="14:14" x14ac:dyDescent="0.25">
      <c r="N228" s="25"/>
    </row>
    <row r="251" spans="14:14" x14ac:dyDescent="0.25">
      <c r="N251" s="25"/>
    </row>
    <row r="378" spans="14:14" x14ac:dyDescent="0.25">
      <c r="N378" s="25"/>
    </row>
  </sheetData>
  <mergeCells count="8">
    <mergeCell ref="G199:J199"/>
    <mergeCell ref="G200:J200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0D61-F7F3-4AAE-8BC9-014D47F03122}">
  <sheetPr>
    <tabColor theme="5"/>
  </sheetPr>
  <dimension ref="A1:O43"/>
  <sheetViews>
    <sheetView view="pageBreakPreview" topLeftCell="A17" zoomScale="96" zoomScaleNormal="100" zoomScaleSheetLayoutView="96" workbookViewId="0">
      <selection activeCell="J21" sqref="J21:L29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4.2851562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2123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4</v>
      </c>
      <c r="B12" s="194" t="s">
        <v>2141</v>
      </c>
      <c r="C12" s="177"/>
      <c r="D12" s="185" t="s">
        <v>150</v>
      </c>
      <c r="E12" s="187" t="s">
        <v>48</v>
      </c>
      <c r="F12" s="179" t="s">
        <v>502</v>
      </c>
      <c r="G12" s="185" t="s">
        <v>503</v>
      </c>
      <c r="H12" s="245" t="s">
        <v>1287</v>
      </c>
      <c r="I12" s="244">
        <v>15000</v>
      </c>
      <c r="J12" s="123" t="s">
        <v>123</v>
      </c>
      <c r="K12" s="77"/>
      <c r="L12" s="117" t="s">
        <v>41</v>
      </c>
    </row>
    <row r="13" spans="1:15" ht="45.75" customHeight="1" x14ac:dyDescent="0.25">
      <c r="A13" s="172">
        <v>5</v>
      </c>
      <c r="B13" s="295" t="s">
        <v>2204</v>
      </c>
      <c r="C13" s="177"/>
      <c r="D13" s="176" t="s">
        <v>418</v>
      </c>
      <c r="E13" s="194" t="s">
        <v>80</v>
      </c>
      <c r="F13" s="131" t="s">
        <v>2142</v>
      </c>
      <c r="G13" s="176" t="s">
        <v>2143</v>
      </c>
      <c r="H13" s="130" t="s">
        <v>40</v>
      </c>
      <c r="I13" s="198">
        <v>6000</v>
      </c>
      <c r="J13" s="123" t="s">
        <v>123</v>
      </c>
      <c r="K13" s="77"/>
      <c r="L13" s="117" t="s">
        <v>41</v>
      </c>
      <c r="M13" s="105"/>
    </row>
    <row r="14" spans="1:15" ht="39.75" customHeight="1" x14ac:dyDescent="0.25">
      <c r="A14" s="172">
        <v>5</v>
      </c>
      <c r="B14" s="295" t="s">
        <v>2204</v>
      </c>
      <c r="C14" s="177"/>
      <c r="D14" s="176" t="s">
        <v>418</v>
      </c>
      <c r="E14" s="194" t="s">
        <v>80</v>
      </c>
      <c r="F14" s="131" t="s">
        <v>2142</v>
      </c>
      <c r="G14" s="176" t="s">
        <v>2143</v>
      </c>
      <c r="H14" s="130" t="s">
        <v>40</v>
      </c>
      <c r="I14" s="198">
        <v>0</v>
      </c>
      <c r="J14" s="123" t="s">
        <v>123</v>
      </c>
      <c r="K14" s="77"/>
      <c r="L14" s="117" t="s">
        <v>41</v>
      </c>
      <c r="M14" s="105"/>
    </row>
    <row r="15" spans="1:15" ht="33.75" customHeight="1" x14ac:dyDescent="0.25">
      <c r="A15" s="173">
        <v>8</v>
      </c>
      <c r="B15" s="194" t="s">
        <v>2141</v>
      </c>
      <c r="C15" s="177"/>
      <c r="D15" s="185" t="s">
        <v>150</v>
      </c>
      <c r="E15" s="187" t="s">
        <v>48</v>
      </c>
      <c r="F15" s="179" t="s">
        <v>1680</v>
      </c>
      <c r="G15" s="176" t="s">
        <v>315</v>
      </c>
      <c r="H15" s="245" t="s">
        <v>1287</v>
      </c>
      <c r="I15" s="186">
        <v>10000</v>
      </c>
      <c r="J15" s="123" t="s">
        <v>123</v>
      </c>
      <c r="K15" s="77"/>
      <c r="L15" s="117" t="s">
        <v>41</v>
      </c>
      <c r="M15" s="105"/>
      <c r="O15" s="57"/>
    </row>
    <row r="16" spans="1:15" ht="32.25" customHeight="1" x14ac:dyDescent="0.25">
      <c r="A16" s="239">
        <v>11</v>
      </c>
      <c r="B16" s="194" t="s">
        <v>885</v>
      </c>
      <c r="C16" s="182"/>
      <c r="D16" s="176" t="s">
        <v>646</v>
      </c>
      <c r="E16" s="176" t="s">
        <v>750</v>
      </c>
      <c r="F16" s="179" t="s">
        <v>2191</v>
      </c>
      <c r="G16" s="185" t="s">
        <v>2192</v>
      </c>
      <c r="H16" s="242" t="s">
        <v>849</v>
      </c>
      <c r="I16" s="186">
        <v>7500</v>
      </c>
      <c r="J16" s="123" t="s">
        <v>123</v>
      </c>
      <c r="K16" s="77"/>
      <c r="L16" s="117" t="s">
        <v>41</v>
      </c>
      <c r="O16" s="57"/>
    </row>
    <row r="17" spans="1:15" ht="32.25" customHeight="1" x14ac:dyDescent="0.25">
      <c r="A17" s="173">
        <v>16</v>
      </c>
      <c r="B17" s="194" t="s">
        <v>885</v>
      </c>
      <c r="C17" s="182"/>
      <c r="D17" s="176" t="s">
        <v>646</v>
      </c>
      <c r="E17" s="176" t="s">
        <v>750</v>
      </c>
      <c r="F17" s="179"/>
      <c r="G17" s="185" t="s">
        <v>2403</v>
      </c>
      <c r="H17" s="306" t="s">
        <v>186</v>
      </c>
      <c r="I17" s="186">
        <v>1000</v>
      </c>
      <c r="J17" s="123" t="s">
        <v>123</v>
      </c>
      <c r="K17" s="77"/>
      <c r="L17" s="117" t="s">
        <v>41</v>
      </c>
      <c r="O17" s="57"/>
    </row>
    <row r="18" spans="1:15" ht="31.5" customHeight="1" x14ac:dyDescent="0.25">
      <c r="A18" s="173">
        <v>19</v>
      </c>
      <c r="B18" s="187" t="s">
        <v>2245</v>
      </c>
      <c r="C18" s="182"/>
      <c r="D18" s="185"/>
      <c r="E18" s="187" t="s">
        <v>2246</v>
      </c>
      <c r="F18" s="179" t="s">
        <v>2248</v>
      </c>
      <c r="G18" s="185" t="s">
        <v>2247</v>
      </c>
      <c r="H18" s="133" t="s">
        <v>579</v>
      </c>
      <c r="I18" s="186">
        <v>22200</v>
      </c>
      <c r="J18" s="123" t="s">
        <v>123</v>
      </c>
      <c r="K18" s="77" t="s">
        <v>1311</v>
      </c>
      <c r="L18" s="117" t="s">
        <v>41</v>
      </c>
      <c r="O18" s="57"/>
    </row>
    <row r="19" spans="1:15" ht="36" customHeight="1" x14ac:dyDescent="0.25">
      <c r="A19" s="173">
        <v>19</v>
      </c>
      <c r="B19" s="187" t="s">
        <v>2245</v>
      </c>
      <c r="C19" s="182"/>
      <c r="D19" s="185"/>
      <c r="E19" s="187" t="s">
        <v>2246</v>
      </c>
      <c r="F19" s="179" t="s">
        <v>2248</v>
      </c>
      <c r="G19" s="185" t="s">
        <v>2247</v>
      </c>
      <c r="H19" s="245" t="s">
        <v>1287</v>
      </c>
      <c r="I19" s="186">
        <v>1500</v>
      </c>
      <c r="J19" s="123" t="s">
        <v>123</v>
      </c>
      <c r="K19" s="77"/>
      <c r="L19" s="117" t="s">
        <v>41</v>
      </c>
      <c r="O19" s="57"/>
    </row>
    <row r="20" spans="1:15" ht="47.25" customHeight="1" x14ac:dyDescent="0.25">
      <c r="A20" s="173">
        <v>28</v>
      </c>
      <c r="B20" s="187" t="s">
        <v>451</v>
      </c>
      <c r="C20" s="182"/>
      <c r="D20" s="185" t="s">
        <v>452</v>
      </c>
      <c r="E20" s="187" t="s">
        <v>69</v>
      </c>
      <c r="F20" s="179" t="s">
        <v>453</v>
      </c>
      <c r="G20" s="185" t="s">
        <v>454</v>
      </c>
      <c r="H20" s="185" t="s">
        <v>40</v>
      </c>
      <c r="I20" s="186">
        <v>6000</v>
      </c>
      <c r="J20" s="123" t="s">
        <v>123</v>
      </c>
      <c r="K20" s="77" t="s">
        <v>1311</v>
      </c>
      <c r="L20" s="117" t="s">
        <v>41</v>
      </c>
      <c r="O20" s="57"/>
    </row>
    <row r="21" spans="1:15" ht="27" customHeight="1" x14ac:dyDescent="0.25">
      <c r="A21" s="173"/>
      <c r="B21" s="194"/>
      <c r="C21" s="182"/>
      <c r="D21" s="176"/>
      <c r="E21" s="176"/>
      <c r="F21" s="179"/>
      <c r="G21" s="185"/>
      <c r="H21" s="130"/>
      <c r="I21" s="198"/>
      <c r="J21" s="123"/>
      <c r="K21" s="77"/>
      <c r="L21" s="117"/>
      <c r="O21" s="57"/>
    </row>
    <row r="22" spans="1:15" ht="35.25" customHeight="1" x14ac:dyDescent="0.25">
      <c r="A22" s="173"/>
      <c r="B22" s="187"/>
      <c r="C22" s="177"/>
      <c r="D22" s="176"/>
      <c r="E22" s="194"/>
      <c r="F22" s="179"/>
      <c r="G22" s="176"/>
      <c r="H22" s="185"/>
      <c r="I22" s="198"/>
      <c r="J22" s="123"/>
      <c r="K22" s="77"/>
      <c r="L22" s="117"/>
      <c r="O22" s="57"/>
    </row>
    <row r="23" spans="1:15" ht="42" customHeight="1" x14ac:dyDescent="0.25">
      <c r="A23" s="173"/>
      <c r="B23" s="181"/>
      <c r="C23" s="182"/>
      <c r="D23" s="183"/>
      <c r="E23" s="183"/>
      <c r="F23" s="179"/>
      <c r="G23" s="185"/>
      <c r="H23" s="187"/>
      <c r="I23" s="186"/>
      <c r="J23" s="123"/>
      <c r="K23" s="77"/>
      <c r="L23" s="117"/>
      <c r="O23" s="57"/>
    </row>
    <row r="24" spans="1:15" ht="33" customHeight="1" x14ac:dyDescent="0.25">
      <c r="A24" s="173"/>
      <c r="B24" s="181"/>
      <c r="C24" s="182"/>
      <c r="D24" s="183"/>
      <c r="E24" s="183"/>
      <c r="F24" s="184"/>
      <c r="G24" s="185"/>
      <c r="H24" s="191"/>
      <c r="I24" s="186"/>
      <c r="J24" s="123"/>
      <c r="K24" s="77"/>
      <c r="L24" s="117"/>
      <c r="O24" s="57"/>
    </row>
    <row r="25" spans="1:15" ht="18" customHeight="1" x14ac:dyDescent="0.25">
      <c r="A25" s="173"/>
      <c r="B25" s="181"/>
      <c r="C25" s="182"/>
      <c r="D25" s="183"/>
      <c r="E25" s="183"/>
      <c r="F25" s="184"/>
      <c r="G25" s="183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85"/>
      <c r="H27" s="187"/>
      <c r="I27" s="186"/>
      <c r="J27" s="123"/>
      <c r="K27" s="77"/>
      <c r="L27" s="117"/>
      <c r="O27" s="57"/>
    </row>
    <row r="28" spans="1:15" ht="16.5" customHeight="1" x14ac:dyDescent="0.25">
      <c r="A28" s="196"/>
      <c r="B28" s="197"/>
      <c r="C28" s="133"/>
      <c r="D28" s="133"/>
      <c r="E28" s="133"/>
      <c r="F28" s="179"/>
      <c r="G28" s="185"/>
      <c r="H28" s="187"/>
      <c r="I28" s="186"/>
      <c r="J28" s="123"/>
      <c r="K28" s="77"/>
      <c r="L28" s="117"/>
      <c r="O28" s="57"/>
    </row>
    <row r="29" spans="1:15" ht="16.5" customHeight="1" x14ac:dyDescent="0.25">
      <c r="A29" s="196"/>
      <c r="B29" s="197"/>
      <c r="C29" s="133"/>
      <c r="D29" s="133"/>
      <c r="E29" s="133"/>
      <c r="F29" s="179"/>
      <c r="G29" s="133"/>
      <c r="H29" s="187"/>
      <c r="I29" s="186"/>
      <c r="J29" s="123"/>
      <c r="K29" s="77"/>
      <c r="L29" s="117"/>
      <c r="O29" s="57"/>
    </row>
    <row r="30" spans="1:15" x14ac:dyDescent="0.25">
      <c r="A30" s="137"/>
      <c r="B30" s="77"/>
      <c r="C30" s="122"/>
      <c r="D30" s="77"/>
      <c r="E30" s="77"/>
      <c r="F30" s="138"/>
      <c r="G30" s="77"/>
      <c r="H30" s="104"/>
      <c r="I30" s="124"/>
      <c r="J30" s="122"/>
      <c r="K30" s="77"/>
      <c r="L30" s="77"/>
      <c r="O30" s="57"/>
    </row>
    <row r="31" spans="1:15" x14ac:dyDescent="0.25">
      <c r="I31" s="26"/>
      <c r="J31" s="26"/>
    </row>
    <row r="32" spans="1:15" x14ac:dyDescent="0.25">
      <c r="F32" s="25"/>
      <c r="I32" s="51" t="s">
        <v>19</v>
      </c>
      <c r="J32" s="26"/>
      <c r="K32" s="175"/>
      <c r="L32" s="25"/>
    </row>
    <row r="33" spans="2:12" x14ac:dyDescent="0.25">
      <c r="I33" s="26" t="s">
        <v>103</v>
      </c>
      <c r="J33" s="26"/>
      <c r="K33" s="195" t="s">
        <v>2203</v>
      </c>
      <c r="L33" s="165"/>
    </row>
    <row r="34" spans="2:12" x14ac:dyDescent="0.25">
      <c r="B34" t="s">
        <v>20</v>
      </c>
      <c r="E34" t="s">
        <v>21</v>
      </c>
      <c r="I34" s="26" t="s">
        <v>104</v>
      </c>
      <c r="J34" s="95"/>
      <c r="K34" s="202" t="s">
        <v>119</v>
      </c>
      <c r="L34" s="205">
        <f>SUM(I12:I15)</f>
        <v>31000</v>
      </c>
    </row>
    <row r="35" spans="2:12" x14ac:dyDescent="0.25">
      <c r="I35" s="26" t="s">
        <v>121</v>
      </c>
      <c r="J35" s="95"/>
      <c r="K35" s="195" t="s">
        <v>849</v>
      </c>
      <c r="L35" s="206">
        <v>7500</v>
      </c>
    </row>
    <row r="36" spans="2:12" x14ac:dyDescent="0.25">
      <c r="I36" s="26" t="s">
        <v>147</v>
      </c>
      <c r="J36" s="95"/>
      <c r="K36" s="195" t="s">
        <v>2271</v>
      </c>
      <c r="L36" s="205"/>
    </row>
    <row r="37" spans="2:12" x14ac:dyDescent="0.25">
      <c r="I37" s="26" t="s">
        <v>105</v>
      </c>
      <c r="J37" s="95"/>
      <c r="K37" s="202" t="s">
        <v>119</v>
      </c>
      <c r="L37" s="205">
        <f>SUM(I19:I20)</f>
        <v>7500</v>
      </c>
    </row>
    <row r="38" spans="2:12" x14ac:dyDescent="0.25">
      <c r="B38" s="27"/>
      <c r="E38" s="147"/>
      <c r="F38" s="147"/>
      <c r="G38" s="147"/>
      <c r="H38" s="147"/>
      <c r="I38" s="26" t="s">
        <v>107</v>
      </c>
      <c r="J38" s="95"/>
      <c r="K38" s="195" t="s">
        <v>378</v>
      </c>
      <c r="L38" s="205">
        <v>22200</v>
      </c>
    </row>
    <row r="39" spans="2:12" x14ac:dyDescent="0.25">
      <c r="B39" s="162" t="s">
        <v>173</v>
      </c>
      <c r="C39" s="162"/>
      <c r="D39" s="162"/>
      <c r="E39" s="163" t="s">
        <v>125</v>
      </c>
      <c r="F39" s="148"/>
      <c r="G39" s="148"/>
      <c r="H39" s="148"/>
      <c r="I39" s="26" t="s">
        <v>108</v>
      </c>
      <c r="J39" s="94"/>
      <c r="K39" s="202" t="s">
        <v>186</v>
      </c>
      <c r="L39" s="206">
        <v>1000</v>
      </c>
    </row>
    <row r="40" spans="2:12" x14ac:dyDescent="0.25">
      <c r="B40" t="s">
        <v>172</v>
      </c>
      <c r="E40" t="s">
        <v>126</v>
      </c>
      <c r="I40" s="26" t="s">
        <v>22</v>
      </c>
      <c r="J40" s="97"/>
      <c r="K40" s="195"/>
      <c r="L40" s="205"/>
    </row>
    <row r="41" spans="2:12" x14ac:dyDescent="0.25">
      <c r="I41" s="3" t="s">
        <v>109</v>
      </c>
      <c r="J41" s="95"/>
      <c r="K41" s="202"/>
      <c r="L41" s="208"/>
    </row>
    <row r="42" spans="2:12" x14ac:dyDescent="0.25">
      <c r="I42" s="3" t="s">
        <v>87</v>
      </c>
      <c r="J42" s="95"/>
      <c r="K42" s="202"/>
      <c r="L42" s="208"/>
    </row>
    <row r="43" spans="2:12" x14ac:dyDescent="0.25">
      <c r="G43" s="25">
        <f>SUM(I12:I29)</f>
        <v>69200</v>
      </c>
      <c r="L43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8011-E556-4510-8BE9-1A0470DE539C}">
  <sheetPr>
    <tabColor theme="5"/>
  </sheetPr>
  <dimension ref="A1:U378"/>
  <sheetViews>
    <sheetView view="pageBreakPreview" topLeftCell="A68" zoomScale="106" zoomScaleNormal="100" zoomScaleSheetLayoutView="106" workbookViewId="0">
      <selection activeCell="J80" sqref="J80:K85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2123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/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/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2202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SUM(J12:J37,J39,J41:J50)</f>
        <v>45770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849</v>
      </c>
      <c r="S11" s="208">
        <f>SUM(J38,J40)</f>
        <v>1200</v>
      </c>
    </row>
    <row r="12" spans="1:19" x14ac:dyDescent="0.25">
      <c r="A12" s="128">
        <v>1</v>
      </c>
      <c r="B12" s="191" t="s">
        <v>2124</v>
      </c>
      <c r="C12" s="130" t="s">
        <v>2125</v>
      </c>
      <c r="D12" s="130"/>
      <c r="E12" s="168" t="s">
        <v>129</v>
      </c>
      <c r="F12" s="130" t="s">
        <v>2126</v>
      </c>
      <c r="G12" s="130" t="s">
        <v>61</v>
      </c>
      <c r="H12" s="131" t="s">
        <v>2127</v>
      </c>
      <c r="I12" s="133" t="s">
        <v>40</v>
      </c>
      <c r="J12" s="132">
        <v>300</v>
      </c>
      <c r="K12" s="129">
        <v>60</v>
      </c>
      <c r="L12" s="126" t="s">
        <v>120</v>
      </c>
      <c r="M12" s="126" t="s">
        <v>41</v>
      </c>
      <c r="O12">
        <f>J12/5</f>
        <v>60</v>
      </c>
      <c r="Q12" s="25"/>
      <c r="R12" s="230"/>
      <c r="S12" s="208"/>
    </row>
    <row r="13" spans="1:19" x14ac:dyDescent="0.25">
      <c r="A13" s="128">
        <v>1</v>
      </c>
      <c r="B13" s="191" t="s">
        <v>1390</v>
      </c>
      <c r="C13" s="130" t="s">
        <v>1391</v>
      </c>
      <c r="D13" s="130"/>
      <c r="E13" s="130" t="s">
        <v>127</v>
      </c>
      <c r="F13" s="130" t="s">
        <v>1392</v>
      </c>
      <c r="G13" s="130" t="s">
        <v>56</v>
      </c>
      <c r="H13" s="131" t="s">
        <v>1393</v>
      </c>
      <c r="I13" s="130" t="s">
        <v>40</v>
      </c>
      <c r="J13" s="132">
        <v>500</v>
      </c>
      <c r="K13" s="129">
        <v>100</v>
      </c>
      <c r="L13" s="126" t="s">
        <v>120</v>
      </c>
      <c r="M13" s="126" t="s">
        <v>41</v>
      </c>
      <c r="O13">
        <f>J13/5</f>
        <v>100</v>
      </c>
      <c r="Q13" s="25"/>
      <c r="R13" s="229" t="s">
        <v>2225</v>
      </c>
      <c r="S13" s="208"/>
    </row>
    <row r="14" spans="1:19" x14ac:dyDescent="0.25">
      <c r="A14" s="128">
        <v>1</v>
      </c>
      <c r="B14" s="191" t="s">
        <v>1436</v>
      </c>
      <c r="C14" s="130" t="s">
        <v>753</v>
      </c>
      <c r="D14" s="130"/>
      <c r="E14" s="130" t="s">
        <v>127</v>
      </c>
      <c r="F14" s="130"/>
      <c r="G14" s="130" t="s">
        <v>54</v>
      </c>
      <c r="H14" s="131"/>
      <c r="I14" s="133" t="s">
        <v>40</v>
      </c>
      <c r="J14" s="132">
        <v>2000</v>
      </c>
      <c r="K14" s="129">
        <v>600</v>
      </c>
      <c r="L14" s="126" t="s">
        <v>120</v>
      </c>
      <c r="M14" s="126" t="s">
        <v>41</v>
      </c>
      <c r="O14">
        <f t="shared" ref="O14:O186" si="0">J14/5</f>
        <v>400</v>
      </c>
      <c r="Q14" s="25"/>
      <c r="R14" s="204" t="s">
        <v>119</v>
      </c>
      <c r="S14" s="207">
        <f>SUM(J51,J52,J54,J55,J57)</f>
        <v>3300</v>
      </c>
    </row>
    <row r="15" spans="1:19" x14ac:dyDescent="0.25">
      <c r="A15" s="128">
        <v>1</v>
      </c>
      <c r="B15" s="191" t="s">
        <v>2128</v>
      </c>
      <c r="C15" s="130" t="s">
        <v>261</v>
      </c>
      <c r="D15" s="130"/>
      <c r="E15" s="130" t="s">
        <v>127</v>
      </c>
      <c r="F15" s="130" t="s">
        <v>2129</v>
      </c>
      <c r="G15" s="130" t="s">
        <v>43</v>
      </c>
      <c r="H15" s="131" t="s">
        <v>2130</v>
      </c>
      <c r="I15" s="130" t="s">
        <v>40</v>
      </c>
      <c r="J15" s="132">
        <v>2500</v>
      </c>
      <c r="K15" s="129">
        <v>500</v>
      </c>
      <c r="L15" s="126" t="s">
        <v>120</v>
      </c>
      <c r="M15" s="126" t="s">
        <v>41</v>
      </c>
      <c r="O15">
        <f t="shared" si="0"/>
        <v>500</v>
      </c>
      <c r="Q15" s="25"/>
      <c r="R15" s="230" t="s">
        <v>186</v>
      </c>
      <c r="S15" s="207">
        <f>SUM(J53,J56,J58)</f>
        <v>404</v>
      </c>
    </row>
    <row r="16" spans="1:19" x14ac:dyDescent="0.25">
      <c r="A16" s="128">
        <v>1</v>
      </c>
      <c r="B16" s="191" t="s">
        <v>2131</v>
      </c>
      <c r="C16" s="130" t="s">
        <v>2132</v>
      </c>
      <c r="D16" s="130"/>
      <c r="E16" s="130" t="s">
        <v>127</v>
      </c>
      <c r="F16" s="130" t="s">
        <v>152</v>
      </c>
      <c r="G16" s="130" t="s">
        <v>60</v>
      </c>
      <c r="H16" s="131" t="s">
        <v>2133</v>
      </c>
      <c r="I16" s="130" t="s">
        <v>40</v>
      </c>
      <c r="J16" s="132">
        <v>1000</v>
      </c>
      <c r="K16" s="129">
        <v>300</v>
      </c>
      <c r="L16" s="126" t="s">
        <v>120</v>
      </c>
      <c r="M16" s="126" t="s">
        <v>41</v>
      </c>
      <c r="O16">
        <f t="shared" si="0"/>
        <v>200</v>
      </c>
      <c r="R16" s="229" t="s">
        <v>2270</v>
      </c>
      <c r="S16" s="207"/>
    </row>
    <row r="17" spans="1:19" x14ac:dyDescent="0.25">
      <c r="A17" s="128">
        <v>1</v>
      </c>
      <c r="B17" s="191" t="s">
        <v>2134</v>
      </c>
      <c r="C17" s="130" t="s">
        <v>2135</v>
      </c>
      <c r="D17" s="130"/>
      <c r="E17" s="130" t="s">
        <v>127</v>
      </c>
      <c r="F17" s="130" t="s">
        <v>2136</v>
      </c>
      <c r="G17" s="130" t="s">
        <v>67</v>
      </c>
      <c r="H17" s="131" t="s">
        <v>2137</v>
      </c>
      <c r="I17" s="133" t="s">
        <v>40</v>
      </c>
      <c r="J17" s="132">
        <v>700</v>
      </c>
      <c r="K17" s="129">
        <v>140</v>
      </c>
      <c r="L17" s="126" t="s">
        <v>120</v>
      </c>
      <c r="M17" s="126" t="s">
        <v>41</v>
      </c>
      <c r="O17">
        <f t="shared" si="0"/>
        <v>140</v>
      </c>
      <c r="R17" s="230" t="s">
        <v>119</v>
      </c>
      <c r="S17" s="207">
        <f>SUM(J59:J60,J64,J66,J68:J73,J76:J77)</f>
        <v>9020</v>
      </c>
    </row>
    <row r="18" spans="1:19" x14ac:dyDescent="0.25">
      <c r="A18" s="128">
        <v>1</v>
      </c>
      <c r="B18" s="191" t="s">
        <v>1092</v>
      </c>
      <c r="C18" s="130" t="s">
        <v>2138</v>
      </c>
      <c r="D18" s="130"/>
      <c r="E18" s="130" t="s">
        <v>127</v>
      </c>
      <c r="F18" s="130" t="s">
        <v>2139</v>
      </c>
      <c r="G18" s="130" t="s">
        <v>47</v>
      </c>
      <c r="H18" s="131" t="s">
        <v>2140</v>
      </c>
      <c r="I18" s="130" t="s">
        <v>40</v>
      </c>
      <c r="J18" s="132">
        <v>300</v>
      </c>
      <c r="K18" s="129">
        <v>90</v>
      </c>
      <c r="L18" s="126" t="s">
        <v>120</v>
      </c>
      <c r="M18" s="126" t="s">
        <v>41</v>
      </c>
      <c r="O18">
        <f t="shared" si="0"/>
        <v>60</v>
      </c>
      <c r="Q18" s="57"/>
      <c r="R18" s="279" t="s">
        <v>849</v>
      </c>
      <c r="S18" s="207">
        <v>90</v>
      </c>
    </row>
    <row r="19" spans="1:19" x14ac:dyDescent="0.25">
      <c r="A19" s="128">
        <v>5</v>
      </c>
      <c r="B19" s="191" t="s">
        <v>2007</v>
      </c>
      <c r="C19" s="130" t="s">
        <v>2008</v>
      </c>
      <c r="D19" s="130"/>
      <c r="E19" s="130" t="s">
        <v>127</v>
      </c>
      <c r="F19" s="130" t="s">
        <v>696</v>
      </c>
      <c r="G19" s="130" t="s">
        <v>48</v>
      </c>
      <c r="H19" s="131" t="s">
        <v>2144</v>
      </c>
      <c r="I19" s="133" t="s">
        <v>40</v>
      </c>
      <c r="J19" s="132">
        <v>1500</v>
      </c>
      <c r="K19" s="129" t="s">
        <v>123</v>
      </c>
      <c r="L19" s="126" t="s">
        <v>120</v>
      </c>
      <c r="M19" s="126" t="s">
        <v>41</v>
      </c>
      <c r="O19">
        <f t="shared" si="0"/>
        <v>300</v>
      </c>
      <c r="R19" s="230" t="s">
        <v>186</v>
      </c>
      <c r="S19" s="208">
        <f>SUM(J61:J62,J65,J67,J74:J75)</f>
        <v>330</v>
      </c>
    </row>
    <row r="20" spans="1:19" x14ac:dyDescent="0.25">
      <c r="A20" s="128">
        <v>5</v>
      </c>
      <c r="B20" s="191" t="s">
        <v>2145</v>
      </c>
      <c r="C20" s="130" t="s">
        <v>165</v>
      </c>
      <c r="D20" s="130"/>
      <c r="E20" s="130" t="s">
        <v>127</v>
      </c>
      <c r="F20" s="130" t="s">
        <v>58</v>
      </c>
      <c r="G20" s="130" t="s">
        <v>42</v>
      </c>
      <c r="H20" s="131" t="s">
        <v>2146</v>
      </c>
      <c r="I20" s="130" t="s">
        <v>40</v>
      </c>
      <c r="J20" s="132">
        <v>500</v>
      </c>
      <c r="K20" s="129">
        <v>100</v>
      </c>
      <c r="L20" s="126" t="s">
        <v>120</v>
      </c>
      <c r="M20" s="126" t="s">
        <v>41</v>
      </c>
      <c r="O20">
        <f t="shared" si="0"/>
        <v>100</v>
      </c>
      <c r="Q20" s="25"/>
      <c r="R20" s="230"/>
      <c r="S20" s="207"/>
    </row>
    <row r="21" spans="1:19" x14ac:dyDescent="0.25">
      <c r="A21" s="231">
        <v>5</v>
      </c>
      <c r="B21" s="191" t="s">
        <v>516</v>
      </c>
      <c r="C21" s="130" t="s">
        <v>517</v>
      </c>
      <c r="D21" s="130"/>
      <c r="E21" s="130" t="s">
        <v>127</v>
      </c>
      <c r="F21" s="130" t="s">
        <v>130</v>
      </c>
      <c r="G21" s="130" t="s">
        <v>43</v>
      </c>
      <c r="H21" s="131" t="s">
        <v>951</v>
      </c>
      <c r="I21" s="240" t="s">
        <v>145</v>
      </c>
      <c r="J21" s="132">
        <v>5000</v>
      </c>
      <c r="K21" s="129">
        <v>1000</v>
      </c>
      <c r="L21" s="126" t="s">
        <v>120</v>
      </c>
      <c r="M21" s="126" t="s">
        <v>41</v>
      </c>
      <c r="O21">
        <f t="shared" si="0"/>
        <v>1000</v>
      </c>
      <c r="R21" s="279"/>
      <c r="S21" s="207">
        <f>SUM(J12,J13,J14,J15,J16,J17,J18,J20,J22,J24,J25,J28,J29,J31,J32,J33,J34,J35,J36,J37,J39,J41,J42,J44,J45,J46,J47,J48)</f>
        <v>32250</v>
      </c>
    </row>
    <row r="22" spans="1:19" x14ac:dyDescent="0.25">
      <c r="A22" s="128">
        <v>5</v>
      </c>
      <c r="B22" s="191" t="s">
        <v>2147</v>
      </c>
      <c r="C22" s="130" t="s">
        <v>879</v>
      </c>
      <c r="D22" s="130"/>
      <c r="E22" s="130" t="s">
        <v>127</v>
      </c>
      <c r="F22" s="130" t="s">
        <v>384</v>
      </c>
      <c r="G22" s="130" t="s">
        <v>48</v>
      </c>
      <c r="H22" s="131" t="s">
        <v>2148</v>
      </c>
      <c r="I22" s="130" t="s">
        <v>40</v>
      </c>
      <c r="J22" s="132">
        <v>500</v>
      </c>
      <c r="K22" s="164">
        <v>100</v>
      </c>
      <c r="L22" s="126" t="s">
        <v>120</v>
      </c>
      <c r="M22" s="126" t="s">
        <v>41</v>
      </c>
      <c r="O22">
        <f t="shared" si="0"/>
        <v>100</v>
      </c>
      <c r="R22" s="229"/>
      <c r="S22" s="25"/>
    </row>
    <row r="23" spans="1:19" x14ac:dyDescent="0.25">
      <c r="A23" s="128">
        <v>5</v>
      </c>
      <c r="B23" s="191" t="s">
        <v>2149</v>
      </c>
      <c r="C23" s="130" t="s">
        <v>879</v>
      </c>
      <c r="D23" s="130"/>
      <c r="E23" s="130" t="s">
        <v>127</v>
      </c>
      <c r="F23" s="130" t="s">
        <v>1472</v>
      </c>
      <c r="G23" s="130" t="s">
        <v>62</v>
      </c>
      <c r="H23" s="131" t="s">
        <v>2150</v>
      </c>
      <c r="I23" s="240" t="s">
        <v>145</v>
      </c>
      <c r="J23" s="132">
        <v>3000</v>
      </c>
      <c r="K23" s="129">
        <v>600</v>
      </c>
      <c r="L23" s="126" t="s">
        <v>120</v>
      </c>
      <c r="M23" s="126" t="s">
        <v>41</v>
      </c>
      <c r="O23">
        <f t="shared" si="0"/>
        <v>600</v>
      </c>
      <c r="R23" s="230"/>
      <c r="S23" s="25"/>
    </row>
    <row r="24" spans="1:19" x14ac:dyDescent="0.25">
      <c r="A24" s="128">
        <v>5</v>
      </c>
      <c r="B24" s="191" t="s">
        <v>1095</v>
      </c>
      <c r="C24" s="130" t="s">
        <v>1404</v>
      </c>
      <c r="D24" s="130"/>
      <c r="E24" s="130" t="s">
        <v>127</v>
      </c>
      <c r="F24" s="130" t="s">
        <v>2151</v>
      </c>
      <c r="G24" s="130" t="s">
        <v>69</v>
      </c>
      <c r="H24" s="131" t="s">
        <v>2152</v>
      </c>
      <c r="I24" s="130" t="s">
        <v>40</v>
      </c>
      <c r="J24" s="132">
        <v>1500</v>
      </c>
      <c r="K24" s="129">
        <v>300</v>
      </c>
      <c r="L24" s="126" t="s">
        <v>120</v>
      </c>
      <c r="M24" s="126" t="s">
        <v>41</v>
      </c>
      <c r="O24">
        <f t="shared" si="0"/>
        <v>300</v>
      </c>
      <c r="R24" s="292"/>
      <c r="S24" s="57"/>
    </row>
    <row r="25" spans="1:19" x14ac:dyDescent="0.25">
      <c r="A25" s="128">
        <v>5</v>
      </c>
      <c r="B25" s="191" t="s">
        <v>2153</v>
      </c>
      <c r="C25" s="130" t="s">
        <v>2154</v>
      </c>
      <c r="D25" s="130"/>
      <c r="E25" s="130" t="s">
        <v>127</v>
      </c>
      <c r="F25" s="130" t="s">
        <v>2164</v>
      </c>
      <c r="G25" s="130" t="s">
        <v>49</v>
      </c>
      <c r="H25" s="131" t="s">
        <v>2155</v>
      </c>
      <c r="I25" s="130" t="s">
        <v>40</v>
      </c>
      <c r="J25" s="132">
        <v>800</v>
      </c>
      <c r="K25" s="129">
        <v>160</v>
      </c>
      <c r="L25" s="126" t="s">
        <v>120</v>
      </c>
      <c r="M25" s="126" t="s">
        <v>41</v>
      </c>
      <c r="O25">
        <f t="shared" si="0"/>
        <v>160</v>
      </c>
      <c r="R25" s="171"/>
      <c r="S25" s="57"/>
    </row>
    <row r="26" spans="1:19" x14ac:dyDescent="0.25">
      <c r="A26" s="128">
        <v>5</v>
      </c>
      <c r="B26" s="191" t="s">
        <v>2156</v>
      </c>
      <c r="C26" s="130" t="s">
        <v>1896</v>
      </c>
      <c r="D26" s="130"/>
      <c r="E26" s="130" t="s">
        <v>127</v>
      </c>
      <c r="F26" s="130"/>
      <c r="G26" s="130" t="s">
        <v>62</v>
      </c>
      <c r="H26" s="131" t="s">
        <v>2157</v>
      </c>
      <c r="I26" s="130" t="s">
        <v>40</v>
      </c>
      <c r="J26" s="132">
        <v>200</v>
      </c>
      <c r="K26" s="129" t="s">
        <v>123</v>
      </c>
      <c r="L26" s="126" t="s">
        <v>120</v>
      </c>
      <c r="M26" s="126" t="s">
        <v>41</v>
      </c>
      <c r="O26">
        <f t="shared" si="0"/>
        <v>40</v>
      </c>
      <c r="R26" s="171"/>
      <c r="S26" s="57"/>
    </row>
    <row r="27" spans="1:19" x14ac:dyDescent="0.25">
      <c r="A27" s="128">
        <v>8</v>
      </c>
      <c r="B27" s="191" t="s">
        <v>2158</v>
      </c>
      <c r="C27" s="130" t="s">
        <v>1768</v>
      </c>
      <c r="D27" s="130"/>
      <c r="E27" s="130" t="s">
        <v>127</v>
      </c>
      <c r="F27" s="130"/>
      <c r="G27" s="130" t="s">
        <v>62</v>
      </c>
      <c r="H27" s="131" t="s">
        <v>2159</v>
      </c>
      <c r="I27" s="130" t="s">
        <v>40</v>
      </c>
      <c r="J27" s="132">
        <v>70</v>
      </c>
      <c r="K27" s="129" t="s">
        <v>123</v>
      </c>
      <c r="L27" s="126" t="s">
        <v>120</v>
      </c>
      <c r="M27" s="126" t="s">
        <v>41</v>
      </c>
      <c r="O27">
        <f t="shared" si="0"/>
        <v>14</v>
      </c>
      <c r="R27" s="25"/>
      <c r="S27" s="25"/>
    </row>
    <row r="28" spans="1:19" x14ac:dyDescent="0.25">
      <c r="A28" s="128">
        <v>11</v>
      </c>
      <c r="B28" s="191" t="s">
        <v>2040</v>
      </c>
      <c r="C28" s="130" t="s">
        <v>165</v>
      </c>
      <c r="D28" s="130"/>
      <c r="E28" s="130" t="s">
        <v>127</v>
      </c>
      <c r="F28" s="130" t="s">
        <v>384</v>
      </c>
      <c r="G28" s="130" t="s">
        <v>56</v>
      </c>
      <c r="H28" s="131" t="s">
        <v>2041</v>
      </c>
      <c r="I28" s="130" t="s">
        <v>40</v>
      </c>
      <c r="J28" s="132">
        <v>1000</v>
      </c>
      <c r="K28" s="129">
        <v>200</v>
      </c>
      <c r="L28" s="126" t="s">
        <v>120</v>
      </c>
      <c r="M28" s="126" t="s">
        <v>41</v>
      </c>
      <c r="O28">
        <f t="shared" si="0"/>
        <v>200</v>
      </c>
      <c r="R28" s="25"/>
      <c r="S28" s="25"/>
    </row>
    <row r="29" spans="1:19" x14ac:dyDescent="0.25">
      <c r="A29" s="128">
        <v>11</v>
      </c>
      <c r="B29" s="191" t="s">
        <v>2160</v>
      </c>
      <c r="C29" s="130" t="s">
        <v>1503</v>
      </c>
      <c r="D29" s="130"/>
      <c r="E29" s="130" t="s">
        <v>127</v>
      </c>
      <c r="F29" s="130" t="s">
        <v>159</v>
      </c>
      <c r="G29" s="130" t="s">
        <v>47</v>
      </c>
      <c r="H29" s="131" t="s">
        <v>1954</v>
      </c>
      <c r="I29" s="130" t="s">
        <v>40</v>
      </c>
      <c r="J29" s="132">
        <v>250</v>
      </c>
      <c r="K29" s="129">
        <v>50</v>
      </c>
      <c r="L29" s="126" t="s">
        <v>120</v>
      </c>
      <c r="M29" s="126" t="s">
        <v>41</v>
      </c>
      <c r="O29">
        <f t="shared" si="0"/>
        <v>50</v>
      </c>
      <c r="R29" s="25"/>
      <c r="S29" s="57"/>
    </row>
    <row r="30" spans="1:19" x14ac:dyDescent="0.25">
      <c r="A30" s="128">
        <v>11</v>
      </c>
      <c r="B30" s="191" t="s">
        <v>2160</v>
      </c>
      <c r="C30" s="130" t="s">
        <v>1503</v>
      </c>
      <c r="D30" s="130"/>
      <c r="E30" s="130" t="s">
        <v>127</v>
      </c>
      <c r="F30" s="130" t="s">
        <v>159</v>
      </c>
      <c r="G30" s="130" t="s">
        <v>47</v>
      </c>
      <c r="H30" s="131" t="s">
        <v>1954</v>
      </c>
      <c r="I30" s="240" t="s">
        <v>145</v>
      </c>
      <c r="J30" s="132">
        <v>250</v>
      </c>
      <c r="K30" s="129">
        <v>50</v>
      </c>
      <c r="L30" s="126" t="s">
        <v>120</v>
      </c>
      <c r="M30" s="126" t="s">
        <v>41</v>
      </c>
      <c r="O30">
        <f t="shared" si="0"/>
        <v>50</v>
      </c>
      <c r="R30" s="25">
        <f>SUM(J19,J26:J27)</f>
        <v>1770</v>
      </c>
      <c r="S30" s="25"/>
    </row>
    <row r="31" spans="1:19" x14ac:dyDescent="0.25">
      <c r="A31" s="128">
        <v>11</v>
      </c>
      <c r="B31" s="191" t="s">
        <v>2161</v>
      </c>
      <c r="C31" s="130" t="s">
        <v>2162</v>
      </c>
      <c r="D31" s="130"/>
      <c r="E31" s="130" t="s">
        <v>127</v>
      </c>
      <c r="F31" s="130" t="s">
        <v>2163</v>
      </c>
      <c r="G31" s="130" t="s">
        <v>49</v>
      </c>
      <c r="H31" s="131" t="s">
        <v>2165</v>
      </c>
      <c r="I31" s="130" t="s">
        <v>40</v>
      </c>
      <c r="J31" s="132">
        <v>250</v>
      </c>
      <c r="K31" s="129">
        <v>75</v>
      </c>
      <c r="L31" s="126" t="s">
        <v>120</v>
      </c>
      <c r="M31" s="126" t="s">
        <v>41</v>
      </c>
      <c r="O31">
        <f t="shared" si="0"/>
        <v>50</v>
      </c>
      <c r="R31" s="25"/>
    </row>
    <row r="32" spans="1:19" x14ac:dyDescent="0.25">
      <c r="A32" s="231">
        <v>11</v>
      </c>
      <c r="B32" s="191" t="s">
        <v>1688</v>
      </c>
      <c r="C32" s="130" t="s">
        <v>1689</v>
      </c>
      <c r="D32" s="130"/>
      <c r="E32" s="130" t="s">
        <v>127</v>
      </c>
      <c r="F32" s="130" t="s">
        <v>371</v>
      </c>
      <c r="G32" s="130" t="s">
        <v>43</v>
      </c>
      <c r="H32" s="131"/>
      <c r="I32" s="130" t="s">
        <v>40</v>
      </c>
      <c r="J32" s="132">
        <v>350</v>
      </c>
      <c r="K32" s="129">
        <v>105</v>
      </c>
      <c r="L32" s="126" t="s">
        <v>120</v>
      </c>
      <c r="M32" s="126" t="s">
        <v>41</v>
      </c>
      <c r="O32">
        <f t="shared" si="0"/>
        <v>70</v>
      </c>
      <c r="R32" s="25"/>
    </row>
    <row r="33" spans="1:21" x14ac:dyDescent="0.25">
      <c r="A33" s="128">
        <v>11</v>
      </c>
      <c r="B33" s="191" t="s">
        <v>679</v>
      </c>
      <c r="C33" s="130" t="s">
        <v>680</v>
      </c>
      <c r="D33" s="130"/>
      <c r="E33" s="130" t="s">
        <v>127</v>
      </c>
      <c r="F33" s="130" t="s">
        <v>1530</v>
      </c>
      <c r="G33" s="130" t="s">
        <v>54</v>
      </c>
      <c r="H33" s="131" t="s">
        <v>681</v>
      </c>
      <c r="I33" s="130" t="s">
        <v>40</v>
      </c>
      <c r="J33" s="132">
        <v>5000</v>
      </c>
      <c r="K33" s="129">
        <v>1250</v>
      </c>
      <c r="L33" s="126" t="s">
        <v>120</v>
      </c>
      <c r="M33" s="126" t="s">
        <v>41</v>
      </c>
      <c r="O33">
        <f t="shared" si="0"/>
        <v>1000</v>
      </c>
      <c r="R33" s="25"/>
    </row>
    <row r="34" spans="1:21" x14ac:dyDescent="0.25">
      <c r="A34" s="128">
        <v>11</v>
      </c>
      <c r="B34" s="191" t="s">
        <v>2166</v>
      </c>
      <c r="C34" s="130" t="s">
        <v>2167</v>
      </c>
      <c r="D34" s="130"/>
      <c r="E34" s="130" t="s">
        <v>127</v>
      </c>
      <c r="F34" s="130"/>
      <c r="G34" s="130" t="s">
        <v>49</v>
      </c>
      <c r="H34" s="131" t="s">
        <v>2168</v>
      </c>
      <c r="I34" s="133" t="s">
        <v>40</v>
      </c>
      <c r="J34" s="132">
        <v>1000</v>
      </c>
      <c r="K34" s="129">
        <v>250</v>
      </c>
      <c r="L34" s="126" t="s">
        <v>120</v>
      </c>
      <c r="M34" s="126" t="s">
        <v>41</v>
      </c>
      <c r="O34">
        <f t="shared" si="0"/>
        <v>200</v>
      </c>
    </row>
    <row r="35" spans="1:21" x14ac:dyDescent="0.25">
      <c r="A35" s="128">
        <v>11</v>
      </c>
      <c r="B35" s="191" t="s">
        <v>2169</v>
      </c>
      <c r="C35" s="130" t="s">
        <v>758</v>
      </c>
      <c r="D35" s="130"/>
      <c r="E35" s="130" t="s">
        <v>127</v>
      </c>
      <c r="F35" s="130" t="s">
        <v>672</v>
      </c>
      <c r="G35" s="130" t="s">
        <v>54</v>
      </c>
      <c r="H35" s="131"/>
      <c r="I35" s="130" t="s">
        <v>40</v>
      </c>
      <c r="J35" s="132">
        <v>1000</v>
      </c>
      <c r="K35" s="129">
        <v>250</v>
      </c>
      <c r="L35" s="126" t="s">
        <v>120</v>
      </c>
      <c r="M35" s="126" t="s">
        <v>41</v>
      </c>
      <c r="O35">
        <f t="shared" si="0"/>
        <v>200</v>
      </c>
      <c r="R35" s="25"/>
      <c r="S35" s="25"/>
      <c r="T35" s="25"/>
      <c r="U35" s="25"/>
    </row>
    <row r="36" spans="1:21" x14ac:dyDescent="0.25">
      <c r="A36" s="128">
        <v>11</v>
      </c>
      <c r="B36" s="191" t="s">
        <v>1732</v>
      </c>
      <c r="C36" s="130" t="s">
        <v>2170</v>
      </c>
      <c r="D36" s="130"/>
      <c r="E36" s="130" t="s">
        <v>127</v>
      </c>
      <c r="F36" s="130" t="s">
        <v>609</v>
      </c>
      <c r="G36" s="130" t="s">
        <v>49</v>
      </c>
      <c r="H36" s="131" t="s">
        <v>2171</v>
      </c>
      <c r="I36" s="130" t="s">
        <v>40</v>
      </c>
      <c r="J36" s="132">
        <v>1000</v>
      </c>
      <c r="K36" s="129">
        <v>250</v>
      </c>
      <c r="L36" s="126" t="s">
        <v>120</v>
      </c>
      <c r="M36" s="126" t="s">
        <v>41</v>
      </c>
      <c r="O36">
        <f t="shared" si="0"/>
        <v>200</v>
      </c>
      <c r="R36" s="25"/>
    </row>
    <row r="37" spans="1:21" x14ac:dyDescent="0.25">
      <c r="A37" s="128">
        <v>11</v>
      </c>
      <c r="B37" s="191" t="s">
        <v>2172</v>
      </c>
      <c r="C37" s="130" t="s">
        <v>2173</v>
      </c>
      <c r="D37" s="130"/>
      <c r="E37" s="130" t="s">
        <v>127</v>
      </c>
      <c r="F37" s="130" t="s">
        <v>875</v>
      </c>
      <c r="G37" s="130" t="s">
        <v>49</v>
      </c>
      <c r="H37" s="131" t="s">
        <v>2174</v>
      </c>
      <c r="I37" s="130" t="s">
        <v>40</v>
      </c>
      <c r="J37" s="132">
        <v>500</v>
      </c>
      <c r="K37" s="129">
        <v>125</v>
      </c>
      <c r="L37" s="126" t="s">
        <v>120</v>
      </c>
      <c r="M37" s="126" t="s">
        <v>41</v>
      </c>
      <c r="O37">
        <f t="shared" si="0"/>
        <v>100</v>
      </c>
      <c r="R37" s="25"/>
    </row>
    <row r="38" spans="1:21" x14ac:dyDescent="0.25">
      <c r="A38" s="128">
        <v>11</v>
      </c>
      <c r="B38" s="191" t="s">
        <v>2175</v>
      </c>
      <c r="C38" s="130" t="s">
        <v>2176</v>
      </c>
      <c r="D38" s="130"/>
      <c r="E38" s="130" t="s">
        <v>127</v>
      </c>
      <c r="F38" s="130" t="s">
        <v>2177</v>
      </c>
      <c r="G38" s="130" t="s">
        <v>59</v>
      </c>
      <c r="H38" s="131" t="s">
        <v>2178</v>
      </c>
      <c r="I38" s="242" t="s">
        <v>849</v>
      </c>
      <c r="J38" s="132">
        <v>1000</v>
      </c>
      <c r="K38" s="129">
        <v>1000</v>
      </c>
      <c r="L38" s="126" t="s">
        <v>120</v>
      </c>
      <c r="M38" s="126" t="s">
        <v>41</v>
      </c>
      <c r="O38">
        <f t="shared" si="0"/>
        <v>200</v>
      </c>
    </row>
    <row r="39" spans="1:21" x14ac:dyDescent="0.25">
      <c r="A39" s="128">
        <v>11</v>
      </c>
      <c r="B39" s="191" t="s">
        <v>2179</v>
      </c>
      <c r="C39" s="130" t="s">
        <v>2180</v>
      </c>
      <c r="D39" s="130"/>
      <c r="E39" s="130" t="s">
        <v>127</v>
      </c>
      <c r="F39" s="130" t="s">
        <v>2181</v>
      </c>
      <c r="G39" s="130" t="s">
        <v>68</v>
      </c>
      <c r="H39" s="131" t="s">
        <v>2182</v>
      </c>
      <c r="I39" s="130" t="s">
        <v>40</v>
      </c>
      <c r="J39" s="132">
        <v>3000</v>
      </c>
      <c r="K39" s="129">
        <v>750</v>
      </c>
      <c r="L39" s="126" t="s">
        <v>120</v>
      </c>
      <c r="M39" s="126" t="s">
        <v>41</v>
      </c>
      <c r="O39">
        <f t="shared" si="0"/>
        <v>600</v>
      </c>
    </row>
    <row r="40" spans="1:21" x14ac:dyDescent="0.25">
      <c r="A40" s="128">
        <v>11</v>
      </c>
      <c r="B40" s="191" t="s">
        <v>2179</v>
      </c>
      <c r="C40" s="130" t="s">
        <v>2180</v>
      </c>
      <c r="D40" s="130"/>
      <c r="E40" s="130" t="s">
        <v>127</v>
      </c>
      <c r="F40" s="130" t="s">
        <v>2181</v>
      </c>
      <c r="G40" s="130" t="s">
        <v>68</v>
      </c>
      <c r="H40" s="131" t="s">
        <v>2182</v>
      </c>
      <c r="I40" s="242" t="s">
        <v>849</v>
      </c>
      <c r="J40" s="132">
        <v>200</v>
      </c>
      <c r="K40" s="129">
        <v>200</v>
      </c>
      <c r="L40" s="126" t="s">
        <v>120</v>
      </c>
      <c r="M40" s="126" t="s">
        <v>41</v>
      </c>
      <c r="O40">
        <f t="shared" si="0"/>
        <v>40</v>
      </c>
    </row>
    <row r="41" spans="1:21" x14ac:dyDescent="0.25">
      <c r="A41" s="128">
        <v>11</v>
      </c>
      <c r="B41" s="191" t="s">
        <v>509</v>
      </c>
      <c r="C41" s="130" t="s">
        <v>2183</v>
      </c>
      <c r="D41" s="130"/>
      <c r="E41" s="168" t="s">
        <v>129</v>
      </c>
      <c r="F41" s="130" t="s">
        <v>1487</v>
      </c>
      <c r="G41" s="130" t="s">
        <v>49</v>
      </c>
      <c r="H41" s="131" t="s">
        <v>2184</v>
      </c>
      <c r="I41" s="130" t="s">
        <v>40</v>
      </c>
      <c r="J41" s="132">
        <v>300</v>
      </c>
      <c r="K41" s="129">
        <v>75</v>
      </c>
      <c r="L41" s="126" t="s">
        <v>120</v>
      </c>
      <c r="M41" s="126" t="s">
        <v>41</v>
      </c>
      <c r="O41">
        <f t="shared" si="0"/>
        <v>60</v>
      </c>
    </row>
    <row r="42" spans="1:21" x14ac:dyDescent="0.25">
      <c r="A42" s="128">
        <v>11</v>
      </c>
      <c r="B42" s="191" t="s">
        <v>2185</v>
      </c>
      <c r="C42" s="130" t="s">
        <v>1372</v>
      </c>
      <c r="D42" s="130"/>
      <c r="E42" s="130" t="s">
        <v>127</v>
      </c>
      <c r="F42" s="130" t="s">
        <v>1373</v>
      </c>
      <c r="G42" s="130" t="s">
        <v>54</v>
      </c>
      <c r="H42" s="131" t="s">
        <v>1374</v>
      </c>
      <c r="I42" s="133" t="s">
        <v>40</v>
      </c>
      <c r="J42" s="136">
        <v>200</v>
      </c>
      <c r="K42" s="164">
        <v>50</v>
      </c>
      <c r="L42" s="126" t="s">
        <v>120</v>
      </c>
      <c r="M42" s="126" t="s">
        <v>41</v>
      </c>
      <c r="O42">
        <f t="shared" si="0"/>
        <v>40</v>
      </c>
    </row>
    <row r="43" spans="1:21" x14ac:dyDescent="0.25">
      <c r="A43" s="231">
        <v>11</v>
      </c>
      <c r="B43" s="191" t="s">
        <v>2186</v>
      </c>
      <c r="C43" s="130" t="s">
        <v>2187</v>
      </c>
      <c r="D43" s="130"/>
      <c r="E43" s="168" t="s">
        <v>129</v>
      </c>
      <c r="F43" s="130"/>
      <c r="G43" s="130" t="s">
        <v>49</v>
      </c>
      <c r="H43" s="131" t="s">
        <v>2188</v>
      </c>
      <c r="I43" s="240" t="s">
        <v>145</v>
      </c>
      <c r="J43" s="136">
        <v>1000</v>
      </c>
      <c r="K43" s="164">
        <v>250</v>
      </c>
      <c r="L43" s="126" t="s">
        <v>120</v>
      </c>
      <c r="M43" s="126" t="s">
        <v>41</v>
      </c>
      <c r="O43">
        <f t="shared" si="0"/>
        <v>200</v>
      </c>
    </row>
    <row r="44" spans="1:21" x14ac:dyDescent="0.25">
      <c r="A44" s="128">
        <v>11</v>
      </c>
      <c r="B44" s="191" t="s">
        <v>747</v>
      </c>
      <c r="C44" s="130" t="s">
        <v>748</v>
      </c>
      <c r="D44" s="130"/>
      <c r="E44" s="130" t="s">
        <v>127</v>
      </c>
      <c r="F44" s="130"/>
      <c r="G44" s="130" t="s">
        <v>750</v>
      </c>
      <c r="H44" s="131" t="s">
        <v>2189</v>
      </c>
      <c r="I44" s="130" t="s">
        <v>40</v>
      </c>
      <c r="J44" s="136">
        <v>1500</v>
      </c>
      <c r="K44" s="164">
        <v>375</v>
      </c>
      <c r="L44" s="126" t="s">
        <v>120</v>
      </c>
      <c r="M44" s="126" t="s">
        <v>41</v>
      </c>
      <c r="O44">
        <f t="shared" si="0"/>
        <v>300</v>
      </c>
      <c r="R44" s="57"/>
    </row>
    <row r="45" spans="1:21" x14ac:dyDescent="0.25">
      <c r="A45" s="128">
        <v>11</v>
      </c>
      <c r="B45" s="191" t="s">
        <v>1638</v>
      </c>
      <c r="C45" s="130" t="s">
        <v>2190</v>
      </c>
      <c r="D45" s="130"/>
      <c r="E45" s="168" t="s">
        <v>129</v>
      </c>
      <c r="F45" s="130" t="s">
        <v>841</v>
      </c>
      <c r="G45" s="130" t="s">
        <v>54</v>
      </c>
      <c r="H45" s="131"/>
      <c r="I45" s="130" t="s">
        <v>40</v>
      </c>
      <c r="J45" s="136">
        <v>100</v>
      </c>
      <c r="K45" s="164">
        <v>25</v>
      </c>
      <c r="L45" s="126" t="s">
        <v>120</v>
      </c>
      <c r="M45" s="126" t="s">
        <v>41</v>
      </c>
      <c r="O45">
        <f t="shared" si="0"/>
        <v>20</v>
      </c>
    </row>
    <row r="46" spans="1:21" x14ac:dyDescent="0.25">
      <c r="A46" s="128">
        <v>11</v>
      </c>
      <c r="B46" s="191" t="s">
        <v>2193</v>
      </c>
      <c r="C46" s="130" t="s">
        <v>2194</v>
      </c>
      <c r="D46" s="130"/>
      <c r="E46" s="130" t="s">
        <v>127</v>
      </c>
      <c r="F46" s="130" t="s">
        <v>1373</v>
      </c>
      <c r="G46" s="130" t="s">
        <v>54</v>
      </c>
      <c r="H46" s="131" t="s">
        <v>2195</v>
      </c>
      <c r="I46" s="130" t="s">
        <v>40</v>
      </c>
      <c r="J46" s="136">
        <v>200</v>
      </c>
      <c r="K46" s="164">
        <v>50</v>
      </c>
      <c r="L46" s="126" t="s">
        <v>120</v>
      </c>
      <c r="M46" s="126" t="s">
        <v>41</v>
      </c>
      <c r="O46">
        <f t="shared" si="0"/>
        <v>40</v>
      </c>
    </row>
    <row r="47" spans="1:21" x14ac:dyDescent="0.25">
      <c r="A47" s="128">
        <v>11</v>
      </c>
      <c r="B47" s="191" t="s">
        <v>2196</v>
      </c>
      <c r="C47" s="130" t="s">
        <v>2197</v>
      </c>
      <c r="D47" s="130"/>
      <c r="E47" s="130" t="s">
        <v>127</v>
      </c>
      <c r="F47" s="130" t="s">
        <v>371</v>
      </c>
      <c r="G47" s="130" t="s">
        <v>43</v>
      </c>
      <c r="H47" s="131"/>
      <c r="I47" s="130" t="s">
        <v>40</v>
      </c>
      <c r="J47" s="136">
        <v>1000</v>
      </c>
      <c r="K47" s="164">
        <v>250</v>
      </c>
      <c r="L47" s="126" t="s">
        <v>120</v>
      </c>
      <c r="M47" s="126" t="s">
        <v>41</v>
      </c>
      <c r="O47">
        <f t="shared" si="0"/>
        <v>200</v>
      </c>
      <c r="R47" s="57"/>
      <c r="S47" s="25"/>
    </row>
    <row r="48" spans="1:21" x14ac:dyDescent="0.25">
      <c r="A48" s="128">
        <v>11</v>
      </c>
      <c r="B48" s="191" t="s">
        <v>2198</v>
      </c>
      <c r="C48" s="130" t="s">
        <v>1041</v>
      </c>
      <c r="D48" s="130"/>
      <c r="E48" s="130" t="s">
        <v>127</v>
      </c>
      <c r="F48" s="130" t="s">
        <v>130</v>
      </c>
      <c r="G48" s="130" t="s">
        <v>43</v>
      </c>
      <c r="H48" s="131"/>
      <c r="I48" s="133" t="s">
        <v>40</v>
      </c>
      <c r="J48" s="136">
        <v>5000</v>
      </c>
      <c r="K48" s="164">
        <v>1250</v>
      </c>
      <c r="L48" s="126" t="s">
        <v>120</v>
      </c>
      <c r="M48" s="126" t="s">
        <v>41</v>
      </c>
      <c r="O48">
        <f t="shared" si="0"/>
        <v>1000</v>
      </c>
    </row>
    <row r="49" spans="1:19" x14ac:dyDescent="0.25">
      <c r="A49" s="128">
        <v>11</v>
      </c>
      <c r="B49" s="191" t="s">
        <v>1473</v>
      </c>
      <c r="C49" s="130" t="s">
        <v>2199</v>
      </c>
      <c r="D49" s="130"/>
      <c r="E49" s="130" t="s">
        <v>127</v>
      </c>
      <c r="F49" s="130" t="s">
        <v>562</v>
      </c>
      <c r="G49" s="130" t="s">
        <v>42</v>
      </c>
      <c r="H49" s="131" t="s">
        <v>2200</v>
      </c>
      <c r="I49" s="240" t="s">
        <v>145</v>
      </c>
      <c r="J49" s="136">
        <v>1500</v>
      </c>
      <c r="K49" s="164">
        <v>375</v>
      </c>
      <c r="L49" s="126" t="s">
        <v>120</v>
      </c>
      <c r="M49" s="126" t="s">
        <v>41</v>
      </c>
      <c r="O49">
        <f t="shared" si="0"/>
        <v>300</v>
      </c>
    </row>
    <row r="50" spans="1:19" x14ac:dyDescent="0.25">
      <c r="A50" s="128">
        <v>11</v>
      </c>
      <c r="B50" s="191" t="s">
        <v>1031</v>
      </c>
      <c r="C50" s="130" t="s">
        <v>777</v>
      </c>
      <c r="D50" s="130"/>
      <c r="E50" s="130" t="s">
        <v>127</v>
      </c>
      <c r="F50" s="130" t="s">
        <v>138</v>
      </c>
      <c r="G50" s="130" t="s">
        <v>42</v>
      </c>
      <c r="H50" s="131" t="s">
        <v>2201</v>
      </c>
      <c r="I50" s="240" t="s">
        <v>145</v>
      </c>
      <c r="J50" s="136">
        <v>1000</v>
      </c>
      <c r="K50" s="164">
        <v>250</v>
      </c>
      <c r="L50" s="126" t="s">
        <v>120</v>
      </c>
      <c r="M50" s="126" t="s">
        <v>41</v>
      </c>
      <c r="O50">
        <f t="shared" si="0"/>
        <v>200</v>
      </c>
    </row>
    <row r="51" spans="1:19" x14ac:dyDescent="0.25">
      <c r="A51" s="128">
        <v>12</v>
      </c>
      <c r="B51" s="191" t="s">
        <v>2205</v>
      </c>
      <c r="C51" s="130" t="s">
        <v>2206</v>
      </c>
      <c r="D51" s="130"/>
      <c r="E51" s="130" t="s">
        <v>127</v>
      </c>
      <c r="F51" s="130" t="s">
        <v>2207</v>
      </c>
      <c r="G51" s="130" t="s">
        <v>58</v>
      </c>
      <c r="H51" s="131" t="s">
        <v>2208</v>
      </c>
      <c r="I51" s="133" t="s">
        <v>40</v>
      </c>
      <c r="J51" s="136">
        <v>500</v>
      </c>
      <c r="K51" s="164" t="s">
        <v>123</v>
      </c>
      <c r="L51" s="126" t="s">
        <v>120</v>
      </c>
      <c r="M51" s="126" t="s">
        <v>41</v>
      </c>
      <c r="O51">
        <f t="shared" si="0"/>
        <v>100</v>
      </c>
    </row>
    <row r="52" spans="1:19" x14ac:dyDescent="0.25">
      <c r="A52" s="128">
        <v>14</v>
      </c>
      <c r="B52" s="191" t="s">
        <v>1139</v>
      </c>
      <c r="C52" s="130" t="s">
        <v>2209</v>
      </c>
      <c r="D52" s="130"/>
      <c r="E52" s="130" t="s">
        <v>127</v>
      </c>
      <c r="F52" s="130" t="s">
        <v>2210</v>
      </c>
      <c r="G52" s="130" t="s">
        <v>42</v>
      </c>
      <c r="H52" s="131" t="s">
        <v>2211</v>
      </c>
      <c r="I52" s="130" t="s">
        <v>40</v>
      </c>
      <c r="J52" s="136">
        <v>1500</v>
      </c>
      <c r="K52" s="164">
        <v>375</v>
      </c>
      <c r="L52" s="126" t="s">
        <v>120</v>
      </c>
      <c r="M52" s="126" t="s">
        <v>41</v>
      </c>
      <c r="O52">
        <f t="shared" si="0"/>
        <v>300</v>
      </c>
    </row>
    <row r="53" spans="1:19" x14ac:dyDescent="0.25">
      <c r="A53" s="128">
        <v>14</v>
      </c>
      <c r="B53" s="191" t="s">
        <v>2212</v>
      </c>
      <c r="C53" s="130" t="s">
        <v>1313</v>
      </c>
      <c r="D53" s="130"/>
      <c r="E53" s="130" t="s">
        <v>127</v>
      </c>
      <c r="F53" s="130" t="s">
        <v>1411</v>
      </c>
      <c r="G53" s="130" t="s">
        <v>42</v>
      </c>
      <c r="H53" s="131" t="s">
        <v>2213</v>
      </c>
      <c r="I53" s="306" t="s">
        <v>186</v>
      </c>
      <c r="J53" s="136">
        <v>200</v>
      </c>
      <c r="K53" s="164">
        <v>2000</v>
      </c>
      <c r="L53" s="126" t="s">
        <v>120</v>
      </c>
      <c r="M53" s="126" t="s">
        <v>41</v>
      </c>
      <c r="O53">
        <f t="shared" si="0"/>
        <v>40</v>
      </c>
    </row>
    <row r="54" spans="1:19" x14ac:dyDescent="0.25">
      <c r="A54" s="128">
        <v>14</v>
      </c>
      <c r="B54" s="191" t="s">
        <v>2214</v>
      </c>
      <c r="C54" s="130" t="s">
        <v>2215</v>
      </c>
      <c r="D54" s="130"/>
      <c r="E54" s="130" t="s">
        <v>127</v>
      </c>
      <c r="F54" s="130" t="s">
        <v>64</v>
      </c>
      <c r="G54" s="130" t="s">
        <v>57</v>
      </c>
      <c r="H54" s="131" t="s">
        <v>2216</v>
      </c>
      <c r="I54" s="130" t="s">
        <v>40</v>
      </c>
      <c r="J54" s="136">
        <v>1000</v>
      </c>
      <c r="K54" s="164">
        <v>250</v>
      </c>
      <c r="L54" s="126" t="s">
        <v>120</v>
      </c>
      <c r="M54" s="126" t="s">
        <v>41</v>
      </c>
      <c r="O54">
        <f t="shared" si="0"/>
        <v>200</v>
      </c>
    </row>
    <row r="55" spans="1:19" x14ac:dyDescent="0.25">
      <c r="A55" s="128">
        <v>14</v>
      </c>
      <c r="B55" s="191" t="s">
        <v>618</v>
      </c>
      <c r="C55" s="130" t="s">
        <v>1925</v>
      </c>
      <c r="D55" s="130"/>
      <c r="E55" s="130" t="s">
        <v>127</v>
      </c>
      <c r="F55" s="130" t="s">
        <v>2217</v>
      </c>
      <c r="G55" s="130" t="s">
        <v>43</v>
      </c>
      <c r="H55" s="131" t="s">
        <v>620</v>
      </c>
      <c r="I55" s="130" t="s">
        <v>40</v>
      </c>
      <c r="J55" s="136">
        <v>200</v>
      </c>
      <c r="K55" s="164">
        <v>50</v>
      </c>
      <c r="L55" s="126" t="s">
        <v>120</v>
      </c>
      <c r="M55" s="126" t="s">
        <v>41</v>
      </c>
      <c r="O55">
        <f t="shared" si="0"/>
        <v>40</v>
      </c>
      <c r="S55" s="57"/>
    </row>
    <row r="56" spans="1:19" x14ac:dyDescent="0.25">
      <c r="A56" s="128">
        <v>14</v>
      </c>
      <c r="B56" s="191" t="s">
        <v>618</v>
      </c>
      <c r="C56" s="130" t="s">
        <v>1925</v>
      </c>
      <c r="D56" s="130"/>
      <c r="E56" s="130" t="s">
        <v>127</v>
      </c>
      <c r="F56" s="130" t="s">
        <v>2217</v>
      </c>
      <c r="G56" s="130" t="s">
        <v>43</v>
      </c>
      <c r="H56" s="131" t="s">
        <v>620</v>
      </c>
      <c r="I56" s="306" t="s">
        <v>186</v>
      </c>
      <c r="J56" s="136">
        <v>4</v>
      </c>
      <c r="K56" s="164">
        <v>40</v>
      </c>
      <c r="L56" s="126" t="s">
        <v>120</v>
      </c>
      <c r="M56" s="126" t="s">
        <v>41</v>
      </c>
      <c r="O56">
        <f t="shared" si="0"/>
        <v>0.8</v>
      </c>
    </row>
    <row r="57" spans="1:19" x14ac:dyDescent="0.25">
      <c r="A57" s="128">
        <v>14</v>
      </c>
      <c r="B57" s="191" t="s">
        <v>2218</v>
      </c>
      <c r="C57" s="130" t="s">
        <v>2219</v>
      </c>
      <c r="D57" s="130"/>
      <c r="E57" s="130" t="s">
        <v>127</v>
      </c>
      <c r="F57" s="130" t="s">
        <v>174</v>
      </c>
      <c r="G57" s="130" t="s">
        <v>57</v>
      </c>
      <c r="H57" s="131" t="s">
        <v>2220</v>
      </c>
      <c r="I57" s="240" t="s">
        <v>145</v>
      </c>
      <c r="J57" s="136">
        <v>100</v>
      </c>
      <c r="K57" s="164">
        <v>25</v>
      </c>
      <c r="L57" s="126" t="s">
        <v>120</v>
      </c>
      <c r="M57" s="126" t="s">
        <v>41</v>
      </c>
      <c r="O57">
        <f t="shared" si="0"/>
        <v>20</v>
      </c>
    </row>
    <row r="58" spans="1:19" x14ac:dyDescent="0.25">
      <c r="A58" s="231">
        <v>14</v>
      </c>
      <c r="B58" s="191" t="s">
        <v>2221</v>
      </c>
      <c r="C58" s="130" t="s">
        <v>2223</v>
      </c>
      <c r="D58" s="130"/>
      <c r="E58" s="130" t="s">
        <v>127</v>
      </c>
      <c r="F58" s="130" t="s">
        <v>2222</v>
      </c>
      <c r="G58" s="130" t="s">
        <v>67</v>
      </c>
      <c r="H58" s="131"/>
      <c r="I58" s="306" t="s">
        <v>186</v>
      </c>
      <c r="J58" s="136">
        <v>200</v>
      </c>
      <c r="K58" s="164">
        <v>2000</v>
      </c>
      <c r="L58" s="126" t="s">
        <v>120</v>
      </c>
      <c r="M58" s="126" t="s">
        <v>41</v>
      </c>
      <c r="O58">
        <f t="shared" si="0"/>
        <v>40</v>
      </c>
    </row>
    <row r="59" spans="1:19" x14ac:dyDescent="0.25">
      <c r="A59" s="128">
        <v>18</v>
      </c>
      <c r="B59" s="191" t="s">
        <v>2226</v>
      </c>
      <c r="C59" s="130" t="s">
        <v>568</v>
      </c>
      <c r="D59" s="130"/>
      <c r="E59" s="130" t="s">
        <v>127</v>
      </c>
      <c r="F59" s="130" t="s">
        <v>2227</v>
      </c>
      <c r="G59" s="130" t="s">
        <v>46</v>
      </c>
      <c r="H59" s="131" t="s">
        <v>2228</v>
      </c>
      <c r="I59" s="133" t="s">
        <v>40</v>
      </c>
      <c r="J59" s="136">
        <v>1000</v>
      </c>
      <c r="K59" s="164">
        <v>250</v>
      </c>
      <c r="L59" s="126" t="s">
        <v>120</v>
      </c>
      <c r="M59" s="126" t="s">
        <v>41</v>
      </c>
      <c r="O59">
        <f t="shared" si="0"/>
        <v>200</v>
      </c>
    </row>
    <row r="60" spans="1:19" x14ac:dyDescent="0.25">
      <c r="A60" s="128">
        <v>18</v>
      </c>
      <c r="B60" s="191" t="s">
        <v>2229</v>
      </c>
      <c r="C60" s="130" t="s">
        <v>2230</v>
      </c>
      <c r="D60" s="130"/>
      <c r="E60" s="130" t="s">
        <v>127</v>
      </c>
      <c r="F60" s="130" t="s">
        <v>713</v>
      </c>
      <c r="G60" s="130" t="s">
        <v>57</v>
      </c>
      <c r="H60" s="131" t="s">
        <v>2231</v>
      </c>
      <c r="I60" s="130" t="s">
        <v>40</v>
      </c>
      <c r="J60" s="136">
        <v>1000</v>
      </c>
      <c r="K60" s="164">
        <v>250</v>
      </c>
      <c r="L60" s="126" t="s">
        <v>120</v>
      </c>
      <c r="M60" s="126" t="s">
        <v>41</v>
      </c>
      <c r="O60">
        <f t="shared" si="0"/>
        <v>200</v>
      </c>
      <c r="R60" s="57"/>
    </row>
    <row r="61" spans="1:19" x14ac:dyDescent="0.25">
      <c r="A61" s="128">
        <v>18</v>
      </c>
      <c r="B61" s="191" t="s">
        <v>2232</v>
      </c>
      <c r="C61" s="130" t="s">
        <v>634</v>
      </c>
      <c r="D61" s="130"/>
      <c r="E61" s="130" t="s">
        <v>127</v>
      </c>
      <c r="F61" s="130" t="s">
        <v>2233</v>
      </c>
      <c r="G61" s="130" t="s">
        <v>72</v>
      </c>
      <c r="H61" s="131" t="s">
        <v>2237</v>
      </c>
      <c r="I61" s="306" t="s">
        <v>186</v>
      </c>
      <c r="J61" s="136">
        <v>50</v>
      </c>
      <c r="K61" s="164">
        <v>500</v>
      </c>
      <c r="L61" s="126" t="s">
        <v>120</v>
      </c>
      <c r="M61" s="126" t="s">
        <v>41</v>
      </c>
      <c r="O61">
        <f t="shared" si="0"/>
        <v>10</v>
      </c>
      <c r="R61" s="57"/>
    </row>
    <row r="62" spans="1:19" x14ac:dyDescent="0.25">
      <c r="A62" s="128">
        <v>18</v>
      </c>
      <c r="B62" s="191" t="s">
        <v>2234</v>
      </c>
      <c r="C62" s="191" t="s">
        <v>2235</v>
      </c>
      <c r="D62" s="130"/>
      <c r="E62" s="168" t="s">
        <v>129</v>
      </c>
      <c r="F62" s="130" t="s">
        <v>2236</v>
      </c>
      <c r="G62" s="199" t="s">
        <v>81</v>
      </c>
      <c r="H62" s="131" t="s">
        <v>2238</v>
      </c>
      <c r="I62" s="306" t="s">
        <v>186</v>
      </c>
      <c r="J62" s="136">
        <v>20</v>
      </c>
      <c r="K62" s="164">
        <v>200</v>
      </c>
      <c r="L62" s="126" t="s">
        <v>120</v>
      </c>
      <c r="M62" s="126" t="s">
        <v>41</v>
      </c>
      <c r="O62">
        <f t="shared" si="0"/>
        <v>4</v>
      </c>
    </row>
    <row r="63" spans="1:19" x14ac:dyDescent="0.25">
      <c r="A63" s="128">
        <v>18</v>
      </c>
      <c r="B63" s="191" t="s">
        <v>2239</v>
      </c>
      <c r="C63" s="191" t="s">
        <v>2240</v>
      </c>
      <c r="D63" s="130"/>
      <c r="E63" s="130" t="s">
        <v>127</v>
      </c>
      <c r="F63" s="130" t="s">
        <v>131</v>
      </c>
      <c r="G63" s="130" t="s">
        <v>45</v>
      </c>
      <c r="H63" s="131" t="s">
        <v>2241</v>
      </c>
      <c r="I63" s="242" t="s">
        <v>849</v>
      </c>
      <c r="J63" s="136">
        <v>90</v>
      </c>
      <c r="K63" s="164">
        <v>90</v>
      </c>
      <c r="L63" s="126" t="s">
        <v>120</v>
      </c>
      <c r="M63" s="126" t="s">
        <v>41</v>
      </c>
      <c r="O63">
        <f t="shared" si="0"/>
        <v>18</v>
      </c>
    </row>
    <row r="64" spans="1:19" x14ac:dyDescent="0.25">
      <c r="A64" s="128">
        <v>18</v>
      </c>
      <c r="B64" s="191" t="s">
        <v>2158</v>
      </c>
      <c r="C64" s="130" t="s">
        <v>1768</v>
      </c>
      <c r="D64" s="130"/>
      <c r="E64" s="130" t="s">
        <v>127</v>
      </c>
      <c r="F64" s="130"/>
      <c r="G64" s="130" t="s">
        <v>62</v>
      </c>
      <c r="H64" s="131"/>
      <c r="I64" s="240" t="s">
        <v>145</v>
      </c>
      <c r="J64" s="136">
        <v>100</v>
      </c>
      <c r="K64" s="164" t="s">
        <v>123</v>
      </c>
      <c r="L64" s="126" t="s">
        <v>120</v>
      </c>
      <c r="M64" s="126" t="s">
        <v>41</v>
      </c>
      <c r="O64">
        <f t="shared" si="0"/>
        <v>20</v>
      </c>
      <c r="R64" s="25"/>
    </row>
    <row r="65" spans="1:18" x14ac:dyDescent="0.25">
      <c r="A65" s="128">
        <v>18</v>
      </c>
      <c r="B65" s="191" t="s">
        <v>959</v>
      </c>
      <c r="C65" s="130" t="s">
        <v>960</v>
      </c>
      <c r="D65" s="130"/>
      <c r="E65" s="168" t="s">
        <v>129</v>
      </c>
      <c r="F65" s="130" t="s">
        <v>130</v>
      </c>
      <c r="G65" s="130" t="s">
        <v>43</v>
      </c>
      <c r="H65" s="131"/>
      <c r="I65" s="306" t="s">
        <v>186</v>
      </c>
      <c r="J65" s="136">
        <v>30</v>
      </c>
      <c r="K65" s="164">
        <v>300</v>
      </c>
      <c r="L65" s="126" t="s">
        <v>120</v>
      </c>
      <c r="M65" s="126" t="s">
        <v>41</v>
      </c>
      <c r="O65">
        <f t="shared" si="0"/>
        <v>6</v>
      </c>
      <c r="R65" s="25"/>
    </row>
    <row r="66" spans="1:18" x14ac:dyDescent="0.25">
      <c r="A66" s="128">
        <v>18</v>
      </c>
      <c r="B66" s="191" t="s">
        <v>2242</v>
      </c>
      <c r="C66" s="130" t="s">
        <v>2243</v>
      </c>
      <c r="D66" s="130"/>
      <c r="E66" s="130" t="s">
        <v>127</v>
      </c>
      <c r="F66" s="130" t="s">
        <v>65</v>
      </c>
      <c r="G66" s="130" t="s">
        <v>53</v>
      </c>
      <c r="H66" s="131"/>
      <c r="I66" s="130" t="s">
        <v>40</v>
      </c>
      <c r="J66" s="136">
        <v>500</v>
      </c>
      <c r="K66" s="164">
        <v>125</v>
      </c>
      <c r="L66" s="126" t="s">
        <v>120</v>
      </c>
      <c r="M66" s="126" t="s">
        <v>41</v>
      </c>
      <c r="O66">
        <f t="shared" si="0"/>
        <v>100</v>
      </c>
      <c r="R66" s="25"/>
    </row>
    <row r="67" spans="1:18" x14ac:dyDescent="0.25">
      <c r="A67" s="128">
        <v>18</v>
      </c>
      <c r="B67" s="191" t="s">
        <v>2205</v>
      </c>
      <c r="C67" s="130" t="s">
        <v>2206</v>
      </c>
      <c r="D67" s="130"/>
      <c r="E67" s="130" t="s">
        <v>127</v>
      </c>
      <c r="F67" s="130" t="s">
        <v>2207</v>
      </c>
      <c r="G67" s="130" t="s">
        <v>58</v>
      </c>
      <c r="H67" s="131" t="s">
        <v>2208</v>
      </c>
      <c r="I67" s="306" t="s">
        <v>186</v>
      </c>
      <c r="J67" s="136">
        <v>10</v>
      </c>
      <c r="K67" s="164">
        <v>100</v>
      </c>
      <c r="L67" s="126" t="s">
        <v>120</v>
      </c>
      <c r="M67" s="126" t="s">
        <v>41</v>
      </c>
      <c r="O67">
        <f t="shared" si="0"/>
        <v>2</v>
      </c>
    </row>
    <row r="68" spans="1:18" x14ac:dyDescent="0.25">
      <c r="A68" s="128">
        <v>18</v>
      </c>
      <c r="B68" s="191" t="s">
        <v>810</v>
      </c>
      <c r="C68" s="130" t="s">
        <v>2244</v>
      </c>
      <c r="D68" s="130"/>
      <c r="E68" s="130" t="s">
        <v>127</v>
      </c>
      <c r="F68" s="130" t="s">
        <v>2129</v>
      </c>
      <c r="G68" s="130" t="s">
        <v>43</v>
      </c>
      <c r="H68" s="131"/>
      <c r="I68" s="133" t="s">
        <v>40</v>
      </c>
      <c r="J68" s="136">
        <v>3000</v>
      </c>
      <c r="K68" s="164">
        <v>750</v>
      </c>
      <c r="L68" s="126" t="s">
        <v>120</v>
      </c>
      <c r="M68" s="126" t="s">
        <v>41</v>
      </c>
      <c r="O68">
        <f t="shared" si="0"/>
        <v>600</v>
      </c>
    </row>
    <row r="69" spans="1:18" x14ac:dyDescent="0.25">
      <c r="A69" s="128">
        <v>19</v>
      </c>
      <c r="B69" s="191" t="s">
        <v>2249</v>
      </c>
      <c r="C69" s="130" t="s">
        <v>180</v>
      </c>
      <c r="D69" s="130"/>
      <c r="E69" s="130" t="s">
        <v>127</v>
      </c>
      <c r="F69" s="130" t="s">
        <v>1421</v>
      </c>
      <c r="G69" s="130" t="s">
        <v>54</v>
      </c>
      <c r="H69" s="131" t="s">
        <v>2250</v>
      </c>
      <c r="I69" s="130" t="s">
        <v>40</v>
      </c>
      <c r="J69" s="136">
        <v>20</v>
      </c>
      <c r="K69" s="164" t="s">
        <v>123</v>
      </c>
      <c r="L69" s="126" t="s">
        <v>120</v>
      </c>
      <c r="M69" s="126" t="s">
        <v>41</v>
      </c>
      <c r="O69">
        <f t="shared" si="0"/>
        <v>4</v>
      </c>
    </row>
    <row r="70" spans="1:18" x14ac:dyDescent="0.25">
      <c r="A70" s="128">
        <v>26</v>
      </c>
      <c r="B70" s="192" t="s">
        <v>2251</v>
      </c>
      <c r="C70" s="133" t="s">
        <v>2252</v>
      </c>
      <c r="D70" s="133"/>
      <c r="E70" s="130" t="s">
        <v>127</v>
      </c>
      <c r="F70" s="130" t="s">
        <v>749</v>
      </c>
      <c r="G70" s="130" t="s">
        <v>42</v>
      </c>
      <c r="H70" s="131"/>
      <c r="I70" s="130" t="s">
        <v>40</v>
      </c>
      <c r="J70" s="136">
        <v>1500</v>
      </c>
      <c r="K70" s="164" t="s">
        <v>123</v>
      </c>
      <c r="L70" s="130" t="s">
        <v>120</v>
      </c>
      <c r="M70" s="130" t="s">
        <v>41</v>
      </c>
      <c r="O70">
        <f t="shared" si="0"/>
        <v>300</v>
      </c>
    </row>
    <row r="71" spans="1:18" x14ac:dyDescent="0.25">
      <c r="A71" s="128">
        <v>26</v>
      </c>
      <c r="B71" s="192" t="s">
        <v>2253</v>
      </c>
      <c r="C71" s="133" t="s">
        <v>2254</v>
      </c>
      <c r="D71" s="133"/>
      <c r="E71" s="130" t="s">
        <v>127</v>
      </c>
      <c r="F71" s="130" t="s">
        <v>713</v>
      </c>
      <c r="G71" s="130" t="s">
        <v>54</v>
      </c>
      <c r="H71" s="131" t="s">
        <v>2255</v>
      </c>
      <c r="I71" s="130" t="s">
        <v>40</v>
      </c>
      <c r="J71" s="136">
        <v>100</v>
      </c>
      <c r="K71" s="164">
        <v>25</v>
      </c>
      <c r="L71" s="126" t="s">
        <v>120</v>
      </c>
      <c r="M71" s="126" t="s">
        <v>41</v>
      </c>
      <c r="O71">
        <f t="shared" si="0"/>
        <v>20</v>
      </c>
    </row>
    <row r="72" spans="1:18" x14ac:dyDescent="0.25">
      <c r="A72" s="128">
        <v>26</v>
      </c>
      <c r="B72" s="192" t="s">
        <v>1124</v>
      </c>
      <c r="C72" s="133" t="s">
        <v>634</v>
      </c>
      <c r="D72" s="133"/>
      <c r="E72" s="130" t="s">
        <v>127</v>
      </c>
      <c r="F72" s="130" t="s">
        <v>457</v>
      </c>
      <c r="G72" s="130" t="s">
        <v>42</v>
      </c>
      <c r="H72" s="131" t="s">
        <v>1125</v>
      </c>
      <c r="I72" s="130" t="s">
        <v>40</v>
      </c>
      <c r="J72" s="136">
        <v>500</v>
      </c>
      <c r="K72" s="164">
        <v>175</v>
      </c>
      <c r="L72" s="126" t="s">
        <v>120</v>
      </c>
      <c r="M72" s="126" t="s">
        <v>41</v>
      </c>
      <c r="O72">
        <f t="shared" si="0"/>
        <v>100</v>
      </c>
    </row>
    <row r="73" spans="1:18" x14ac:dyDescent="0.25">
      <c r="A73" s="128">
        <v>26</v>
      </c>
      <c r="B73" s="192" t="s">
        <v>1095</v>
      </c>
      <c r="C73" s="133" t="s">
        <v>2256</v>
      </c>
      <c r="D73" s="133"/>
      <c r="E73" s="130" t="s">
        <v>127</v>
      </c>
      <c r="F73" s="130" t="s">
        <v>2257</v>
      </c>
      <c r="G73" s="130" t="s">
        <v>49</v>
      </c>
      <c r="H73" s="131" t="s">
        <v>2258</v>
      </c>
      <c r="I73" s="130" t="s">
        <v>40</v>
      </c>
      <c r="J73" s="136">
        <v>300</v>
      </c>
      <c r="K73" s="164">
        <v>105</v>
      </c>
      <c r="L73" s="126" t="s">
        <v>120</v>
      </c>
      <c r="M73" s="126" t="s">
        <v>41</v>
      </c>
      <c r="O73">
        <f t="shared" si="0"/>
        <v>60</v>
      </c>
    </row>
    <row r="74" spans="1:18" x14ac:dyDescent="0.25">
      <c r="A74" s="128">
        <v>26</v>
      </c>
      <c r="B74" s="192" t="s">
        <v>2259</v>
      </c>
      <c r="C74" s="133" t="s">
        <v>2260</v>
      </c>
      <c r="D74" s="133"/>
      <c r="E74" s="130" t="s">
        <v>127</v>
      </c>
      <c r="F74" s="130" t="s">
        <v>2261</v>
      </c>
      <c r="G74" s="130" t="s">
        <v>48</v>
      </c>
      <c r="H74" s="131" t="s">
        <v>2262</v>
      </c>
      <c r="I74" s="306" t="s">
        <v>186</v>
      </c>
      <c r="J74" s="136">
        <v>20</v>
      </c>
      <c r="K74" s="164">
        <v>200</v>
      </c>
      <c r="L74" s="126" t="s">
        <v>120</v>
      </c>
      <c r="M74" s="126" t="s">
        <v>41</v>
      </c>
      <c r="O74">
        <f t="shared" si="0"/>
        <v>4</v>
      </c>
    </row>
    <row r="75" spans="1:18" x14ac:dyDescent="0.25">
      <c r="A75" s="128">
        <v>26</v>
      </c>
      <c r="B75" s="192" t="s">
        <v>2263</v>
      </c>
      <c r="C75" s="133" t="s">
        <v>2264</v>
      </c>
      <c r="D75" s="133"/>
      <c r="E75" s="168" t="s">
        <v>129</v>
      </c>
      <c r="F75" s="130" t="s">
        <v>713</v>
      </c>
      <c r="G75" s="130" t="s">
        <v>54</v>
      </c>
      <c r="H75" s="131" t="s">
        <v>2265</v>
      </c>
      <c r="I75" s="306" t="s">
        <v>186</v>
      </c>
      <c r="J75" s="136">
        <v>200</v>
      </c>
      <c r="K75" s="164">
        <v>2000</v>
      </c>
      <c r="L75" s="126" t="s">
        <v>120</v>
      </c>
      <c r="M75" s="126" t="s">
        <v>41</v>
      </c>
      <c r="O75">
        <f t="shared" si="0"/>
        <v>40</v>
      </c>
    </row>
    <row r="76" spans="1:18" x14ac:dyDescent="0.25">
      <c r="A76" s="128">
        <v>27</v>
      </c>
      <c r="B76" s="192" t="s">
        <v>882</v>
      </c>
      <c r="C76" s="133" t="s">
        <v>1445</v>
      </c>
      <c r="D76" s="133"/>
      <c r="E76" s="130" t="s">
        <v>127</v>
      </c>
      <c r="F76" s="130" t="s">
        <v>531</v>
      </c>
      <c r="G76" s="130" t="s">
        <v>61</v>
      </c>
      <c r="H76" s="131" t="s">
        <v>2266</v>
      </c>
      <c r="I76" s="130" t="s">
        <v>40</v>
      </c>
      <c r="J76" s="136">
        <v>500</v>
      </c>
      <c r="K76" s="164" t="s">
        <v>123</v>
      </c>
      <c r="L76" s="126" t="s">
        <v>120</v>
      </c>
      <c r="M76" s="126" t="s">
        <v>41</v>
      </c>
      <c r="O76">
        <f t="shared" si="0"/>
        <v>100</v>
      </c>
    </row>
    <row r="77" spans="1:18" x14ac:dyDescent="0.25">
      <c r="A77" s="231">
        <v>27</v>
      </c>
      <c r="B77" s="192" t="s">
        <v>2267</v>
      </c>
      <c r="C77" s="133" t="s">
        <v>2268</v>
      </c>
      <c r="D77" s="133"/>
      <c r="E77" s="130" t="s">
        <v>127</v>
      </c>
      <c r="F77" s="130" t="s">
        <v>531</v>
      </c>
      <c r="G77" s="130" t="s">
        <v>61</v>
      </c>
      <c r="H77" s="131" t="s">
        <v>2266</v>
      </c>
      <c r="I77" s="130" t="s">
        <v>40</v>
      </c>
      <c r="J77" s="136">
        <v>500</v>
      </c>
      <c r="K77" s="164" t="s">
        <v>123</v>
      </c>
      <c r="L77" s="126" t="s">
        <v>120</v>
      </c>
      <c r="M77" s="126" t="s">
        <v>41</v>
      </c>
      <c r="O77">
        <f t="shared" si="0"/>
        <v>100</v>
      </c>
    </row>
    <row r="78" spans="1:18" x14ac:dyDescent="0.25">
      <c r="A78" s="128"/>
      <c r="B78" s="192"/>
      <c r="C78" s="133"/>
      <c r="D78" s="133"/>
      <c r="E78" s="130"/>
      <c r="F78" s="130"/>
      <c r="G78" s="130"/>
      <c r="H78" s="131"/>
      <c r="I78" s="130"/>
      <c r="J78" s="136"/>
      <c r="K78" s="164"/>
      <c r="L78" s="126"/>
      <c r="M78" s="126"/>
    </row>
    <row r="79" spans="1:18" x14ac:dyDescent="0.25">
      <c r="A79" s="128"/>
      <c r="B79" s="192"/>
      <c r="C79" s="133"/>
      <c r="D79" s="133"/>
      <c r="E79" s="130"/>
      <c r="F79" s="130"/>
      <c r="G79" s="130"/>
      <c r="H79" s="131"/>
      <c r="I79" s="130"/>
      <c r="J79" s="136"/>
      <c r="K79" s="164"/>
      <c r="L79" s="126"/>
      <c r="M79" s="126"/>
    </row>
    <row r="80" spans="1:18" x14ac:dyDescent="0.25">
      <c r="A80" s="128"/>
      <c r="B80" s="192"/>
      <c r="C80" s="133"/>
      <c r="D80" s="133"/>
      <c r="E80" s="130"/>
      <c r="F80" s="130"/>
      <c r="G80" s="130"/>
      <c r="H80" s="131"/>
      <c r="I80" s="130"/>
      <c r="J80" s="136"/>
      <c r="K80" s="164"/>
      <c r="L80" s="126"/>
      <c r="M80" s="126"/>
    </row>
    <row r="81" spans="1:18" x14ac:dyDescent="0.25">
      <c r="A81" s="128"/>
      <c r="B81" s="192"/>
      <c r="C81" s="133"/>
      <c r="D81" s="133"/>
      <c r="E81" s="130"/>
      <c r="F81" s="130"/>
      <c r="G81" s="130"/>
      <c r="H81" s="131"/>
      <c r="I81" s="130"/>
      <c r="J81" s="136"/>
      <c r="K81" s="164"/>
      <c r="L81" s="126"/>
      <c r="M81" s="126"/>
    </row>
    <row r="82" spans="1:18" x14ac:dyDescent="0.25">
      <c r="A82" s="128"/>
      <c r="B82" s="192"/>
      <c r="C82" s="133"/>
      <c r="D82" s="133"/>
      <c r="E82" s="130"/>
      <c r="F82" s="130"/>
      <c r="G82" s="130"/>
      <c r="H82" s="131"/>
      <c r="I82" s="130"/>
      <c r="J82" s="136"/>
      <c r="K82" s="164"/>
      <c r="L82" s="126"/>
      <c r="M82" s="126"/>
    </row>
    <row r="83" spans="1:18" x14ac:dyDescent="0.25">
      <c r="A83" s="128"/>
      <c r="B83" s="192"/>
      <c r="C83" s="133"/>
      <c r="D83" s="133"/>
      <c r="E83" s="130"/>
      <c r="F83" s="130"/>
      <c r="G83" s="130"/>
      <c r="H83" s="131"/>
      <c r="I83" s="130"/>
      <c r="J83" s="136"/>
      <c r="K83" s="164"/>
      <c r="L83" s="126"/>
      <c r="M83" s="126"/>
    </row>
    <row r="84" spans="1:18" x14ac:dyDescent="0.25">
      <c r="A84" s="128"/>
      <c r="B84" s="192"/>
      <c r="C84" s="133"/>
      <c r="D84" s="133"/>
      <c r="E84" s="130"/>
      <c r="F84" s="130"/>
      <c r="G84" s="130"/>
      <c r="H84" s="131"/>
      <c r="I84" s="130"/>
      <c r="J84" s="136"/>
      <c r="K84" s="164"/>
      <c r="L84" s="126"/>
      <c r="M84" s="126"/>
    </row>
    <row r="85" spans="1:18" x14ac:dyDescent="0.25">
      <c r="A85" s="128"/>
      <c r="B85" s="192"/>
      <c r="C85" s="133"/>
      <c r="D85" s="133"/>
      <c r="E85" s="130"/>
      <c r="F85" s="130"/>
      <c r="G85" s="130"/>
      <c r="H85" s="131"/>
      <c r="I85" s="130"/>
      <c r="J85" s="136"/>
      <c r="K85" s="164"/>
      <c r="L85" s="126"/>
      <c r="M85" s="126"/>
    </row>
    <row r="86" spans="1:18" x14ac:dyDescent="0.25">
      <c r="A86" s="128"/>
      <c r="B86" s="192"/>
      <c r="C86" s="133"/>
      <c r="D86" s="133"/>
      <c r="E86" s="130"/>
      <c r="F86" s="130"/>
      <c r="G86" s="130"/>
      <c r="H86" s="131"/>
      <c r="I86" s="130"/>
      <c r="J86" s="136"/>
      <c r="K86" s="164"/>
      <c r="L86" s="126"/>
      <c r="M86" s="126"/>
    </row>
    <row r="87" spans="1:18" x14ac:dyDescent="0.25">
      <c r="A87" s="128"/>
      <c r="B87" s="192"/>
      <c r="C87" s="133"/>
      <c r="D87" s="133"/>
      <c r="E87" s="130"/>
      <c r="F87" s="130"/>
      <c r="G87" s="130"/>
      <c r="H87" s="131"/>
      <c r="I87" s="130"/>
      <c r="J87" s="136"/>
      <c r="K87" s="164"/>
      <c r="L87" s="126"/>
      <c r="M87" s="126"/>
    </row>
    <row r="88" spans="1:18" x14ac:dyDescent="0.25">
      <c r="A88" s="128"/>
      <c r="B88" s="192"/>
      <c r="C88" s="133"/>
      <c r="D88" s="133"/>
      <c r="E88" s="130"/>
      <c r="F88" s="130"/>
      <c r="G88" s="130"/>
      <c r="H88" s="131"/>
      <c r="I88" s="130"/>
      <c r="J88" s="136"/>
      <c r="K88" s="164"/>
      <c r="L88" s="126"/>
      <c r="M88" s="126"/>
      <c r="O88">
        <f t="shared" si="0"/>
        <v>0</v>
      </c>
    </row>
    <row r="89" spans="1:18" x14ac:dyDescent="0.25">
      <c r="A89" s="128"/>
      <c r="B89" s="192"/>
      <c r="C89" s="133"/>
      <c r="D89" s="133"/>
      <c r="E89" s="130"/>
      <c r="F89" s="130"/>
      <c r="G89" s="130"/>
      <c r="H89" s="131"/>
      <c r="I89" s="133"/>
      <c r="J89" s="136"/>
      <c r="K89" s="164"/>
      <c r="L89" s="126"/>
      <c r="M89" s="126"/>
      <c r="O89">
        <f t="shared" si="0"/>
        <v>0</v>
      </c>
    </row>
    <row r="90" spans="1:18" x14ac:dyDescent="0.25">
      <c r="A90" s="128"/>
      <c r="B90" s="192"/>
      <c r="C90" s="133"/>
      <c r="D90" s="133"/>
      <c r="E90" s="130"/>
      <c r="F90" s="130"/>
      <c r="G90" s="130"/>
      <c r="H90" s="131"/>
      <c r="I90" s="130"/>
      <c r="J90" s="136"/>
      <c r="K90" s="164"/>
      <c r="L90" s="126"/>
      <c r="M90" s="126"/>
      <c r="O90">
        <f t="shared" si="0"/>
        <v>0</v>
      </c>
    </row>
    <row r="91" spans="1:18" x14ac:dyDescent="0.25">
      <c r="A91" s="142"/>
      <c r="B91" s="192"/>
      <c r="C91" s="133"/>
      <c r="D91" s="133"/>
      <c r="E91" s="130"/>
      <c r="F91" s="130"/>
      <c r="G91" s="130"/>
      <c r="H91" s="131"/>
      <c r="I91" s="130"/>
      <c r="J91" s="136"/>
      <c r="K91" s="164"/>
      <c r="L91" s="126"/>
      <c r="M91" s="126"/>
      <c r="O91">
        <f t="shared" si="0"/>
        <v>0</v>
      </c>
    </row>
    <row r="92" spans="1:18" x14ac:dyDescent="0.25">
      <c r="A92" s="142"/>
      <c r="B92" s="192"/>
      <c r="C92" s="133"/>
      <c r="D92" s="133"/>
      <c r="E92" s="130"/>
      <c r="F92" s="130"/>
      <c r="G92" s="130"/>
      <c r="H92" s="131"/>
      <c r="I92" s="130"/>
      <c r="J92" s="136"/>
      <c r="K92" s="164"/>
      <c r="L92" s="126"/>
      <c r="M92" s="126"/>
      <c r="O92">
        <f t="shared" si="0"/>
        <v>0</v>
      </c>
    </row>
    <row r="93" spans="1:18" x14ac:dyDescent="0.25">
      <c r="A93" s="142"/>
      <c r="B93" s="192"/>
      <c r="C93" s="133"/>
      <c r="D93" s="133"/>
      <c r="E93" s="130"/>
      <c r="F93" s="130"/>
      <c r="G93" s="130"/>
      <c r="H93" s="131"/>
      <c r="I93" s="130"/>
      <c r="J93" s="136"/>
      <c r="K93" s="164"/>
      <c r="L93" s="126"/>
      <c r="M93" s="126"/>
      <c r="O93">
        <f t="shared" si="0"/>
        <v>0</v>
      </c>
    </row>
    <row r="94" spans="1:18" x14ac:dyDescent="0.25">
      <c r="A94" s="142"/>
      <c r="B94" s="192"/>
      <c r="C94" s="133"/>
      <c r="D94" s="133"/>
      <c r="E94" s="130"/>
      <c r="F94" s="130"/>
      <c r="G94" s="130"/>
      <c r="H94" s="131"/>
      <c r="I94" s="130"/>
      <c r="J94" s="136"/>
      <c r="K94" s="164"/>
      <c r="L94" s="126"/>
      <c r="M94" s="126"/>
      <c r="O94">
        <f t="shared" si="0"/>
        <v>0</v>
      </c>
    </row>
    <row r="95" spans="1:18" x14ac:dyDescent="0.25">
      <c r="A95" s="142"/>
      <c r="B95" s="192"/>
      <c r="C95" s="133"/>
      <c r="D95" s="133"/>
      <c r="E95" s="130"/>
      <c r="F95" s="130"/>
      <c r="G95" s="130"/>
      <c r="H95" s="131"/>
      <c r="I95" s="130"/>
      <c r="J95" s="136"/>
      <c r="K95" s="164"/>
      <c r="L95" s="126"/>
      <c r="M95" s="126"/>
      <c r="O95">
        <f t="shared" si="0"/>
        <v>0</v>
      </c>
      <c r="R95" s="57"/>
    </row>
    <row r="96" spans="1:18" x14ac:dyDescent="0.25">
      <c r="A96" s="142"/>
      <c r="B96" s="192"/>
      <c r="C96" s="133"/>
      <c r="D96" s="133"/>
      <c r="E96" s="130"/>
      <c r="F96" s="130"/>
      <c r="G96" s="130"/>
      <c r="H96" s="131"/>
      <c r="I96" s="130"/>
      <c r="J96" s="136"/>
      <c r="K96" s="164"/>
      <c r="L96" s="126"/>
      <c r="M96" s="126"/>
      <c r="O96">
        <f t="shared" si="0"/>
        <v>0</v>
      </c>
    </row>
    <row r="97" spans="1:19" x14ac:dyDescent="0.25">
      <c r="A97" s="142"/>
      <c r="B97" s="192"/>
      <c r="C97" s="133"/>
      <c r="D97" s="133"/>
      <c r="E97" s="130"/>
      <c r="F97" s="130"/>
      <c r="G97" s="130"/>
      <c r="H97" s="131"/>
      <c r="I97" s="130"/>
      <c r="J97" s="136"/>
      <c r="K97" s="164"/>
      <c r="L97" s="126"/>
      <c r="M97" s="126"/>
      <c r="O97">
        <f t="shared" si="0"/>
        <v>0</v>
      </c>
    </row>
    <row r="98" spans="1:19" x14ac:dyDescent="0.25">
      <c r="A98" s="142"/>
      <c r="B98" s="192"/>
      <c r="C98" s="133"/>
      <c r="D98" s="133"/>
      <c r="E98" s="130"/>
      <c r="F98" s="130"/>
      <c r="G98" s="130"/>
      <c r="H98" s="131"/>
      <c r="I98" s="130"/>
      <c r="J98" s="136"/>
      <c r="K98" s="164"/>
      <c r="L98" s="126"/>
      <c r="M98" s="126"/>
      <c r="O98">
        <f t="shared" si="0"/>
        <v>0</v>
      </c>
    </row>
    <row r="99" spans="1:19" x14ac:dyDescent="0.25">
      <c r="A99" s="142"/>
      <c r="B99" s="192"/>
      <c r="C99" s="133"/>
      <c r="D99" s="133"/>
      <c r="E99" s="130"/>
      <c r="F99" s="130"/>
      <c r="G99" s="130"/>
      <c r="H99" s="131"/>
      <c r="I99" s="133"/>
      <c r="J99" s="136"/>
      <c r="K99" s="164"/>
      <c r="L99" s="126"/>
      <c r="M99" s="126"/>
      <c r="O99">
        <f t="shared" si="0"/>
        <v>0</v>
      </c>
      <c r="S99" s="57"/>
    </row>
    <row r="100" spans="1:19" x14ac:dyDescent="0.25">
      <c r="A100" s="142"/>
      <c r="B100" s="192"/>
      <c r="C100" s="133"/>
      <c r="D100" s="133"/>
      <c r="E100" s="130"/>
      <c r="F100" s="130"/>
      <c r="G100" s="130"/>
      <c r="H100" s="131"/>
      <c r="I100" s="133"/>
      <c r="J100" s="136"/>
      <c r="K100" s="164"/>
      <c r="L100" s="126"/>
      <c r="M100" s="126"/>
      <c r="O100">
        <f t="shared" si="0"/>
        <v>0</v>
      </c>
      <c r="R100" s="57"/>
    </row>
    <row r="101" spans="1:19" x14ac:dyDescent="0.25">
      <c r="A101" s="142"/>
      <c r="B101" s="192"/>
      <c r="C101" s="133"/>
      <c r="D101" s="133"/>
      <c r="E101" s="130"/>
      <c r="F101" s="130"/>
      <c r="G101" s="130"/>
      <c r="H101" s="131"/>
      <c r="I101" s="130"/>
      <c r="J101" s="136"/>
      <c r="K101" s="164"/>
      <c r="L101" s="126"/>
      <c r="M101" s="126"/>
      <c r="O101">
        <f t="shared" si="0"/>
        <v>0</v>
      </c>
    </row>
    <row r="102" spans="1:19" x14ac:dyDescent="0.25">
      <c r="A102" s="142"/>
      <c r="B102" s="192"/>
      <c r="C102" s="133"/>
      <c r="D102" s="133"/>
      <c r="E102" s="130"/>
      <c r="F102" s="130"/>
      <c r="G102" s="130"/>
      <c r="H102" s="131"/>
      <c r="I102" s="133"/>
      <c r="J102" s="136"/>
      <c r="K102" s="164"/>
      <c r="L102" s="126"/>
      <c r="M102" s="126"/>
      <c r="O102">
        <f t="shared" si="0"/>
        <v>0</v>
      </c>
      <c r="R102" s="57"/>
    </row>
    <row r="103" spans="1:19" x14ac:dyDescent="0.25">
      <c r="A103" s="142"/>
      <c r="B103" s="192"/>
      <c r="C103" s="133"/>
      <c r="D103" s="133"/>
      <c r="E103" s="130"/>
      <c r="F103" s="130"/>
      <c r="G103" s="130"/>
      <c r="H103" s="131"/>
      <c r="I103" s="130"/>
      <c r="J103" s="136"/>
      <c r="K103" s="164"/>
      <c r="L103" s="126"/>
      <c r="M103" s="126"/>
      <c r="O103">
        <f t="shared" si="0"/>
        <v>0</v>
      </c>
      <c r="R103" s="57"/>
    </row>
    <row r="104" spans="1:19" x14ac:dyDescent="0.25">
      <c r="A104" s="142"/>
      <c r="B104" s="192"/>
      <c r="C104" s="133"/>
      <c r="D104" s="130"/>
      <c r="E104" s="130"/>
      <c r="F104" s="130"/>
      <c r="G104" s="130"/>
      <c r="H104" s="131"/>
      <c r="I104" s="133"/>
      <c r="J104" s="136"/>
      <c r="K104" s="164"/>
      <c r="L104" s="126"/>
      <c r="M104" s="126"/>
      <c r="O104">
        <f t="shared" si="0"/>
        <v>0</v>
      </c>
    </row>
    <row r="105" spans="1:19" x14ac:dyDescent="0.25">
      <c r="A105" s="142"/>
      <c r="B105" s="192"/>
      <c r="C105" s="133"/>
      <c r="D105" s="130"/>
      <c r="E105" s="130"/>
      <c r="F105" s="130"/>
      <c r="G105" s="130"/>
      <c r="H105" s="131"/>
      <c r="I105" s="130"/>
      <c r="J105" s="136"/>
      <c r="K105" s="164"/>
      <c r="L105" s="126"/>
      <c r="M105" s="126"/>
      <c r="O105">
        <f t="shared" si="0"/>
        <v>0</v>
      </c>
    </row>
    <row r="106" spans="1:19" x14ac:dyDescent="0.25">
      <c r="A106" s="142"/>
      <c r="B106" s="192"/>
      <c r="C106" s="133"/>
      <c r="D106" s="133"/>
      <c r="E106" s="130"/>
      <c r="F106" s="130"/>
      <c r="G106" s="130"/>
      <c r="H106" s="131"/>
      <c r="I106" s="133"/>
      <c r="J106" s="136"/>
      <c r="K106" s="164"/>
      <c r="L106" s="126"/>
      <c r="M106" s="126"/>
      <c r="O106">
        <f t="shared" si="0"/>
        <v>0</v>
      </c>
    </row>
    <row r="107" spans="1:19" x14ac:dyDescent="0.25">
      <c r="A107" s="142"/>
      <c r="B107" s="192"/>
      <c r="C107" s="133"/>
      <c r="D107" s="133"/>
      <c r="E107" s="130"/>
      <c r="F107" s="130"/>
      <c r="G107" s="130"/>
      <c r="H107" s="131"/>
      <c r="I107" s="130"/>
      <c r="J107" s="136"/>
      <c r="K107" s="164"/>
      <c r="L107" s="126"/>
      <c r="M107" s="126"/>
      <c r="O107">
        <f t="shared" si="0"/>
        <v>0</v>
      </c>
    </row>
    <row r="108" spans="1:19" x14ac:dyDescent="0.25">
      <c r="A108" s="142"/>
      <c r="B108" s="192"/>
      <c r="C108" s="133"/>
      <c r="D108" s="133"/>
      <c r="E108" s="130"/>
      <c r="F108" s="130"/>
      <c r="G108" s="130"/>
      <c r="H108" s="131"/>
      <c r="I108" s="133"/>
      <c r="J108" s="136"/>
      <c r="K108" s="164"/>
      <c r="L108" s="126"/>
      <c r="M108" s="126"/>
      <c r="O108">
        <f t="shared" si="0"/>
        <v>0</v>
      </c>
    </row>
    <row r="109" spans="1:19" x14ac:dyDescent="0.25">
      <c r="A109" s="142"/>
      <c r="B109" s="192"/>
      <c r="C109" s="133"/>
      <c r="D109" s="133"/>
      <c r="E109" s="130"/>
      <c r="F109" s="130"/>
      <c r="G109" s="130"/>
      <c r="H109" s="131"/>
      <c r="I109" s="133"/>
      <c r="J109" s="136"/>
      <c r="K109" s="164"/>
      <c r="L109" s="126"/>
      <c r="M109" s="126"/>
      <c r="O109">
        <f t="shared" si="0"/>
        <v>0</v>
      </c>
    </row>
    <row r="110" spans="1:19" x14ac:dyDescent="0.25">
      <c r="A110" s="142"/>
      <c r="B110" s="192"/>
      <c r="C110" s="133"/>
      <c r="D110" s="133"/>
      <c r="E110" s="130"/>
      <c r="F110" s="130"/>
      <c r="G110" s="130"/>
      <c r="H110" s="131"/>
      <c r="I110" s="130"/>
      <c r="J110" s="136"/>
      <c r="K110" s="164"/>
      <c r="L110" s="126"/>
      <c r="M110" s="126"/>
      <c r="O110">
        <f t="shared" si="0"/>
        <v>0</v>
      </c>
      <c r="R110" s="57">
        <f>SUM(J108:J111,J113:J159)</f>
        <v>0</v>
      </c>
    </row>
    <row r="111" spans="1:19" x14ac:dyDescent="0.25">
      <c r="A111" s="142"/>
      <c r="B111" s="192"/>
      <c r="C111" s="133"/>
      <c r="D111" s="133"/>
      <c r="E111" s="130"/>
      <c r="F111" s="130"/>
      <c r="G111" s="130"/>
      <c r="H111" s="131"/>
      <c r="I111" s="130"/>
      <c r="J111" s="136"/>
      <c r="K111" s="164"/>
      <c r="L111" s="126"/>
      <c r="M111" s="126"/>
      <c r="O111">
        <f t="shared" si="0"/>
        <v>0</v>
      </c>
      <c r="R111" s="57" t="e">
        <f>SUM(J116,J118,#REF!,J132,J135)</f>
        <v>#REF!</v>
      </c>
    </row>
    <row r="112" spans="1:19" x14ac:dyDescent="0.25">
      <c r="A112" s="142"/>
      <c r="B112" s="192"/>
      <c r="C112" s="133"/>
      <c r="D112" s="133"/>
      <c r="E112" s="130"/>
      <c r="F112" s="130"/>
      <c r="G112" s="130"/>
      <c r="H112" s="131"/>
      <c r="I112" s="130"/>
      <c r="J112" s="136"/>
      <c r="K112" s="164"/>
      <c r="L112" s="126"/>
      <c r="M112" s="126"/>
      <c r="O112">
        <f t="shared" si="0"/>
        <v>0</v>
      </c>
    </row>
    <row r="113" spans="1:18" x14ac:dyDescent="0.25">
      <c r="A113" s="142"/>
      <c r="B113" s="192"/>
      <c r="C113" s="133"/>
      <c r="D113" s="133"/>
      <c r="E113" s="130"/>
      <c r="F113" s="130"/>
      <c r="G113" s="130"/>
      <c r="H113" s="131"/>
      <c r="I113" s="130"/>
      <c r="J113" s="136"/>
      <c r="K113" s="164"/>
      <c r="L113" s="126"/>
      <c r="M113" s="126"/>
      <c r="O113">
        <f t="shared" si="0"/>
        <v>0</v>
      </c>
      <c r="R113" s="57" t="e">
        <f>R110-R111</f>
        <v>#REF!</v>
      </c>
    </row>
    <row r="114" spans="1:18" x14ac:dyDescent="0.25">
      <c r="A114" s="142"/>
      <c r="B114" s="192"/>
      <c r="C114" s="133"/>
      <c r="D114" s="133"/>
      <c r="E114" s="130"/>
      <c r="F114" s="130"/>
      <c r="G114" s="130"/>
      <c r="H114" s="131"/>
      <c r="I114" s="130"/>
      <c r="J114" s="136"/>
      <c r="K114" s="164"/>
      <c r="L114" s="126"/>
      <c r="M114" s="126"/>
      <c r="O114">
        <f t="shared" si="0"/>
        <v>0</v>
      </c>
    </row>
    <row r="115" spans="1:18" x14ac:dyDescent="0.25">
      <c r="A115" s="142"/>
      <c r="B115" s="192"/>
      <c r="C115" s="133"/>
      <c r="D115" s="133"/>
      <c r="E115" s="130"/>
      <c r="F115" s="130"/>
      <c r="G115" s="130"/>
      <c r="H115" s="131"/>
      <c r="I115" s="130"/>
      <c r="J115" s="136"/>
      <c r="K115" s="164"/>
      <c r="L115" s="126"/>
      <c r="M115" s="126"/>
      <c r="O115">
        <f t="shared" si="0"/>
        <v>0</v>
      </c>
      <c r="R115" s="57"/>
    </row>
    <row r="116" spans="1:18" x14ac:dyDescent="0.25">
      <c r="A116" s="142"/>
      <c r="B116" s="192"/>
      <c r="C116" s="133"/>
      <c r="D116" s="133"/>
      <c r="E116" s="130"/>
      <c r="F116" s="130"/>
      <c r="G116" s="130"/>
      <c r="H116" s="131"/>
      <c r="I116" s="130"/>
      <c r="J116" s="136"/>
      <c r="K116" s="164"/>
      <c r="L116" s="126"/>
      <c r="M116" s="126"/>
      <c r="O116">
        <f t="shared" si="0"/>
        <v>0</v>
      </c>
    </row>
    <row r="117" spans="1:18" x14ac:dyDescent="0.25">
      <c r="A117" s="142"/>
      <c r="B117" s="192"/>
      <c r="C117" s="133"/>
      <c r="D117" s="133"/>
      <c r="E117" s="130"/>
      <c r="F117" s="130"/>
      <c r="G117" s="130"/>
      <c r="H117" s="131"/>
      <c r="I117" s="130"/>
      <c r="J117" s="136"/>
      <c r="K117" s="164"/>
      <c r="L117" s="126"/>
      <c r="M117" s="126"/>
      <c r="O117">
        <f t="shared" si="0"/>
        <v>0</v>
      </c>
      <c r="R117" s="57"/>
    </row>
    <row r="118" spans="1:18" x14ac:dyDescent="0.25">
      <c r="A118" s="142"/>
      <c r="B118" s="192"/>
      <c r="C118" s="133"/>
      <c r="D118" s="133"/>
      <c r="E118" s="130"/>
      <c r="F118" s="130"/>
      <c r="G118" s="130"/>
      <c r="H118" s="131"/>
      <c r="I118" s="133"/>
      <c r="J118" s="136"/>
      <c r="K118" s="164"/>
      <c r="L118" s="126"/>
      <c r="M118" s="126"/>
      <c r="O118">
        <f t="shared" si="0"/>
        <v>0</v>
      </c>
    </row>
    <row r="119" spans="1:18" x14ac:dyDescent="0.25">
      <c r="A119" s="142"/>
      <c r="B119" s="192"/>
      <c r="C119" s="133"/>
      <c r="D119" s="133"/>
      <c r="E119" s="130"/>
      <c r="F119" s="130"/>
      <c r="G119" s="130"/>
      <c r="H119" s="131"/>
      <c r="I119" s="130"/>
      <c r="J119" s="136"/>
      <c r="K119" s="164"/>
      <c r="L119" s="126"/>
      <c r="M119" s="126"/>
      <c r="O119">
        <f t="shared" si="0"/>
        <v>0</v>
      </c>
    </row>
    <row r="120" spans="1:18" x14ac:dyDescent="0.25">
      <c r="A120" s="142"/>
      <c r="B120" s="192"/>
      <c r="C120" s="133"/>
      <c r="D120" s="133"/>
      <c r="E120" s="130"/>
      <c r="F120" s="130"/>
      <c r="G120" s="130"/>
      <c r="H120" s="131"/>
      <c r="I120" s="130"/>
      <c r="J120" s="136"/>
      <c r="K120" s="164"/>
      <c r="L120" s="126"/>
      <c r="M120" s="126"/>
      <c r="O120">
        <f t="shared" si="0"/>
        <v>0</v>
      </c>
    </row>
    <row r="121" spans="1:18" x14ac:dyDescent="0.25">
      <c r="A121" s="142"/>
      <c r="B121" s="192"/>
      <c r="C121" s="133"/>
      <c r="D121" s="133"/>
      <c r="E121" s="130"/>
      <c r="F121" s="130"/>
      <c r="G121" s="130"/>
      <c r="H121" s="131"/>
      <c r="I121" s="130"/>
      <c r="J121" s="136"/>
      <c r="K121" s="164"/>
      <c r="L121" s="126"/>
      <c r="M121" s="126"/>
      <c r="O121">
        <f t="shared" si="0"/>
        <v>0</v>
      </c>
    </row>
    <row r="122" spans="1:18" x14ac:dyDescent="0.25">
      <c r="A122" s="142"/>
      <c r="B122" s="192"/>
      <c r="C122" s="133"/>
      <c r="D122" s="133"/>
      <c r="E122" s="130"/>
      <c r="F122" s="130"/>
      <c r="G122" s="130"/>
      <c r="H122" s="131"/>
      <c r="I122" s="133"/>
      <c r="J122" s="136"/>
      <c r="K122" s="164"/>
      <c r="L122" s="126"/>
      <c r="M122" s="126"/>
      <c r="O122">
        <f t="shared" si="0"/>
        <v>0</v>
      </c>
    </row>
    <row r="123" spans="1:18" x14ac:dyDescent="0.25">
      <c r="A123" s="142"/>
      <c r="B123" s="192"/>
      <c r="C123" s="133"/>
      <c r="D123" s="133"/>
      <c r="E123" s="130"/>
      <c r="F123" s="130"/>
      <c r="G123" s="130"/>
      <c r="H123" s="131"/>
      <c r="I123" s="133"/>
      <c r="J123" s="136"/>
      <c r="K123" s="164"/>
      <c r="L123" s="126"/>
      <c r="M123" s="126"/>
      <c r="O123">
        <f t="shared" si="0"/>
        <v>0</v>
      </c>
    </row>
    <row r="124" spans="1:18" x14ac:dyDescent="0.25">
      <c r="A124" s="142"/>
      <c r="B124" s="192"/>
      <c r="C124" s="133"/>
      <c r="D124" s="133"/>
      <c r="E124" s="130"/>
      <c r="F124" s="130"/>
      <c r="G124" s="130"/>
      <c r="H124" s="131"/>
      <c r="I124" s="133"/>
      <c r="J124" s="136"/>
      <c r="K124" s="164"/>
      <c r="L124" s="126"/>
      <c r="M124" s="126"/>
      <c r="O124">
        <f t="shared" si="0"/>
        <v>0</v>
      </c>
    </row>
    <row r="125" spans="1:18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8" x14ac:dyDescent="0.25">
      <c r="A126" s="142"/>
      <c r="B126" s="192"/>
      <c r="C126" s="133"/>
      <c r="D126" s="133"/>
      <c r="E126" s="130"/>
      <c r="F126" s="130"/>
      <c r="G126" s="130"/>
      <c r="H126" s="131"/>
      <c r="I126" s="130"/>
      <c r="J126" s="136"/>
      <c r="K126" s="164"/>
      <c r="L126" s="126"/>
      <c r="M126" s="126"/>
      <c r="O126">
        <f t="shared" si="0"/>
        <v>0</v>
      </c>
    </row>
    <row r="127" spans="1:18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8" x14ac:dyDescent="0.25">
      <c r="A128" s="142"/>
      <c r="B128" s="192"/>
      <c r="C128" s="133"/>
      <c r="D128" s="133"/>
      <c r="E128" s="130"/>
      <c r="F128" s="130"/>
      <c r="G128" s="130"/>
      <c r="H128" s="131"/>
      <c r="I128" s="133"/>
      <c r="J128" s="136"/>
      <c r="K128" s="164"/>
      <c r="L128" s="126"/>
      <c r="M128" s="126"/>
      <c r="O128">
        <f t="shared" si="0"/>
        <v>0</v>
      </c>
    </row>
    <row r="129" spans="1:15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5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5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5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5" x14ac:dyDescent="0.25">
      <c r="A133" s="142"/>
      <c r="B133" s="192"/>
      <c r="C133" s="133"/>
      <c r="D133" s="133"/>
      <c r="E133" s="130"/>
      <c r="F133" s="130"/>
      <c r="G133" s="130"/>
      <c r="H133" s="131"/>
      <c r="I133" s="133"/>
      <c r="J133" s="136"/>
      <c r="K133" s="164"/>
      <c r="L133" s="126"/>
      <c r="M133" s="126"/>
      <c r="O133">
        <f t="shared" si="0"/>
        <v>0</v>
      </c>
    </row>
    <row r="134" spans="1:15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5" x14ac:dyDescent="0.25">
      <c r="A135" s="142"/>
      <c r="B135" s="192"/>
      <c r="C135" s="133"/>
      <c r="D135" s="133"/>
      <c r="E135" s="130"/>
      <c r="F135" s="130"/>
      <c r="G135" s="130"/>
      <c r="H135" s="131"/>
      <c r="I135" s="130"/>
      <c r="J135" s="136"/>
      <c r="K135" s="164"/>
      <c r="L135" s="126"/>
      <c r="M135" s="126"/>
      <c r="O135">
        <f t="shared" si="0"/>
        <v>0</v>
      </c>
    </row>
    <row r="136" spans="1:15" x14ac:dyDescent="0.25">
      <c r="A136" s="142"/>
      <c r="B136" s="192"/>
      <c r="C136" s="133"/>
      <c r="D136" s="133"/>
      <c r="E136" s="130"/>
      <c r="F136" s="130"/>
      <c r="G136" s="130"/>
      <c r="H136" s="131"/>
      <c r="I136" s="130"/>
      <c r="J136" s="136"/>
      <c r="K136" s="164"/>
      <c r="L136" s="126"/>
      <c r="M136" s="126"/>
      <c r="O136">
        <f t="shared" si="0"/>
        <v>0</v>
      </c>
    </row>
    <row r="137" spans="1:15" x14ac:dyDescent="0.25">
      <c r="A137" s="142"/>
      <c r="B137" s="192"/>
      <c r="C137" s="133"/>
      <c r="D137" s="133"/>
      <c r="E137" s="130"/>
      <c r="F137" s="130"/>
      <c r="G137" s="130"/>
      <c r="H137" s="131"/>
      <c r="I137" s="130"/>
      <c r="J137" s="136"/>
      <c r="K137" s="164"/>
      <c r="L137" s="126"/>
      <c r="M137" s="126"/>
      <c r="O137">
        <f t="shared" si="0"/>
        <v>0</v>
      </c>
    </row>
    <row r="138" spans="1:15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5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5" x14ac:dyDescent="0.25">
      <c r="A140" s="142"/>
      <c r="B140" s="192"/>
      <c r="C140" s="133"/>
      <c r="D140" s="133"/>
      <c r="E140" s="130"/>
      <c r="F140" s="130"/>
      <c r="G140" s="130"/>
      <c r="H140" s="131"/>
      <c r="I140" s="130"/>
      <c r="J140" s="136"/>
      <c r="K140" s="164"/>
      <c r="L140" s="126"/>
      <c r="M140" s="126"/>
      <c r="O140">
        <f t="shared" si="0"/>
        <v>0</v>
      </c>
    </row>
    <row r="141" spans="1:15" x14ac:dyDescent="0.25">
      <c r="A141" s="142"/>
      <c r="B141" s="192"/>
      <c r="C141" s="133"/>
      <c r="D141" s="133"/>
      <c r="E141" s="130"/>
      <c r="F141" s="130"/>
      <c r="G141" s="130"/>
      <c r="H141" s="131"/>
      <c r="I141" s="130"/>
      <c r="J141" s="136"/>
      <c r="K141" s="164"/>
      <c r="L141" s="126"/>
      <c r="M141" s="126"/>
      <c r="O141">
        <f t="shared" si="0"/>
        <v>0</v>
      </c>
    </row>
    <row r="142" spans="1:15" x14ac:dyDescent="0.25">
      <c r="A142" s="142"/>
      <c r="B142" s="192"/>
      <c r="C142" s="133"/>
      <c r="D142" s="133"/>
      <c r="E142" s="130"/>
      <c r="F142" s="130"/>
      <c r="G142" s="130"/>
      <c r="H142" s="131"/>
      <c r="I142" s="130"/>
      <c r="J142" s="136"/>
      <c r="K142" s="164"/>
      <c r="L142" s="126"/>
      <c r="M142" s="126"/>
      <c r="O142">
        <f t="shared" si="0"/>
        <v>0</v>
      </c>
    </row>
    <row r="143" spans="1:15" x14ac:dyDescent="0.25">
      <c r="A143" s="142"/>
      <c r="B143" s="192"/>
      <c r="C143" s="133"/>
      <c r="D143" s="133"/>
      <c r="E143" s="130"/>
      <c r="F143" s="130"/>
      <c r="G143" s="130"/>
      <c r="H143" s="131"/>
      <c r="I143" s="130"/>
      <c r="J143" s="136"/>
      <c r="K143" s="164"/>
      <c r="L143" s="126"/>
      <c r="M143" s="126"/>
      <c r="O143">
        <f t="shared" si="0"/>
        <v>0</v>
      </c>
    </row>
    <row r="144" spans="1:15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8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</row>
    <row r="146" spans="1:18" x14ac:dyDescent="0.25">
      <c r="A146" s="142"/>
      <c r="B146" s="192"/>
      <c r="C146" s="133"/>
      <c r="D146" s="133"/>
      <c r="E146" s="130"/>
      <c r="F146" s="130"/>
      <c r="G146" s="130"/>
      <c r="H146" s="131"/>
      <c r="I146" s="130"/>
      <c r="J146" s="136"/>
      <c r="K146" s="164"/>
      <c r="L146" s="126"/>
      <c r="M146" s="126"/>
      <c r="O146">
        <f t="shared" si="0"/>
        <v>0</v>
      </c>
    </row>
    <row r="147" spans="1:18" x14ac:dyDescent="0.25">
      <c r="A147" s="142"/>
      <c r="B147" s="192"/>
      <c r="C147" s="133"/>
      <c r="D147" s="133"/>
      <c r="E147" s="130"/>
      <c r="F147" s="130"/>
      <c r="G147" s="130"/>
      <c r="H147" s="131"/>
      <c r="I147" s="133"/>
      <c r="J147" s="136"/>
      <c r="K147" s="164"/>
      <c r="L147" s="126"/>
      <c r="M147" s="126"/>
      <c r="O147">
        <f t="shared" si="0"/>
        <v>0</v>
      </c>
    </row>
    <row r="148" spans="1:18" x14ac:dyDescent="0.25">
      <c r="A148" s="142"/>
      <c r="B148" s="192"/>
      <c r="C148" s="133"/>
      <c r="D148" s="133"/>
      <c r="E148" s="130"/>
      <c r="F148" s="130"/>
      <c r="G148" s="130"/>
      <c r="H148" s="131"/>
      <c r="I148" s="133"/>
      <c r="J148" s="136"/>
      <c r="K148" s="164"/>
      <c r="L148" s="126"/>
      <c r="M148" s="126"/>
      <c r="O148">
        <f t="shared" si="0"/>
        <v>0</v>
      </c>
    </row>
    <row r="149" spans="1:18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8" x14ac:dyDescent="0.25">
      <c r="A150" s="142"/>
      <c r="B150" s="192"/>
      <c r="C150" s="133"/>
      <c r="D150" s="133"/>
      <c r="E150" s="130"/>
      <c r="F150" s="130"/>
      <c r="G150" s="130"/>
      <c r="H150" s="131"/>
      <c r="I150" s="133"/>
      <c r="J150" s="136"/>
      <c r="K150" s="164"/>
      <c r="L150" s="126"/>
      <c r="M150" s="126"/>
      <c r="O150">
        <f t="shared" si="0"/>
        <v>0</v>
      </c>
    </row>
    <row r="151" spans="1:18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  <c r="O151">
        <f t="shared" si="0"/>
        <v>0</v>
      </c>
    </row>
    <row r="152" spans="1:18" x14ac:dyDescent="0.25">
      <c r="A152" s="142"/>
      <c r="B152" s="192"/>
      <c r="C152" s="133"/>
      <c r="D152" s="133"/>
      <c r="E152" s="130"/>
      <c r="F152" s="130"/>
      <c r="G152" s="130"/>
      <c r="H152" s="131"/>
      <c r="I152" s="133"/>
      <c r="J152" s="136"/>
      <c r="K152" s="164"/>
      <c r="L152" s="126"/>
      <c r="M152" s="126"/>
      <c r="O152">
        <f t="shared" si="0"/>
        <v>0</v>
      </c>
      <c r="R152" s="57">
        <f>SUM(J136:J139,J142:J145,J152,J130,J105,J98:J99)</f>
        <v>0</v>
      </c>
    </row>
    <row r="153" spans="1:18" x14ac:dyDescent="0.25">
      <c r="A153" s="142"/>
      <c r="B153" s="192"/>
      <c r="C153" s="133"/>
      <c r="D153" s="133"/>
      <c r="E153" s="130"/>
      <c r="F153" s="130"/>
      <c r="G153" s="130"/>
      <c r="H153" s="131"/>
      <c r="I153" s="133"/>
      <c r="J153" s="136"/>
      <c r="K153" s="164"/>
      <c r="L153" s="126"/>
      <c r="M153" s="126"/>
      <c r="O153">
        <f t="shared" si="0"/>
        <v>0</v>
      </c>
      <c r="R153" s="57">
        <f>SUM(J153:J156)</f>
        <v>0</v>
      </c>
    </row>
    <row r="154" spans="1:18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  <c r="O154">
        <f t="shared" si="0"/>
        <v>0</v>
      </c>
    </row>
    <row r="155" spans="1:18" x14ac:dyDescent="0.25">
      <c r="A155" s="142"/>
      <c r="B155" s="192"/>
      <c r="C155" s="133"/>
      <c r="D155" s="133"/>
      <c r="E155" s="130"/>
      <c r="F155" s="130"/>
      <c r="G155" s="130"/>
      <c r="H155" s="131"/>
      <c r="I155" s="133"/>
      <c r="J155" s="136"/>
      <c r="K155" s="164"/>
      <c r="L155" s="126"/>
      <c r="M155" s="126"/>
      <c r="O155">
        <f t="shared" si="0"/>
        <v>0</v>
      </c>
    </row>
    <row r="156" spans="1:18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  <c r="O156">
        <f t="shared" si="0"/>
        <v>0</v>
      </c>
    </row>
    <row r="157" spans="1:18" x14ac:dyDescent="0.25">
      <c r="A157" s="142"/>
      <c r="B157" s="192"/>
      <c r="C157" s="133"/>
      <c r="D157" s="133"/>
      <c r="E157" s="130"/>
      <c r="F157" s="130"/>
      <c r="G157" s="130"/>
      <c r="H157" s="131"/>
      <c r="I157" s="133"/>
      <c r="J157" s="136"/>
      <c r="K157" s="164"/>
      <c r="L157" s="126"/>
      <c r="M157" s="126"/>
      <c r="O157">
        <f t="shared" si="0"/>
        <v>0</v>
      </c>
    </row>
    <row r="158" spans="1:18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  <c r="O158">
        <f t="shared" si="0"/>
        <v>0</v>
      </c>
    </row>
    <row r="159" spans="1:18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  <c r="O159">
        <f t="shared" si="0"/>
        <v>0</v>
      </c>
    </row>
    <row r="160" spans="1:18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  <c r="O160">
        <f t="shared" si="0"/>
        <v>0</v>
      </c>
    </row>
    <row r="161" spans="1:15" x14ac:dyDescent="0.25">
      <c r="A161" s="142"/>
      <c r="B161" s="192"/>
      <c r="C161" s="133"/>
      <c r="D161" s="133"/>
      <c r="E161" s="130"/>
      <c r="F161" s="130"/>
      <c r="G161" s="130"/>
      <c r="H161" s="131"/>
      <c r="I161" s="130"/>
      <c r="J161" s="136"/>
      <c r="K161" s="164"/>
      <c r="L161" s="126"/>
      <c r="M161" s="126"/>
      <c r="O161">
        <f t="shared" si="0"/>
        <v>0</v>
      </c>
    </row>
    <row r="162" spans="1:15" x14ac:dyDescent="0.25">
      <c r="A162" s="142"/>
      <c r="B162" s="192"/>
      <c r="C162" s="133"/>
      <c r="D162" s="133"/>
      <c r="E162" s="130"/>
      <c r="F162" s="130"/>
      <c r="G162" s="130"/>
      <c r="H162" s="131"/>
      <c r="I162" s="130"/>
      <c r="J162" s="136"/>
      <c r="K162" s="164"/>
      <c r="L162" s="126"/>
      <c r="M162" s="126"/>
      <c r="O162">
        <f t="shared" si="0"/>
        <v>0</v>
      </c>
    </row>
    <row r="163" spans="1:15" x14ac:dyDescent="0.25">
      <c r="A163" s="142"/>
      <c r="B163" s="192"/>
      <c r="C163" s="133"/>
      <c r="D163" s="133"/>
      <c r="E163" s="130"/>
      <c r="F163" s="130"/>
      <c r="G163" s="130"/>
      <c r="H163" s="131"/>
      <c r="I163" s="130"/>
      <c r="J163" s="136"/>
      <c r="K163" s="164"/>
      <c r="L163" s="126"/>
      <c r="M163" s="126"/>
      <c r="O163">
        <f t="shared" si="0"/>
        <v>0</v>
      </c>
    </row>
    <row r="164" spans="1:15" x14ac:dyDescent="0.25">
      <c r="A164" s="142"/>
      <c r="B164" s="192"/>
      <c r="C164" s="133"/>
      <c r="D164" s="133"/>
      <c r="E164" s="130"/>
      <c r="F164" s="130"/>
      <c r="G164" s="130"/>
      <c r="H164" s="131"/>
      <c r="I164" s="130"/>
      <c r="J164" s="136"/>
      <c r="K164" s="164"/>
      <c r="L164" s="126"/>
      <c r="M164" s="126"/>
      <c r="O164">
        <f t="shared" si="0"/>
        <v>0</v>
      </c>
    </row>
    <row r="165" spans="1:15" x14ac:dyDescent="0.25">
      <c r="A165" s="142"/>
      <c r="B165" s="192"/>
      <c r="C165" s="133"/>
      <c r="D165" s="133"/>
      <c r="E165" s="130"/>
      <c r="F165" s="130"/>
      <c r="G165" s="130"/>
      <c r="H165" s="131"/>
      <c r="I165" s="133"/>
      <c r="J165" s="136"/>
      <c r="K165" s="164"/>
      <c r="L165" s="126"/>
      <c r="M165" s="126"/>
      <c r="O165">
        <f t="shared" si="0"/>
        <v>0</v>
      </c>
    </row>
    <row r="166" spans="1:15" x14ac:dyDescent="0.25">
      <c r="A166" s="142"/>
      <c r="B166" s="192"/>
      <c r="C166" s="133"/>
      <c r="D166" s="133"/>
      <c r="E166" s="130"/>
      <c r="F166" s="130"/>
      <c r="G166" s="130"/>
      <c r="H166" s="131"/>
      <c r="I166" s="130"/>
      <c r="J166" s="136"/>
      <c r="K166" s="164"/>
      <c r="L166" s="126"/>
      <c r="M166" s="126"/>
      <c r="O166">
        <f t="shared" si="0"/>
        <v>0</v>
      </c>
    </row>
    <row r="167" spans="1:15" x14ac:dyDescent="0.25">
      <c r="A167" s="142"/>
      <c r="B167" s="192"/>
      <c r="C167" s="133"/>
      <c r="D167" s="133"/>
      <c r="E167" s="130"/>
      <c r="F167" s="130"/>
      <c r="G167" s="130"/>
      <c r="H167" s="131"/>
      <c r="I167" s="130"/>
      <c r="J167" s="136"/>
      <c r="K167" s="164"/>
      <c r="L167" s="126"/>
      <c r="M167" s="126"/>
      <c r="O167">
        <f t="shared" si="0"/>
        <v>0</v>
      </c>
    </row>
    <row r="168" spans="1:15" x14ac:dyDescent="0.25">
      <c r="A168" s="142"/>
      <c r="B168" s="192"/>
      <c r="C168" s="133"/>
      <c r="D168" s="133"/>
      <c r="E168" s="130"/>
      <c r="F168" s="130"/>
      <c r="G168" s="130"/>
      <c r="H168" s="131"/>
      <c r="I168" s="133"/>
      <c r="J168" s="136"/>
      <c r="K168" s="164"/>
      <c r="L168" s="126"/>
      <c r="M168" s="126"/>
      <c r="O168">
        <f t="shared" si="0"/>
        <v>0</v>
      </c>
    </row>
    <row r="169" spans="1:15" x14ac:dyDescent="0.25">
      <c r="A169" s="142"/>
      <c r="B169" s="192"/>
      <c r="C169" s="133"/>
      <c r="D169" s="133"/>
      <c r="E169" s="130"/>
      <c r="F169" s="130"/>
      <c r="G169" s="130"/>
      <c r="H169" s="131"/>
      <c r="I169" s="130"/>
      <c r="J169" s="136"/>
      <c r="K169" s="164"/>
      <c r="L169" s="126"/>
      <c r="M169" s="126"/>
      <c r="O169">
        <f t="shared" si="0"/>
        <v>0</v>
      </c>
    </row>
    <row r="170" spans="1:15" x14ac:dyDescent="0.25">
      <c r="A170" s="142"/>
      <c r="B170" s="192"/>
      <c r="C170" s="133"/>
      <c r="D170" s="133"/>
      <c r="E170" s="130"/>
      <c r="F170" s="130"/>
      <c r="G170" s="130"/>
      <c r="H170" s="131"/>
      <c r="I170" s="130"/>
      <c r="J170" s="136"/>
      <c r="K170" s="164"/>
      <c r="L170" s="126"/>
      <c r="M170" s="126"/>
      <c r="O170">
        <f t="shared" si="0"/>
        <v>0</v>
      </c>
    </row>
    <row r="171" spans="1:15" x14ac:dyDescent="0.25">
      <c r="A171" s="142"/>
      <c r="B171" s="192"/>
      <c r="C171" s="133"/>
      <c r="D171" s="133"/>
      <c r="E171" s="130"/>
      <c r="F171" s="130"/>
      <c r="G171" s="130"/>
      <c r="H171" s="131"/>
      <c r="I171" s="130"/>
      <c r="J171" s="136"/>
      <c r="K171" s="164"/>
      <c r="L171" s="126"/>
      <c r="M171" s="126"/>
      <c r="O171">
        <f t="shared" si="0"/>
        <v>0</v>
      </c>
    </row>
    <row r="172" spans="1:15" x14ac:dyDescent="0.25">
      <c r="A172" s="142"/>
      <c r="B172" s="192"/>
      <c r="C172" s="133"/>
      <c r="D172" s="133"/>
      <c r="E172" s="130"/>
      <c r="F172" s="130"/>
      <c r="G172" s="130"/>
      <c r="H172" s="131"/>
      <c r="I172" s="130"/>
      <c r="J172" s="136"/>
      <c r="K172" s="164"/>
      <c r="L172" s="126"/>
      <c r="M172" s="126"/>
      <c r="O172">
        <f t="shared" si="0"/>
        <v>0</v>
      </c>
    </row>
    <row r="173" spans="1:15" x14ac:dyDescent="0.25">
      <c r="A173" s="142"/>
      <c r="B173" s="192"/>
      <c r="C173" s="133"/>
      <c r="D173" s="133"/>
      <c r="E173" s="130"/>
      <c r="F173" s="130"/>
      <c r="G173" s="130"/>
      <c r="H173" s="131"/>
      <c r="I173" s="130"/>
      <c r="J173" s="136"/>
      <c r="K173" s="164"/>
      <c r="L173" s="126"/>
      <c r="M173" s="126"/>
      <c r="O173">
        <f t="shared" si="0"/>
        <v>0</v>
      </c>
    </row>
    <row r="174" spans="1:15" x14ac:dyDescent="0.25">
      <c r="A174" s="142"/>
      <c r="B174" s="192"/>
      <c r="C174" s="133"/>
      <c r="D174" s="133"/>
      <c r="E174" s="130"/>
      <c r="F174" s="130"/>
      <c r="G174" s="130"/>
      <c r="H174" s="131"/>
      <c r="I174" s="130"/>
      <c r="J174" s="136"/>
      <c r="K174" s="164"/>
      <c r="L174" s="126"/>
      <c r="M174" s="126"/>
      <c r="O174">
        <f t="shared" si="0"/>
        <v>0</v>
      </c>
    </row>
    <row r="175" spans="1:15" x14ac:dyDescent="0.25">
      <c r="A175" s="142"/>
      <c r="B175" s="192"/>
      <c r="C175" s="133"/>
      <c r="D175" s="133"/>
      <c r="E175" s="130"/>
      <c r="F175" s="130"/>
      <c r="G175" s="130"/>
      <c r="H175" s="131"/>
      <c r="I175" s="130"/>
      <c r="J175" s="136"/>
      <c r="K175" s="164"/>
      <c r="L175" s="126"/>
      <c r="M175" s="126"/>
      <c r="O175">
        <f t="shared" si="0"/>
        <v>0</v>
      </c>
    </row>
    <row r="176" spans="1:15" x14ac:dyDescent="0.25">
      <c r="A176" s="142"/>
      <c r="B176" s="192"/>
      <c r="C176" s="133"/>
      <c r="D176" s="133"/>
      <c r="E176" s="130"/>
      <c r="F176" s="130"/>
      <c r="G176" s="130"/>
      <c r="H176" s="131"/>
      <c r="I176" s="130"/>
      <c r="J176" s="136"/>
      <c r="K176" s="164"/>
      <c r="L176" s="126"/>
      <c r="M176" s="126"/>
      <c r="O176">
        <f t="shared" si="0"/>
        <v>0</v>
      </c>
    </row>
    <row r="177" spans="1:15" x14ac:dyDescent="0.25">
      <c r="A177" s="142"/>
      <c r="B177" s="192"/>
      <c r="C177" s="133"/>
      <c r="D177" s="133"/>
      <c r="E177" s="130"/>
      <c r="F177" s="130"/>
      <c r="G177" s="130"/>
      <c r="H177" s="131"/>
      <c r="I177" s="130"/>
      <c r="J177" s="136"/>
      <c r="K177" s="164"/>
      <c r="L177" s="126"/>
      <c r="M177" s="126"/>
      <c r="O177">
        <f t="shared" si="0"/>
        <v>0</v>
      </c>
    </row>
    <row r="178" spans="1:15" x14ac:dyDescent="0.25">
      <c r="A178" s="142"/>
      <c r="B178" s="192"/>
      <c r="C178" s="133"/>
      <c r="D178" s="133"/>
      <c r="E178" s="130"/>
      <c r="F178" s="130"/>
      <c r="G178" s="130"/>
      <c r="H178" s="131"/>
      <c r="I178" s="133"/>
      <c r="J178" s="136"/>
      <c r="K178" s="164"/>
      <c r="L178" s="126"/>
      <c r="M178" s="126"/>
      <c r="O178">
        <f t="shared" si="0"/>
        <v>0</v>
      </c>
    </row>
    <row r="179" spans="1:15" x14ac:dyDescent="0.25">
      <c r="A179" s="142"/>
      <c r="B179" s="192"/>
      <c r="C179" s="133"/>
      <c r="D179" s="133"/>
      <c r="E179" s="130"/>
      <c r="F179" s="130"/>
      <c r="G179" s="130"/>
      <c r="H179" s="131"/>
      <c r="I179" s="130"/>
      <c r="J179" s="136"/>
      <c r="K179" s="164"/>
      <c r="L179" s="126"/>
      <c r="M179" s="126"/>
      <c r="O179">
        <f t="shared" si="0"/>
        <v>0</v>
      </c>
    </row>
    <row r="180" spans="1:15" x14ac:dyDescent="0.25">
      <c r="A180" s="142"/>
      <c r="B180" s="192"/>
      <c r="C180" s="133"/>
      <c r="D180" s="133"/>
      <c r="E180" s="130"/>
      <c r="F180" s="130"/>
      <c r="G180" s="130"/>
      <c r="H180" s="131"/>
      <c r="I180" s="130"/>
      <c r="J180" s="136"/>
      <c r="K180" s="164"/>
      <c r="L180" s="126"/>
      <c r="M180" s="126"/>
      <c r="O180">
        <f t="shared" si="0"/>
        <v>0</v>
      </c>
    </row>
    <row r="181" spans="1:15" x14ac:dyDescent="0.25">
      <c r="A181" s="142"/>
      <c r="B181" s="192"/>
      <c r="C181" s="133"/>
      <c r="D181" s="133"/>
      <c r="E181" s="130"/>
      <c r="F181" s="130"/>
      <c r="G181" s="130"/>
      <c r="H181" s="131"/>
      <c r="I181" s="130"/>
      <c r="J181" s="136"/>
      <c r="K181" s="164"/>
      <c r="L181" s="126"/>
      <c r="M181" s="126"/>
      <c r="O181">
        <f t="shared" si="0"/>
        <v>0</v>
      </c>
    </row>
    <row r="182" spans="1:15" x14ac:dyDescent="0.25">
      <c r="A182" s="142"/>
      <c r="B182" s="192"/>
      <c r="C182" s="133"/>
      <c r="D182" s="133"/>
      <c r="E182" s="130"/>
      <c r="F182" s="130"/>
      <c r="G182" s="130"/>
      <c r="H182" s="131"/>
      <c r="I182" s="130"/>
      <c r="J182" s="136"/>
      <c r="K182" s="164"/>
      <c r="L182" s="126"/>
      <c r="M182" s="126"/>
      <c r="O182">
        <f t="shared" si="0"/>
        <v>0</v>
      </c>
    </row>
    <row r="183" spans="1:15" x14ac:dyDescent="0.25">
      <c r="A183" s="142"/>
      <c r="B183" s="192"/>
      <c r="C183" s="133"/>
      <c r="D183" s="133"/>
      <c r="E183" s="130"/>
      <c r="F183" s="130"/>
      <c r="G183" s="130"/>
      <c r="H183" s="131"/>
      <c r="I183" s="130"/>
      <c r="J183" s="136"/>
      <c r="K183" s="164"/>
      <c r="L183" s="126"/>
      <c r="M183" s="126"/>
      <c r="O183">
        <f t="shared" si="0"/>
        <v>0</v>
      </c>
    </row>
    <row r="184" spans="1:15" x14ac:dyDescent="0.25">
      <c r="A184" s="142"/>
      <c r="B184" s="192"/>
      <c r="C184" s="133"/>
      <c r="D184" s="133"/>
      <c r="E184" s="130"/>
      <c r="F184" s="130"/>
      <c r="G184" s="130"/>
      <c r="H184" s="131"/>
      <c r="I184" s="130"/>
      <c r="J184" s="136"/>
      <c r="K184" s="164"/>
      <c r="L184" s="126"/>
      <c r="M184" s="126"/>
      <c r="O184">
        <f t="shared" si="0"/>
        <v>0</v>
      </c>
    </row>
    <row r="185" spans="1:15" x14ac:dyDescent="0.25">
      <c r="A185" s="142"/>
      <c r="B185" s="192"/>
      <c r="C185" s="133"/>
      <c r="D185" s="133"/>
      <c r="E185" s="130"/>
      <c r="F185" s="130"/>
      <c r="G185" s="130"/>
      <c r="H185" s="131"/>
      <c r="I185" s="130"/>
      <c r="J185" s="136"/>
      <c r="K185" s="164"/>
      <c r="L185" s="126"/>
      <c r="M185" s="126"/>
      <c r="O185">
        <f t="shared" si="0"/>
        <v>0</v>
      </c>
    </row>
    <row r="186" spans="1:15" x14ac:dyDescent="0.25">
      <c r="A186" s="142"/>
      <c r="B186" s="192"/>
      <c r="C186" s="133"/>
      <c r="D186" s="133"/>
      <c r="E186" s="130"/>
      <c r="F186" s="130"/>
      <c r="G186" s="130"/>
      <c r="H186" s="131"/>
      <c r="I186" s="130"/>
      <c r="J186" s="136"/>
      <c r="K186" s="164"/>
      <c r="L186" s="126"/>
      <c r="M186" s="126"/>
      <c r="O186">
        <f t="shared" si="0"/>
        <v>0</v>
      </c>
    </row>
    <row r="187" spans="1:15" x14ac:dyDescent="0.25">
      <c r="A187" s="142"/>
      <c r="B187" s="192"/>
      <c r="C187" s="133"/>
      <c r="D187" s="133"/>
      <c r="E187" s="130"/>
      <c r="F187" s="130"/>
      <c r="G187" s="130"/>
      <c r="H187" s="131"/>
      <c r="I187" s="130"/>
      <c r="J187" s="136"/>
      <c r="K187" s="164"/>
      <c r="L187" s="126"/>
      <c r="M187" s="126"/>
    </row>
    <row r="188" spans="1:15" x14ac:dyDescent="0.25">
      <c r="A188" s="142"/>
      <c r="B188" s="192"/>
      <c r="C188" s="133"/>
      <c r="D188" s="133"/>
      <c r="E188" s="130"/>
      <c r="F188" s="130"/>
      <c r="G188" s="130"/>
      <c r="H188" s="131"/>
      <c r="I188" s="130"/>
      <c r="J188" s="136"/>
      <c r="K188" s="164"/>
      <c r="L188" s="126"/>
      <c r="M188" s="126"/>
    </row>
    <row r="189" spans="1:15" x14ac:dyDescent="0.25">
      <c r="A189" s="142"/>
      <c r="B189" s="192"/>
      <c r="C189" s="133"/>
      <c r="D189" s="133"/>
      <c r="E189" s="130"/>
      <c r="F189" s="130"/>
      <c r="G189" s="130"/>
      <c r="H189" s="131"/>
      <c r="I189" s="130"/>
      <c r="J189" s="136"/>
      <c r="K189" s="164"/>
      <c r="L189" s="126"/>
      <c r="M189" s="126"/>
    </row>
    <row r="190" spans="1:15" x14ac:dyDescent="0.25">
      <c r="A190" s="142"/>
      <c r="B190" s="192"/>
      <c r="C190" s="133"/>
      <c r="D190" s="133"/>
      <c r="E190" s="130"/>
      <c r="F190" s="130"/>
      <c r="G190" s="130"/>
      <c r="H190" s="131"/>
      <c r="I190" s="130"/>
      <c r="J190" s="136"/>
      <c r="K190" s="164"/>
      <c r="L190" s="126"/>
      <c r="M190" s="126"/>
    </row>
    <row r="191" spans="1:15" x14ac:dyDescent="0.25">
      <c r="A191" s="142"/>
      <c r="B191" s="192"/>
      <c r="C191" s="133"/>
      <c r="D191" s="133"/>
      <c r="E191" s="130"/>
      <c r="F191" s="130"/>
      <c r="G191" s="130"/>
      <c r="H191" s="131"/>
      <c r="I191" s="130"/>
      <c r="J191" s="136"/>
      <c r="K191" s="164"/>
      <c r="L191" s="126"/>
      <c r="M191" s="126"/>
    </row>
    <row r="192" spans="1:15" x14ac:dyDescent="0.25">
      <c r="A192" s="142"/>
      <c r="B192" s="193"/>
      <c r="C192" s="77"/>
      <c r="D192" s="77"/>
      <c r="E192" s="126"/>
      <c r="F192" s="126"/>
      <c r="G192" s="126"/>
      <c r="H192" s="127"/>
      <c r="I192" s="126"/>
      <c r="J192" s="134"/>
      <c r="K192" s="135"/>
      <c r="L192" s="126"/>
      <c r="M192" s="126"/>
      <c r="O192">
        <f>SUM(O12:O155)</f>
        <v>12022.8</v>
      </c>
    </row>
    <row r="193" spans="1:18" x14ac:dyDescent="0.25">
      <c r="A193" s="169"/>
      <c r="B193" s="190"/>
      <c r="J193" s="25"/>
      <c r="K193" s="88"/>
    </row>
    <row r="195" spans="1:18" x14ac:dyDescent="0.25">
      <c r="K195" s="90"/>
      <c r="L195" s="26"/>
    </row>
    <row r="196" spans="1:18" ht="16.5" customHeight="1" x14ac:dyDescent="0.25">
      <c r="C196" t="s">
        <v>20</v>
      </c>
      <c r="G196" t="s">
        <v>21</v>
      </c>
      <c r="K196" s="79" t="s">
        <v>103</v>
      </c>
      <c r="L196" s="94"/>
      <c r="R196" s="25"/>
    </row>
    <row r="197" spans="1:18" x14ac:dyDescent="0.25">
      <c r="K197" s="79" t="s">
        <v>104</v>
      </c>
      <c r="L197" s="94"/>
      <c r="M197" s="57"/>
    </row>
    <row r="198" spans="1:18" x14ac:dyDescent="0.25">
      <c r="K198" s="79" t="s">
        <v>119</v>
      </c>
      <c r="L198" s="95"/>
    </row>
    <row r="199" spans="1:18" x14ac:dyDescent="0.25">
      <c r="C199" s="91" t="s">
        <v>173</v>
      </c>
      <c r="D199" s="91"/>
      <c r="G199" s="391" t="s">
        <v>125</v>
      </c>
      <c r="H199" s="391"/>
      <c r="I199" s="391"/>
      <c r="J199" s="391"/>
      <c r="K199" s="79" t="s">
        <v>160</v>
      </c>
      <c r="L199" s="95"/>
    </row>
    <row r="200" spans="1:18" x14ac:dyDescent="0.25">
      <c r="C200" t="s">
        <v>153</v>
      </c>
      <c r="G200" s="392" t="s">
        <v>126</v>
      </c>
      <c r="H200" s="392"/>
      <c r="I200" s="392"/>
      <c r="J200" s="392"/>
      <c r="K200" s="79" t="s">
        <v>105</v>
      </c>
      <c r="L200" s="94"/>
    </row>
    <row r="201" spans="1:18" x14ac:dyDescent="0.25">
      <c r="K201" s="79" t="s">
        <v>106</v>
      </c>
      <c r="L201" s="95"/>
    </row>
    <row r="202" spans="1:18" x14ac:dyDescent="0.25">
      <c r="K202" s="79" t="s">
        <v>108</v>
      </c>
      <c r="L202" s="170"/>
    </row>
    <row r="203" spans="1:18" x14ac:dyDescent="0.25">
      <c r="K203" s="79" t="s">
        <v>22</v>
      </c>
      <c r="L203" s="95"/>
    </row>
    <row r="204" spans="1:18" x14ac:dyDescent="0.25">
      <c r="C204" s="27"/>
      <c r="D204" s="27"/>
      <c r="G204" s="27"/>
      <c r="H204" s="27"/>
      <c r="I204" s="27"/>
      <c r="K204" s="92" t="s">
        <v>101</v>
      </c>
      <c r="L204" s="58"/>
    </row>
    <row r="205" spans="1:18" x14ac:dyDescent="0.25">
      <c r="K205" s="92" t="s">
        <v>102</v>
      </c>
      <c r="L205" s="26"/>
    </row>
    <row r="206" spans="1:18" x14ac:dyDescent="0.25">
      <c r="K206" s="79"/>
      <c r="L206" s="26"/>
    </row>
    <row r="207" spans="1:18" x14ac:dyDescent="0.25">
      <c r="K207" s="79"/>
      <c r="L207" s="58"/>
    </row>
    <row r="208" spans="1:18" x14ac:dyDescent="0.25">
      <c r="K208" s="79"/>
      <c r="L208" s="58"/>
    </row>
    <row r="228" spans="14:14" x14ac:dyDescent="0.25">
      <c r="N228" s="25"/>
    </row>
    <row r="251" spans="14:14" x14ac:dyDescent="0.25">
      <c r="N251" s="25"/>
    </row>
    <row r="378" spans="14:14" x14ac:dyDescent="0.25">
      <c r="N378" s="25"/>
    </row>
  </sheetData>
  <mergeCells count="8">
    <mergeCell ref="G199:J199"/>
    <mergeCell ref="G200:J200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2FB6-4538-41D6-827E-F5C34F053272}">
  <sheetPr>
    <tabColor theme="5"/>
  </sheetPr>
  <dimension ref="A1:O42"/>
  <sheetViews>
    <sheetView view="pageBreakPreview" topLeftCell="A18" zoomScale="96" zoomScaleNormal="100" zoomScaleSheetLayoutView="96" workbookViewId="0">
      <selection activeCell="G20" sqref="G20:G21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4.2851562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2034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8</v>
      </c>
      <c r="B12" s="194" t="s">
        <v>1971</v>
      </c>
      <c r="C12" s="177"/>
      <c r="D12" s="176" t="s">
        <v>1984</v>
      </c>
      <c r="E12" s="194" t="s">
        <v>1983</v>
      </c>
      <c r="F12" s="131" t="s">
        <v>1972</v>
      </c>
      <c r="G12" s="176" t="s">
        <v>1973</v>
      </c>
      <c r="H12" s="191" t="s">
        <v>1794</v>
      </c>
      <c r="I12" s="244">
        <v>70000</v>
      </c>
      <c r="J12" s="123" t="s">
        <v>123</v>
      </c>
      <c r="K12" s="77"/>
      <c r="L12" s="117" t="s">
        <v>41</v>
      </c>
    </row>
    <row r="13" spans="1:15" ht="33.75" customHeight="1" x14ac:dyDescent="0.25">
      <c r="A13" s="172">
        <v>8</v>
      </c>
      <c r="B13" s="194" t="s">
        <v>1971</v>
      </c>
      <c r="C13" s="177"/>
      <c r="D13" s="176" t="s">
        <v>1984</v>
      </c>
      <c r="E13" s="194" t="s">
        <v>1983</v>
      </c>
      <c r="F13" s="131" t="s">
        <v>1972</v>
      </c>
      <c r="G13" s="176" t="s">
        <v>1973</v>
      </c>
      <c r="H13" s="242" t="s">
        <v>849</v>
      </c>
      <c r="I13" s="198">
        <v>550</v>
      </c>
      <c r="J13" s="123" t="s">
        <v>123</v>
      </c>
      <c r="K13" s="77"/>
      <c r="L13" s="117" t="s">
        <v>41</v>
      </c>
      <c r="M13" s="105"/>
    </row>
    <row r="14" spans="1:15" ht="33.75" customHeight="1" x14ac:dyDescent="0.25">
      <c r="A14" s="173">
        <v>9</v>
      </c>
      <c r="B14" s="187" t="s">
        <v>1982</v>
      </c>
      <c r="C14" s="177"/>
      <c r="D14" s="176" t="s">
        <v>142</v>
      </c>
      <c r="E14" s="194" t="s">
        <v>43</v>
      </c>
      <c r="F14" s="179" t="s">
        <v>1985</v>
      </c>
      <c r="G14" s="176" t="s">
        <v>1986</v>
      </c>
      <c r="H14" s="176" t="s">
        <v>40</v>
      </c>
      <c r="I14" s="186">
        <v>1000</v>
      </c>
      <c r="J14" s="123" t="s">
        <v>123</v>
      </c>
      <c r="K14" s="77"/>
      <c r="L14" s="117" t="s">
        <v>41</v>
      </c>
      <c r="M14" s="105"/>
      <c r="O14" s="57"/>
    </row>
    <row r="15" spans="1:15" ht="32.25" customHeight="1" x14ac:dyDescent="0.25">
      <c r="A15" s="173">
        <v>9</v>
      </c>
      <c r="B15" s="194" t="s">
        <v>1283</v>
      </c>
      <c r="C15" s="182"/>
      <c r="D15" s="176" t="s">
        <v>646</v>
      </c>
      <c r="E15" s="176" t="s">
        <v>750</v>
      </c>
      <c r="F15" s="179" t="s">
        <v>1286</v>
      </c>
      <c r="G15" s="185" t="s">
        <v>1284</v>
      </c>
      <c r="H15" s="185" t="s">
        <v>40</v>
      </c>
      <c r="I15" s="186">
        <v>500</v>
      </c>
      <c r="J15" s="123" t="s">
        <v>123</v>
      </c>
      <c r="K15" s="77" t="s">
        <v>1310</v>
      </c>
      <c r="L15" s="117" t="s">
        <v>41</v>
      </c>
      <c r="O15" s="57"/>
    </row>
    <row r="16" spans="1:15" ht="32.25" customHeight="1" x14ac:dyDescent="0.25">
      <c r="A16" s="239">
        <v>10</v>
      </c>
      <c r="B16" s="194" t="s">
        <v>2120</v>
      </c>
      <c r="C16" s="182"/>
      <c r="D16" s="176" t="s">
        <v>364</v>
      </c>
      <c r="E16" s="176" t="s">
        <v>70</v>
      </c>
      <c r="F16" s="179" t="s">
        <v>2121</v>
      </c>
      <c r="G16" s="185" t="s">
        <v>1195</v>
      </c>
      <c r="H16" s="185" t="s">
        <v>40</v>
      </c>
      <c r="I16" s="186">
        <v>5800</v>
      </c>
      <c r="J16" s="123" t="s">
        <v>123</v>
      </c>
      <c r="K16" s="77" t="s">
        <v>1311</v>
      </c>
      <c r="L16" s="117" t="s">
        <v>41</v>
      </c>
      <c r="O16" s="57"/>
    </row>
    <row r="17" spans="1:15" ht="31.5" customHeight="1" x14ac:dyDescent="0.25">
      <c r="A17" s="173">
        <v>23</v>
      </c>
      <c r="B17" s="187" t="s">
        <v>2073</v>
      </c>
      <c r="C17" s="182"/>
      <c r="D17" s="185"/>
      <c r="E17" s="187" t="s">
        <v>80</v>
      </c>
      <c r="F17" s="179" t="s">
        <v>2074</v>
      </c>
      <c r="G17" s="185" t="s">
        <v>2075</v>
      </c>
      <c r="H17" s="185" t="s">
        <v>40</v>
      </c>
      <c r="I17" s="186">
        <v>6000</v>
      </c>
      <c r="J17" s="123" t="s">
        <v>123</v>
      </c>
      <c r="K17" s="77" t="s">
        <v>1311</v>
      </c>
      <c r="L17" s="117" t="s">
        <v>41</v>
      </c>
      <c r="O17" s="57"/>
    </row>
    <row r="18" spans="1:15" ht="36" customHeight="1" x14ac:dyDescent="0.25">
      <c r="A18" s="173">
        <v>23</v>
      </c>
      <c r="B18" s="194" t="s">
        <v>399</v>
      </c>
      <c r="C18" s="177"/>
      <c r="D18" s="176" t="s">
        <v>2076</v>
      </c>
      <c r="E18" s="176" t="s">
        <v>56</v>
      </c>
      <c r="F18" s="179" t="s">
        <v>401</v>
      </c>
      <c r="G18" s="185" t="s">
        <v>400</v>
      </c>
      <c r="H18" s="185" t="s">
        <v>40</v>
      </c>
      <c r="I18" s="186">
        <v>5000</v>
      </c>
      <c r="J18" s="123" t="s">
        <v>123</v>
      </c>
      <c r="K18" s="77"/>
      <c r="L18" s="117" t="s">
        <v>41</v>
      </c>
      <c r="O18" s="57"/>
    </row>
    <row r="19" spans="1:15" ht="47.25" customHeight="1" x14ac:dyDescent="0.25">
      <c r="A19" s="173">
        <v>24</v>
      </c>
      <c r="B19" s="187" t="s">
        <v>2077</v>
      </c>
      <c r="C19" s="182"/>
      <c r="D19" s="185" t="s">
        <v>184</v>
      </c>
      <c r="E19" s="187" t="s">
        <v>61</v>
      </c>
      <c r="F19" s="179" t="s">
        <v>2078</v>
      </c>
      <c r="G19" s="185" t="s">
        <v>2079</v>
      </c>
      <c r="H19" s="187" t="s">
        <v>40</v>
      </c>
      <c r="I19" s="186">
        <v>6000</v>
      </c>
      <c r="J19" s="123" t="s">
        <v>123</v>
      </c>
      <c r="K19" s="77" t="s">
        <v>1311</v>
      </c>
      <c r="L19" s="117" t="s">
        <v>41</v>
      </c>
      <c r="O19" s="57"/>
    </row>
    <row r="20" spans="1:15" ht="27" customHeight="1" x14ac:dyDescent="0.25">
      <c r="A20" s="173">
        <v>25</v>
      </c>
      <c r="B20" s="194" t="s">
        <v>1283</v>
      </c>
      <c r="C20" s="182"/>
      <c r="D20" s="176" t="s">
        <v>646</v>
      </c>
      <c r="E20" s="176" t="s">
        <v>750</v>
      </c>
      <c r="F20" s="179" t="s">
        <v>1286</v>
      </c>
      <c r="G20" s="185" t="s">
        <v>1284</v>
      </c>
      <c r="H20" s="256" t="s">
        <v>1357</v>
      </c>
      <c r="I20" s="198">
        <v>30000</v>
      </c>
      <c r="J20" s="123" t="s">
        <v>123</v>
      </c>
      <c r="K20" s="77" t="s">
        <v>1310</v>
      </c>
      <c r="L20" s="117" t="s">
        <v>41</v>
      </c>
      <c r="O20" s="57"/>
    </row>
    <row r="21" spans="1:15" ht="35.25" customHeight="1" x14ac:dyDescent="0.25">
      <c r="A21" s="173"/>
      <c r="B21" s="187"/>
      <c r="C21" s="177"/>
      <c r="D21" s="176"/>
      <c r="E21" s="194"/>
      <c r="F21" s="179"/>
      <c r="G21" s="176"/>
      <c r="H21" s="185"/>
      <c r="I21" s="198"/>
      <c r="J21" s="123"/>
      <c r="K21" s="77"/>
      <c r="L21" s="117"/>
      <c r="O21" s="57"/>
    </row>
    <row r="22" spans="1:15" ht="42" customHeight="1" x14ac:dyDescent="0.25">
      <c r="A22" s="173"/>
      <c r="B22" s="181"/>
      <c r="C22" s="182"/>
      <c r="D22" s="183"/>
      <c r="E22" s="183"/>
      <c r="F22" s="179"/>
      <c r="G22" s="185"/>
      <c r="H22" s="187"/>
      <c r="I22" s="186"/>
      <c r="J22" s="123"/>
      <c r="K22" s="77"/>
      <c r="L22" s="117"/>
      <c r="O22" s="57"/>
    </row>
    <row r="23" spans="1:15" ht="33" customHeight="1" x14ac:dyDescent="0.25">
      <c r="A23" s="173"/>
      <c r="B23" s="181"/>
      <c r="C23" s="182"/>
      <c r="D23" s="183"/>
      <c r="E23" s="183"/>
      <c r="F23" s="184"/>
      <c r="G23" s="185"/>
      <c r="H23" s="191"/>
      <c r="I23" s="186"/>
      <c r="J23" s="123"/>
      <c r="K23" s="77"/>
      <c r="L23" s="117"/>
      <c r="O23" s="57"/>
    </row>
    <row r="24" spans="1:15" ht="18" customHeight="1" x14ac:dyDescent="0.25">
      <c r="A24" s="173"/>
      <c r="B24" s="181"/>
      <c r="C24" s="182"/>
      <c r="D24" s="183"/>
      <c r="E24" s="183"/>
      <c r="F24" s="184"/>
      <c r="G24" s="183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85"/>
      <c r="H27" s="187"/>
      <c r="I27" s="186"/>
      <c r="J27" s="123"/>
      <c r="K27" s="77"/>
      <c r="L27" s="117"/>
      <c r="O27" s="57"/>
    </row>
    <row r="28" spans="1:15" ht="16.5" customHeight="1" x14ac:dyDescent="0.25">
      <c r="A28" s="196"/>
      <c r="B28" s="197"/>
      <c r="C28" s="133"/>
      <c r="D28" s="133"/>
      <c r="E28" s="133"/>
      <c r="F28" s="179"/>
      <c r="G28" s="133"/>
      <c r="H28" s="187"/>
      <c r="I28" s="186"/>
      <c r="J28" s="123"/>
      <c r="K28" s="77"/>
      <c r="L28" s="117"/>
      <c r="O28" s="57"/>
    </row>
    <row r="29" spans="1:15" x14ac:dyDescent="0.25">
      <c r="A29" s="137"/>
      <c r="B29" s="77"/>
      <c r="C29" s="122"/>
      <c r="D29" s="77"/>
      <c r="E29" s="77"/>
      <c r="F29" s="138"/>
      <c r="G29" s="77"/>
      <c r="H29" s="104"/>
      <c r="I29" s="124"/>
      <c r="J29" s="122"/>
      <c r="K29" s="77"/>
      <c r="L29" s="77"/>
      <c r="O29" s="57"/>
    </row>
    <row r="30" spans="1:15" x14ac:dyDescent="0.25">
      <c r="I30" s="26"/>
      <c r="J30" s="26"/>
    </row>
    <row r="31" spans="1:15" x14ac:dyDescent="0.25">
      <c r="F31" s="25"/>
      <c r="I31" s="51" t="s">
        <v>19</v>
      </c>
      <c r="J31" s="26"/>
      <c r="K31" s="175"/>
      <c r="L31" s="25"/>
    </row>
    <row r="32" spans="1:15" x14ac:dyDescent="0.25">
      <c r="I32" s="26" t="s">
        <v>103</v>
      </c>
      <c r="J32" s="26"/>
      <c r="K32" s="195" t="s">
        <v>2122</v>
      </c>
      <c r="L32" s="165"/>
    </row>
    <row r="33" spans="2:12" x14ac:dyDescent="0.25">
      <c r="B33" t="s">
        <v>20</v>
      </c>
      <c r="E33" t="s">
        <v>21</v>
      </c>
      <c r="I33" s="26" t="s">
        <v>104</v>
      </c>
      <c r="J33" s="95"/>
      <c r="K33" s="202" t="s">
        <v>2036</v>
      </c>
      <c r="L33" s="205">
        <f>SUM(I12,I14:I16)</f>
        <v>77300</v>
      </c>
    </row>
    <row r="34" spans="2:12" x14ac:dyDescent="0.25">
      <c r="I34" s="26" t="s">
        <v>121</v>
      </c>
      <c r="J34" s="95"/>
      <c r="K34" s="195" t="s">
        <v>2037</v>
      </c>
      <c r="L34" s="206">
        <v>550</v>
      </c>
    </row>
    <row r="35" spans="2:12" x14ac:dyDescent="0.25">
      <c r="I35" s="26" t="s">
        <v>147</v>
      </c>
      <c r="J35" s="95"/>
      <c r="K35" s="293"/>
      <c r="L35" s="205"/>
    </row>
    <row r="36" spans="2:12" x14ac:dyDescent="0.25">
      <c r="I36" s="26" t="s">
        <v>105</v>
      </c>
      <c r="J36" s="95"/>
      <c r="K36" s="202"/>
      <c r="L36" s="205"/>
    </row>
    <row r="37" spans="2:12" x14ac:dyDescent="0.25">
      <c r="B37" s="27"/>
      <c r="E37" s="147"/>
      <c r="F37" s="147"/>
      <c r="G37" s="147"/>
      <c r="H37" s="147"/>
      <c r="I37" s="26" t="s">
        <v>107</v>
      </c>
      <c r="J37" s="95"/>
      <c r="K37" s="195" t="s">
        <v>2086</v>
      </c>
      <c r="L37" s="205"/>
    </row>
    <row r="38" spans="2:12" x14ac:dyDescent="0.25">
      <c r="B38" s="162" t="s">
        <v>173</v>
      </c>
      <c r="C38" s="162"/>
      <c r="D38" s="162"/>
      <c r="E38" s="163" t="s">
        <v>125</v>
      </c>
      <c r="F38" s="148"/>
      <c r="G38" s="148"/>
      <c r="H38" s="148"/>
      <c r="I38" s="26" t="s">
        <v>108</v>
      </c>
      <c r="J38" s="94"/>
      <c r="K38" s="202" t="s">
        <v>2036</v>
      </c>
      <c r="L38" s="206">
        <f>SUM(I17:I19)</f>
        <v>17000</v>
      </c>
    </row>
    <row r="39" spans="2:12" x14ac:dyDescent="0.25">
      <c r="B39" t="s">
        <v>172</v>
      </c>
      <c r="E39" t="s">
        <v>126</v>
      </c>
      <c r="I39" s="26" t="s">
        <v>22</v>
      </c>
      <c r="J39" s="97"/>
      <c r="K39" s="195" t="s">
        <v>2087</v>
      </c>
      <c r="L39" s="205">
        <v>30000</v>
      </c>
    </row>
    <row r="40" spans="2:12" x14ac:dyDescent="0.25">
      <c r="I40" s="3" t="s">
        <v>109</v>
      </c>
      <c r="J40" s="95"/>
      <c r="K40" s="202"/>
      <c r="L40" s="208"/>
    </row>
    <row r="41" spans="2:12" x14ac:dyDescent="0.25">
      <c r="I41" s="3" t="s">
        <v>87</v>
      </c>
      <c r="J41" s="95"/>
      <c r="K41" s="202"/>
      <c r="L41" s="208"/>
    </row>
    <row r="42" spans="2:12" x14ac:dyDescent="0.25">
      <c r="G42" s="25">
        <f>SUM(I12:I28)</f>
        <v>124850</v>
      </c>
      <c r="L42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F1D5-B339-4172-9446-ED1995D790C0}">
  <sheetPr>
    <tabColor theme="5"/>
  </sheetPr>
  <dimension ref="A1:U378"/>
  <sheetViews>
    <sheetView view="pageBreakPreview" topLeftCell="A177" zoomScale="106" zoomScaleNormal="100" zoomScaleSheetLayoutView="106" workbookViewId="0">
      <selection activeCell="L187" sqref="L187:M189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1589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/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/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2117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SUM(J12:J23,J28:J52)</f>
        <v>80900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1383</v>
      </c>
      <c r="S11" s="208">
        <f>SUM(J24:J26)</f>
        <v>1700</v>
      </c>
    </row>
    <row r="12" spans="1:19" x14ac:dyDescent="0.25">
      <c r="A12" s="128">
        <v>1</v>
      </c>
      <c r="B12" s="191" t="s">
        <v>1037</v>
      </c>
      <c r="C12" s="130" t="s">
        <v>1244</v>
      </c>
      <c r="D12" s="130"/>
      <c r="E12" s="130" t="s">
        <v>127</v>
      </c>
      <c r="F12" s="130" t="s">
        <v>138</v>
      </c>
      <c r="G12" s="130" t="s">
        <v>42</v>
      </c>
      <c r="H12" s="131" t="s">
        <v>1795</v>
      </c>
      <c r="I12" s="133" t="s">
        <v>1794</v>
      </c>
      <c r="J12" s="132">
        <v>2500</v>
      </c>
      <c r="K12" s="129">
        <v>500</v>
      </c>
      <c r="L12" s="126" t="s">
        <v>120</v>
      </c>
      <c r="M12" s="126" t="s">
        <v>41</v>
      </c>
      <c r="O12">
        <f>J12/5</f>
        <v>500</v>
      </c>
      <c r="Q12" s="25"/>
      <c r="R12" s="230" t="s">
        <v>186</v>
      </c>
      <c r="S12" s="208">
        <v>20</v>
      </c>
    </row>
    <row r="13" spans="1:19" x14ac:dyDescent="0.25">
      <c r="A13" s="128">
        <v>1</v>
      </c>
      <c r="B13" s="191" t="s">
        <v>1796</v>
      </c>
      <c r="C13" s="130" t="s">
        <v>1797</v>
      </c>
      <c r="D13" s="130"/>
      <c r="E13" s="130" t="s">
        <v>127</v>
      </c>
      <c r="F13" s="130" t="s">
        <v>1219</v>
      </c>
      <c r="G13" s="130" t="s">
        <v>54</v>
      </c>
      <c r="H13" s="131" t="s">
        <v>1798</v>
      </c>
      <c r="I13" s="130" t="s">
        <v>1794</v>
      </c>
      <c r="J13" s="132">
        <v>500</v>
      </c>
      <c r="K13" s="129">
        <v>100</v>
      </c>
      <c r="L13" s="126" t="s">
        <v>120</v>
      </c>
      <c r="M13" s="126" t="s">
        <v>41</v>
      </c>
      <c r="O13">
        <f>J13/5</f>
        <v>100</v>
      </c>
      <c r="Q13" s="25"/>
      <c r="R13" s="229" t="s">
        <v>1942</v>
      </c>
      <c r="S13" s="208"/>
    </row>
    <row r="14" spans="1:19" x14ac:dyDescent="0.25">
      <c r="A14" s="128">
        <v>1</v>
      </c>
      <c r="B14" s="191" t="s">
        <v>1799</v>
      </c>
      <c r="C14" s="130" t="s">
        <v>1800</v>
      </c>
      <c r="D14" s="130"/>
      <c r="E14" s="130" t="s">
        <v>127</v>
      </c>
      <c r="F14" s="130" t="s">
        <v>1472</v>
      </c>
      <c r="G14" s="130" t="s">
        <v>62</v>
      </c>
      <c r="H14" s="131" t="s">
        <v>1801</v>
      </c>
      <c r="I14" s="133" t="s">
        <v>1794</v>
      </c>
      <c r="J14" s="132">
        <v>500</v>
      </c>
      <c r="K14" s="129">
        <v>100</v>
      </c>
      <c r="L14" s="126" t="s">
        <v>120</v>
      </c>
      <c r="M14" s="126" t="s">
        <v>41</v>
      </c>
      <c r="O14">
        <f t="shared" ref="O14:O186" si="0">J14/5</f>
        <v>100</v>
      </c>
      <c r="Q14" s="25"/>
      <c r="R14" s="204" t="s">
        <v>119</v>
      </c>
      <c r="S14" s="207">
        <f>SUM(J53:J107)</f>
        <v>104760</v>
      </c>
    </row>
    <row r="15" spans="1:19" x14ac:dyDescent="0.25">
      <c r="A15" s="128">
        <v>1</v>
      </c>
      <c r="B15" s="191" t="s">
        <v>1802</v>
      </c>
      <c r="C15" s="130" t="s">
        <v>1803</v>
      </c>
      <c r="D15" s="130"/>
      <c r="E15" s="168" t="s">
        <v>129</v>
      </c>
      <c r="F15" s="130" t="s">
        <v>821</v>
      </c>
      <c r="G15" s="130" t="s">
        <v>43</v>
      </c>
      <c r="H15" s="131"/>
      <c r="I15" s="130" t="s">
        <v>1794</v>
      </c>
      <c r="J15" s="132">
        <v>1000</v>
      </c>
      <c r="K15" s="129">
        <v>200</v>
      </c>
      <c r="L15" s="126" t="s">
        <v>120</v>
      </c>
      <c r="M15" s="126" t="s">
        <v>41</v>
      </c>
      <c r="O15">
        <f t="shared" si="0"/>
        <v>200</v>
      </c>
      <c r="Q15" s="25"/>
      <c r="R15" s="230"/>
      <c r="S15" s="207"/>
    </row>
    <row r="16" spans="1:19" x14ac:dyDescent="0.25">
      <c r="A16" s="128">
        <v>1</v>
      </c>
      <c r="B16" s="191" t="s">
        <v>1182</v>
      </c>
      <c r="C16" s="130" t="s">
        <v>168</v>
      </c>
      <c r="D16" s="130"/>
      <c r="E16" s="130" t="s">
        <v>127</v>
      </c>
      <c r="F16" s="130" t="s">
        <v>364</v>
      </c>
      <c r="G16" s="130" t="s">
        <v>72</v>
      </c>
      <c r="H16" s="131" t="s">
        <v>1704</v>
      </c>
      <c r="I16" s="130" t="s">
        <v>1794</v>
      </c>
      <c r="J16" s="132">
        <v>500</v>
      </c>
      <c r="K16" s="129">
        <v>100</v>
      </c>
      <c r="L16" s="126" t="s">
        <v>120</v>
      </c>
      <c r="M16" s="126" t="s">
        <v>41</v>
      </c>
      <c r="O16">
        <f t="shared" si="0"/>
        <v>100</v>
      </c>
      <c r="R16" s="229" t="s">
        <v>2035</v>
      </c>
      <c r="S16" s="207"/>
    </row>
    <row r="17" spans="1:19" x14ac:dyDescent="0.25">
      <c r="A17" s="128">
        <v>1</v>
      </c>
      <c r="B17" s="191" t="s">
        <v>1804</v>
      </c>
      <c r="C17" s="130" t="s">
        <v>964</v>
      </c>
      <c r="D17" s="130"/>
      <c r="E17" s="130" t="s">
        <v>127</v>
      </c>
      <c r="F17" s="130" t="s">
        <v>569</v>
      </c>
      <c r="G17" s="130" t="s">
        <v>61</v>
      </c>
      <c r="H17" s="131" t="s">
        <v>1805</v>
      </c>
      <c r="I17" s="133" t="s">
        <v>1794</v>
      </c>
      <c r="J17" s="132">
        <v>2000</v>
      </c>
      <c r="K17" s="129">
        <v>400</v>
      </c>
      <c r="L17" s="126" t="s">
        <v>120</v>
      </c>
      <c r="M17" s="126" t="s">
        <v>41</v>
      </c>
      <c r="O17">
        <f t="shared" si="0"/>
        <v>400</v>
      </c>
      <c r="R17" s="230" t="s">
        <v>119</v>
      </c>
      <c r="S17" s="207">
        <f>SUM(J108:J111,J113:J159)</f>
        <v>112400</v>
      </c>
    </row>
    <row r="18" spans="1:19" x14ac:dyDescent="0.25">
      <c r="A18" s="128">
        <v>1</v>
      </c>
      <c r="B18" s="191" t="s">
        <v>1806</v>
      </c>
      <c r="C18" s="130" t="s">
        <v>568</v>
      </c>
      <c r="D18" s="130"/>
      <c r="E18" s="130" t="s">
        <v>127</v>
      </c>
      <c r="F18" s="130"/>
      <c r="G18" s="199" t="s">
        <v>81</v>
      </c>
      <c r="H18" s="131" t="s">
        <v>1807</v>
      </c>
      <c r="I18" s="130" t="s">
        <v>1794</v>
      </c>
      <c r="J18" s="132">
        <v>500</v>
      </c>
      <c r="K18" s="129">
        <v>100</v>
      </c>
      <c r="L18" s="126" t="s">
        <v>120</v>
      </c>
      <c r="M18" s="126" t="s">
        <v>41</v>
      </c>
      <c r="O18">
        <f t="shared" si="0"/>
        <v>100</v>
      </c>
      <c r="Q18" s="57"/>
      <c r="R18" s="279" t="s">
        <v>1383</v>
      </c>
      <c r="S18" s="207">
        <v>300</v>
      </c>
    </row>
    <row r="19" spans="1:19" x14ac:dyDescent="0.25">
      <c r="A19" s="128">
        <v>1</v>
      </c>
      <c r="B19" s="191" t="s">
        <v>1150</v>
      </c>
      <c r="C19" s="130" t="s">
        <v>187</v>
      </c>
      <c r="D19" s="130"/>
      <c r="E19" s="130" t="s">
        <v>127</v>
      </c>
      <c r="F19" s="130" t="s">
        <v>1392</v>
      </c>
      <c r="G19" s="130" t="s">
        <v>56</v>
      </c>
      <c r="H19" s="131" t="s">
        <v>1808</v>
      </c>
      <c r="I19" s="133" t="s">
        <v>1794</v>
      </c>
      <c r="J19" s="132">
        <v>500</v>
      </c>
      <c r="K19" s="129">
        <v>100</v>
      </c>
      <c r="L19" s="126" t="s">
        <v>120</v>
      </c>
      <c r="M19" s="126" t="s">
        <v>41</v>
      </c>
      <c r="O19">
        <f t="shared" si="0"/>
        <v>100</v>
      </c>
      <c r="R19" s="229" t="s">
        <v>2070</v>
      </c>
      <c r="S19" s="208"/>
    </row>
    <row r="20" spans="1:19" x14ac:dyDescent="0.25">
      <c r="A20" s="128">
        <v>1</v>
      </c>
      <c r="B20" s="191" t="s">
        <v>1809</v>
      </c>
      <c r="C20" s="130" t="s">
        <v>705</v>
      </c>
      <c r="D20" s="130"/>
      <c r="E20" s="130" t="s">
        <v>127</v>
      </c>
      <c r="F20" s="130" t="s">
        <v>1645</v>
      </c>
      <c r="G20" s="130" t="s">
        <v>49</v>
      </c>
      <c r="H20" s="131" t="s">
        <v>1810</v>
      </c>
      <c r="I20" s="130" t="s">
        <v>1794</v>
      </c>
      <c r="J20" s="132">
        <v>1000</v>
      </c>
      <c r="K20" s="129">
        <v>200</v>
      </c>
      <c r="L20" s="126" t="s">
        <v>120</v>
      </c>
      <c r="M20" s="126" t="s">
        <v>41</v>
      </c>
      <c r="O20">
        <f t="shared" si="0"/>
        <v>200</v>
      </c>
      <c r="Q20" s="25"/>
      <c r="R20" s="230" t="s">
        <v>119</v>
      </c>
      <c r="S20" s="207">
        <f>SUM(J160:J179,J181)</f>
        <v>46700</v>
      </c>
    </row>
    <row r="21" spans="1:19" x14ac:dyDescent="0.25">
      <c r="A21" s="128">
        <v>1</v>
      </c>
      <c r="B21" s="191" t="s">
        <v>1811</v>
      </c>
      <c r="C21" s="130" t="s">
        <v>1812</v>
      </c>
      <c r="D21" s="130"/>
      <c r="E21" s="130" t="s">
        <v>127</v>
      </c>
      <c r="F21" s="130" t="s">
        <v>1035</v>
      </c>
      <c r="G21" s="130" t="s">
        <v>42</v>
      </c>
      <c r="H21" s="131" t="s">
        <v>1813</v>
      </c>
      <c r="I21" s="130" t="s">
        <v>1794</v>
      </c>
      <c r="J21" s="132">
        <v>1500</v>
      </c>
      <c r="K21" s="129">
        <v>300</v>
      </c>
      <c r="L21" s="126" t="s">
        <v>120</v>
      </c>
      <c r="M21" s="126" t="s">
        <v>41</v>
      </c>
      <c r="O21">
        <f t="shared" si="0"/>
        <v>300</v>
      </c>
      <c r="R21" s="279" t="s">
        <v>1383</v>
      </c>
      <c r="S21" s="207">
        <v>1000</v>
      </c>
    </row>
    <row r="22" spans="1:19" x14ac:dyDescent="0.25">
      <c r="A22" s="128">
        <v>1</v>
      </c>
      <c r="B22" s="191" t="s">
        <v>1811</v>
      </c>
      <c r="C22" s="130" t="s">
        <v>1812</v>
      </c>
      <c r="D22" s="130"/>
      <c r="E22" s="130" t="s">
        <v>127</v>
      </c>
      <c r="F22" s="130" t="s">
        <v>1035</v>
      </c>
      <c r="G22" s="130" t="s">
        <v>42</v>
      </c>
      <c r="H22" s="131" t="s">
        <v>1813</v>
      </c>
      <c r="I22" s="130" t="s">
        <v>1794</v>
      </c>
      <c r="J22" s="132">
        <v>300</v>
      </c>
      <c r="K22" s="164">
        <v>90</v>
      </c>
      <c r="L22" s="126" t="s">
        <v>120</v>
      </c>
      <c r="M22" s="126" t="s">
        <v>41</v>
      </c>
      <c r="O22">
        <f t="shared" si="0"/>
        <v>60</v>
      </c>
      <c r="R22" s="229" t="s">
        <v>2088</v>
      </c>
      <c r="S22" s="25"/>
    </row>
    <row r="23" spans="1:19" x14ac:dyDescent="0.25">
      <c r="A23" s="128">
        <v>1</v>
      </c>
      <c r="B23" s="191" t="s">
        <v>1814</v>
      </c>
      <c r="C23" s="130" t="s">
        <v>1815</v>
      </c>
      <c r="D23" s="130"/>
      <c r="E23" s="130" t="s">
        <v>127</v>
      </c>
      <c r="F23" s="130" t="s">
        <v>184</v>
      </c>
      <c r="G23" s="130" t="s">
        <v>61</v>
      </c>
      <c r="H23" s="131" t="s">
        <v>1816</v>
      </c>
      <c r="I23" s="133" t="s">
        <v>1794</v>
      </c>
      <c r="J23" s="132">
        <v>6000</v>
      </c>
      <c r="K23" s="129" t="s">
        <v>123</v>
      </c>
      <c r="L23" s="126" t="s">
        <v>120</v>
      </c>
      <c r="M23" s="126" t="s">
        <v>41</v>
      </c>
      <c r="O23">
        <f t="shared" si="0"/>
        <v>1200</v>
      </c>
      <c r="R23" s="230" t="s">
        <v>119</v>
      </c>
      <c r="S23" s="25">
        <f>SUM(J182:J186)</f>
        <v>7600</v>
      </c>
    </row>
    <row r="24" spans="1:19" x14ac:dyDescent="0.25">
      <c r="A24" s="128">
        <v>1</v>
      </c>
      <c r="B24" s="191" t="s">
        <v>1817</v>
      </c>
      <c r="C24" s="130" t="s">
        <v>1818</v>
      </c>
      <c r="D24" s="130"/>
      <c r="E24" s="130" t="s">
        <v>127</v>
      </c>
      <c r="F24" s="130" t="s">
        <v>844</v>
      </c>
      <c r="G24" s="130" t="s">
        <v>42</v>
      </c>
      <c r="H24" s="131"/>
      <c r="I24" s="256" t="s">
        <v>1357</v>
      </c>
      <c r="J24" s="132">
        <v>100</v>
      </c>
      <c r="K24" s="129">
        <v>50</v>
      </c>
      <c r="L24" s="126" t="s">
        <v>120</v>
      </c>
      <c r="M24" s="126" t="s">
        <v>41</v>
      </c>
      <c r="O24">
        <f t="shared" si="0"/>
        <v>20</v>
      </c>
      <c r="R24" s="292"/>
      <c r="S24" s="57"/>
    </row>
    <row r="25" spans="1:19" x14ac:dyDescent="0.25">
      <c r="A25" s="128">
        <v>1</v>
      </c>
      <c r="B25" s="191" t="s">
        <v>938</v>
      </c>
      <c r="C25" s="130" t="s">
        <v>1018</v>
      </c>
      <c r="D25" s="130"/>
      <c r="E25" s="130" t="s">
        <v>127</v>
      </c>
      <c r="F25" s="130" t="s">
        <v>139</v>
      </c>
      <c r="G25" s="130" t="s">
        <v>42</v>
      </c>
      <c r="H25" s="131" t="s">
        <v>1819</v>
      </c>
      <c r="I25" s="256" t="s">
        <v>1357</v>
      </c>
      <c r="J25" s="132">
        <v>1500</v>
      </c>
      <c r="K25" s="129">
        <v>750</v>
      </c>
      <c r="L25" s="126" t="s">
        <v>120</v>
      </c>
      <c r="M25" s="126" t="s">
        <v>41</v>
      </c>
      <c r="O25">
        <f t="shared" si="0"/>
        <v>300</v>
      </c>
      <c r="R25" s="171"/>
      <c r="S25" s="57"/>
    </row>
    <row r="26" spans="1:19" x14ac:dyDescent="0.25">
      <c r="A26" s="128">
        <v>1</v>
      </c>
      <c r="B26" s="191" t="s">
        <v>1820</v>
      </c>
      <c r="C26" s="130" t="s">
        <v>1821</v>
      </c>
      <c r="D26" s="130"/>
      <c r="E26" s="130" t="s">
        <v>127</v>
      </c>
      <c r="F26" s="130" t="s">
        <v>841</v>
      </c>
      <c r="G26" s="130" t="s">
        <v>54</v>
      </c>
      <c r="H26" s="131" t="s">
        <v>1822</v>
      </c>
      <c r="I26" s="256" t="s">
        <v>1357</v>
      </c>
      <c r="J26" s="132">
        <v>100</v>
      </c>
      <c r="K26" s="129">
        <v>50</v>
      </c>
      <c r="L26" s="126" t="s">
        <v>120</v>
      </c>
      <c r="M26" s="126" t="s">
        <v>41</v>
      </c>
      <c r="O26">
        <f t="shared" si="0"/>
        <v>20</v>
      </c>
      <c r="R26" s="171"/>
      <c r="S26" s="57"/>
    </row>
    <row r="27" spans="1:19" x14ac:dyDescent="0.25">
      <c r="A27" s="128">
        <v>1</v>
      </c>
      <c r="B27" s="191" t="s">
        <v>1820</v>
      </c>
      <c r="C27" s="130" t="s">
        <v>1821</v>
      </c>
      <c r="D27" s="130"/>
      <c r="E27" s="130" t="s">
        <v>127</v>
      </c>
      <c r="F27" s="130" t="s">
        <v>841</v>
      </c>
      <c r="G27" s="130" t="s">
        <v>54</v>
      </c>
      <c r="H27" s="131" t="s">
        <v>1822</v>
      </c>
      <c r="I27" s="280" t="s">
        <v>186</v>
      </c>
      <c r="J27" s="132">
        <v>20</v>
      </c>
      <c r="K27" s="129">
        <v>100</v>
      </c>
      <c r="L27" s="126" t="s">
        <v>120</v>
      </c>
      <c r="M27" s="126" t="s">
        <v>41</v>
      </c>
      <c r="O27">
        <f t="shared" si="0"/>
        <v>4</v>
      </c>
      <c r="R27" s="25"/>
      <c r="S27" s="25"/>
    </row>
    <row r="28" spans="1:19" x14ac:dyDescent="0.25">
      <c r="A28" s="128">
        <v>1</v>
      </c>
      <c r="B28" s="191" t="s">
        <v>2118</v>
      </c>
      <c r="C28" s="130" t="s">
        <v>2119</v>
      </c>
      <c r="D28" s="130"/>
      <c r="E28" s="130" t="s">
        <v>127</v>
      </c>
      <c r="F28" s="130" t="s">
        <v>148</v>
      </c>
      <c r="G28" s="130" t="s">
        <v>42</v>
      </c>
      <c r="H28" s="131"/>
      <c r="I28" s="130" t="s">
        <v>1794</v>
      </c>
      <c r="J28" s="132">
        <v>500</v>
      </c>
      <c r="K28" s="129" t="s">
        <v>123</v>
      </c>
      <c r="L28" s="126"/>
      <c r="M28" s="126"/>
      <c r="O28">
        <f t="shared" si="0"/>
        <v>100</v>
      </c>
      <c r="R28" s="25"/>
      <c r="S28" s="25"/>
    </row>
    <row r="29" spans="1:19" x14ac:dyDescent="0.25">
      <c r="A29" s="128">
        <v>3</v>
      </c>
      <c r="B29" s="191" t="s">
        <v>1823</v>
      </c>
      <c r="C29" s="130" t="s">
        <v>1824</v>
      </c>
      <c r="D29" s="130"/>
      <c r="E29" s="130" t="s">
        <v>127</v>
      </c>
      <c r="F29" s="130" t="s">
        <v>1825</v>
      </c>
      <c r="G29" s="130" t="s">
        <v>61</v>
      </c>
      <c r="H29" s="131"/>
      <c r="I29" s="130" t="s">
        <v>1794</v>
      </c>
      <c r="J29" s="132">
        <v>500</v>
      </c>
      <c r="K29" s="129" t="s">
        <v>123</v>
      </c>
      <c r="L29" s="126" t="s">
        <v>120</v>
      </c>
      <c r="M29" s="126" t="s">
        <v>41</v>
      </c>
      <c r="O29">
        <f t="shared" si="0"/>
        <v>100</v>
      </c>
      <c r="R29" s="25">
        <f>SUM(J23,J28:J37)</f>
        <v>11000</v>
      </c>
      <c r="S29" s="57"/>
    </row>
    <row r="30" spans="1:19" x14ac:dyDescent="0.25">
      <c r="A30" s="128">
        <v>3</v>
      </c>
      <c r="B30" s="191" t="s">
        <v>1823</v>
      </c>
      <c r="C30" s="130" t="s">
        <v>1826</v>
      </c>
      <c r="D30" s="130"/>
      <c r="E30" s="130" t="s">
        <v>127</v>
      </c>
      <c r="F30" s="130" t="s">
        <v>1825</v>
      </c>
      <c r="G30" s="130" t="s">
        <v>61</v>
      </c>
      <c r="H30" s="131" t="s">
        <v>1827</v>
      </c>
      <c r="I30" s="133" t="s">
        <v>1794</v>
      </c>
      <c r="J30" s="132">
        <v>500</v>
      </c>
      <c r="K30" s="129" t="s">
        <v>123</v>
      </c>
      <c r="L30" s="126" t="s">
        <v>120</v>
      </c>
      <c r="M30" s="126" t="s">
        <v>41</v>
      </c>
      <c r="O30">
        <f t="shared" si="0"/>
        <v>100</v>
      </c>
      <c r="R30" s="25">
        <f>SUM(J54:J75,J77,J83,J98,J104:J107)</f>
        <v>29610</v>
      </c>
      <c r="S30" s="25"/>
    </row>
    <row r="31" spans="1:19" x14ac:dyDescent="0.25">
      <c r="A31" s="128">
        <v>3</v>
      </c>
      <c r="B31" s="191" t="s">
        <v>1828</v>
      </c>
      <c r="C31" s="130" t="s">
        <v>1395</v>
      </c>
      <c r="D31" s="130"/>
      <c r="E31" s="130" t="s">
        <v>127</v>
      </c>
      <c r="F31" s="130" t="s">
        <v>1825</v>
      </c>
      <c r="G31" s="130" t="s">
        <v>61</v>
      </c>
      <c r="H31" s="131"/>
      <c r="I31" s="130" t="s">
        <v>1794</v>
      </c>
      <c r="J31" s="132">
        <v>500</v>
      </c>
      <c r="K31" s="129" t="s">
        <v>123</v>
      </c>
      <c r="L31" s="126" t="s">
        <v>120</v>
      </c>
      <c r="M31" s="126" t="s">
        <v>41</v>
      </c>
      <c r="O31">
        <f t="shared" si="0"/>
        <v>100</v>
      </c>
      <c r="R31" s="25">
        <f>SUM(J116,J118,J132,J135)</f>
        <v>7500</v>
      </c>
    </row>
    <row r="32" spans="1:19" x14ac:dyDescent="0.25">
      <c r="A32" s="128">
        <v>3</v>
      </c>
      <c r="B32" s="191" t="s">
        <v>1823</v>
      </c>
      <c r="C32" s="130" t="s">
        <v>1829</v>
      </c>
      <c r="D32" s="130"/>
      <c r="E32" s="168" t="s">
        <v>129</v>
      </c>
      <c r="F32" s="130" t="s">
        <v>1825</v>
      </c>
      <c r="G32" s="130" t="s">
        <v>61</v>
      </c>
      <c r="H32" s="131"/>
      <c r="I32" s="130" t="s">
        <v>1794</v>
      </c>
      <c r="J32" s="132">
        <v>500</v>
      </c>
      <c r="K32" s="129" t="s">
        <v>123</v>
      </c>
      <c r="L32" s="126" t="s">
        <v>120</v>
      </c>
      <c r="M32" s="126" t="s">
        <v>41</v>
      </c>
      <c r="O32">
        <f t="shared" si="0"/>
        <v>100</v>
      </c>
      <c r="R32" s="25"/>
    </row>
    <row r="33" spans="1:21" x14ac:dyDescent="0.25">
      <c r="A33" s="128">
        <v>3</v>
      </c>
      <c r="B33" s="191" t="s">
        <v>1828</v>
      </c>
      <c r="C33" s="130" t="s">
        <v>1830</v>
      </c>
      <c r="D33" s="130"/>
      <c r="E33" s="130" t="s">
        <v>127</v>
      </c>
      <c r="F33" s="130" t="s">
        <v>1825</v>
      </c>
      <c r="G33" s="130" t="s">
        <v>61</v>
      </c>
      <c r="H33" s="131"/>
      <c r="I33" s="130" t="s">
        <v>1794</v>
      </c>
      <c r="J33" s="132">
        <v>500</v>
      </c>
      <c r="K33" s="129" t="s">
        <v>123</v>
      </c>
      <c r="L33" s="126" t="s">
        <v>120</v>
      </c>
      <c r="M33" s="126" t="s">
        <v>41</v>
      </c>
      <c r="O33">
        <f t="shared" si="0"/>
        <v>100</v>
      </c>
      <c r="R33" s="25"/>
    </row>
    <row r="34" spans="1:21" x14ac:dyDescent="0.25">
      <c r="A34" s="128">
        <v>3</v>
      </c>
      <c r="B34" s="191" t="s">
        <v>416</v>
      </c>
      <c r="C34" s="130" t="s">
        <v>1831</v>
      </c>
      <c r="D34" s="130"/>
      <c r="E34" s="130" t="s">
        <v>127</v>
      </c>
      <c r="F34" s="130" t="s">
        <v>146</v>
      </c>
      <c r="G34" s="130" t="s">
        <v>61</v>
      </c>
      <c r="H34" s="131" t="s">
        <v>1832</v>
      </c>
      <c r="I34" s="133" t="s">
        <v>1794</v>
      </c>
      <c r="J34" s="132">
        <v>500</v>
      </c>
      <c r="K34" s="129" t="s">
        <v>123</v>
      </c>
      <c r="L34" s="126" t="s">
        <v>120</v>
      </c>
      <c r="M34" s="126" t="s">
        <v>41</v>
      </c>
      <c r="O34">
        <f t="shared" si="0"/>
        <v>100</v>
      </c>
    </row>
    <row r="35" spans="1:21" x14ac:dyDescent="0.25">
      <c r="A35" s="128">
        <v>3</v>
      </c>
      <c r="B35" s="191" t="s">
        <v>1823</v>
      </c>
      <c r="C35" s="130" t="s">
        <v>1818</v>
      </c>
      <c r="D35" s="130"/>
      <c r="E35" s="130" t="s">
        <v>127</v>
      </c>
      <c r="F35" s="130" t="s">
        <v>146</v>
      </c>
      <c r="G35" s="130" t="s">
        <v>61</v>
      </c>
      <c r="H35" s="131"/>
      <c r="I35" s="130" t="s">
        <v>1794</v>
      </c>
      <c r="J35" s="132">
        <v>500</v>
      </c>
      <c r="K35" s="129" t="s">
        <v>123</v>
      </c>
      <c r="L35" s="126" t="s">
        <v>120</v>
      </c>
      <c r="M35" s="126" t="s">
        <v>41</v>
      </c>
      <c r="O35">
        <f t="shared" si="0"/>
        <v>100</v>
      </c>
      <c r="R35" s="25"/>
      <c r="S35" s="25"/>
      <c r="T35" s="25"/>
      <c r="U35" s="25"/>
    </row>
    <row r="36" spans="1:21" x14ac:dyDescent="0.25">
      <c r="A36" s="128">
        <v>3</v>
      </c>
      <c r="B36" s="191" t="s">
        <v>1828</v>
      </c>
      <c r="C36" s="130" t="s">
        <v>1833</v>
      </c>
      <c r="D36" s="130"/>
      <c r="E36" s="130" t="s">
        <v>127</v>
      </c>
      <c r="F36" s="130" t="s">
        <v>146</v>
      </c>
      <c r="G36" s="130" t="s">
        <v>61</v>
      </c>
      <c r="H36" s="131" t="s">
        <v>1834</v>
      </c>
      <c r="I36" s="130" t="s">
        <v>1794</v>
      </c>
      <c r="J36" s="132">
        <v>500</v>
      </c>
      <c r="K36" s="129" t="s">
        <v>123</v>
      </c>
      <c r="L36" s="126" t="s">
        <v>120</v>
      </c>
      <c r="M36" s="126" t="s">
        <v>41</v>
      </c>
      <c r="O36">
        <f t="shared" si="0"/>
        <v>100</v>
      </c>
      <c r="R36" s="25"/>
    </row>
    <row r="37" spans="1:21" x14ac:dyDescent="0.25">
      <c r="A37" s="128">
        <v>3</v>
      </c>
      <c r="B37" s="191" t="s">
        <v>1823</v>
      </c>
      <c r="C37" s="130" t="s">
        <v>2116</v>
      </c>
      <c r="D37" s="130"/>
      <c r="E37" s="130" t="s">
        <v>127</v>
      </c>
      <c r="F37" s="130" t="s">
        <v>146</v>
      </c>
      <c r="G37" s="130" t="s">
        <v>61</v>
      </c>
      <c r="H37" s="131"/>
      <c r="I37" s="130" t="s">
        <v>1794</v>
      </c>
      <c r="J37" s="132">
        <v>500</v>
      </c>
      <c r="K37" s="129" t="s">
        <v>123</v>
      </c>
      <c r="L37" s="126" t="s">
        <v>120</v>
      </c>
      <c r="M37" s="126" t="s">
        <v>41</v>
      </c>
      <c r="R37" s="25"/>
    </row>
    <row r="38" spans="1:21" x14ac:dyDescent="0.25">
      <c r="A38" s="128">
        <v>3</v>
      </c>
      <c r="B38" s="191" t="s">
        <v>1835</v>
      </c>
      <c r="C38" s="130" t="s">
        <v>1836</v>
      </c>
      <c r="D38" s="130"/>
      <c r="E38" s="130" t="s">
        <v>127</v>
      </c>
      <c r="F38" s="130" t="s">
        <v>1837</v>
      </c>
      <c r="G38" s="130" t="s">
        <v>47</v>
      </c>
      <c r="H38" s="131" t="s">
        <v>1838</v>
      </c>
      <c r="I38" s="130" t="s">
        <v>1794</v>
      </c>
      <c r="J38" s="132">
        <v>200</v>
      </c>
      <c r="K38" s="129">
        <v>40</v>
      </c>
      <c r="L38" s="126" t="s">
        <v>120</v>
      </c>
      <c r="M38" s="126" t="s">
        <v>41</v>
      </c>
      <c r="O38">
        <f t="shared" si="0"/>
        <v>40</v>
      </c>
    </row>
    <row r="39" spans="1:21" x14ac:dyDescent="0.25">
      <c r="A39" s="128">
        <v>3</v>
      </c>
      <c r="B39" s="191" t="s">
        <v>1839</v>
      </c>
      <c r="C39" s="130" t="s">
        <v>1664</v>
      </c>
      <c r="D39" s="130"/>
      <c r="E39" s="130" t="s">
        <v>127</v>
      </c>
      <c r="F39" s="130" t="s">
        <v>1421</v>
      </c>
      <c r="G39" s="130" t="s">
        <v>54</v>
      </c>
      <c r="H39" s="131"/>
      <c r="I39" s="130" t="s">
        <v>1794</v>
      </c>
      <c r="J39" s="132">
        <v>300</v>
      </c>
      <c r="K39" s="129">
        <v>60</v>
      </c>
      <c r="L39" s="126" t="s">
        <v>120</v>
      </c>
      <c r="M39" s="126" t="s">
        <v>41</v>
      </c>
      <c r="O39">
        <f t="shared" si="0"/>
        <v>60</v>
      </c>
    </row>
    <row r="40" spans="1:21" x14ac:dyDescent="0.25">
      <c r="A40" s="128">
        <v>3</v>
      </c>
      <c r="B40" s="191" t="s">
        <v>1840</v>
      </c>
      <c r="C40" s="130" t="s">
        <v>1841</v>
      </c>
      <c r="D40" s="130"/>
      <c r="E40" s="130" t="s">
        <v>127</v>
      </c>
      <c r="F40" s="130" t="s">
        <v>812</v>
      </c>
      <c r="G40" s="130" t="s">
        <v>53</v>
      </c>
      <c r="H40" s="131" t="s">
        <v>1842</v>
      </c>
      <c r="I40" s="130" t="s">
        <v>1794</v>
      </c>
      <c r="J40" s="132">
        <v>10000</v>
      </c>
      <c r="K40" s="129">
        <v>2000</v>
      </c>
      <c r="L40" s="126" t="s">
        <v>120</v>
      </c>
      <c r="M40" s="126" t="s">
        <v>41</v>
      </c>
      <c r="O40">
        <f t="shared" si="0"/>
        <v>2000</v>
      </c>
    </row>
    <row r="41" spans="1:21" x14ac:dyDescent="0.25">
      <c r="A41" s="128">
        <v>3</v>
      </c>
      <c r="B41" s="191" t="s">
        <v>1843</v>
      </c>
      <c r="C41" s="130" t="s">
        <v>1844</v>
      </c>
      <c r="D41" s="130"/>
      <c r="E41" s="168" t="s">
        <v>129</v>
      </c>
      <c r="F41" s="130" t="s">
        <v>1845</v>
      </c>
      <c r="G41" s="130" t="s">
        <v>45</v>
      </c>
      <c r="H41" s="131" t="s">
        <v>1846</v>
      </c>
      <c r="I41" s="130" t="s">
        <v>1794</v>
      </c>
      <c r="J41" s="132">
        <v>6000</v>
      </c>
      <c r="K41" s="129">
        <v>1200</v>
      </c>
      <c r="L41" s="126" t="s">
        <v>120</v>
      </c>
      <c r="M41" s="126" t="s">
        <v>41</v>
      </c>
      <c r="O41">
        <f t="shared" si="0"/>
        <v>1200</v>
      </c>
    </row>
    <row r="42" spans="1:21" x14ac:dyDescent="0.25">
      <c r="A42" s="128">
        <v>3</v>
      </c>
      <c r="B42" s="191" t="s">
        <v>1302</v>
      </c>
      <c r="C42" s="130" t="s">
        <v>1303</v>
      </c>
      <c r="D42" s="130"/>
      <c r="E42" s="130" t="s">
        <v>127</v>
      </c>
      <c r="F42" s="130" t="s">
        <v>146</v>
      </c>
      <c r="G42" s="130" t="s">
        <v>46</v>
      </c>
      <c r="H42" s="131" t="s">
        <v>1304</v>
      </c>
      <c r="I42" s="133" t="s">
        <v>1794</v>
      </c>
      <c r="J42" s="136">
        <v>15000</v>
      </c>
      <c r="K42" s="164">
        <v>3000</v>
      </c>
      <c r="L42" s="126" t="s">
        <v>120</v>
      </c>
      <c r="M42" s="126" t="s">
        <v>41</v>
      </c>
      <c r="O42">
        <f t="shared" si="0"/>
        <v>3000</v>
      </c>
    </row>
    <row r="43" spans="1:21" x14ac:dyDescent="0.25">
      <c r="A43" s="128">
        <v>3</v>
      </c>
      <c r="B43" s="191" t="s">
        <v>1847</v>
      </c>
      <c r="C43" s="130" t="s">
        <v>1848</v>
      </c>
      <c r="D43" s="130"/>
      <c r="E43" s="130" t="s">
        <v>127</v>
      </c>
      <c r="F43" s="130" t="s">
        <v>1849</v>
      </c>
      <c r="G43" s="130" t="s">
        <v>61</v>
      </c>
      <c r="H43" s="131" t="s">
        <v>1850</v>
      </c>
      <c r="I43" s="130" t="s">
        <v>1794</v>
      </c>
      <c r="J43" s="136">
        <v>300</v>
      </c>
      <c r="K43" s="164">
        <v>60</v>
      </c>
      <c r="L43" s="126" t="s">
        <v>120</v>
      </c>
      <c r="M43" s="126" t="s">
        <v>41</v>
      </c>
      <c r="O43">
        <f t="shared" si="0"/>
        <v>60</v>
      </c>
    </row>
    <row r="44" spans="1:21" x14ac:dyDescent="0.25">
      <c r="A44" s="128">
        <v>3</v>
      </c>
      <c r="B44" s="191" t="s">
        <v>630</v>
      </c>
      <c r="C44" s="130" t="s">
        <v>1851</v>
      </c>
      <c r="D44" s="130"/>
      <c r="E44" s="130" t="s">
        <v>127</v>
      </c>
      <c r="F44" s="130" t="s">
        <v>1610</v>
      </c>
      <c r="G44" s="130" t="s">
        <v>61</v>
      </c>
      <c r="H44" s="131" t="s">
        <v>1852</v>
      </c>
      <c r="I44" s="130" t="s">
        <v>1794</v>
      </c>
      <c r="J44" s="136">
        <v>1000</v>
      </c>
      <c r="K44" s="164">
        <v>200</v>
      </c>
      <c r="L44" s="126" t="s">
        <v>120</v>
      </c>
      <c r="M44" s="126" t="s">
        <v>41</v>
      </c>
      <c r="O44">
        <f t="shared" si="0"/>
        <v>200</v>
      </c>
      <c r="R44" s="57"/>
    </row>
    <row r="45" spans="1:21" x14ac:dyDescent="0.25">
      <c r="A45" s="128">
        <v>3</v>
      </c>
      <c r="B45" s="191" t="s">
        <v>892</v>
      </c>
      <c r="C45" s="130" t="s">
        <v>803</v>
      </c>
      <c r="D45" s="130"/>
      <c r="E45" s="130" t="s">
        <v>127</v>
      </c>
      <c r="F45" s="130" t="s">
        <v>1295</v>
      </c>
      <c r="G45" s="130" t="s">
        <v>45</v>
      </c>
      <c r="H45" s="131" t="s">
        <v>1853</v>
      </c>
      <c r="I45" s="130" t="s">
        <v>1794</v>
      </c>
      <c r="J45" s="136">
        <v>1500</v>
      </c>
      <c r="K45" s="164">
        <v>300</v>
      </c>
      <c r="L45" s="126" t="s">
        <v>120</v>
      </c>
      <c r="M45" s="126" t="s">
        <v>41</v>
      </c>
      <c r="O45">
        <f t="shared" si="0"/>
        <v>300</v>
      </c>
    </row>
    <row r="46" spans="1:21" x14ac:dyDescent="0.25">
      <c r="A46" s="128">
        <v>3</v>
      </c>
      <c r="B46" s="191" t="s">
        <v>834</v>
      </c>
      <c r="C46" s="130" t="s">
        <v>1432</v>
      </c>
      <c r="D46" s="130"/>
      <c r="E46" s="130" t="s">
        <v>127</v>
      </c>
      <c r="F46" s="130" t="s">
        <v>146</v>
      </c>
      <c r="G46" s="130" t="s">
        <v>57</v>
      </c>
      <c r="H46" s="131" t="s">
        <v>1854</v>
      </c>
      <c r="I46" s="130" t="s">
        <v>1794</v>
      </c>
      <c r="J46" s="136">
        <v>6000</v>
      </c>
      <c r="K46" s="164">
        <v>1200</v>
      </c>
      <c r="L46" s="126" t="s">
        <v>120</v>
      </c>
      <c r="M46" s="126" t="s">
        <v>41</v>
      </c>
      <c r="O46">
        <f t="shared" si="0"/>
        <v>1200</v>
      </c>
    </row>
    <row r="47" spans="1:21" x14ac:dyDescent="0.25">
      <c r="A47" s="128">
        <v>3</v>
      </c>
      <c r="B47" s="191" t="s">
        <v>244</v>
      </c>
      <c r="C47" s="130" t="s">
        <v>164</v>
      </c>
      <c r="D47" s="130"/>
      <c r="E47" s="130" t="s">
        <v>127</v>
      </c>
      <c r="F47" s="130" t="s">
        <v>220</v>
      </c>
      <c r="G47" s="130" t="s">
        <v>54</v>
      </c>
      <c r="H47" s="131" t="s">
        <v>245</v>
      </c>
      <c r="I47" s="130" t="s">
        <v>1794</v>
      </c>
      <c r="J47" s="136">
        <v>2500</v>
      </c>
      <c r="K47" s="164">
        <v>500</v>
      </c>
      <c r="L47" s="126" t="s">
        <v>120</v>
      </c>
      <c r="M47" s="126" t="s">
        <v>41</v>
      </c>
      <c r="O47">
        <f t="shared" si="0"/>
        <v>500</v>
      </c>
      <c r="R47" s="57"/>
      <c r="S47" s="25"/>
    </row>
    <row r="48" spans="1:21" x14ac:dyDescent="0.25">
      <c r="A48" s="128">
        <v>3</v>
      </c>
      <c r="B48" s="191" t="s">
        <v>1855</v>
      </c>
      <c r="C48" s="130" t="s">
        <v>1856</v>
      </c>
      <c r="D48" s="130"/>
      <c r="E48" s="130" t="s">
        <v>127</v>
      </c>
      <c r="F48" s="130"/>
      <c r="G48" s="130" t="s">
        <v>46</v>
      </c>
      <c r="H48" s="131"/>
      <c r="I48" s="133" t="s">
        <v>1794</v>
      </c>
      <c r="J48" s="136">
        <v>700</v>
      </c>
      <c r="K48" s="164">
        <v>140</v>
      </c>
      <c r="L48" s="126" t="s">
        <v>120</v>
      </c>
      <c r="M48" s="126" t="s">
        <v>41</v>
      </c>
      <c r="O48">
        <f t="shared" si="0"/>
        <v>140</v>
      </c>
    </row>
    <row r="49" spans="1:19" x14ac:dyDescent="0.25">
      <c r="A49" s="128">
        <v>3</v>
      </c>
      <c r="B49" s="191" t="s">
        <v>1857</v>
      </c>
      <c r="C49" s="130" t="s">
        <v>1858</v>
      </c>
      <c r="D49" s="130"/>
      <c r="E49" s="168" t="s">
        <v>129</v>
      </c>
      <c r="F49" s="130" t="s">
        <v>1859</v>
      </c>
      <c r="G49" s="130" t="s">
        <v>47</v>
      </c>
      <c r="H49" s="131"/>
      <c r="I49" s="130" t="s">
        <v>1794</v>
      </c>
      <c r="J49" s="136">
        <v>100</v>
      </c>
      <c r="K49" s="164">
        <v>20</v>
      </c>
      <c r="L49" s="126" t="s">
        <v>120</v>
      </c>
      <c r="M49" s="126" t="s">
        <v>41</v>
      </c>
      <c r="O49">
        <f t="shared" si="0"/>
        <v>20</v>
      </c>
    </row>
    <row r="50" spans="1:19" x14ac:dyDescent="0.25">
      <c r="A50" s="128">
        <v>3</v>
      </c>
      <c r="B50" s="191" t="s">
        <v>205</v>
      </c>
      <c r="C50" s="130" t="s">
        <v>206</v>
      </c>
      <c r="D50" s="130"/>
      <c r="E50" s="130" t="s">
        <v>127</v>
      </c>
      <c r="F50" s="130" t="s">
        <v>141</v>
      </c>
      <c r="G50" s="130" t="s">
        <v>42</v>
      </c>
      <c r="H50" s="131" t="s">
        <v>207</v>
      </c>
      <c r="I50" s="130" t="s">
        <v>1794</v>
      </c>
      <c r="J50" s="136">
        <v>10000</v>
      </c>
      <c r="K50" s="164">
        <v>2000</v>
      </c>
      <c r="L50" s="126" t="s">
        <v>120</v>
      </c>
      <c r="M50" s="126" t="s">
        <v>41</v>
      </c>
      <c r="O50">
        <f t="shared" si="0"/>
        <v>2000</v>
      </c>
    </row>
    <row r="51" spans="1:19" x14ac:dyDescent="0.25">
      <c r="A51" s="128">
        <v>3</v>
      </c>
      <c r="B51" s="191" t="s">
        <v>1861</v>
      </c>
      <c r="C51" s="130" t="s">
        <v>1244</v>
      </c>
      <c r="D51" s="130"/>
      <c r="E51" s="130" t="s">
        <v>127</v>
      </c>
      <c r="F51" s="130" t="s">
        <v>346</v>
      </c>
      <c r="G51" s="130" t="s">
        <v>42</v>
      </c>
      <c r="H51" s="131" t="s">
        <v>1862</v>
      </c>
      <c r="I51" s="133" t="s">
        <v>1794</v>
      </c>
      <c r="J51" s="136">
        <v>1500</v>
      </c>
      <c r="K51" s="164">
        <v>300</v>
      </c>
      <c r="L51" s="126" t="s">
        <v>120</v>
      </c>
      <c r="M51" s="126" t="s">
        <v>41</v>
      </c>
      <c r="O51">
        <f t="shared" si="0"/>
        <v>300</v>
      </c>
    </row>
    <row r="52" spans="1:19" x14ac:dyDescent="0.25">
      <c r="A52" s="231">
        <v>3</v>
      </c>
      <c r="B52" s="191" t="s">
        <v>679</v>
      </c>
      <c r="C52" s="130" t="s">
        <v>680</v>
      </c>
      <c r="D52" s="130"/>
      <c r="E52" s="130" t="s">
        <v>127</v>
      </c>
      <c r="F52" s="130" t="s">
        <v>364</v>
      </c>
      <c r="G52" s="130" t="s">
        <v>54</v>
      </c>
      <c r="H52" s="131" t="s">
        <v>681</v>
      </c>
      <c r="I52" s="130" t="s">
        <v>1794</v>
      </c>
      <c r="J52" s="136">
        <v>4000</v>
      </c>
      <c r="K52" s="164">
        <v>800</v>
      </c>
      <c r="L52" s="126" t="s">
        <v>120</v>
      </c>
      <c r="M52" s="126" t="s">
        <v>41</v>
      </c>
      <c r="O52">
        <f t="shared" si="0"/>
        <v>800</v>
      </c>
    </row>
    <row r="53" spans="1:19" x14ac:dyDescent="0.25">
      <c r="A53" s="128">
        <v>4</v>
      </c>
      <c r="B53" s="191" t="s">
        <v>1863</v>
      </c>
      <c r="C53" s="130" t="s">
        <v>1864</v>
      </c>
      <c r="D53" s="130"/>
      <c r="E53" s="130" t="s">
        <v>127</v>
      </c>
      <c r="F53" s="130" t="s">
        <v>880</v>
      </c>
      <c r="G53" s="130" t="s">
        <v>50</v>
      </c>
      <c r="H53" s="131" t="s">
        <v>1865</v>
      </c>
      <c r="I53" s="133" t="s">
        <v>1794</v>
      </c>
      <c r="J53" s="136">
        <v>5000</v>
      </c>
      <c r="K53" s="164">
        <v>1000</v>
      </c>
      <c r="L53" s="126" t="s">
        <v>120</v>
      </c>
      <c r="M53" s="126" t="s">
        <v>41</v>
      </c>
      <c r="O53">
        <f t="shared" si="0"/>
        <v>1000</v>
      </c>
    </row>
    <row r="54" spans="1:19" x14ac:dyDescent="0.25">
      <c r="A54" s="128">
        <v>4</v>
      </c>
      <c r="B54" s="191" t="s">
        <v>1866</v>
      </c>
      <c r="C54" s="130" t="s">
        <v>1867</v>
      </c>
      <c r="D54" s="130"/>
      <c r="E54" s="130" t="s">
        <v>127</v>
      </c>
      <c r="F54" s="130" t="s">
        <v>132</v>
      </c>
      <c r="G54" s="130" t="s">
        <v>42</v>
      </c>
      <c r="H54" s="131" t="s">
        <v>1868</v>
      </c>
      <c r="I54" s="130" t="s">
        <v>1794</v>
      </c>
      <c r="J54" s="136">
        <v>500</v>
      </c>
      <c r="K54" s="164" t="s">
        <v>123</v>
      </c>
      <c r="L54" s="126" t="s">
        <v>120</v>
      </c>
      <c r="M54" s="126" t="s">
        <v>41</v>
      </c>
      <c r="O54">
        <f t="shared" si="0"/>
        <v>100</v>
      </c>
    </row>
    <row r="55" spans="1:19" x14ac:dyDescent="0.25">
      <c r="A55" s="128">
        <v>4</v>
      </c>
      <c r="B55" s="191" t="s">
        <v>1869</v>
      </c>
      <c r="C55" s="130" t="s">
        <v>1500</v>
      </c>
      <c r="D55" s="130"/>
      <c r="E55" s="130" t="s">
        <v>127</v>
      </c>
      <c r="F55" s="130" t="s">
        <v>364</v>
      </c>
      <c r="G55" s="130" t="s">
        <v>57</v>
      </c>
      <c r="H55" s="131" t="s">
        <v>1870</v>
      </c>
      <c r="I55" s="130" t="s">
        <v>1794</v>
      </c>
      <c r="J55" s="136">
        <v>1050</v>
      </c>
      <c r="K55" s="164" t="s">
        <v>123</v>
      </c>
      <c r="L55" s="126" t="s">
        <v>120</v>
      </c>
      <c r="M55" s="126" t="s">
        <v>41</v>
      </c>
      <c r="O55">
        <f t="shared" si="0"/>
        <v>210</v>
      </c>
      <c r="S55" s="57"/>
    </row>
    <row r="56" spans="1:19" x14ac:dyDescent="0.25">
      <c r="A56" s="128">
        <v>4</v>
      </c>
      <c r="B56" s="191" t="s">
        <v>1871</v>
      </c>
      <c r="C56" s="130" t="s">
        <v>1872</v>
      </c>
      <c r="D56" s="130"/>
      <c r="E56" s="130" t="s">
        <v>127</v>
      </c>
      <c r="F56" s="130" t="s">
        <v>1530</v>
      </c>
      <c r="G56" s="130" t="s">
        <v>57</v>
      </c>
      <c r="H56" s="131" t="s">
        <v>1874</v>
      </c>
      <c r="I56" s="133" t="s">
        <v>1794</v>
      </c>
      <c r="J56" s="136">
        <v>750</v>
      </c>
      <c r="K56" s="164" t="s">
        <v>123</v>
      </c>
      <c r="L56" s="126" t="s">
        <v>120</v>
      </c>
      <c r="M56" s="126" t="s">
        <v>41</v>
      </c>
      <c r="O56">
        <f t="shared" si="0"/>
        <v>150</v>
      </c>
    </row>
    <row r="57" spans="1:19" x14ac:dyDescent="0.25">
      <c r="A57" s="128">
        <v>4</v>
      </c>
      <c r="B57" s="191" t="s">
        <v>1873</v>
      </c>
      <c r="C57" s="130" t="s">
        <v>817</v>
      </c>
      <c r="D57" s="130" t="s">
        <v>1875</v>
      </c>
      <c r="E57" s="130" t="s">
        <v>127</v>
      </c>
      <c r="F57" s="130" t="s">
        <v>364</v>
      </c>
      <c r="G57" s="130" t="s">
        <v>57</v>
      </c>
      <c r="H57" s="131"/>
      <c r="I57" s="130" t="s">
        <v>1794</v>
      </c>
      <c r="J57" s="136">
        <v>2850</v>
      </c>
      <c r="K57" s="164" t="s">
        <v>123</v>
      </c>
      <c r="L57" s="126" t="s">
        <v>120</v>
      </c>
      <c r="M57" s="126" t="s">
        <v>41</v>
      </c>
      <c r="O57">
        <f t="shared" si="0"/>
        <v>570</v>
      </c>
    </row>
    <row r="58" spans="1:19" x14ac:dyDescent="0.25">
      <c r="A58" s="128">
        <v>4</v>
      </c>
      <c r="B58" s="191" t="s">
        <v>1876</v>
      </c>
      <c r="C58" s="130" t="s">
        <v>1877</v>
      </c>
      <c r="D58" s="130" t="s">
        <v>1457</v>
      </c>
      <c r="E58" s="130" t="s">
        <v>127</v>
      </c>
      <c r="F58" s="130" t="s">
        <v>364</v>
      </c>
      <c r="G58" s="130" t="s">
        <v>57</v>
      </c>
      <c r="H58" s="131"/>
      <c r="I58" s="130" t="s">
        <v>1794</v>
      </c>
      <c r="J58" s="136">
        <v>750</v>
      </c>
      <c r="K58" s="164" t="s">
        <v>123</v>
      </c>
      <c r="L58" s="126" t="s">
        <v>120</v>
      </c>
      <c r="M58" s="126" t="s">
        <v>41</v>
      </c>
      <c r="O58">
        <f t="shared" si="0"/>
        <v>150</v>
      </c>
    </row>
    <row r="59" spans="1:19" x14ac:dyDescent="0.25">
      <c r="A59" s="128">
        <v>4</v>
      </c>
      <c r="B59" s="191" t="s">
        <v>1878</v>
      </c>
      <c r="C59" s="130" t="s">
        <v>1879</v>
      </c>
      <c r="D59" s="130" t="s">
        <v>1792</v>
      </c>
      <c r="E59" s="168" t="s">
        <v>129</v>
      </c>
      <c r="F59" s="130" t="s">
        <v>555</v>
      </c>
      <c r="G59" s="130" t="s">
        <v>57</v>
      </c>
      <c r="H59" s="131" t="s">
        <v>1138</v>
      </c>
      <c r="I59" s="133" t="s">
        <v>1794</v>
      </c>
      <c r="J59" s="136">
        <v>2700</v>
      </c>
      <c r="K59" s="164" t="s">
        <v>123</v>
      </c>
      <c r="L59" s="126" t="s">
        <v>120</v>
      </c>
      <c r="M59" s="126" t="s">
        <v>41</v>
      </c>
      <c r="O59">
        <f t="shared" si="0"/>
        <v>540</v>
      </c>
    </row>
    <row r="60" spans="1:19" x14ac:dyDescent="0.25">
      <c r="A60" s="128">
        <v>4</v>
      </c>
      <c r="B60" s="191" t="s">
        <v>1142</v>
      </c>
      <c r="C60" s="130" t="s">
        <v>1880</v>
      </c>
      <c r="D60" s="130" t="s">
        <v>1881</v>
      </c>
      <c r="E60" s="168" t="s">
        <v>129</v>
      </c>
      <c r="F60" s="130" t="s">
        <v>364</v>
      </c>
      <c r="G60" s="130" t="s">
        <v>57</v>
      </c>
      <c r="H60" s="131"/>
      <c r="I60" s="130" t="s">
        <v>1794</v>
      </c>
      <c r="J60" s="136">
        <v>3600</v>
      </c>
      <c r="K60" s="164" t="s">
        <v>123</v>
      </c>
      <c r="L60" s="126" t="s">
        <v>120</v>
      </c>
      <c r="M60" s="126" t="s">
        <v>41</v>
      </c>
      <c r="O60">
        <f t="shared" si="0"/>
        <v>720</v>
      </c>
      <c r="R60" s="57"/>
    </row>
    <row r="61" spans="1:19" x14ac:dyDescent="0.25">
      <c r="A61" s="128">
        <v>4</v>
      </c>
      <c r="B61" s="191" t="s">
        <v>1882</v>
      </c>
      <c r="C61" s="130" t="s">
        <v>1664</v>
      </c>
      <c r="D61" s="130" t="s">
        <v>1883</v>
      </c>
      <c r="E61" s="130" t="s">
        <v>127</v>
      </c>
      <c r="F61" s="130" t="s">
        <v>355</v>
      </c>
      <c r="G61" s="130" t="s">
        <v>57</v>
      </c>
      <c r="H61" s="131"/>
      <c r="I61" s="133" t="s">
        <v>1794</v>
      </c>
      <c r="J61" s="136">
        <v>3450</v>
      </c>
      <c r="K61" s="164" t="s">
        <v>123</v>
      </c>
      <c r="L61" s="126" t="s">
        <v>120</v>
      </c>
      <c r="M61" s="126" t="s">
        <v>41</v>
      </c>
      <c r="O61">
        <f t="shared" si="0"/>
        <v>690</v>
      </c>
      <c r="R61" s="57"/>
    </row>
    <row r="62" spans="1:19" x14ac:dyDescent="0.25">
      <c r="A62" s="128">
        <v>4</v>
      </c>
      <c r="B62" s="191" t="s">
        <v>1884</v>
      </c>
      <c r="C62" s="191" t="s">
        <v>753</v>
      </c>
      <c r="D62" s="130"/>
      <c r="E62" s="130" t="s">
        <v>127</v>
      </c>
      <c r="F62" s="130" t="s">
        <v>355</v>
      </c>
      <c r="G62" s="130" t="s">
        <v>57</v>
      </c>
      <c r="H62" s="131"/>
      <c r="I62" s="130" t="s">
        <v>1794</v>
      </c>
      <c r="J62" s="136">
        <v>900</v>
      </c>
      <c r="K62" s="164" t="s">
        <v>123</v>
      </c>
      <c r="L62" s="126" t="s">
        <v>120</v>
      </c>
      <c r="M62" s="126" t="s">
        <v>41</v>
      </c>
      <c r="O62">
        <f t="shared" si="0"/>
        <v>180</v>
      </c>
    </row>
    <row r="63" spans="1:19" x14ac:dyDescent="0.25">
      <c r="A63" s="128">
        <v>4</v>
      </c>
      <c r="B63" s="191" t="s">
        <v>1885</v>
      </c>
      <c r="C63" s="191" t="s">
        <v>1886</v>
      </c>
      <c r="D63" s="130" t="s">
        <v>1881</v>
      </c>
      <c r="E63" s="168" t="s">
        <v>129</v>
      </c>
      <c r="F63" s="130" t="s">
        <v>355</v>
      </c>
      <c r="G63" s="130" t="s">
        <v>57</v>
      </c>
      <c r="H63" s="131" t="s">
        <v>1887</v>
      </c>
      <c r="I63" s="130" t="s">
        <v>1794</v>
      </c>
      <c r="J63" s="136">
        <v>450</v>
      </c>
      <c r="K63" s="164" t="s">
        <v>123</v>
      </c>
      <c r="L63" s="126" t="s">
        <v>120</v>
      </c>
      <c r="M63" s="126" t="s">
        <v>41</v>
      </c>
      <c r="O63">
        <f t="shared" si="0"/>
        <v>90</v>
      </c>
    </row>
    <row r="64" spans="1:19" x14ac:dyDescent="0.25">
      <c r="A64" s="128">
        <v>4</v>
      </c>
      <c r="B64" s="191" t="s">
        <v>1888</v>
      </c>
      <c r="C64" s="130" t="s">
        <v>1889</v>
      </c>
      <c r="D64" s="130" t="s">
        <v>1792</v>
      </c>
      <c r="E64" s="168" t="s">
        <v>129</v>
      </c>
      <c r="F64" s="130" t="s">
        <v>355</v>
      </c>
      <c r="G64" s="130" t="s">
        <v>57</v>
      </c>
      <c r="H64" s="131"/>
      <c r="I64" s="133" t="s">
        <v>1794</v>
      </c>
      <c r="J64" s="136">
        <v>900</v>
      </c>
      <c r="K64" s="164" t="s">
        <v>123</v>
      </c>
      <c r="L64" s="126" t="s">
        <v>120</v>
      </c>
      <c r="M64" s="126" t="s">
        <v>41</v>
      </c>
      <c r="O64">
        <f t="shared" si="0"/>
        <v>180</v>
      </c>
      <c r="R64" s="25"/>
    </row>
    <row r="65" spans="1:18" x14ac:dyDescent="0.25">
      <c r="A65" s="128">
        <v>4</v>
      </c>
      <c r="B65" s="191" t="s">
        <v>1890</v>
      </c>
      <c r="C65" s="130" t="s">
        <v>1891</v>
      </c>
      <c r="D65" s="130"/>
      <c r="E65" s="168" t="s">
        <v>129</v>
      </c>
      <c r="F65" s="130" t="s">
        <v>713</v>
      </c>
      <c r="G65" s="130" t="s">
        <v>57</v>
      </c>
      <c r="H65" s="131" t="s">
        <v>1892</v>
      </c>
      <c r="I65" s="130" t="s">
        <v>1794</v>
      </c>
      <c r="J65" s="136">
        <v>2180</v>
      </c>
      <c r="K65" s="164" t="s">
        <v>123</v>
      </c>
      <c r="L65" s="126" t="s">
        <v>120</v>
      </c>
      <c r="M65" s="126" t="s">
        <v>41</v>
      </c>
      <c r="O65">
        <f t="shared" si="0"/>
        <v>436</v>
      </c>
      <c r="R65" s="25"/>
    </row>
    <row r="66" spans="1:18" x14ac:dyDescent="0.25">
      <c r="A66" s="128">
        <v>4</v>
      </c>
      <c r="B66" s="191" t="s">
        <v>1142</v>
      </c>
      <c r="C66" s="130" t="s">
        <v>1893</v>
      </c>
      <c r="D66" s="130" t="s">
        <v>1457</v>
      </c>
      <c r="E66" s="168" t="s">
        <v>129</v>
      </c>
      <c r="F66" s="130" t="s">
        <v>364</v>
      </c>
      <c r="G66" s="130" t="s">
        <v>57</v>
      </c>
      <c r="H66" s="131" t="s">
        <v>1894</v>
      </c>
      <c r="I66" s="130" t="s">
        <v>1794</v>
      </c>
      <c r="J66" s="136">
        <v>750</v>
      </c>
      <c r="K66" s="164" t="s">
        <v>123</v>
      </c>
      <c r="L66" s="126" t="s">
        <v>120</v>
      </c>
      <c r="M66" s="126" t="s">
        <v>41</v>
      </c>
      <c r="O66">
        <f t="shared" si="0"/>
        <v>150</v>
      </c>
      <c r="R66" s="25"/>
    </row>
    <row r="67" spans="1:18" x14ac:dyDescent="0.25">
      <c r="A67" s="128">
        <v>4</v>
      </c>
      <c r="B67" s="191" t="s">
        <v>1895</v>
      </c>
      <c r="C67" s="130" t="s">
        <v>1896</v>
      </c>
      <c r="D67" s="130"/>
      <c r="E67" s="130" t="s">
        <v>127</v>
      </c>
      <c r="F67" s="130" t="s">
        <v>1825</v>
      </c>
      <c r="G67" s="130" t="s">
        <v>61</v>
      </c>
      <c r="H67" s="131" t="s">
        <v>1897</v>
      </c>
      <c r="I67" s="133" t="s">
        <v>1794</v>
      </c>
      <c r="J67" s="136">
        <v>500</v>
      </c>
      <c r="K67" s="164" t="s">
        <v>123</v>
      </c>
      <c r="L67" s="126" t="s">
        <v>120</v>
      </c>
      <c r="M67" s="126" t="s">
        <v>41</v>
      </c>
      <c r="O67">
        <f t="shared" si="0"/>
        <v>100</v>
      </c>
    </row>
    <row r="68" spans="1:18" x14ac:dyDescent="0.25">
      <c r="A68" s="128">
        <v>4</v>
      </c>
      <c r="B68" s="191" t="s">
        <v>1898</v>
      </c>
      <c r="C68" s="130" t="s">
        <v>1899</v>
      </c>
      <c r="D68" s="130"/>
      <c r="E68" s="168" t="s">
        <v>129</v>
      </c>
      <c r="F68" s="130" t="s">
        <v>1825</v>
      </c>
      <c r="G68" s="130" t="s">
        <v>61</v>
      </c>
      <c r="H68" s="131"/>
      <c r="I68" s="133" t="s">
        <v>1794</v>
      </c>
      <c r="J68" s="136">
        <v>500</v>
      </c>
      <c r="K68" s="164" t="s">
        <v>123</v>
      </c>
      <c r="L68" s="126" t="s">
        <v>120</v>
      </c>
      <c r="M68" s="126" t="s">
        <v>41</v>
      </c>
      <c r="O68">
        <f t="shared" si="0"/>
        <v>100</v>
      </c>
    </row>
    <row r="69" spans="1:18" x14ac:dyDescent="0.25">
      <c r="A69" s="128">
        <v>4</v>
      </c>
      <c r="B69" s="191" t="s">
        <v>1895</v>
      </c>
      <c r="C69" s="130" t="s">
        <v>1609</v>
      </c>
      <c r="D69" s="130"/>
      <c r="E69" s="130" t="s">
        <v>127</v>
      </c>
      <c r="F69" s="130" t="s">
        <v>1825</v>
      </c>
      <c r="G69" s="130" t="s">
        <v>61</v>
      </c>
      <c r="H69" s="131" t="s">
        <v>1900</v>
      </c>
      <c r="I69" s="130" t="s">
        <v>1794</v>
      </c>
      <c r="J69" s="136">
        <v>500</v>
      </c>
      <c r="K69" s="164" t="s">
        <v>123</v>
      </c>
      <c r="L69" s="126" t="s">
        <v>120</v>
      </c>
      <c r="M69" s="126" t="s">
        <v>41</v>
      </c>
      <c r="O69">
        <f t="shared" si="0"/>
        <v>100</v>
      </c>
    </row>
    <row r="70" spans="1:18" x14ac:dyDescent="0.25">
      <c r="A70" s="128">
        <v>4</v>
      </c>
      <c r="B70" s="192" t="s">
        <v>1901</v>
      </c>
      <c r="C70" s="133" t="s">
        <v>1064</v>
      </c>
      <c r="D70" s="133"/>
      <c r="E70" s="130" t="s">
        <v>127</v>
      </c>
      <c r="F70" s="130" t="s">
        <v>1825</v>
      </c>
      <c r="G70" s="130" t="s">
        <v>61</v>
      </c>
      <c r="H70" s="131" t="s">
        <v>1902</v>
      </c>
      <c r="I70" s="130" t="s">
        <v>1794</v>
      </c>
      <c r="J70" s="136">
        <v>500</v>
      </c>
      <c r="K70" s="164" t="s">
        <v>123</v>
      </c>
      <c r="L70" s="130" t="s">
        <v>120</v>
      </c>
      <c r="M70" s="130" t="s">
        <v>41</v>
      </c>
      <c r="O70">
        <f t="shared" si="0"/>
        <v>100</v>
      </c>
    </row>
    <row r="71" spans="1:18" x14ac:dyDescent="0.25">
      <c r="A71" s="128">
        <v>4</v>
      </c>
      <c r="B71" s="192" t="s">
        <v>1903</v>
      </c>
      <c r="C71" s="133" t="s">
        <v>1904</v>
      </c>
      <c r="D71" s="133"/>
      <c r="E71" s="168" t="s">
        <v>129</v>
      </c>
      <c r="F71" s="130" t="s">
        <v>1825</v>
      </c>
      <c r="G71" s="130" t="s">
        <v>61</v>
      </c>
      <c r="H71" s="131" t="s">
        <v>1905</v>
      </c>
      <c r="I71" s="130" t="s">
        <v>1794</v>
      </c>
      <c r="J71" s="136">
        <v>500</v>
      </c>
      <c r="K71" s="164" t="s">
        <v>123</v>
      </c>
      <c r="L71" s="126" t="s">
        <v>120</v>
      </c>
      <c r="M71" s="126" t="s">
        <v>41</v>
      </c>
      <c r="O71">
        <f t="shared" si="0"/>
        <v>100</v>
      </c>
    </row>
    <row r="72" spans="1:18" x14ac:dyDescent="0.25">
      <c r="A72" s="128">
        <v>4</v>
      </c>
      <c r="B72" s="192" t="s">
        <v>1906</v>
      </c>
      <c r="C72" s="133" t="s">
        <v>1907</v>
      </c>
      <c r="D72" s="133"/>
      <c r="E72" s="168" t="s">
        <v>129</v>
      </c>
      <c r="F72" s="130" t="s">
        <v>1825</v>
      </c>
      <c r="G72" s="130" t="s">
        <v>61</v>
      </c>
      <c r="H72" s="131" t="s">
        <v>1908</v>
      </c>
      <c r="I72" s="130" t="s">
        <v>1794</v>
      </c>
      <c r="J72" s="136">
        <v>500</v>
      </c>
      <c r="K72" s="164" t="s">
        <v>123</v>
      </c>
      <c r="L72" s="126" t="s">
        <v>120</v>
      </c>
      <c r="M72" s="126" t="s">
        <v>41</v>
      </c>
      <c r="O72">
        <f t="shared" si="0"/>
        <v>100</v>
      </c>
    </row>
    <row r="73" spans="1:18" x14ac:dyDescent="0.25">
      <c r="A73" s="128">
        <v>4</v>
      </c>
      <c r="B73" s="192" t="s">
        <v>1895</v>
      </c>
      <c r="C73" s="133" t="s">
        <v>730</v>
      </c>
      <c r="D73" s="133"/>
      <c r="E73" s="130" t="s">
        <v>127</v>
      </c>
      <c r="F73" s="130" t="s">
        <v>1825</v>
      </c>
      <c r="G73" s="130" t="s">
        <v>61</v>
      </c>
      <c r="H73" s="131" t="s">
        <v>1909</v>
      </c>
      <c r="I73" s="130" t="s">
        <v>1794</v>
      </c>
      <c r="J73" s="136">
        <v>500</v>
      </c>
      <c r="K73" s="164" t="s">
        <v>123</v>
      </c>
      <c r="L73" s="126" t="s">
        <v>120</v>
      </c>
      <c r="M73" s="126" t="s">
        <v>41</v>
      </c>
      <c r="O73">
        <f t="shared" si="0"/>
        <v>100</v>
      </c>
    </row>
    <row r="74" spans="1:18" x14ac:dyDescent="0.25">
      <c r="A74" s="128">
        <v>4</v>
      </c>
      <c r="B74" s="192" t="s">
        <v>1895</v>
      </c>
      <c r="C74" s="133" t="s">
        <v>1910</v>
      </c>
      <c r="D74" s="133"/>
      <c r="E74" s="130" t="s">
        <v>127</v>
      </c>
      <c r="F74" s="130" t="s">
        <v>1825</v>
      </c>
      <c r="G74" s="130" t="s">
        <v>61</v>
      </c>
      <c r="H74" s="131" t="s">
        <v>1911</v>
      </c>
      <c r="I74" s="130" t="s">
        <v>1794</v>
      </c>
      <c r="J74" s="136">
        <v>500</v>
      </c>
      <c r="K74" s="164" t="s">
        <v>123</v>
      </c>
      <c r="L74" s="126" t="s">
        <v>120</v>
      </c>
      <c r="M74" s="126" t="s">
        <v>41</v>
      </c>
      <c r="O74">
        <f t="shared" si="0"/>
        <v>100</v>
      </c>
    </row>
    <row r="75" spans="1:18" x14ac:dyDescent="0.25">
      <c r="A75" s="128">
        <v>7</v>
      </c>
      <c r="B75" s="192" t="s">
        <v>1906</v>
      </c>
      <c r="C75" s="133" t="s">
        <v>2094</v>
      </c>
      <c r="D75" s="133"/>
      <c r="E75" s="130" t="s">
        <v>127</v>
      </c>
      <c r="F75" s="130" t="s">
        <v>1825</v>
      </c>
      <c r="G75" s="130" t="s">
        <v>61</v>
      </c>
      <c r="H75" s="131" t="s">
        <v>2095</v>
      </c>
      <c r="I75" s="130" t="s">
        <v>1794</v>
      </c>
      <c r="J75" s="136">
        <v>500</v>
      </c>
      <c r="K75" s="164" t="s">
        <v>123</v>
      </c>
      <c r="L75" s="126" t="s">
        <v>120</v>
      </c>
      <c r="M75" s="126" t="s">
        <v>41</v>
      </c>
      <c r="O75">
        <f t="shared" si="0"/>
        <v>100</v>
      </c>
    </row>
    <row r="76" spans="1:18" x14ac:dyDescent="0.25">
      <c r="A76" s="128">
        <v>7</v>
      </c>
      <c r="B76" s="192" t="s">
        <v>1906</v>
      </c>
      <c r="C76" s="133" t="s">
        <v>2094</v>
      </c>
      <c r="D76" s="133"/>
      <c r="E76" s="130" t="s">
        <v>127</v>
      </c>
      <c r="F76" s="130" t="s">
        <v>1825</v>
      </c>
      <c r="G76" s="130" t="s">
        <v>61</v>
      </c>
      <c r="H76" s="131" t="s">
        <v>2095</v>
      </c>
      <c r="I76" s="130" t="s">
        <v>1794</v>
      </c>
      <c r="J76" s="136">
        <v>1000</v>
      </c>
      <c r="K76" s="164">
        <v>200</v>
      </c>
      <c r="L76" s="126" t="s">
        <v>120</v>
      </c>
      <c r="M76" s="126" t="s">
        <v>41</v>
      </c>
    </row>
    <row r="77" spans="1:18" x14ac:dyDescent="0.25">
      <c r="A77" s="128">
        <v>7</v>
      </c>
      <c r="B77" s="192" t="s">
        <v>1823</v>
      </c>
      <c r="C77" s="133" t="s">
        <v>936</v>
      </c>
      <c r="D77" s="133"/>
      <c r="E77" s="130" t="s">
        <v>127</v>
      </c>
      <c r="F77" s="130" t="s">
        <v>1825</v>
      </c>
      <c r="G77" s="130" t="s">
        <v>61</v>
      </c>
      <c r="H77" s="131" t="s">
        <v>2096</v>
      </c>
      <c r="I77" s="130" t="s">
        <v>1794</v>
      </c>
      <c r="J77" s="136">
        <v>500</v>
      </c>
      <c r="K77" s="164" t="s">
        <v>123</v>
      </c>
      <c r="L77" s="126" t="s">
        <v>120</v>
      </c>
      <c r="M77" s="126" t="s">
        <v>41</v>
      </c>
    </row>
    <row r="78" spans="1:18" x14ac:dyDescent="0.25">
      <c r="A78" s="128">
        <v>7</v>
      </c>
      <c r="B78" s="192" t="s">
        <v>1823</v>
      </c>
      <c r="C78" s="133" t="s">
        <v>936</v>
      </c>
      <c r="D78" s="133"/>
      <c r="E78" s="130" t="s">
        <v>127</v>
      </c>
      <c r="F78" s="130" t="s">
        <v>1825</v>
      </c>
      <c r="G78" s="130" t="s">
        <v>61</v>
      </c>
      <c r="H78" s="131" t="s">
        <v>2096</v>
      </c>
      <c r="I78" s="130" t="s">
        <v>1794</v>
      </c>
      <c r="J78" s="136">
        <v>500</v>
      </c>
      <c r="K78" s="164">
        <v>100</v>
      </c>
      <c r="L78" s="126" t="s">
        <v>120</v>
      </c>
      <c r="M78" s="126" t="s">
        <v>41</v>
      </c>
    </row>
    <row r="79" spans="1:18" x14ac:dyDescent="0.25">
      <c r="A79" s="128">
        <v>7</v>
      </c>
      <c r="B79" s="192" t="s">
        <v>2115</v>
      </c>
      <c r="C79" s="133" t="s">
        <v>224</v>
      </c>
      <c r="D79" s="133"/>
      <c r="E79" s="130" t="s">
        <v>127</v>
      </c>
      <c r="F79" s="130" t="s">
        <v>132</v>
      </c>
      <c r="G79" s="130" t="s">
        <v>42</v>
      </c>
      <c r="H79" s="131"/>
      <c r="I79" s="130" t="s">
        <v>1794</v>
      </c>
      <c r="J79" s="136">
        <v>3000</v>
      </c>
      <c r="K79" s="164">
        <v>600</v>
      </c>
      <c r="L79" s="126" t="s">
        <v>120</v>
      </c>
      <c r="M79" s="126" t="s">
        <v>41</v>
      </c>
    </row>
    <row r="80" spans="1:18" x14ac:dyDescent="0.25">
      <c r="A80" s="128">
        <v>7</v>
      </c>
      <c r="B80" s="192" t="s">
        <v>1419</v>
      </c>
      <c r="C80" s="133" t="s">
        <v>2097</v>
      </c>
      <c r="D80" s="133"/>
      <c r="E80" s="130" t="s">
        <v>127</v>
      </c>
      <c r="F80" s="130" t="s">
        <v>1148</v>
      </c>
      <c r="G80" s="130" t="s">
        <v>43</v>
      </c>
      <c r="H80" s="131" t="s">
        <v>2098</v>
      </c>
      <c r="I80" s="130" t="s">
        <v>1794</v>
      </c>
      <c r="J80" s="136">
        <v>2000</v>
      </c>
      <c r="K80" s="164">
        <v>400</v>
      </c>
      <c r="L80" s="126" t="s">
        <v>120</v>
      </c>
      <c r="M80" s="126" t="s">
        <v>41</v>
      </c>
    </row>
    <row r="81" spans="1:18" x14ac:dyDescent="0.25">
      <c r="A81" s="128">
        <v>7</v>
      </c>
      <c r="B81" s="192" t="s">
        <v>2099</v>
      </c>
      <c r="C81" s="133" t="s">
        <v>2100</v>
      </c>
      <c r="D81" s="133"/>
      <c r="E81" s="130" t="s">
        <v>127</v>
      </c>
      <c r="F81" s="130" t="s">
        <v>132</v>
      </c>
      <c r="G81" s="130" t="s">
        <v>42</v>
      </c>
      <c r="H81" s="131" t="s">
        <v>1868</v>
      </c>
      <c r="I81" s="130" t="s">
        <v>1794</v>
      </c>
      <c r="J81" s="136">
        <v>3500</v>
      </c>
      <c r="K81" s="164">
        <v>700</v>
      </c>
      <c r="L81" s="126" t="s">
        <v>120</v>
      </c>
      <c r="M81" s="126" t="s">
        <v>41</v>
      </c>
    </row>
    <row r="82" spans="1:18" x14ac:dyDescent="0.25">
      <c r="A82" s="128">
        <v>7</v>
      </c>
      <c r="B82" s="192" t="s">
        <v>2101</v>
      </c>
      <c r="C82" s="133" t="s">
        <v>2102</v>
      </c>
      <c r="D82" s="133"/>
      <c r="E82" s="130" t="s">
        <v>127</v>
      </c>
      <c r="F82" s="130" t="s">
        <v>565</v>
      </c>
      <c r="G82" s="130" t="s">
        <v>56</v>
      </c>
      <c r="H82" s="131" t="s">
        <v>2103</v>
      </c>
      <c r="I82" s="130" t="s">
        <v>1794</v>
      </c>
      <c r="J82" s="136">
        <v>10000</v>
      </c>
      <c r="K82" s="164">
        <v>2000</v>
      </c>
      <c r="L82" s="126" t="s">
        <v>120</v>
      </c>
      <c r="M82" s="126" t="s">
        <v>41</v>
      </c>
    </row>
    <row r="83" spans="1:18" x14ac:dyDescent="0.25">
      <c r="A83" s="128">
        <v>7</v>
      </c>
      <c r="B83" s="192" t="s">
        <v>1895</v>
      </c>
      <c r="C83" s="133" t="s">
        <v>1526</v>
      </c>
      <c r="D83" s="133"/>
      <c r="E83" s="130" t="s">
        <v>127</v>
      </c>
      <c r="F83" s="130" t="s">
        <v>1825</v>
      </c>
      <c r="G83" s="130" t="s">
        <v>61</v>
      </c>
      <c r="H83" s="131" t="s">
        <v>2104</v>
      </c>
      <c r="I83" s="130" t="s">
        <v>1794</v>
      </c>
      <c r="J83" s="136">
        <v>500</v>
      </c>
      <c r="K83" s="164" t="s">
        <v>123</v>
      </c>
      <c r="L83" s="126" t="s">
        <v>120</v>
      </c>
      <c r="M83" s="126" t="s">
        <v>41</v>
      </c>
    </row>
    <row r="84" spans="1:18" x14ac:dyDescent="0.25">
      <c r="A84" s="128">
        <v>7</v>
      </c>
      <c r="B84" s="192" t="s">
        <v>1895</v>
      </c>
      <c r="C84" s="133" t="s">
        <v>1526</v>
      </c>
      <c r="D84" s="133"/>
      <c r="E84" s="130" t="s">
        <v>127</v>
      </c>
      <c r="F84" s="130" t="s">
        <v>1825</v>
      </c>
      <c r="G84" s="130" t="s">
        <v>61</v>
      </c>
      <c r="H84" s="131" t="s">
        <v>2104</v>
      </c>
      <c r="I84" s="130" t="s">
        <v>1794</v>
      </c>
      <c r="J84" s="136">
        <v>500</v>
      </c>
      <c r="K84" s="164">
        <v>100</v>
      </c>
      <c r="L84" s="126" t="s">
        <v>120</v>
      </c>
      <c r="M84" s="126" t="s">
        <v>41</v>
      </c>
    </row>
    <row r="85" spans="1:18" x14ac:dyDescent="0.25">
      <c r="A85" s="128">
        <v>7</v>
      </c>
      <c r="B85" s="192" t="s">
        <v>493</v>
      </c>
      <c r="C85" s="133" t="s">
        <v>2105</v>
      </c>
      <c r="D85" s="133"/>
      <c r="E85" s="130" t="s">
        <v>127</v>
      </c>
      <c r="F85" s="130" t="s">
        <v>2106</v>
      </c>
      <c r="G85" s="130" t="s">
        <v>72</v>
      </c>
      <c r="H85" s="131" t="s">
        <v>2107</v>
      </c>
      <c r="I85" s="130" t="s">
        <v>1794</v>
      </c>
      <c r="J85" s="136">
        <v>1500</v>
      </c>
      <c r="K85" s="164">
        <v>300</v>
      </c>
      <c r="L85" s="126" t="s">
        <v>120</v>
      </c>
      <c r="M85" s="126" t="s">
        <v>41</v>
      </c>
    </row>
    <row r="86" spans="1:18" x14ac:dyDescent="0.25">
      <c r="A86" s="128">
        <v>7</v>
      </c>
      <c r="B86" s="192" t="s">
        <v>2108</v>
      </c>
      <c r="C86" s="133" t="s">
        <v>2109</v>
      </c>
      <c r="D86" s="133"/>
      <c r="E86" s="130" t="s">
        <v>127</v>
      </c>
      <c r="F86" s="130" t="s">
        <v>138</v>
      </c>
      <c r="G86" s="130" t="s">
        <v>50</v>
      </c>
      <c r="H86" s="131" t="s">
        <v>2110</v>
      </c>
      <c r="I86" s="130" t="s">
        <v>1794</v>
      </c>
      <c r="J86" s="136">
        <v>500</v>
      </c>
      <c r="K86" s="164">
        <v>100</v>
      </c>
      <c r="L86" s="126" t="s">
        <v>120</v>
      </c>
      <c r="M86" s="126" t="s">
        <v>41</v>
      </c>
    </row>
    <row r="87" spans="1:18" x14ac:dyDescent="0.25">
      <c r="A87" s="128">
        <v>7</v>
      </c>
      <c r="B87" s="192" t="s">
        <v>2111</v>
      </c>
      <c r="C87" s="133" t="s">
        <v>2112</v>
      </c>
      <c r="D87" s="133"/>
      <c r="E87" s="168" t="s">
        <v>129</v>
      </c>
      <c r="F87" s="130" t="s">
        <v>2113</v>
      </c>
      <c r="G87" s="130" t="s">
        <v>76</v>
      </c>
      <c r="H87" s="131" t="s">
        <v>2114</v>
      </c>
      <c r="I87" s="130" t="s">
        <v>1794</v>
      </c>
      <c r="J87" s="136">
        <v>1000</v>
      </c>
      <c r="K87" s="164">
        <v>200</v>
      </c>
      <c r="L87" s="126" t="s">
        <v>120</v>
      </c>
      <c r="M87" s="126" t="s">
        <v>41</v>
      </c>
    </row>
    <row r="88" spans="1:18" x14ac:dyDescent="0.25">
      <c r="A88" s="128">
        <v>7</v>
      </c>
      <c r="B88" s="192" t="s">
        <v>1722</v>
      </c>
      <c r="C88" s="133" t="s">
        <v>1167</v>
      </c>
      <c r="D88" s="133"/>
      <c r="E88" s="130" t="s">
        <v>127</v>
      </c>
      <c r="F88" s="130" t="s">
        <v>1015</v>
      </c>
      <c r="G88" s="130" t="s">
        <v>49</v>
      </c>
      <c r="H88" s="131" t="s">
        <v>1912</v>
      </c>
      <c r="I88" s="130" t="s">
        <v>1794</v>
      </c>
      <c r="J88" s="136">
        <v>3000</v>
      </c>
      <c r="K88" s="164">
        <v>600</v>
      </c>
      <c r="L88" s="126" t="s">
        <v>120</v>
      </c>
      <c r="M88" s="126" t="s">
        <v>41</v>
      </c>
      <c r="O88">
        <f t="shared" si="0"/>
        <v>600</v>
      </c>
    </row>
    <row r="89" spans="1:18" x14ac:dyDescent="0.25">
      <c r="A89" s="128">
        <v>7</v>
      </c>
      <c r="B89" s="192" t="s">
        <v>1913</v>
      </c>
      <c r="C89" s="133" t="s">
        <v>1914</v>
      </c>
      <c r="D89" s="133"/>
      <c r="E89" s="130" t="s">
        <v>127</v>
      </c>
      <c r="F89" s="130" t="s">
        <v>1015</v>
      </c>
      <c r="G89" s="130" t="s">
        <v>49</v>
      </c>
      <c r="H89" s="131" t="s">
        <v>1915</v>
      </c>
      <c r="I89" s="133" t="s">
        <v>1794</v>
      </c>
      <c r="J89" s="136">
        <v>500</v>
      </c>
      <c r="K89" s="164">
        <v>100</v>
      </c>
      <c r="L89" s="126" t="s">
        <v>120</v>
      </c>
      <c r="M89" s="126" t="s">
        <v>41</v>
      </c>
      <c r="O89">
        <f t="shared" si="0"/>
        <v>100</v>
      </c>
    </row>
    <row r="90" spans="1:18" x14ac:dyDescent="0.25">
      <c r="A90" s="128">
        <v>7</v>
      </c>
      <c r="B90" s="192" t="s">
        <v>1916</v>
      </c>
      <c r="C90" s="133" t="s">
        <v>1917</v>
      </c>
      <c r="D90" s="133"/>
      <c r="E90" s="130" t="s">
        <v>127</v>
      </c>
      <c r="F90" s="130" t="s">
        <v>132</v>
      </c>
      <c r="G90" s="130" t="s">
        <v>42</v>
      </c>
      <c r="H90" s="131" t="s">
        <v>1918</v>
      </c>
      <c r="I90" s="130" t="s">
        <v>1794</v>
      </c>
      <c r="J90" s="136">
        <v>4000</v>
      </c>
      <c r="K90" s="164">
        <v>800</v>
      </c>
      <c r="L90" s="126" t="s">
        <v>120</v>
      </c>
      <c r="M90" s="126" t="s">
        <v>41</v>
      </c>
      <c r="O90">
        <f t="shared" si="0"/>
        <v>800</v>
      </c>
    </row>
    <row r="91" spans="1:18" x14ac:dyDescent="0.25">
      <c r="A91" s="142">
        <v>7</v>
      </c>
      <c r="B91" s="192" t="s">
        <v>1919</v>
      </c>
      <c r="C91" s="133" t="s">
        <v>1920</v>
      </c>
      <c r="D91" s="133"/>
      <c r="E91" s="130" t="s">
        <v>127</v>
      </c>
      <c r="F91" s="130" t="s">
        <v>158</v>
      </c>
      <c r="G91" s="130" t="s">
        <v>42</v>
      </c>
      <c r="H91" s="131"/>
      <c r="I91" s="130" t="s">
        <v>1794</v>
      </c>
      <c r="J91" s="136">
        <v>500</v>
      </c>
      <c r="K91" s="164">
        <v>100</v>
      </c>
      <c r="L91" s="126" t="s">
        <v>120</v>
      </c>
      <c r="M91" s="126" t="s">
        <v>41</v>
      </c>
      <c r="O91">
        <f t="shared" si="0"/>
        <v>100</v>
      </c>
    </row>
    <row r="92" spans="1:18" x14ac:dyDescent="0.25">
      <c r="A92" s="142">
        <v>7</v>
      </c>
      <c r="B92" s="192" t="s">
        <v>1921</v>
      </c>
      <c r="C92" s="133" t="s">
        <v>716</v>
      </c>
      <c r="D92" s="133"/>
      <c r="E92" s="168" t="s">
        <v>129</v>
      </c>
      <c r="F92" s="130" t="s">
        <v>1922</v>
      </c>
      <c r="G92" s="130" t="s">
        <v>69</v>
      </c>
      <c r="H92" s="131"/>
      <c r="I92" s="130" t="s">
        <v>1794</v>
      </c>
      <c r="J92" s="136">
        <v>7500</v>
      </c>
      <c r="K92" s="164">
        <v>1500</v>
      </c>
      <c r="L92" s="126" t="s">
        <v>120</v>
      </c>
      <c r="M92" s="126" t="s">
        <v>41</v>
      </c>
      <c r="O92">
        <f t="shared" si="0"/>
        <v>1500</v>
      </c>
    </row>
    <row r="93" spans="1:18" x14ac:dyDescent="0.25">
      <c r="A93" s="142">
        <v>7</v>
      </c>
      <c r="B93" s="192" t="s">
        <v>630</v>
      </c>
      <c r="C93" s="133" t="s">
        <v>768</v>
      </c>
      <c r="D93" s="133"/>
      <c r="E93" s="130" t="s">
        <v>127</v>
      </c>
      <c r="F93" s="130" t="s">
        <v>1670</v>
      </c>
      <c r="G93" s="130" t="s">
        <v>57</v>
      </c>
      <c r="H93" s="131"/>
      <c r="I93" s="130" t="s">
        <v>1794</v>
      </c>
      <c r="J93" s="136">
        <v>250</v>
      </c>
      <c r="K93" s="164">
        <v>50</v>
      </c>
      <c r="L93" s="126" t="s">
        <v>120</v>
      </c>
      <c r="M93" s="126" t="s">
        <v>41</v>
      </c>
      <c r="O93">
        <f t="shared" si="0"/>
        <v>50</v>
      </c>
    </row>
    <row r="94" spans="1:18" x14ac:dyDescent="0.25">
      <c r="A94" s="142">
        <v>7</v>
      </c>
      <c r="B94" s="192" t="s">
        <v>1796</v>
      </c>
      <c r="C94" s="133" t="s">
        <v>1923</v>
      </c>
      <c r="D94" s="133"/>
      <c r="E94" s="130" t="s">
        <v>127</v>
      </c>
      <c r="F94" s="130" t="s">
        <v>1219</v>
      </c>
      <c r="G94" s="130" t="s">
        <v>54</v>
      </c>
      <c r="H94" s="131" t="s">
        <v>1924</v>
      </c>
      <c r="I94" s="130" t="s">
        <v>1794</v>
      </c>
      <c r="J94" s="136">
        <v>1000</v>
      </c>
      <c r="K94" s="164">
        <v>200</v>
      </c>
      <c r="L94" s="126" t="s">
        <v>120</v>
      </c>
      <c r="M94" s="126" t="s">
        <v>41</v>
      </c>
      <c r="O94">
        <f t="shared" si="0"/>
        <v>200</v>
      </c>
    </row>
    <row r="95" spans="1:18" x14ac:dyDescent="0.25">
      <c r="A95" s="142">
        <v>7</v>
      </c>
      <c r="B95" s="192" t="s">
        <v>480</v>
      </c>
      <c r="C95" s="133" t="s">
        <v>1925</v>
      </c>
      <c r="D95" s="133"/>
      <c r="E95" s="130" t="s">
        <v>127</v>
      </c>
      <c r="F95" s="130" t="s">
        <v>159</v>
      </c>
      <c r="G95" s="130" t="s">
        <v>47</v>
      </c>
      <c r="H95" s="131"/>
      <c r="I95" s="130" t="s">
        <v>1794</v>
      </c>
      <c r="J95" s="136">
        <v>500</v>
      </c>
      <c r="K95" s="164">
        <v>100</v>
      </c>
      <c r="L95" s="126" t="s">
        <v>120</v>
      </c>
      <c r="M95" s="126" t="s">
        <v>41</v>
      </c>
      <c r="O95">
        <f t="shared" si="0"/>
        <v>100</v>
      </c>
      <c r="R95" s="57"/>
    </row>
    <row r="96" spans="1:18" x14ac:dyDescent="0.25">
      <c r="A96" s="142">
        <v>7</v>
      </c>
      <c r="B96" s="192" t="s">
        <v>480</v>
      </c>
      <c r="C96" s="133" t="s">
        <v>481</v>
      </c>
      <c r="D96" s="133"/>
      <c r="E96" s="130" t="s">
        <v>127</v>
      </c>
      <c r="F96" s="130" t="s">
        <v>159</v>
      </c>
      <c r="G96" s="130" t="s">
        <v>47</v>
      </c>
      <c r="H96" s="131" t="s">
        <v>864</v>
      </c>
      <c r="I96" s="130" t="s">
        <v>1794</v>
      </c>
      <c r="J96" s="136">
        <v>300</v>
      </c>
      <c r="K96" s="164">
        <v>60</v>
      </c>
      <c r="L96" s="126" t="s">
        <v>120</v>
      </c>
      <c r="M96" s="126" t="s">
        <v>41</v>
      </c>
      <c r="O96">
        <f t="shared" si="0"/>
        <v>60</v>
      </c>
    </row>
    <row r="97" spans="1:19" x14ac:dyDescent="0.25">
      <c r="A97" s="142">
        <v>7</v>
      </c>
      <c r="B97" s="192" t="s">
        <v>191</v>
      </c>
      <c r="C97" s="133" t="s">
        <v>1926</v>
      </c>
      <c r="D97" s="133"/>
      <c r="E97" s="168" t="s">
        <v>129</v>
      </c>
      <c r="F97" s="130" t="s">
        <v>184</v>
      </c>
      <c r="G97" s="130" t="s">
        <v>42</v>
      </c>
      <c r="H97" s="131" t="s">
        <v>1927</v>
      </c>
      <c r="I97" s="130" t="s">
        <v>1794</v>
      </c>
      <c r="J97" s="136">
        <v>10000</v>
      </c>
      <c r="K97" s="164">
        <v>2000</v>
      </c>
      <c r="L97" s="126" t="s">
        <v>120</v>
      </c>
      <c r="M97" s="126" t="s">
        <v>41</v>
      </c>
      <c r="O97">
        <f t="shared" si="0"/>
        <v>2000</v>
      </c>
    </row>
    <row r="98" spans="1:19" x14ac:dyDescent="0.25">
      <c r="A98" s="142">
        <v>7</v>
      </c>
      <c r="B98" s="192" t="s">
        <v>592</v>
      </c>
      <c r="C98" s="133" t="s">
        <v>1928</v>
      </c>
      <c r="D98" s="133"/>
      <c r="E98" s="168" t="s">
        <v>129</v>
      </c>
      <c r="F98" s="130" t="s">
        <v>555</v>
      </c>
      <c r="G98" s="130" t="s">
        <v>57</v>
      </c>
      <c r="H98" s="131" t="s">
        <v>1929</v>
      </c>
      <c r="I98" s="130" t="s">
        <v>1794</v>
      </c>
      <c r="J98" s="136">
        <v>350</v>
      </c>
      <c r="K98" s="164" t="s">
        <v>123</v>
      </c>
      <c r="L98" s="126" t="s">
        <v>120</v>
      </c>
      <c r="M98" s="126" t="s">
        <v>41</v>
      </c>
      <c r="O98">
        <f t="shared" si="0"/>
        <v>70</v>
      </c>
    </row>
    <row r="99" spans="1:19" x14ac:dyDescent="0.25">
      <c r="A99" s="142">
        <v>7</v>
      </c>
      <c r="B99" s="192" t="s">
        <v>1930</v>
      </c>
      <c r="C99" s="133" t="s">
        <v>1931</v>
      </c>
      <c r="D99" s="133"/>
      <c r="E99" s="130" t="s">
        <v>127</v>
      </c>
      <c r="F99" s="130" t="s">
        <v>562</v>
      </c>
      <c r="G99" s="130" t="s">
        <v>42</v>
      </c>
      <c r="H99" s="131" t="s">
        <v>1932</v>
      </c>
      <c r="I99" s="133" t="s">
        <v>1794</v>
      </c>
      <c r="J99" s="136">
        <v>3000</v>
      </c>
      <c r="K99" s="164">
        <v>600</v>
      </c>
      <c r="L99" s="126" t="s">
        <v>120</v>
      </c>
      <c r="M99" s="126" t="s">
        <v>41</v>
      </c>
      <c r="O99">
        <f t="shared" si="0"/>
        <v>600</v>
      </c>
      <c r="S99" s="57"/>
    </row>
    <row r="100" spans="1:19" x14ac:dyDescent="0.25">
      <c r="A100" s="142">
        <v>7</v>
      </c>
      <c r="B100" s="192" t="s">
        <v>513</v>
      </c>
      <c r="C100" s="133" t="s">
        <v>169</v>
      </c>
      <c r="D100" s="133"/>
      <c r="E100" s="130" t="s">
        <v>127</v>
      </c>
      <c r="F100" s="130" t="s">
        <v>364</v>
      </c>
      <c r="G100" s="130" t="s">
        <v>54</v>
      </c>
      <c r="H100" s="131" t="s">
        <v>1933</v>
      </c>
      <c r="I100" s="133" t="s">
        <v>1794</v>
      </c>
      <c r="J100" s="136">
        <v>13000</v>
      </c>
      <c r="K100" s="164">
        <v>2600</v>
      </c>
      <c r="L100" s="126" t="s">
        <v>120</v>
      </c>
      <c r="M100" s="126" t="s">
        <v>41</v>
      </c>
      <c r="O100">
        <f t="shared" si="0"/>
        <v>2600</v>
      </c>
      <c r="R100" s="57"/>
    </row>
    <row r="101" spans="1:19" x14ac:dyDescent="0.25">
      <c r="A101" s="142">
        <v>7</v>
      </c>
      <c r="B101" s="192" t="s">
        <v>1455</v>
      </c>
      <c r="C101" s="133" t="s">
        <v>1934</v>
      </c>
      <c r="D101" s="133"/>
      <c r="E101" s="130" t="s">
        <v>127</v>
      </c>
      <c r="F101" s="130" t="s">
        <v>159</v>
      </c>
      <c r="G101" s="130" t="s">
        <v>47</v>
      </c>
      <c r="H101" s="131"/>
      <c r="I101" s="130" t="s">
        <v>1794</v>
      </c>
      <c r="J101" s="136">
        <v>600</v>
      </c>
      <c r="K101" s="164">
        <v>120</v>
      </c>
      <c r="L101" s="126" t="s">
        <v>120</v>
      </c>
      <c r="M101" s="126" t="s">
        <v>41</v>
      </c>
      <c r="O101">
        <f t="shared" si="0"/>
        <v>120</v>
      </c>
    </row>
    <row r="102" spans="1:19" x14ac:dyDescent="0.25">
      <c r="A102" s="142">
        <v>7</v>
      </c>
      <c r="B102" s="192" t="s">
        <v>1608</v>
      </c>
      <c r="C102" s="133" t="s">
        <v>1935</v>
      </c>
      <c r="D102" s="133"/>
      <c r="E102" s="130" t="s">
        <v>127</v>
      </c>
      <c r="F102" s="130" t="s">
        <v>713</v>
      </c>
      <c r="G102" s="130" t="s">
        <v>57</v>
      </c>
      <c r="H102" s="131" t="s">
        <v>1936</v>
      </c>
      <c r="I102" s="133" t="s">
        <v>1794</v>
      </c>
      <c r="J102" s="136">
        <v>500</v>
      </c>
      <c r="K102" s="164">
        <v>100</v>
      </c>
      <c r="L102" s="126" t="s">
        <v>120</v>
      </c>
      <c r="M102" s="126" t="s">
        <v>41</v>
      </c>
      <c r="O102">
        <f t="shared" si="0"/>
        <v>100</v>
      </c>
      <c r="R102" s="57"/>
    </row>
    <row r="103" spans="1:19" x14ac:dyDescent="0.25">
      <c r="A103" s="142">
        <v>7</v>
      </c>
      <c r="B103" s="192" t="s">
        <v>1937</v>
      </c>
      <c r="C103" s="133" t="s">
        <v>1938</v>
      </c>
      <c r="D103" s="133"/>
      <c r="E103" s="130" t="s">
        <v>127</v>
      </c>
      <c r="F103" s="130"/>
      <c r="G103" s="130" t="s">
        <v>69</v>
      </c>
      <c r="H103" s="131" t="s">
        <v>1939</v>
      </c>
      <c r="I103" s="130" t="s">
        <v>1794</v>
      </c>
      <c r="J103" s="136">
        <v>2000</v>
      </c>
      <c r="K103" s="164">
        <v>400</v>
      </c>
      <c r="L103" s="126" t="s">
        <v>120</v>
      </c>
      <c r="M103" s="126" t="s">
        <v>41</v>
      </c>
      <c r="O103">
        <f t="shared" si="0"/>
        <v>400</v>
      </c>
      <c r="R103" s="57"/>
    </row>
    <row r="104" spans="1:19" x14ac:dyDescent="0.25">
      <c r="A104" s="142">
        <v>7</v>
      </c>
      <c r="B104" s="192" t="s">
        <v>553</v>
      </c>
      <c r="C104" s="133" t="s">
        <v>718</v>
      </c>
      <c r="D104" s="130"/>
      <c r="E104" s="168" t="s">
        <v>129</v>
      </c>
      <c r="F104" s="130" t="s">
        <v>555</v>
      </c>
      <c r="G104" s="130" t="s">
        <v>57</v>
      </c>
      <c r="H104" s="131" t="s">
        <v>1929</v>
      </c>
      <c r="I104" s="133" t="s">
        <v>1794</v>
      </c>
      <c r="J104" s="136">
        <v>1350</v>
      </c>
      <c r="K104" s="164" t="s">
        <v>123</v>
      </c>
      <c r="L104" s="126" t="s">
        <v>120</v>
      </c>
      <c r="M104" s="126" t="s">
        <v>41</v>
      </c>
      <c r="O104">
        <f t="shared" si="0"/>
        <v>270</v>
      </c>
    </row>
    <row r="105" spans="1:19" x14ac:dyDescent="0.25">
      <c r="A105" s="142">
        <v>7</v>
      </c>
      <c r="B105" s="192" t="s">
        <v>1940</v>
      </c>
      <c r="C105" s="133" t="s">
        <v>665</v>
      </c>
      <c r="D105" s="130"/>
      <c r="E105" s="130" t="s">
        <v>127</v>
      </c>
      <c r="F105" s="130" t="s">
        <v>555</v>
      </c>
      <c r="G105" s="130" t="s">
        <v>57</v>
      </c>
      <c r="H105" s="131"/>
      <c r="I105" s="130" t="s">
        <v>1794</v>
      </c>
      <c r="J105" s="136">
        <v>300</v>
      </c>
      <c r="K105" s="164" t="s">
        <v>123</v>
      </c>
      <c r="L105" s="126" t="s">
        <v>120</v>
      </c>
      <c r="M105" s="126" t="s">
        <v>41</v>
      </c>
      <c r="O105">
        <f t="shared" si="0"/>
        <v>60</v>
      </c>
    </row>
    <row r="106" spans="1:19" x14ac:dyDescent="0.25">
      <c r="A106" s="142">
        <v>7</v>
      </c>
      <c r="B106" s="192" t="s">
        <v>1941</v>
      </c>
      <c r="C106" s="133" t="s">
        <v>692</v>
      </c>
      <c r="D106" s="133"/>
      <c r="E106" s="168" t="s">
        <v>129</v>
      </c>
      <c r="F106" s="130" t="s">
        <v>555</v>
      </c>
      <c r="G106" s="130" t="s">
        <v>57</v>
      </c>
      <c r="H106" s="131"/>
      <c r="I106" s="133" t="s">
        <v>1794</v>
      </c>
      <c r="J106" s="136">
        <v>900</v>
      </c>
      <c r="K106" s="164" t="s">
        <v>123</v>
      </c>
      <c r="L106" s="126" t="s">
        <v>120</v>
      </c>
      <c r="M106" s="126" t="s">
        <v>41</v>
      </c>
      <c r="O106">
        <f t="shared" si="0"/>
        <v>180</v>
      </c>
    </row>
    <row r="107" spans="1:19" x14ac:dyDescent="0.25">
      <c r="A107" s="210">
        <v>7</v>
      </c>
      <c r="B107" s="192" t="s">
        <v>553</v>
      </c>
      <c r="C107" s="133" t="s">
        <v>1587</v>
      </c>
      <c r="D107" s="133"/>
      <c r="E107" s="130" t="s">
        <v>127</v>
      </c>
      <c r="F107" s="130" t="s">
        <v>555</v>
      </c>
      <c r="G107" s="130" t="s">
        <v>57</v>
      </c>
      <c r="H107" s="131"/>
      <c r="I107" s="130" t="s">
        <v>1794</v>
      </c>
      <c r="J107" s="136">
        <v>380</v>
      </c>
      <c r="K107" s="164" t="s">
        <v>123</v>
      </c>
      <c r="L107" s="126" t="s">
        <v>120</v>
      </c>
      <c r="M107" s="126" t="s">
        <v>41</v>
      </c>
      <c r="O107">
        <f t="shared" si="0"/>
        <v>76</v>
      </c>
    </row>
    <row r="108" spans="1:19" x14ac:dyDescent="0.25">
      <c r="A108" s="142">
        <v>7</v>
      </c>
      <c r="B108" s="192" t="s">
        <v>1502</v>
      </c>
      <c r="C108" s="133" t="s">
        <v>1944</v>
      </c>
      <c r="D108" s="133"/>
      <c r="E108" s="130" t="s">
        <v>127</v>
      </c>
      <c r="F108" s="130" t="s">
        <v>159</v>
      </c>
      <c r="G108" s="130" t="s">
        <v>47</v>
      </c>
      <c r="H108" s="131" t="s">
        <v>1954</v>
      </c>
      <c r="I108" s="133" t="s">
        <v>1794</v>
      </c>
      <c r="J108" s="136">
        <v>3000</v>
      </c>
      <c r="K108" s="164">
        <v>600</v>
      </c>
      <c r="L108" s="126" t="s">
        <v>120</v>
      </c>
      <c r="M108" s="126" t="s">
        <v>41</v>
      </c>
      <c r="O108">
        <f t="shared" si="0"/>
        <v>600</v>
      </c>
    </row>
    <row r="109" spans="1:19" x14ac:dyDescent="0.25">
      <c r="A109" s="142">
        <v>7</v>
      </c>
      <c r="B109" s="192" t="s">
        <v>1945</v>
      </c>
      <c r="C109" s="133" t="s">
        <v>1216</v>
      </c>
      <c r="D109" s="133"/>
      <c r="E109" s="130" t="s">
        <v>127</v>
      </c>
      <c r="F109" s="130" t="s">
        <v>1946</v>
      </c>
      <c r="G109" s="130" t="s">
        <v>47</v>
      </c>
      <c r="H109" s="131" t="s">
        <v>1955</v>
      </c>
      <c r="I109" s="133" t="s">
        <v>1794</v>
      </c>
      <c r="J109" s="136">
        <v>1000</v>
      </c>
      <c r="K109" s="164">
        <v>200</v>
      </c>
      <c r="L109" s="126" t="s">
        <v>120</v>
      </c>
      <c r="M109" s="126" t="s">
        <v>41</v>
      </c>
      <c r="O109">
        <f t="shared" si="0"/>
        <v>200</v>
      </c>
    </row>
    <row r="110" spans="1:19" x14ac:dyDescent="0.25">
      <c r="A110" s="142">
        <v>7</v>
      </c>
      <c r="B110" s="192" t="s">
        <v>1947</v>
      </c>
      <c r="C110" s="133" t="s">
        <v>1948</v>
      </c>
      <c r="D110" s="133"/>
      <c r="E110" s="130" t="s">
        <v>127</v>
      </c>
      <c r="F110" s="130" t="s">
        <v>159</v>
      </c>
      <c r="G110" s="130" t="s">
        <v>54</v>
      </c>
      <c r="H110" s="131" t="s">
        <v>1956</v>
      </c>
      <c r="I110" s="130" t="s">
        <v>1794</v>
      </c>
      <c r="J110" s="136">
        <v>200</v>
      </c>
      <c r="K110" s="164">
        <v>40</v>
      </c>
      <c r="L110" s="126" t="s">
        <v>120</v>
      </c>
      <c r="M110" s="126" t="s">
        <v>41</v>
      </c>
      <c r="O110">
        <f t="shared" si="0"/>
        <v>40</v>
      </c>
      <c r="R110" s="57">
        <f>SUM(J108:J111,J113:J159)</f>
        <v>112400</v>
      </c>
    </row>
    <row r="111" spans="1:19" x14ac:dyDescent="0.25">
      <c r="A111" s="142">
        <v>7</v>
      </c>
      <c r="B111" s="192" t="s">
        <v>1949</v>
      </c>
      <c r="C111" s="133" t="s">
        <v>1038</v>
      </c>
      <c r="D111" s="133"/>
      <c r="E111" s="130" t="s">
        <v>127</v>
      </c>
      <c r="F111" s="130" t="s">
        <v>1950</v>
      </c>
      <c r="G111" s="130" t="s">
        <v>51</v>
      </c>
      <c r="H111" s="131"/>
      <c r="I111" s="130" t="s">
        <v>1794</v>
      </c>
      <c r="J111" s="136">
        <v>500</v>
      </c>
      <c r="K111" s="164">
        <v>100</v>
      </c>
      <c r="L111" s="126" t="s">
        <v>120</v>
      </c>
      <c r="M111" s="126" t="s">
        <v>41</v>
      </c>
      <c r="O111">
        <f t="shared" si="0"/>
        <v>100</v>
      </c>
      <c r="R111" s="57" t="e">
        <f>SUM(J116,J118,#REF!,J132,J135)</f>
        <v>#REF!</v>
      </c>
    </row>
    <row r="112" spans="1:19" x14ac:dyDescent="0.25">
      <c r="A112" s="142">
        <v>7</v>
      </c>
      <c r="B112" s="192" t="s">
        <v>1949</v>
      </c>
      <c r="C112" s="133" t="s">
        <v>1038</v>
      </c>
      <c r="D112" s="133"/>
      <c r="E112" s="130" t="s">
        <v>127</v>
      </c>
      <c r="F112" s="130" t="s">
        <v>1950</v>
      </c>
      <c r="G112" s="130" t="s">
        <v>51</v>
      </c>
      <c r="H112" s="131"/>
      <c r="I112" s="256" t="s">
        <v>1357</v>
      </c>
      <c r="J112" s="136">
        <v>300</v>
      </c>
      <c r="K112" s="164">
        <v>150</v>
      </c>
      <c r="L112" s="126" t="s">
        <v>120</v>
      </c>
      <c r="M112" s="126" t="s">
        <v>41</v>
      </c>
      <c r="O112">
        <f t="shared" si="0"/>
        <v>60</v>
      </c>
    </row>
    <row r="113" spans="1:18" x14ac:dyDescent="0.25">
      <c r="A113" s="142">
        <v>7</v>
      </c>
      <c r="B113" s="192" t="s">
        <v>1951</v>
      </c>
      <c r="C113" s="133" t="s">
        <v>1952</v>
      </c>
      <c r="D113" s="133"/>
      <c r="E113" s="130" t="s">
        <v>127</v>
      </c>
      <c r="F113" s="130" t="s">
        <v>1953</v>
      </c>
      <c r="G113" s="130" t="s">
        <v>48</v>
      </c>
      <c r="H113" s="131" t="s">
        <v>1957</v>
      </c>
      <c r="I113" s="130" t="s">
        <v>1794</v>
      </c>
      <c r="J113" s="136">
        <v>1500</v>
      </c>
      <c r="K113" s="164">
        <v>300</v>
      </c>
      <c r="L113" s="126" t="s">
        <v>120</v>
      </c>
      <c r="M113" s="126" t="s">
        <v>41</v>
      </c>
      <c r="O113">
        <f t="shared" si="0"/>
        <v>300</v>
      </c>
      <c r="R113" s="57" t="e">
        <f>R110-R111</f>
        <v>#REF!</v>
      </c>
    </row>
    <row r="114" spans="1:18" x14ac:dyDescent="0.25">
      <c r="A114" s="142">
        <v>7</v>
      </c>
      <c r="B114" s="192" t="s">
        <v>209</v>
      </c>
      <c r="C114" s="133" t="s">
        <v>1958</v>
      </c>
      <c r="D114" s="133"/>
      <c r="E114" s="130" t="s">
        <v>127</v>
      </c>
      <c r="F114" s="130" t="s">
        <v>896</v>
      </c>
      <c r="G114" s="130" t="s">
        <v>67</v>
      </c>
      <c r="H114" s="131" t="s">
        <v>1959</v>
      </c>
      <c r="I114" s="130" t="s">
        <v>1794</v>
      </c>
      <c r="J114" s="136">
        <v>200</v>
      </c>
      <c r="K114" s="164">
        <v>40</v>
      </c>
      <c r="L114" s="126" t="s">
        <v>120</v>
      </c>
      <c r="M114" s="126" t="s">
        <v>41</v>
      </c>
      <c r="O114">
        <f t="shared" si="0"/>
        <v>40</v>
      </c>
    </row>
    <row r="115" spans="1:18" x14ac:dyDescent="0.25">
      <c r="A115" s="142">
        <v>7</v>
      </c>
      <c r="B115" s="192" t="s">
        <v>1960</v>
      </c>
      <c r="C115" s="133" t="s">
        <v>817</v>
      </c>
      <c r="D115" s="133"/>
      <c r="E115" s="130" t="s">
        <v>127</v>
      </c>
      <c r="F115" s="130" t="s">
        <v>1961</v>
      </c>
      <c r="G115" s="130" t="s">
        <v>57</v>
      </c>
      <c r="H115" s="131" t="s">
        <v>1962</v>
      </c>
      <c r="I115" s="130" t="s">
        <v>1794</v>
      </c>
      <c r="J115" s="136">
        <v>2500</v>
      </c>
      <c r="K115" s="164">
        <v>500</v>
      </c>
      <c r="L115" s="126" t="s">
        <v>120</v>
      </c>
      <c r="M115" s="126" t="s">
        <v>41</v>
      </c>
      <c r="O115">
        <f t="shared" si="0"/>
        <v>500</v>
      </c>
      <c r="R115" s="57"/>
    </row>
    <row r="116" spans="1:18" x14ac:dyDescent="0.25">
      <c r="A116" s="142">
        <v>7</v>
      </c>
      <c r="B116" s="192" t="s">
        <v>1960</v>
      </c>
      <c r="C116" s="133" t="s">
        <v>817</v>
      </c>
      <c r="D116" s="133"/>
      <c r="E116" s="130" t="s">
        <v>127</v>
      </c>
      <c r="F116" s="130" t="s">
        <v>1961</v>
      </c>
      <c r="G116" s="130" t="s">
        <v>57</v>
      </c>
      <c r="H116" s="131" t="s">
        <v>1962</v>
      </c>
      <c r="I116" s="130" t="s">
        <v>1794</v>
      </c>
      <c r="J116" s="136">
        <v>500</v>
      </c>
      <c r="K116" s="164" t="s">
        <v>123</v>
      </c>
      <c r="L116" s="126" t="s">
        <v>120</v>
      </c>
      <c r="M116" s="126" t="s">
        <v>41</v>
      </c>
      <c r="O116">
        <f t="shared" si="0"/>
        <v>100</v>
      </c>
    </row>
    <row r="117" spans="1:18" x14ac:dyDescent="0.25">
      <c r="A117" s="294">
        <v>7</v>
      </c>
      <c r="B117" s="192" t="s">
        <v>1963</v>
      </c>
      <c r="C117" s="133" t="s">
        <v>446</v>
      </c>
      <c r="D117" s="133"/>
      <c r="E117" s="130" t="s">
        <v>127</v>
      </c>
      <c r="F117" s="130" t="s">
        <v>384</v>
      </c>
      <c r="G117" s="130" t="s">
        <v>48</v>
      </c>
      <c r="H117" s="131"/>
      <c r="I117" s="130" t="s">
        <v>1794</v>
      </c>
      <c r="J117" s="136">
        <v>1000</v>
      </c>
      <c r="K117" s="164">
        <v>200</v>
      </c>
      <c r="L117" s="126" t="s">
        <v>120</v>
      </c>
      <c r="M117" s="126" t="s">
        <v>41</v>
      </c>
      <c r="O117">
        <f t="shared" si="0"/>
        <v>200</v>
      </c>
      <c r="R117" s="57"/>
    </row>
    <row r="118" spans="1:18" x14ac:dyDescent="0.25">
      <c r="A118" s="294">
        <v>7</v>
      </c>
      <c r="B118" s="192" t="s">
        <v>1678</v>
      </c>
      <c r="C118" s="133" t="s">
        <v>1964</v>
      </c>
      <c r="D118" s="133"/>
      <c r="E118" s="130" t="s">
        <v>127</v>
      </c>
      <c r="F118" s="130" t="s">
        <v>555</v>
      </c>
      <c r="G118" s="130" t="s">
        <v>57</v>
      </c>
      <c r="H118" s="131" t="s">
        <v>1965</v>
      </c>
      <c r="I118" s="133" t="s">
        <v>1794</v>
      </c>
      <c r="J118" s="136">
        <v>6000</v>
      </c>
      <c r="K118" s="164" t="s">
        <v>123</v>
      </c>
      <c r="L118" s="126" t="s">
        <v>120</v>
      </c>
      <c r="M118" s="126" t="s">
        <v>41</v>
      </c>
      <c r="O118">
        <f t="shared" si="0"/>
        <v>1200</v>
      </c>
    </row>
    <row r="119" spans="1:18" x14ac:dyDescent="0.25">
      <c r="A119" s="294">
        <v>8</v>
      </c>
      <c r="B119" s="192" t="s">
        <v>1966</v>
      </c>
      <c r="C119" s="133" t="s">
        <v>1967</v>
      </c>
      <c r="D119" s="133"/>
      <c r="E119" s="130" t="s">
        <v>127</v>
      </c>
      <c r="F119" s="130" t="s">
        <v>1968</v>
      </c>
      <c r="G119" s="130" t="s">
        <v>1969</v>
      </c>
      <c r="H119" s="131" t="s">
        <v>1970</v>
      </c>
      <c r="I119" s="130" t="s">
        <v>1794</v>
      </c>
      <c r="J119" s="136">
        <v>2500</v>
      </c>
      <c r="K119" s="164">
        <v>500</v>
      </c>
      <c r="L119" s="126" t="s">
        <v>120</v>
      </c>
      <c r="M119" s="126" t="s">
        <v>41</v>
      </c>
      <c r="O119">
        <f t="shared" si="0"/>
        <v>500</v>
      </c>
    </row>
    <row r="120" spans="1:18" x14ac:dyDescent="0.25">
      <c r="A120" s="294">
        <v>9</v>
      </c>
      <c r="B120" s="192" t="s">
        <v>221</v>
      </c>
      <c r="C120" s="133" t="s">
        <v>217</v>
      </c>
      <c r="D120" s="133"/>
      <c r="E120" s="130" t="s">
        <v>127</v>
      </c>
      <c r="F120" s="130" t="s">
        <v>166</v>
      </c>
      <c r="G120" s="130" t="s">
        <v>73</v>
      </c>
      <c r="H120" s="131" t="s">
        <v>1974</v>
      </c>
      <c r="I120" s="130" t="s">
        <v>1794</v>
      </c>
      <c r="J120" s="136">
        <v>3000</v>
      </c>
      <c r="K120" s="164">
        <v>600</v>
      </c>
      <c r="L120" s="126" t="s">
        <v>120</v>
      </c>
      <c r="M120" s="126" t="s">
        <v>41</v>
      </c>
      <c r="O120">
        <f t="shared" si="0"/>
        <v>600</v>
      </c>
    </row>
    <row r="121" spans="1:18" x14ac:dyDescent="0.25">
      <c r="A121" s="294">
        <v>9</v>
      </c>
      <c r="B121" s="192" t="s">
        <v>1724</v>
      </c>
      <c r="C121" s="133" t="s">
        <v>1975</v>
      </c>
      <c r="D121" s="133"/>
      <c r="E121" s="130" t="s">
        <v>127</v>
      </c>
      <c r="F121" s="130" t="s">
        <v>1976</v>
      </c>
      <c r="G121" s="130" t="s">
        <v>45</v>
      </c>
      <c r="H121" s="131" t="s">
        <v>1977</v>
      </c>
      <c r="I121" s="130" t="s">
        <v>1794</v>
      </c>
      <c r="J121" s="136">
        <v>2000</v>
      </c>
      <c r="K121" s="164">
        <v>400</v>
      </c>
      <c r="L121" s="126" t="s">
        <v>120</v>
      </c>
      <c r="M121" s="126" t="s">
        <v>41</v>
      </c>
      <c r="O121">
        <f t="shared" si="0"/>
        <v>400</v>
      </c>
    </row>
    <row r="122" spans="1:18" x14ac:dyDescent="0.25">
      <c r="A122" s="294">
        <v>9</v>
      </c>
      <c r="B122" s="192" t="s">
        <v>1978</v>
      </c>
      <c r="C122" s="133" t="s">
        <v>1979</v>
      </c>
      <c r="D122" s="133"/>
      <c r="E122" s="130" t="s">
        <v>127</v>
      </c>
      <c r="F122" s="130" t="s">
        <v>1980</v>
      </c>
      <c r="G122" s="130" t="s">
        <v>46</v>
      </c>
      <c r="H122" s="131" t="s">
        <v>1981</v>
      </c>
      <c r="I122" s="133" t="s">
        <v>1794</v>
      </c>
      <c r="J122" s="136">
        <v>2500</v>
      </c>
      <c r="K122" s="164">
        <v>500</v>
      </c>
      <c r="L122" s="126" t="s">
        <v>120</v>
      </c>
      <c r="M122" s="126" t="s">
        <v>41</v>
      </c>
      <c r="O122">
        <f t="shared" si="0"/>
        <v>500</v>
      </c>
    </row>
    <row r="123" spans="1:18" x14ac:dyDescent="0.25">
      <c r="A123" s="294">
        <v>9</v>
      </c>
      <c r="B123" s="192" t="s">
        <v>1987</v>
      </c>
      <c r="C123" s="133" t="s">
        <v>1399</v>
      </c>
      <c r="D123" s="133"/>
      <c r="E123" s="130" t="s">
        <v>127</v>
      </c>
      <c r="F123" s="130" t="s">
        <v>364</v>
      </c>
      <c r="G123" s="130" t="s">
        <v>54</v>
      </c>
      <c r="H123" s="131" t="s">
        <v>1989</v>
      </c>
      <c r="I123" s="133" t="s">
        <v>1794</v>
      </c>
      <c r="J123" s="136">
        <v>2500</v>
      </c>
      <c r="K123" s="164">
        <v>500</v>
      </c>
      <c r="L123" s="126" t="s">
        <v>120</v>
      </c>
      <c r="M123" s="126" t="s">
        <v>41</v>
      </c>
      <c r="O123">
        <f t="shared" si="0"/>
        <v>500</v>
      </c>
    </row>
    <row r="124" spans="1:18" x14ac:dyDescent="0.25">
      <c r="A124" s="294">
        <v>9</v>
      </c>
      <c r="B124" s="192" t="s">
        <v>1990</v>
      </c>
      <c r="C124" s="133" t="s">
        <v>1045</v>
      </c>
      <c r="D124" s="133"/>
      <c r="E124" s="130" t="s">
        <v>127</v>
      </c>
      <c r="F124" s="130" t="s">
        <v>763</v>
      </c>
      <c r="G124" s="130" t="s">
        <v>54</v>
      </c>
      <c r="H124" s="131"/>
      <c r="I124" s="133" t="s">
        <v>1794</v>
      </c>
      <c r="J124" s="136">
        <v>1000</v>
      </c>
      <c r="K124" s="164">
        <v>200</v>
      </c>
      <c r="L124" s="126" t="s">
        <v>120</v>
      </c>
      <c r="M124" s="126" t="s">
        <v>41</v>
      </c>
      <c r="O124">
        <f t="shared" si="0"/>
        <v>200</v>
      </c>
    </row>
    <row r="125" spans="1:18" x14ac:dyDescent="0.25">
      <c r="A125" s="294">
        <v>9</v>
      </c>
      <c r="B125" s="192" t="s">
        <v>1436</v>
      </c>
      <c r="C125" s="133" t="s">
        <v>753</v>
      </c>
      <c r="D125" s="133"/>
      <c r="E125" s="130" t="s">
        <v>127</v>
      </c>
      <c r="F125" s="130" t="s">
        <v>1988</v>
      </c>
      <c r="G125" s="130" t="s">
        <v>54</v>
      </c>
      <c r="H125" s="131"/>
      <c r="I125" s="130" t="s">
        <v>1794</v>
      </c>
      <c r="J125" s="136">
        <v>3000</v>
      </c>
      <c r="K125" s="164">
        <v>600</v>
      </c>
      <c r="L125" s="126" t="s">
        <v>120</v>
      </c>
      <c r="M125" s="126" t="s">
        <v>41</v>
      </c>
      <c r="O125">
        <f t="shared" si="0"/>
        <v>600</v>
      </c>
    </row>
    <row r="126" spans="1:18" x14ac:dyDescent="0.25">
      <c r="A126" s="294">
        <v>9</v>
      </c>
      <c r="B126" s="192" t="s">
        <v>2093</v>
      </c>
      <c r="C126" s="133" t="s">
        <v>1991</v>
      </c>
      <c r="D126" s="133"/>
      <c r="E126" s="168" t="s">
        <v>129</v>
      </c>
      <c r="F126" s="130" t="s">
        <v>1992</v>
      </c>
      <c r="G126" s="130" t="s">
        <v>58</v>
      </c>
      <c r="H126" s="131" t="s">
        <v>1993</v>
      </c>
      <c r="I126" s="130" t="s">
        <v>1794</v>
      </c>
      <c r="J126" s="136">
        <v>2500</v>
      </c>
      <c r="K126" s="164">
        <v>500</v>
      </c>
      <c r="L126" s="126" t="s">
        <v>120</v>
      </c>
      <c r="M126" s="126" t="s">
        <v>41</v>
      </c>
      <c r="O126">
        <f t="shared" si="0"/>
        <v>500</v>
      </c>
    </row>
    <row r="127" spans="1:18" x14ac:dyDescent="0.25">
      <c r="A127" s="294">
        <v>9</v>
      </c>
      <c r="B127" s="192" t="s">
        <v>2092</v>
      </c>
      <c r="C127" s="133" t="s">
        <v>440</v>
      </c>
      <c r="D127" s="133"/>
      <c r="E127" s="130" t="s">
        <v>127</v>
      </c>
      <c r="F127" s="130" t="s">
        <v>601</v>
      </c>
      <c r="G127" s="130" t="s">
        <v>43</v>
      </c>
      <c r="H127" s="131"/>
      <c r="I127" s="130" t="s">
        <v>1794</v>
      </c>
      <c r="J127" s="136">
        <v>300</v>
      </c>
      <c r="K127" s="164">
        <v>60</v>
      </c>
      <c r="L127" s="126" t="s">
        <v>120</v>
      </c>
      <c r="M127" s="126" t="s">
        <v>41</v>
      </c>
      <c r="O127">
        <f t="shared" si="0"/>
        <v>60</v>
      </c>
    </row>
    <row r="128" spans="1:18" x14ac:dyDescent="0.25">
      <c r="A128" s="294">
        <v>9</v>
      </c>
      <c r="B128" s="192" t="s">
        <v>513</v>
      </c>
      <c r="C128" s="133" t="s">
        <v>169</v>
      </c>
      <c r="D128" s="133"/>
      <c r="E128" s="130" t="s">
        <v>127</v>
      </c>
      <c r="F128" s="130" t="s">
        <v>130</v>
      </c>
      <c r="G128" s="130" t="s">
        <v>43</v>
      </c>
      <c r="H128" s="131" t="s">
        <v>1994</v>
      </c>
      <c r="I128" s="133" t="s">
        <v>1794</v>
      </c>
      <c r="J128" s="136">
        <v>800</v>
      </c>
      <c r="K128" s="164">
        <v>160</v>
      </c>
      <c r="L128" s="126" t="s">
        <v>120</v>
      </c>
      <c r="M128" s="126" t="s">
        <v>41</v>
      </c>
      <c r="O128">
        <f t="shared" si="0"/>
        <v>160</v>
      </c>
    </row>
    <row r="129" spans="1:15" x14ac:dyDescent="0.25">
      <c r="A129" s="294">
        <v>9</v>
      </c>
      <c r="B129" s="192" t="s">
        <v>611</v>
      </c>
      <c r="C129" s="133" t="s">
        <v>568</v>
      </c>
      <c r="D129" s="133"/>
      <c r="E129" s="130" t="s">
        <v>127</v>
      </c>
      <c r="F129" s="130" t="s">
        <v>355</v>
      </c>
      <c r="G129" s="130" t="s">
        <v>47</v>
      </c>
      <c r="H129" s="131"/>
      <c r="I129" s="130" t="s">
        <v>1794</v>
      </c>
      <c r="J129" s="136">
        <v>4000</v>
      </c>
      <c r="K129" s="164">
        <v>800</v>
      </c>
      <c r="L129" s="126" t="s">
        <v>120</v>
      </c>
      <c r="M129" s="126" t="s">
        <v>41</v>
      </c>
      <c r="O129">
        <f t="shared" si="0"/>
        <v>800</v>
      </c>
    </row>
    <row r="130" spans="1:15" x14ac:dyDescent="0.25">
      <c r="A130" s="294">
        <v>9</v>
      </c>
      <c r="B130" s="192" t="s">
        <v>1698</v>
      </c>
      <c r="C130" s="133" t="s">
        <v>1995</v>
      </c>
      <c r="D130" s="133"/>
      <c r="E130" s="130" t="s">
        <v>127</v>
      </c>
      <c r="F130" s="130" t="s">
        <v>954</v>
      </c>
      <c r="G130" s="130" t="s">
        <v>44</v>
      </c>
      <c r="H130" s="131" t="s">
        <v>1700</v>
      </c>
      <c r="I130" s="130" t="s">
        <v>1794</v>
      </c>
      <c r="J130" s="136">
        <v>1000</v>
      </c>
      <c r="K130" s="164">
        <v>200</v>
      </c>
      <c r="L130" s="126" t="s">
        <v>120</v>
      </c>
      <c r="M130" s="126" t="s">
        <v>41</v>
      </c>
      <c r="O130">
        <f t="shared" si="0"/>
        <v>200</v>
      </c>
    </row>
    <row r="131" spans="1:15" x14ac:dyDescent="0.25">
      <c r="A131" s="294">
        <v>14</v>
      </c>
      <c r="B131" s="192" t="s">
        <v>1996</v>
      </c>
      <c r="C131" s="133" t="s">
        <v>1997</v>
      </c>
      <c r="D131" s="133"/>
      <c r="E131" s="130" t="s">
        <v>127</v>
      </c>
      <c r="F131" s="130" t="s">
        <v>1728</v>
      </c>
      <c r="G131" s="130" t="s">
        <v>45</v>
      </c>
      <c r="H131" s="131"/>
      <c r="I131" s="130" t="s">
        <v>1794</v>
      </c>
      <c r="J131" s="136">
        <v>150</v>
      </c>
      <c r="K131" s="164">
        <v>30</v>
      </c>
      <c r="L131" s="126" t="s">
        <v>120</v>
      </c>
      <c r="M131" s="126" t="s">
        <v>41</v>
      </c>
      <c r="O131">
        <f t="shared" si="0"/>
        <v>30</v>
      </c>
    </row>
    <row r="132" spans="1:15" x14ac:dyDescent="0.25">
      <c r="A132" s="294">
        <v>14</v>
      </c>
      <c r="B132" s="192" t="s">
        <v>861</v>
      </c>
      <c r="C132" s="133" t="s">
        <v>1998</v>
      </c>
      <c r="D132" s="133"/>
      <c r="E132" s="130" t="s">
        <v>127</v>
      </c>
      <c r="F132" s="130" t="s">
        <v>1999</v>
      </c>
      <c r="G132" s="130" t="s">
        <v>58</v>
      </c>
      <c r="H132" s="131"/>
      <c r="I132" s="130" t="s">
        <v>1794</v>
      </c>
      <c r="J132" s="136">
        <v>500</v>
      </c>
      <c r="K132" s="164" t="s">
        <v>123</v>
      </c>
      <c r="L132" s="126" t="s">
        <v>120</v>
      </c>
      <c r="M132" s="126" t="s">
        <v>41</v>
      </c>
      <c r="O132">
        <f t="shared" si="0"/>
        <v>100</v>
      </c>
    </row>
    <row r="133" spans="1:15" x14ac:dyDescent="0.25">
      <c r="A133" s="294">
        <v>14</v>
      </c>
      <c r="B133" s="192" t="s">
        <v>861</v>
      </c>
      <c r="C133" s="133" t="s">
        <v>1998</v>
      </c>
      <c r="D133" s="133"/>
      <c r="E133" s="130" t="s">
        <v>127</v>
      </c>
      <c r="F133" s="130" t="s">
        <v>1999</v>
      </c>
      <c r="G133" s="130" t="s">
        <v>58</v>
      </c>
      <c r="H133" s="131"/>
      <c r="I133" s="133" t="s">
        <v>1794</v>
      </c>
      <c r="J133" s="136">
        <v>1500</v>
      </c>
      <c r="K133" s="164">
        <v>300</v>
      </c>
      <c r="L133" s="126" t="s">
        <v>120</v>
      </c>
      <c r="M133" s="126" t="s">
        <v>41</v>
      </c>
      <c r="O133">
        <f t="shared" si="0"/>
        <v>300</v>
      </c>
    </row>
    <row r="134" spans="1:15" x14ac:dyDescent="0.25">
      <c r="A134" s="294">
        <v>14</v>
      </c>
      <c r="B134" s="192" t="s">
        <v>2000</v>
      </c>
      <c r="C134" s="133" t="s">
        <v>2001</v>
      </c>
      <c r="D134" s="133"/>
      <c r="E134" s="168" t="s">
        <v>129</v>
      </c>
      <c r="F134" s="130" t="s">
        <v>562</v>
      </c>
      <c r="G134" s="130" t="s">
        <v>42</v>
      </c>
      <c r="H134" s="131"/>
      <c r="I134" s="130" t="s">
        <v>1794</v>
      </c>
      <c r="J134" s="136">
        <v>2000</v>
      </c>
      <c r="K134" s="164">
        <v>400</v>
      </c>
      <c r="L134" s="126" t="s">
        <v>120</v>
      </c>
      <c r="M134" s="126" t="s">
        <v>41</v>
      </c>
      <c r="O134">
        <f t="shared" si="0"/>
        <v>400</v>
      </c>
    </row>
    <row r="135" spans="1:15" x14ac:dyDescent="0.25">
      <c r="A135" s="294">
        <v>14</v>
      </c>
      <c r="B135" s="192" t="s">
        <v>2002</v>
      </c>
      <c r="C135" s="133" t="s">
        <v>866</v>
      </c>
      <c r="D135" s="133"/>
      <c r="E135" s="130" t="s">
        <v>127</v>
      </c>
      <c r="F135" s="130" t="s">
        <v>1999</v>
      </c>
      <c r="G135" s="130" t="s">
        <v>58</v>
      </c>
      <c r="H135" s="131"/>
      <c r="I135" s="130" t="s">
        <v>1794</v>
      </c>
      <c r="J135" s="136">
        <v>500</v>
      </c>
      <c r="K135" s="164" t="s">
        <v>123</v>
      </c>
      <c r="L135" s="126" t="s">
        <v>120</v>
      </c>
      <c r="M135" s="126" t="s">
        <v>41</v>
      </c>
      <c r="O135">
        <f t="shared" si="0"/>
        <v>100</v>
      </c>
    </row>
    <row r="136" spans="1:15" x14ac:dyDescent="0.25">
      <c r="A136" s="294">
        <v>14</v>
      </c>
      <c r="B136" s="192" t="s">
        <v>2002</v>
      </c>
      <c r="C136" s="133" t="s">
        <v>866</v>
      </c>
      <c r="D136" s="133"/>
      <c r="E136" s="130" t="s">
        <v>127</v>
      </c>
      <c r="F136" s="130" t="s">
        <v>1999</v>
      </c>
      <c r="G136" s="130" t="s">
        <v>58</v>
      </c>
      <c r="H136" s="131"/>
      <c r="I136" s="130" t="s">
        <v>1794</v>
      </c>
      <c r="J136" s="136">
        <v>1500</v>
      </c>
      <c r="K136" s="164">
        <v>300</v>
      </c>
      <c r="L136" s="126" t="s">
        <v>120</v>
      </c>
      <c r="M136" s="126" t="s">
        <v>41</v>
      </c>
      <c r="O136">
        <f t="shared" si="0"/>
        <v>300</v>
      </c>
    </row>
    <row r="137" spans="1:15" x14ac:dyDescent="0.25">
      <c r="A137" s="294">
        <v>14</v>
      </c>
      <c r="B137" s="192" t="s">
        <v>2003</v>
      </c>
      <c r="C137" s="133" t="s">
        <v>2004</v>
      </c>
      <c r="D137" s="133"/>
      <c r="E137" s="130" t="s">
        <v>127</v>
      </c>
      <c r="F137" s="130" t="s">
        <v>1074</v>
      </c>
      <c r="G137" s="130" t="s">
        <v>56</v>
      </c>
      <c r="H137" s="131"/>
      <c r="I137" s="130" t="s">
        <v>1794</v>
      </c>
      <c r="J137" s="136">
        <v>1000</v>
      </c>
      <c r="K137" s="164">
        <v>200</v>
      </c>
      <c r="L137" s="126" t="s">
        <v>120</v>
      </c>
      <c r="M137" s="126" t="s">
        <v>41</v>
      </c>
      <c r="O137">
        <f t="shared" si="0"/>
        <v>200</v>
      </c>
    </row>
    <row r="138" spans="1:15" x14ac:dyDescent="0.25">
      <c r="A138" s="294">
        <v>14</v>
      </c>
      <c r="B138" s="192" t="s">
        <v>2005</v>
      </c>
      <c r="C138" s="133" t="s">
        <v>2006</v>
      </c>
      <c r="D138" s="133"/>
      <c r="E138" s="130" t="s">
        <v>127</v>
      </c>
      <c r="F138" s="130" t="s">
        <v>706</v>
      </c>
      <c r="G138" s="130" t="s">
        <v>53</v>
      </c>
      <c r="H138" s="131"/>
      <c r="I138" s="133" t="s">
        <v>1794</v>
      </c>
      <c r="J138" s="136">
        <v>300</v>
      </c>
      <c r="K138" s="164">
        <v>60</v>
      </c>
      <c r="L138" s="126" t="s">
        <v>120</v>
      </c>
      <c r="M138" s="126" t="s">
        <v>41</v>
      </c>
      <c r="O138">
        <f t="shared" si="0"/>
        <v>60</v>
      </c>
    </row>
    <row r="139" spans="1:15" x14ac:dyDescent="0.25">
      <c r="A139" s="294">
        <v>14</v>
      </c>
      <c r="B139" s="192" t="s">
        <v>167</v>
      </c>
      <c r="C139" s="133" t="s">
        <v>193</v>
      </c>
      <c r="D139" s="133"/>
      <c r="E139" s="130" t="s">
        <v>127</v>
      </c>
      <c r="F139" s="130" t="s">
        <v>562</v>
      </c>
      <c r="G139" s="130" t="s">
        <v>42</v>
      </c>
      <c r="H139" s="131"/>
      <c r="I139" s="130" t="s">
        <v>1794</v>
      </c>
      <c r="J139" s="136">
        <v>2000</v>
      </c>
      <c r="K139" s="164">
        <v>400</v>
      </c>
      <c r="L139" s="126" t="s">
        <v>120</v>
      </c>
      <c r="M139" s="126" t="s">
        <v>41</v>
      </c>
      <c r="O139">
        <f t="shared" si="0"/>
        <v>400</v>
      </c>
    </row>
    <row r="140" spans="1:15" x14ac:dyDescent="0.25">
      <c r="A140" s="142">
        <v>14</v>
      </c>
      <c r="B140" s="192" t="s">
        <v>2007</v>
      </c>
      <c r="C140" s="133" t="s">
        <v>2008</v>
      </c>
      <c r="D140" s="133"/>
      <c r="E140" s="130" t="s">
        <v>127</v>
      </c>
      <c r="F140" s="130" t="s">
        <v>696</v>
      </c>
      <c r="G140" s="130" t="s">
        <v>48</v>
      </c>
      <c r="H140" s="131"/>
      <c r="I140" s="130" t="s">
        <v>1794</v>
      </c>
      <c r="J140" s="136">
        <v>1000</v>
      </c>
      <c r="K140" s="164">
        <v>200</v>
      </c>
      <c r="L140" s="126" t="s">
        <v>120</v>
      </c>
      <c r="M140" s="126" t="s">
        <v>41</v>
      </c>
      <c r="O140">
        <f t="shared" si="0"/>
        <v>200</v>
      </c>
    </row>
    <row r="141" spans="1:15" x14ac:dyDescent="0.25">
      <c r="A141" s="142">
        <v>14</v>
      </c>
      <c r="B141" s="192" t="s">
        <v>1069</v>
      </c>
      <c r="C141" s="133" t="s">
        <v>2009</v>
      </c>
      <c r="D141" s="133"/>
      <c r="E141" s="168" t="s">
        <v>129</v>
      </c>
      <c r="F141" s="130" t="s">
        <v>364</v>
      </c>
      <c r="G141" s="130" t="s">
        <v>58</v>
      </c>
      <c r="H141" s="131" t="s">
        <v>2010</v>
      </c>
      <c r="I141" s="130" t="s">
        <v>1794</v>
      </c>
      <c r="J141" s="136">
        <v>2500</v>
      </c>
      <c r="K141" s="164">
        <v>500</v>
      </c>
      <c r="L141" s="126" t="s">
        <v>120</v>
      </c>
      <c r="M141" s="126" t="s">
        <v>41</v>
      </c>
      <c r="O141">
        <f t="shared" si="0"/>
        <v>500</v>
      </c>
    </row>
    <row r="142" spans="1:15" x14ac:dyDescent="0.25">
      <c r="A142" s="142">
        <v>14</v>
      </c>
      <c r="B142" s="192" t="s">
        <v>2011</v>
      </c>
      <c r="C142" s="133" t="s">
        <v>1864</v>
      </c>
      <c r="D142" s="133"/>
      <c r="E142" s="130" t="s">
        <v>127</v>
      </c>
      <c r="F142" s="130" t="s">
        <v>880</v>
      </c>
      <c r="G142" s="130" t="s">
        <v>50</v>
      </c>
      <c r="H142" s="131" t="s">
        <v>1865</v>
      </c>
      <c r="I142" s="130" t="s">
        <v>1794</v>
      </c>
      <c r="J142" s="136">
        <v>2500</v>
      </c>
      <c r="K142" s="164">
        <v>500</v>
      </c>
      <c r="L142" s="126" t="s">
        <v>120</v>
      </c>
      <c r="M142" s="126" t="s">
        <v>41</v>
      </c>
      <c r="O142">
        <f t="shared" si="0"/>
        <v>500</v>
      </c>
    </row>
    <row r="143" spans="1:15" x14ac:dyDescent="0.25">
      <c r="A143" s="142">
        <v>14</v>
      </c>
      <c r="B143" s="192" t="s">
        <v>2012</v>
      </c>
      <c r="C143" s="133" t="s">
        <v>50</v>
      </c>
      <c r="D143" s="133"/>
      <c r="E143" s="168" t="s">
        <v>129</v>
      </c>
      <c r="F143" s="130" t="s">
        <v>1661</v>
      </c>
      <c r="G143" s="130" t="s">
        <v>49</v>
      </c>
      <c r="H143" s="131" t="s">
        <v>2013</v>
      </c>
      <c r="I143" s="130" t="s">
        <v>1794</v>
      </c>
      <c r="J143" s="136">
        <v>2000</v>
      </c>
      <c r="K143" s="164">
        <v>400</v>
      </c>
      <c r="L143" s="126" t="s">
        <v>120</v>
      </c>
      <c r="M143" s="126" t="s">
        <v>41</v>
      </c>
      <c r="O143">
        <f t="shared" si="0"/>
        <v>400</v>
      </c>
    </row>
    <row r="144" spans="1:15" x14ac:dyDescent="0.25">
      <c r="A144" s="142">
        <v>14</v>
      </c>
      <c r="B144" s="192" t="s">
        <v>2014</v>
      </c>
      <c r="C144" s="133" t="s">
        <v>1592</v>
      </c>
      <c r="D144" s="133"/>
      <c r="E144" s="130" t="s">
        <v>127</v>
      </c>
      <c r="F144" s="130" t="s">
        <v>159</v>
      </c>
      <c r="G144" s="130" t="s">
        <v>47</v>
      </c>
      <c r="H144" s="131" t="s">
        <v>2015</v>
      </c>
      <c r="I144" s="130" t="s">
        <v>1794</v>
      </c>
      <c r="J144" s="136">
        <v>250</v>
      </c>
      <c r="K144" s="164">
        <v>50</v>
      </c>
      <c r="L144" s="126" t="s">
        <v>120</v>
      </c>
      <c r="M144" s="126" t="s">
        <v>41</v>
      </c>
      <c r="O144">
        <f t="shared" si="0"/>
        <v>50</v>
      </c>
    </row>
    <row r="145" spans="1:18" x14ac:dyDescent="0.25">
      <c r="A145" s="142">
        <v>14</v>
      </c>
      <c r="B145" s="192" t="s">
        <v>330</v>
      </c>
      <c r="C145" s="133" t="s">
        <v>1216</v>
      </c>
      <c r="D145" s="133"/>
      <c r="E145" s="130" t="s">
        <v>127</v>
      </c>
      <c r="F145" s="130" t="s">
        <v>713</v>
      </c>
      <c r="G145" s="130" t="s">
        <v>57</v>
      </c>
      <c r="H145" s="131" t="s">
        <v>1265</v>
      </c>
      <c r="I145" s="133" t="s">
        <v>1794</v>
      </c>
      <c r="J145" s="136">
        <v>3000</v>
      </c>
      <c r="K145" s="164">
        <v>600</v>
      </c>
      <c r="L145" s="126" t="s">
        <v>120</v>
      </c>
      <c r="M145" s="126" t="s">
        <v>41</v>
      </c>
      <c r="O145">
        <f t="shared" si="0"/>
        <v>600</v>
      </c>
    </row>
    <row r="146" spans="1:18" x14ac:dyDescent="0.25">
      <c r="A146" s="142">
        <v>14</v>
      </c>
      <c r="B146" s="192" t="s">
        <v>496</v>
      </c>
      <c r="C146" s="133" t="s">
        <v>358</v>
      </c>
      <c r="D146" s="133"/>
      <c r="E146" s="130" t="s">
        <v>127</v>
      </c>
      <c r="F146" s="130" t="s">
        <v>1487</v>
      </c>
      <c r="G146" s="130" t="s">
        <v>49</v>
      </c>
      <c r="H146" s="131" t="s">
        <v>2016</v>
      </c>
      <c r="I146" s="130" t="s">
        <v>1794</v>
      </c>
      <c r="J146" s="136">
        <v>500</v>
      </c>
      <c r="K146" s="164">
        <v>100</v>
      </c>
      <c r="L146" s="126" t="s">
        <v>120</v>
      </c>
      <c r="M146" s="126" t="s">
        <v>41</v>
      </c>
      <c r="O146">
        <f t="shared" si="0"/>
        <v>100</v>
      </c>
    </row>
    <row r="147" spans="1:18" x14ac:dyDescent="0.25">
      <c r="A147" s="142">
        <v>14</v>
      </c>
      <c r="B147" s="192" t="s">
        <v>1722</v>
      </c>
      <c r="C147" s="133" t="s">
        <v>994</v>
      </c>
      <c r="D147" s="133"/>
      <c r="E147" s="130" t="s">
        <v>127</v>
      </c>
      <c r="F147" s="130" t="s">
        <v>880</v>
      </c>
      <c r="G147" s="130" t="s">
        <v>60</v>
      </c>
      <c r="H147" s="131"/>
      <c r="I147" s="133" t="s">
        <v>1794</v>
      </c>
      <c r="J147" s="136">
        <v>300</v>
      </c>
      <c r="K147" s="164">
        <v>60</v>
      </c>
      <c r="L147" s="126" t="s">
        <v>120</v>
      </c>
      <c r="M147" s="126" t="s">
        <v>41</v>
      </c>
      <c r="O147">
        <f t="shared" si="0"/>
        <v>60</v>
      </c>
    </row>
    <row r="148" spans="1:18" x14ac:dyDescent="0.25">
      <c r="A148" s="142">
        <v>14</v>
      </c>
      <c r="B148" s="192" t="s">
        <v>2091</v>
      </c>
      <c r="C148" s="133" t="s">
        <v>1167</v>
      </c>
      <c r="D148" s="133"/>
      <c r="E148" s="130" t="s">
        <v>127</v>
      </c>
      <c r="F148" s="130" t="s">
        <v>159</v>
      </c>
      <c r="G148" s="130" t="s">
        <v>47</v>
      </c>
      <c r="H148" s="131"/>
      <c r="I148" s="133" t="s">
        <v>1794</v>
      </c>
      <c r="J148" s="136">
        <v>700</v>
      </c>
      <c r="K148" s="164">
        <v>140</v>
      </c>
      <c r="L148" s="126" t="s">
        <v>120</v>
      </c>
      <c r="M148" s="126" t="s">
        <v>41</v>
      </c>
      <c r="O148">
        <f t="shared" si="0"/>
        <v>140</v>
      </c>
    </row>
    <row r="149" spans="1:18" x14ac:dyDescent="0.25">
      <c r="A149" s="294">
        <v>14</v>
      </c>
      <c r="B149" s="192" t="s">
        <v>661</v>
      </c>
      <c r="C149" s="133" t="s">
        <v>2017</v>
      </c>
      <c r="D149" s="133"/>
      <c r="E149" s="130" t="s">
        <v>127</v>
      </c>
      <c r="F149" s="130" t="s">
        <v>2018</v>
      </c>
      <c r="G149" s="130" t="s">
        <v>46</v>
      </c>
      <c r="H149" s="131" t="s">
        <v>2019</v>
      </c>
      <c r="I149" s="130" t="s">
        <v>1794</v>
      </c>
      <c r="J149" s="136">
        <v>10000</v>
      </c>
      <c r="K149" s="164">
        <v>2000</v>
      </c>
      <c r="L149" s="126" t="s">
        <v>120</v>
      </c>
      <c r="M149" s="126" t="s">
        <v>41</v>
      </c>
      <c r="O149">
        <f t="shared" si="0"/>
        <v>2000</v>
      </c>
    </row>
    <row r="150" spans="1:18" x14ac:dyDescent="0.25">
      <c r="A150" s="142">
        <v>14</v>
      </c>
      <c r="B150" s="192" t="s">
        <v>2020</v>
      </c>
      <c r="C150" s="133" t="s">
        <v>1608</v>
      </c>
      <c r="D150" s="133"/>
      <c r="E150" s="130" t="s">
        <v>127</v>
      </c>
      <c r="F150" s="130" t="s">
        <v>2021</v>
      </c>
      <c r="G150" s="130" t="s">
        <v>49</v>
      </c>
      <c r="H150" s="131"/>
      <c r="I150" s="133" t="s">
        <v>1794</v>
      </c>
      <c r="J150" s="136">
        <v>200</v>
      </c>
      <c r="K150" s="164">
        <v>40</v>
      </c>
      <c r="L150" s="126" t="s">
        <v>120</v>
      </c>
      <c r="M150" s="126" t="s">
        <v>41</v>
      </c>
      <c r="O150">
        <f t="shared" si="0"/>
        <v>40</v>
      </c>
    </row>
    <row r="151" spans="1:18" x14ac:dyDescent="0.25">
      <c r="A151" s="142">
        <v>14</v>
      </c>
      <c r="B151" s="192" t="s">
        <v>2022</v>
      </c>
      <c r="C151" s="133" t="s">
        <v>2023</v>
      </c>
      <c r="D151" s="133"/>
      <c r="E151" s="130" t="s">
        <v>127</v>
      </c>
      <c r="F151" s="130" t="s">
        <v>2024</v>
      </c>
      <c r="G151" s="130" t="s">
        <v>62</v>
      </c>
      <c r="H151" s="131" t="s">
        <v>2025</v>
      </c>
      <c r="I151" s="130" t="s">
        <v>1794</v>
      </c>
      <c r="J151" s="136">
        <v>3000</v>
      </c>
      <c r="K151" s="164">
        <v>600</v>
      </c>
      <c r="L151" s="126" t="s">
        <v>120</v>
      </c>
      <c r="M151" s="126" t="s">
        <v>41</v>
      </c>
      <c r="O151">
        <f t="shared" si="0"/>
        <v>600</v>
      </c>
    </row>
    <row r="152" spans="1:18" x14ac:dyDescent="0.25">
      <c r="A152" s="142">
        <v>14</v>
      </c>
      <c r="B152" s="192" t="s">
        <v>595</v>
      </c>
      <c r="C152" s="133" t="s">
        <v>217</v>
      </c>
      <c r="D152" s="133"/>
      <c r="E152" s="130" t="s">
        <v>127</v>
      </c>
      <c r="F152" s="130" t="s">
        <v>1248</v>
      </c>
      <c r="G152" s="130" t="s">
        <v>56</v>
      </c>
      <c r="H152" s="131"/>
      <c r="I152" s="133" t="s">
        <v>1794</v>
      </c>
      <c r="J152" s="136">
        <v>2500</v>
      </c>
      <c r="K152" s="164">
        <v>500</v>
      </c>
      <c r="L152" s="126" t="s">
        <v>120</v>
      </c>
      <c r="M152" s="126" t="s">
        <v>41</v>
      </c>
      <c r="O152">
        <f t="shared" si="0"/>
        <v>500</v>
      </c>
      <c r="R152" s="57">
        <f>SUM(J136:J139,J142:J145,J152,J130,J105,J98:J99)</f>
        <v>19700</v>
      </c>
    </row>
    <row r="153" spans="1:18" x14ac:dyDescent="0.25">
      <c r="A153" s="142">
        <v>14</v>
      </c>
      <c r="B153" s="192" t="s">
        <v>516</v>
      </c>
      <c r="C153" s="133" t="s">
        <v>517</v>
      </c>
      <c r="D153" s="133"/>
      <c r="E153" s="130" t="s">
        <v>127</v>
      </c>
      <c r="F153" s="130" t="s">
        <v>130</v>
      </c>
      <c r="G153" s="130" t="s">
        <v>43</v>
      </c>
      <c r="H153" s="131" t="s">
        <v>951</v>
      </c>
      <c r="I153" s="133" t="s">
        <v>1794</v>
      </c>
      <c r="J153" s="136">
        <v>10000</v>
      </c>
      <c r="K153" s="164">
        <v>2000</v>
      </c>
      <c r="L153" s="126" t="s">
        <v>120</v>
      </c>
      <c r="M153" s="126" t="s">
        <v>41</v>
      </c>
      <c r="O153">
        <f t="shared" si="0"/>
        <v>2000</v>
      </c>
      <c r="R153" s="57">
        <f>SUM(J153:J156)</f>
        <v>28000</v>
      </c>
    </row>
    <row r="154" spans="1:18" x14ac:dyDescent="0.25">
      <c r="A154" s="142">
        <v>14</v>
      </c>
      <c r="B154" s="192" t="s">
        <v>588</v>
      </c>
      <c r="C154" s="133" t="s">
        <v>589</v>
      </c>
      <c r="D154" s="133"/>
      <c r="E154" s="168" t="s">
        <v>129</v>
      </c>
      <c r="F154" s="130" t="s">
        <v>2026</v>
      </c>
      <c r="G154" s="130" t="s">
        <v>44</v>
      </c>
      <c r="H154" s="131" t="s">
        <v>591</v>
      </c>
      <c r="I154" s="130" t="s">
        <v>1794</v>
      </c>
      <c r="J154" s="136">
        <v>10000</v>
      </c>
      <c r="K154" s="164">
        <v>2000</v>
      </c>
      <c r="L154" s="126" t="s">
        <v>120</v>
      </c>
      <c r="M154" s="126" t="s">
        <v>41</v>
      </c>
      <c r="O154">
        <f t="shared" si="0"/>
        <v>2000</v>
      </c>
    </row>
    <row r="155" spans="1:18" x14ac:dyDescent="0.25">
      <c r="A155" s="142">
        <v>14</v>
      </c>
      <c r="B155" s="192" t="s">
        <v>2027</v>
      </c>
      <c r="C155" s="133" t="s">
        <v>2028</v>
      </c>
      <c r="D155" s="133"/>
      <c r="E155" s="130" t="s">
        <v>127</v>
      </c>
      <c r="F155" s="130" t="s">
        <v>158</v>
      </c>
      <c r="G155" s="130" t="s">
        <v>42</v>
      </c>
      <c r="H155" s="131"/>
      <c r="I155" s="133" t="s">
        <v>1794</v>
      </c>
      <c r="J155" s="136">
        <v>1000</v>
      </c>
      <c r="K155" s="164">
        <v>200</v>
      </c>
      <c r="L155" s="126" t="s">
        <v>120</v>
      </c>
      <c r="M155" s="126" t="s">
        <v>41</v>
      </c>
      <c r="O155">
        <f t="shared" si="0"/>
        <v>200</v>
      </c>
    </row>
    <row r="156" spans="1:18" x14ac:dyDescent="0.25">
      <c r="A156" s="142">
        <v>14</v>
      </c>
      <c r="B156" s="192" t="s">
        <v>197</v>
      </c>
      <c r="C156" s="133" t="s">
        <v>468</v>
      </c>
      <c r="D156" s="133"/>
      <c r="E156" s="168" t="s">
        <v>129</v>
      </c>
      <c r="F156" s="130" t="s">
        <v>130</v>
      </c>
      <c r="G156" s="130" t="s">
        <v>43</v>
      </c>
      <c r="H156" s="131" t="s">
        <v>155</v>
      </c>
      <c r="I156" s="130" t="s">
        <v>1794</v>
      </c>
      <c r="J156" s="136">
        <v>7000</v>
      </c>
      <c r="K156" s="164">
        <v>1400</v>
      </c>
      <c r="L156" s="126" t="s">
        <v>120</v>
      </c>
      <c r="M156" s="126" t="s">
        <v>41</v>
      </c>
      <c r="O156">
        <f t="shared" si="0"/>
        <v>1400</v>
      </c>
    </row>
    <row r="157" spans="1:18" x14ac:dyDescent="0.25">
      <c r="A157" s="142">
        <v>14</v>
      </c>
      <c r="B157" s="192" t="s">
        <v>2029</v>
      </c>
      <c r="C157" s="133" t="s">
        <v>2030</v>
      </c>
      <c r="D157" s="133"/>
      <c r="E157" s="130" t="s">
        <v>127</v>
      </c>
      <c r="F157" s="130" t="s">
        <v>2031</v>
      </c>
      <c r="G157" s="130" t="s">
        <v>69</v>
      </c>
      <c r="H157" s="131" t="s">
        <v>2032</v>
      </c>
      <c r="I157" s="133" t="s">
        <v>1794</v>
      </c>
      <c r="J157" s="136">
        <v>1500</v>
      </c>
      <c r="K157" s="164">
        <v>300</v>
      </c>
      <c r="L157" s="126" t="s">
        <v>120</v>
      </c>
      <c r="M157" s="126" t="s">
        <v>41</v>
      </c>
      <c r="O157">
        <f t="shared" si="0"/>
        <v>300</v>
      </c>
    </row>
    <row r="158" spans="1:18" x14ac:dyDescent="0.25">
      <c r="A158" s="142">
        <v>14</v>
      </c>
      <c r="B158" s="192" t="s">
        <v>1996</v>
      </c>
      <c r="C158" s="133" t="s">
        <v>1771</v>
      </c>
      <c r="D158" s="133"/>
      <c r="E158" s="168" t="s">
        <v>129</v>
      </c>
      <c r="F158" s="130" t="s">
        <v>159</v>
      </c>
      <c r="G158" s="130" t="s">
        <v>79</v>
      </c>
      <c r="H158" s="131"/>
      <c r="I158" s="133" t="s">
        <v>1794</v>
      </c>
      <c r="J158" s="136">
        <v>1000</v>
      </c>
      <c r="K158" s="164">
        <v>200</v>
      </c>
      <c r="L158" s="126" t="s">
        <v>120</v>
      </c>
      <c r="M158" s="126" t="s">
        <v>41</v>
      </c>
      <c r="O158">
        <f t="shared" si="0"/>
        <v>200</v>
      </c>
    </row>
    <row r="159" spans="1:18" x14ac:dyDescent="0.25">
      <c r="A159" s="210">
        <v>14</v>
      </c>
      <c r="B159" s="192" t="s">
        <v>189</v>
      </c>
      <c r="C159" s="133" t="s">
        <v>190</v>
      </c>
      <c r="D159" s="133"/>
      <c r="E159" s="130" t="s">
        <v>127</v>
      </c>
      <c r="F159" s="130" t="s">
        <v>152</v>
      </c>
      <c r="G159" s="130" t="s">
        <v>60</v>
      </c>
      <c r="H159" s="131" t="s">
        <v>2033</v>
      </c>
      <c r="I159" s="130" t="s">
        <v>1794</v>
      </c>
      <c r="J159" s="136">
        <v>2500</v>
      </c>
      <c r="K159" s="164">
        <v>500</v>
      </c>
      <c r="L159" s="126" t="s">
        <v>120</v>
      </c>
      <c r="M159" s="126" t="s">
        <v>41</v>
      </c>
      <c r="O159">
        <f t="shared" si="0"/>
        <v>500</v>
      </c>
    </row>
    <row r="160" spans="1:18" x14ac:dyDescent="0.25">
      <c r="A160" s="142">
        <v>16</v>
      </c>
      <c r="B160" s="192" t="s">
        <v>176</v>
      </c>
      <c r="C160" s="133" t="s">
        <v>608</v>
      </c>
      <c r="D160" s="133"/>
      <c r="E160" s="130" t="s">
        <v>127</v>
      </c>
      <c r="F160" s="130" t="s">
        <v>130</v>
      </c>
      <c r="G160" s="130" t="s">
        <v>43</v>
      </c>
      <c r="H160" s="131"/>
      <c r="I160" s="130" t="s">
        <v>1794</v>
      </c>
      <c r="J160" s="136">
        <v>10000</v>
      </c>
      <c r="K160" s="164">
        <v>2000</v>
      </c>
      <c r="L160" s="126" t="s">
        <v>120</v>
      </c>
      <c r="M160" s="126" t="s">
        <v>41</v>
      </c>
      <c r="O160">
        <f t="shared" si="0"/>
        <v>2000</v>
      </c>
    </row>
    <row r="161" spans="1:15" x14ac:dyDescent="0.25">
      <c r="A161" s="142">
        <v>16</v>
      </c>
      <c r="B161" s="192" t="s">
        <v>2038</v>
      </c>
      <c r="C161" s="133" t="s">
        <v>608</v>
      </c>
      <c r="D161" s="133"/>
      <c r="E161" s="130" t="s">
        <v>127</v>
      </c>
      <c r="F161" s="130" t="s">
        <v>1772</v>
      </c>
      <c r="G161" s="130" t="s">
        <v>49</v>
      </c>
      <c r="H161" s="131" t="s">
        <v>2039</v>
      </c>
      <c r="I161" s="130" t="s">
        <v>1794</v>
      </c>
      <c r="J161" s="136">
        <v>1000</v>
      </c>
      <c r="K161" s="164">
        <v>200</v>
      </c>
      <c r="L161" s="126" t="s">
        <v>120</v>
      </c>
      <c r="M161" s="126" t="s">
        <v>41</v>
      </c>
      <c r="O161">
        <f t="shared" si="0"/>
        <v>200</v>
      </c>
    </row>
    <row r="162" spans="1:15" x14ac:dyDescent="0.25">
      <c r="A162" s="142">
        <v>16</v>
      </c>
      <c r="B162" s="192" t="s">
        <v>2040</v>
      </c>
      <c r="C162" s="133" t="s">
        <v>165</v>
      </c>
      <c r="D162" s="133"/>
      <c r="E162" s="130" t="s">
        <v>127</v>
      </c>
      <c r="F162" s="130" t="s">
        <v>384</v>
      </c>
      <c r="G162" s="130" t="s">
        <v>56</v>
      </c>
      <c r="H162" s="131" t="s">
        <v>2041</v>
      </c>
      <c r="I162" s="130" t="s">
        <v>1794</v>
      </c>
      <c r="J162" s="136">
        <v>1000</v>
      </c>
      <c r="K162" s="164">
        <v>200</v>
      </c>
      <c r="L162" s="126" t="s">
        <v>120</v>
      </c>
      <c r="M162" s="126" t="s">
        <v>41</v>
      </c>
      <c r="O162">
        <f t="shared" si="0"/>
        <v>200</v>
      </c>
    </row>
    <row r="163" spans="1:15" x14ac:dyDescent="0.25">
      <c r="A163" s="142">
        <v>16</v>
      </c>
      <c r="B163" s="192" t="s">
        <v>2042</v>
      </c>
      <c r="C163" s="133" t="s">
        <v>1134</v>
      </c>
      <c r="D163" s="133"/>
      <c r="E163" s="130" t="s">
        <v>127</v>
      </c>
      <c r="F163" s="130" t="s">
        <v>138</v>
      </c>
      <c r="G163" s="130" t="s">
        <v>42</v>
      </c>
      <c r="H163" s="131"/>
      <c r="I163" s="130" t="s">
        <v>1794</v>
      </c>
      <c r="J163" s="136">
        <v>2000</v>
      </c>
      <c r="K163" s="164">
        <v>400</v>
      </c>
      <c r="L163" s="126" t="s">
        <v>120</v>
      </c>
      <c r="M163" s="126" t="s">
        <v>41</v>
      </c>
      <c r="O163">
        <f t="shared" si="0"/>
        <v>400</v>
      </c>
    </row>
    <row r="164" spans="1:15" x14ac:dyDescent="0.25">
      <c r="A164" s="142">
        <v>21</v>
      </c>
      <c r="B164" s="192" t="s">
        <v>2043</v>
      </c>
      <c r="C164" s="133" t="s">
        <v>2044</v>
      </c>
      <c r="D164" s="133"/>
      <c r="E164" s="130" t="s">
        <v>127</v>
      </c>
      <c r="F164" s="130" t="s">
        <v>158</v>
      </c>
      <c r="G164" s="130" t="s">
        <v>42</v>
      </c>
      <c r="H164" s="131"/>
      <c r="I164" s="130" t="s">
        <v>1794</v>
      </c>
      <c r="J164" s="136">
        <v>1000</v>
      </c>
      <c r="K164" s="164">
        <v>200</v>
      </c>
      <c r="L164" s="126" t="s">
        <v>120</v>
      </c>
      <c r="M164" s="126" t="s">
        <v>41</v>
      </c>
      <c r="O164">
        <f t="shared" si="0"/>
        <v>200</v>
      </c>
    </row>
    <row r="165" spans="1:15" x14ac:dyDescent="0.25">
      <c r="A165" s="142">
        <v>21</v>
      </c>
      <c r="B165" s="192" t="s">
        <v>2045</v>
      </c>
      <c r="C165" s="133" t="s">
        <v>2046</v>
      </c>
      <c r="D165" s="133"/>
      <c r="E165" s="130" t="s">
        <v>127</v>
      </c>
      <c r="F165" s="130" t="s">
        <v>1373</v>
      </c>
      <c r="G165" s="130" t="s">
        <v>54</v>
      </c>
      <c r="H165" s="131"/>
      <c r="I165" s="133" t="s">
        <v>1794</v>
      </c>
      <c r="J165" s="136">
        <v>2000</v>
      </c>
      <c r="K165" s="164">
        <v>400</v>
      </c>
      <c r="L165" s="126" t="s">
        <v>120</v>
      </c>
      <c r="M165" s="126" t="s">
        <v>41</v>
      </c>
      <c r="O165">
        <f t="shared" si="0"/>
        <v>400</v>
      </c>
    </row>
    <row r="166" spans="1:15" x14ac:dyDescent="0.25">
      <c r="A166" s="142">
        <v>21</v>
      </c>
      <c r="B166" s="192" t="s">
        <v>2047</v>
      </c>
      <c r="C166" s="133" t="s">
        <v>2090</v>
      </c>
      <c r="D166" s="133"/>
      <c r="E166" s="130" t="s">
        <v>127</v>
      </c>
      <c r="F166" s="130" t="s">
        <v>1487</v>
      </c>
      <c r="G166" s="130" t="s">
        <v>49</v>
      </c>
      <c r="H166" s="131" t="s">
        <v>2048</v>
      </c>
      <c r="I166" s="130" t="s">
        <v>1794</v>
      </c>
      <c r="J166" s="136">
        <v>700</v>
      </c>
      <c r="K166" s="164">
        <v>140</v>
      </c>
      <c r="L166" s="126" t="s">
        <v>120</v>
      </c>
      <c r="M166" s="126" t="s">
        <v>41</v>
      </c>
      <c r="O166">
        <f t="shared" si="0"/>
        <v>140</v>
      </c>
    </row>
    <row r="167" spans="1:15" x14ac:dyDescent="0.25">
      <c r="A167" s="142">
        <v>21</v>
      </c>
      <c r="B167" s="192" t="s">
        <v>2049</v>
      </c>
      <c r="C167" s="133" t="s">
        <v>2050</v>
      </c>
      <c r="D167" s="133"/>
      <c r="E167" s="130" t="s">
        <v>127</v>
      </c>
      <c r="F167" s="130" t="s">
        <v>2051</v>
      </c>
      <c r="G167" s="130" t="s">
        <v>45</v>
      </c>
      <c r="H167" s="131" t="s">
        <v>2052</v>
      </c>
      <c r="I167" s="130" t="s">
        <v>1794</v>
      </c>
      <c r="J167" s="136">
        <v>200</v>
      </c>
      <c r="K167" s="164">
        <v>40</v>
      </c>
      <c r="L167" s="126" t="s">
        <v>120</v>
      </c>
      <c r="M167" s="126" t="s">
        <v>41</v>
      </c>
      <c r="O167">
        <f t="shared" si="0"/>
        <v>40</v>
      </c>
    </row>
    <row r="168" spans="1:15" x14ac:dyDescent="0.25">
      <c r="A168" s="142">
        <v>21</v>
      </c>
      <c r="B168" s="192" t="s">
        <v>810</v>
      </c>
      <c r="C168" s="133" t="s">
        <v>1398</v>
      </c>
      <c r="D168" s="133"/>
      <c r="E168" s="130" t="s">
        <v>127</v>
      </c>
      <c r="F168" s="130" t="s">
        <v>821</v>
      </c>
      <c r="G168" s="130" t="s">
        <v>43</v>
      </c>
      <c r="H168" s="131"/>
      <c r="I168" s="133" t="s">
        <v>1794</v>
      </c>
      <c r="J168" s="136">
        <v>2000</v>
      </c>
      <c r="K168" s="164">
        <v>400</v>
      </c>
      <c r="L168" s="126" t="s">
        <v>120</v>
      </c>
      <c r="M168" s="126" t="s">
        <v>41</v>
      </c>
      <c r="O168">
        <f t="shared" si="0"/>
        <v>400</v>
      </c>
    </row>
    <row r="169" spans="1:15" x14ac:dyDescent="0.25">
      <c r="A169" s="210">
        <v>21</v>
      </c>
      <c r="B169" s="192" t="s">
        <v>2053</v>
      </c>
      <c r="C169" s="133" t="s">
        <v>2054</v>
      </c>
      <c r="D169" s="133"/>
      <c r="E169" s="130" t="s">
        <v>127</v>
      </c>
      <c r="F169" s="130" t="s">
        <v>364</v>
      </c>
      <c r="G169" s="130" t="s">
        <v>69</v>
      </c>
      <c r="H169" s="131"/>
      <c r="I169" s="130" t="s">
        <v>1794</v>
      </c>
      <c r="J169" s="136">
        <v>1500</v>
      </c>
      <c r="K169" s="164">
        <v>300</v>
      </c>
      <c r="L169" s="126" t="s">
        <v>120</v>
      </c>
      <c r="M169" s="126" t="s">
        <v>41</v>
      </c>
      <c r="O169">
        <f t="shared" si="0"/>
        <v>300</v>
      </c>
    </row>
    <row r="170" spans="1:15" x14ac:dyDescent="0.25">
      <c r="A170" s="142">
        <v>21</v>
      </c>
      <c r="B170" s="192" t="s">
        <v>580</v>
      </c>
      <c r="C170" s="133" t="s">
        <v>165</v>
      </c>
      <c r="D170" s="133"/>
      <c r="E170" s="130" t="s">
        <v>127</v>
      </c>
      <c r="F170" s="130" t="s">
        <v>2055</v>
      </c>
      <c r="G170" s="130" t="s">
        <v>58</v>
      </c>
      <c r="H170" s="131"/>
      <c r="I170" s="130" t="s">
        <v>1794</v>
      </c>
      <c r="J170" s="136">
        <v>200</v>
      </c>
      <c r="K170" s="164">
        <v>40</v>
      </c>
      <c r="L170" s="126" t="s">
        <v>120</v>
      </c>
      <c r="M170" s="126" t="s">
        <v>41</v>
      </c>
      <c r="O170">
        <f t="shared" si="0"/>
        <v>40</v>
      </c>
    </row>
    <row r="171" spans="1:15" x14ac:dyDescent="0.25">
      <c r="A171" s="142">
        <v>21</v>
      </c>
      <c r="B171" s="192" t="s">
        <v>2056</v>
      </c>
      <c r="C171" s="133" t="s">
        <v>2057</v>
      </c>
      <c r="D171" s="133"/>
      <c r="E171" s="130" t="s">
        <v>127</v>
      </c>
      <c r="F171" s="130" t="s">
        <v>159</v>
      </c>
      <c r="G171" s="130" t="s">
        <v>54</v>
      </c>
      <c r="H171" s="131" t="s">
        <v>2058</v>
      </c>
      <c r="I171" s="130" t="s">
        <v>1794</v>
      </c>
      <c r="J171" s="136">
        <v>500</v>
      </c>
      <c r="K171" s="164">
        <v>100</v>
      </c>
      <c r="L171" s="126" t="s">
        <v>120</v>
      </c>
      <c r="M171" s="126" t="s">
        <v>41</v>
      </c>
      <c r="O171">
        <f t="shared" si="0"/>
        <v>100</v>
      </c>
    </row>
    <row r="172" spans="1:15" x14ac:dyDescent="0.25">
      <c r="A172" s="142">
        <v>21</v>
      </c>
      <c r="B172" s="192" t="s">
        <v>1092</v>
      </c>
      <c r="C172" s="133" t="s">
        <v>531</v>
      </c>
      <c r="D172" s="133"/>
      <c r="E172" s="130" t="s">
        <v>127</v>
      </c>
      <c r="F172" s="130" t="s">
        <v>769</v>
      </c>
      <c r="G172" s="130" t="s">
        <v>47</v>
      </c>
      <c r="H172" s="131" t="s">
        <v>2059</v>
      </c>
      <c r="I172" s="130" t="s">
        <v>1794</v>
      </c>
      <c r="J172" s="136">
        <v>300</v>
      </c>
      <c r="K172" s="164">
        <v>60</v>
      </c>
      <c r="L172" s="126" t="s">
        <v>120</v>
      </c>
      <c r="M172" s="126" t="s">
        <v>41</v>
      </c>
      <c r="O172">
        <f t="shared" si="0"/>
        <v>60</v>
      </c>
    </row>
    <row r="173" spans="1:15" x14ac:dyDescent="0.25">
      <c r="A173" s="142">
        <v>21</v>
      </c>
      <c r="B173" s="192" t="s">
        <v>921</v>
      </c>
      <c r="C173" s="133" t="s">
        <v>2060</v>
      </c>
      <c r="D173" s="133"/>
      <c r="E173" s="130" t="s">
        <v>127</v>
      </c>
      <c r="F173" s="130" t="s">
        <v>159</v>
      </c>
      <c r="G173" s="130" t="s">
        <v>47</v>
      </c>
      <c r="H173" s="131"/>
      <c r="I173" s="130" t="s">
        <v>1794</v>
      </c>
      <c r="J173" s="136">
        <v>300</v>
      </c>
      <c r="K173" s="164">
        <v>60</v>
      </c>
      <c r="L173" s="126" t="s">
        <v>120</v>
      </c>
      <c r="M173" s="126" t="s">
        <v>41</v>
      </c>
      <c r="O173">
        <f t="shared" si="0"/>
        <v>60</v>
      </c>
    </row>
    <row r="174" spans="1:15" x14ac:dyDescent="0.25">
      <c r="A174" s="142">
        <v>21</v>
      </c>
      <c r="B174" s="192" t="s">
        <v>2061</v>
      </c>
      <c r="C174" s="133" t="s">
        <v>137</v>
      </c>
      <c r="D174" s="133"/>
      <c r="E174" s="168" t="s">
        <v>129</v>
      </c>
      <c r="F174" s="130" t="s">
        <v>649</v>
      </c>
      <c r="G174" s="130" t="s">
        <v>48</v>
      </c>
      <c r="H174" s="131" t="s">
        <v>2062</v>
      </c>
      <c r="I174" s="130" t="s">
        <v>1794</v>
      </c>
      <c r="J174" s="136">
        <v>500</v>
      </c>
      <c r="K174" s="164">
        <v>100</v>
      </c>
      <c r="L174" s="126" t="s">
        <v>120</v>
      </c>
      <c r="M174" s="126" t="s">
        <v>41</v>
      </c>
      <c r="O174">
        <f t="shared" si="0"/>
        <v>100</v>
      </c>
    </row>
    <row r="175" spans="1:15" x14ac:dyDescent="0.25">
      <c r="A175" s="142">
        <v>21</v>
      </c>
      <c r="B175" s="192" t="s">
        <v>1178</v>
      </c>
      <c r="C175" s="133" t="s">
        <v>1179</v>
      </c>
      <c r="D175" s="133"/>
      <c r="E175" s="130" t="s">
        <v>127</v>
      </c>
      <c r="F175" s="130" t="s">
        <v>1180</v>
      </c>
      <c r="G175" s="130" t="s">
        <v>55</v>
      </c>
      <c r="H175" s="131"/>
      <c r="I175" s="130" t="s">
        <v>1794</v>
      </c>
      <c r="J175" s="136">
        <v>1000</v>
      </c>
      <c r="K175" s="164">
        <v>200</v>
      </c>
      <c r="L175" s="126" t="s">
        <v>120</v>
      </c>
      <c r="M175" s="126" t="s">
        <v>41</v>
      </c>
      <c r="O175">
        <f t="shared" si="0"/>
        <v>200</v>
      </c>
    </row>
    <row r="176" spans="1:15" x14ac:dyDescent="0.25">
      <c r="A176" s="142">
        <v>21</v>
      </c>
      <c r="B176" s="192" t="s">
        <v>2063</v>
      </c>
      <c r="C176" s="133" t="s">
        <v>2064</v>
      </c>
      <c r="D176" s="133"/>
      <c r="E176" s="168" t="s">
        <v>129</v>
      </c>
      <c r="F176" s="130" t="s">
        <v>2065</v>
      </c>
      <c r="G176" s="130" t="s">
        <v>64</v>
      </c>
      <c r="H176" s="131"/>
      <c r="I176" s="130" t="s">
        <v>1794</v>
      </c>
      <c r="J176" s="136">
        <v>1000</v>
      </c>
      <c r="K176" s="164">
        <v>200</v>
      </c>
      <c r="L176" s="126" t="s">
        <v>120</v>
      </c>
      <c r="M176" s="126" t="s">
        <v>41</v>
      </c>
      <c r="O176">
        <f t="shared" si="0"/>
        <v>200</v>
      </c>
    </row>
    <row r="177" spans="1:15" x14ac:dyDescent="0.25">
      <c r="A177" s="142">
        <v>21</v>
      </c>
      <c r="B177" s="192" t="s">
        <v>870</v>
      </c>
      <c r="C177" s="133" t="s">
        <v>871</v>
      </c>
      <c r="D177" s="133"/>
      <c r="E177" s="130" t="s">
        <v>127</v>
      </c>
      <c r="F177" s="130" t="s">
        <v>872</v>
      </c>
      <c r="G177" s="130" t="s">
        <v>58</v>
      </c>
      <c r="H177" s="131"/>
      <c r="I177" s="130" t="s">
        <v>1794</v>
      </c>
      <c r="J177" s="136">
        <v>1000</v>
      </c>
      <c r="K177" s="164">
        <v>200</v>
      </c>
      <c r="L177" s="126" t="s">
        <v>120</v>
      </c>
      <c r="M177" s="126" t="s">
        <v>41</v>
      </c>
      <c r="O177">
        <f t="shared" si="0"/>
        <v>200</v>
      </c>
    </row>
    <row r="178" spans="1:15" x14ac:dyDescent="0.25">
      <c r="A178" s="142">
        <v>21</v>
      </c>
      <c r="B178" s="192" t="s">
        <v>870</v>
      </c>
      <c r="C178" s="133" t="s">
        <v>871</v>
      </c>
      <c r="D178" s="133"/>
      <c r="E178" s="130" t="s">
        <v>127</v>
      </c>
      <c r="F178" s="130" t="s">
        <v>872</v>
      </c>
      <c r="G178" s="130" t="s">
        <v>58</v>
      </c>
      <c r="H178" s="131"/>
      <c r="I178" s="240" t="s">
        <v>145</v>
      </c>
      <c r="J178" s="136">
        <v>500</v>
      </c>
      <c r="K178" s="164">
        <v>100</v>
      </c>
      <c r="L178" s="126" t="s">
        <v>120</v>
      </c>
      <c r="M178" s="126" t="s">
        <v>41</v>
      </c>
      <c r="O178">
        <f t="shared" si="0"/>
        <v>100</v>
      </c>
    </row>
    <row r="179" spans="1:15" x14ac:dyDescent="0.25">
      <c r="A179" s="142">
        <v>21</v>
      </c>
      <c r="B179" s="192" t="s">
        <v>1031</v>
      </c>
      <c r="C179" s="133" t="s">
        <v>2066</v>
      </c>
      <c r="D179" s="133"/>
      <c r="E179" s="130" t="s">
        <v>127</v>
      </c>
      <c r="F179" s="130" t="s">
        <v>184</v>
      </c>
      <c r="G179" s="130" t="s">
        <v>42</v>
      </c>
      <c r="H179" s="131"/>
      <c r="I179" s="130" t="s">
        <v>1794</v>
      </c>
      <c r="J179" s="136">
        <v>19000</v>
      </c>
      <c r="K179" s="164">
        <v>3800</v>
      </c>
      <c r="L179" s="126" t="s">
        <v>120</v>
      </c>
      <c r="M179" s="126" t="s">
        <v>41</v>
      </c>
      <c r="O179">
        <f t="shared" si="0"/>
        <v>3800</v>
      </c>
    </row>
    <row r="180" spans="1:15" x14ac:dyDescent="0.25">
      <c r="A180" s="142">
        <v>21</v>
      </c>
      <c r="B180" s="192" t="s">
        <v>868</v>
      </c>
      <c r="C180" s="133" t="s">
        <v>1529</v>
      </c>
      <c r="D180" s="133"/>
      <c r="E180" s="130" t="s">
        <v>127</v>
      </c>
      <c r="F180" s="130" t="s">
        <v>706</v>
      </c>
      <c r="G180" s="130" t="s">
        <v>45</v>
      </c>
      <c r="H180" s="131" t="s">
        <v>2067</v>
      </c>
      <c r="I180" s="256" t="s">
        <v>1357</v>
      </c>
      <c r="J180" s="136">
        <v>1000</v>
      </c>
      <c r="K180" s="164">
        <v>500</v>
      </c>
      <c r="L180" s="126" t="s">
        <v>120</v>
      </c>
      <c r="M180" s="126" t="s">
        <v>41</v>
      </c>
      <c r="O180">
        <f t="shared" si="0"/>
        <v>200</v>
      </c>
    </row>
    <row r="181" spans="1:15" x14ac:dyDescent="0.25">
      <c r="A181" s="210">
        <v>21</v>
      </c>
      <c r="B181" s="192" t="s">
        <v>2068</v>
      </c>
      <c r="C181" s="133" t="s">
        <v>2069</v>
      </c>
      <c r="D181" s="133"/>
      <c r="E181" s="130" t="s">
        <v>127</v>
      </c>
      <c r="F181" s="130" t="s">
        <v>152</v>
      </c>
      <c r="G181" s="130" t="s">
        <v>60</v>
      </c>
      <c r="H181" s="131"/>
      <c r="I181" s="130" t="s">
        <v>1794</v>
      </c>
      <c r="J181" s="136">
        <v>1000</v>
      </c>
      <c r="K181" s="164">
        <v>200</v>
      </c>
      <c r="L181" s="126" t="s">
        <v>120</v>
      </c>
      <c r="M181" s="126" t="s">
        <v>41</v>
      </c>
      <c r="O181">
        <f t="shared" si="0"/>
        <v>200</v>
      </c>
    </row>
    <row r="182" spans="1:15" x14ac:dyDescent="0.25">
      <c r="A182" s="142">
        <v>22</v>
      </c>
      <c r="B182" s="192" t="s">
        <v>2071</v>
      </c>
      <c r="C182" s="133" t="s">
        <v>1660</v>
      </c>
      <c r="D182" s="133"/>
      <c r="E182" s="130" t="s">
        <v>127</v>
      </c>
      <c r="F182" s="130" t="s">
        <v>128</v>
      </c>
      <c r="G182" s="130" t="s">
        <v>54</v>
      </c>
      <c r="H182" s="131"/>
      <c r="I182" s="130" t="s">
        <v>1794</v>
      </c>
      <c r="J182" s="136">
        <v>2000</v>
      </c>
      <c r="K182" s="164">
        <v>400</v>
      </c>
      <c r="L182" s="126" t="s">
        <v>120</v>
      </c>
      <c r="M182" s="126" t="s">
        <v>41</v>
      </c>
      <c r="O182">
        <f t="shared" si="0"/>
        <v>400</v>
      </c>
    </row>
    <row r="183" spans="1:15" x14ac:dyDescent="0.25">
      <c r="A183" s="142">
        <v>22</v>
      </c>
      <c r="B183" s="192" t="s">
        <v>516</v>
      </c>
      <c r="C183" s="133" t="s">
        <v>2072</v>
      </c>
      <c r="D183" s="133"/>
      <c r="E183" s="130" t="s">
        <v>127</v>
      </c>
      <c r="F183" s="130" t="s">
        <v>130</v>
      </c>
      <c r="G183" s="130" t="s">
        <v>43</v>
      </c>
      <c r="H183" s="131"/>
      <c r="I183" s="130" t="s">
        <v>1794</v>
      </c>
      <c r="J183" s="136">
        <v>100</v>
      </c>
      <c r="K183" s="164" t="s">
        <v>123</v>
      </c>
      <c r="L183" s="126" t="s">
        <v>120</v>
      </c>
      <c r="M183" s="126" t="s">
        <v>41</v>
      </c>
      <c r="O183">
        <f t="shared" si="0"/>
        <v>20</v>
      </c>
    </row>
    <row r="184" spans="1:15" x14ac:dyDescent="0.25">
      <c r="A184" s="142">
        <v>24</v>
      </c>
      <c r="B184" s="192" t="s">
        <v>1156</v>
      </c>
      <c r="C184" s="133" t="s">
        <v>1157</v>
      </c>
      <c r="D184" s="133"/>
      <c r="E184" s="168" t="s">
        <v>129</v>
      </c>
      <c r="F184" s="130" t="s">
        <v>1148</v>
      </c>
      <c r="G184" s="130" t="s">
        <v>43</v>
      </c>
      <c r="H184" s="131"/>
      <c r="I184" s="130" t="s">
        <v>1794</v>
      </c>
      <c r="J184" s="136">
        <v>1000</v>
      </c>
      <c r="K184" s="164">
        <v>200</v>
      </c>
      <c r="L184" s="126" t="s">
        <v>120</v>
      </c>
      <c r="M184" s="126" t="s">
        <v>41</v>
      </c>
      <c r="O184">
        <f t="shared" si="0"/>
        <v>200</v>
      </c>
    </row>
    <row r="185" spans="1:15" x14ac:dyDescent="0.25">
      <c r="A185" s="142">
        <v>24</v>
      </c>
      <c r="B185" s="192" t="s">
        <v>2080</v>
      </c>
      <c r="C185" s="133" t="s">
        <v>2081</v>
      </c>
      <c r="D185" s="133"/>
      <c r="E185" s="130" t="s">
        <v>127</v>
      </c>
      <c r="F185" s="130" t="s">
        <v>2082</v>
      </c>
      <c r="G185" s="130" t="s">
        <v>49</v>
      </c>
      <c r="H185" s="131" t="s">
        <v>2083</v>
      </c>
      <c r="I185" s="130" t="s">
        <v>1794</v>
      </c>
      <c r="J185" s="136">
        <v>1500</v>
      </c>
      <c r="K185" s="164">
        <v>300</v>
      </c>
      <c r="L185" s="126" t="s">
        <v>120</v>
      </c>
      <c r="M185" s="126" t="s">
        <v>41</v>
      </c>
      <c r="O185">
        <f t="shared" si="0"/>
        <v>300</v>
      </c>
    </row>
    <row r="186" spans="1:15" x14ac:dyDescent="0.25">
      <c r="A186" s="210">
        <v>24</v>
      </c>
      <c r="B186" s="192" t="s">
        <v>2084</v>
      </c>
      <c r="C186" s="133" t="s">
        <v>2085</v>
      </c>
      <c r="D186" s="133"/>
      <c r="E186" s="130" t="s">
        <v>127</v>
      </c>
      <c r="F186" s="130"/>
      <c r="G186" s="130" t="s">
        <v>50</v>
      </c>
      <c r="H186" s="131"/>
      <c r="I186" s="130" t="s">
        <v>1794</v>
      </c>
      <c r="J186" s="136">
        <v>3000</v>
      </c>
      <c r="K186" s="164">
        <v>600</v>
      </c>
      <c r="L186" s="126" t="s">
        <v>120</v>
      </c>
      <c r="M186" s="126" t="s">
        <v>41</v>
      </c>
      <c r="O186">
        <f t="shared" si="0"/>
        <v>600</v>
      </c>
    </row>
    <row r="187" spans="1:15" x14ac:dyDescent="0.25">
      <c r="A187" s="142"/>
      <c r="B187" s="192"/>
      <c r="C187" s="133"/>
      <c r="D187" s="133"/>
      <c r="E187" s="130"/>
      <c r="F187" s="130"/>
      <c r="G187" s="130"/>
      <c r="H187" s="131"/>
      <c r="I187" s="130"/>
      <c r="J187" s="136"/>
      <c r="K187" s="164"/>
      <c r="L187" s="126"/>
      <c r="M187" s="126"/>
    </row>
    <row r="188" spans="1:15" x14ac:dyDescent="0.25">
      <c r="A188" s="142"/>
      <c r="B188" s="192"/>
      <c r="C188" s="133"/>
      <c r="D188" s="133"/>
      <c r="E188" s="130"/>
      <c r="F188" s="130"/>
      <c r="G188" s="130"/>
      <c r="H188" s="131"/>
      <c r="I188" s="130"/>
      <c r="J188" s="136"/>
      <c r="K188" s="164"/>
      <c r="L188" s="126"/>
      <c r="M188" s="126"/>
    </row>
    <row r="189" spans="1:15" x14ac:dyDescent="0.25">
      <c r="A189" s="142"/>
      <c r="B189" s="192"/>
      <c r="C189" s="133"/>
      <c r="D189" s="133"/>
      <c r="E189" s="130"/>
      <c r="F189" s="130"/>
      <c r="G189" s="130"/>
      <c r="H189" s="131"/>
      <c r="I189" s="130"/>
      <c r="J189" s="136"/>
      <c r="K189" s="164"/>
      <c r="L189" s="126"/>
      <c r="M189" s="126"/>
    </row>
    <row r="190" spans="1:15" x14ac:dyDescent="0.25">
      <c r="A190" s="142"/>
      <c r="B190" s="192"/>
      <c r="C190" s="133"/>
      <c r="D190" s="133"/>
      <c r="E190" s="130"/>
      <c r="F190" s="130"/>
      <c r="G190" s="130"/>
      <c r="H190" s="131"/>
      <c r="I190" s="130"/>
      <c r="J190" s="136"/>
      <c r="K190" s="164"/>
      <c r="L190" s="126"/>
      <c r="M190" s="126"/>
    </row>
    <row r="191" spans="1:15" x14ac:dyDescent="0.25">
      <c r="A191" s="142"/>
      <c r="B191" s="192"/>
      <c r="C191" s="133"/>
      <c r="D191" s="133"/>
      <c r="E191" s="130"/>
      <c r="F191" s="130"/>
      <c r="G191" s="130"/>
      <c r="H191" s="131"/>
      <c r="I191" s="130"/>
      <c r="J191" s="136"/>
      <c r="K191" s="164"/>
      <c r="L191" s="126"/>
      <c r="M191" s="126"/>
    </row>
    <row r="192" spans="1:15" x14ac:dyDescent="0.25">
      <c r="A192" s="142"/>
      <c r="B192" s="193"/>
      <c r="C192" s="77"/>
      <c r="D192" s="77"/>
      <c r="E192" s="126"/>
      <c r="F192" s="126"/>
      <c r="G192" s="126"/>
      <c r="H192" s="127"/>
      <c r="I192" s="126"/>
      <c r="J192" s="134"/>
      <c r="K192" s="135"/>
      <c r="L192" s="126"/>
      <c r="M192" s="126"/>
      <c r="O192">
        <f>SUM(O12:O155)</f>
        <v>52616</v>
      </c>
    </row>
    <row r="193" spans="1:18" x14ac:dyDescent="0.25">
      <c r="A193" s="169"/>
      <c r="B193" s="190"/>
      <c r="J193" s="25"/>
      <c r="K193" s="88"/>
    </row>
    <row r="195" spans="1:18" x14ac:dyDescent="0.25">
      <c r="K195" s="90"/>
      <c r="L195" s="26"/>
    </row>
    <row r="196" spans="1:18" ht="16.5" customHeight="1" x14ac:dyDescent="0.25">
      <c r="C196" t="s">
        <v>20</v>
      </c>
      <c r="G196" t="s">
        <v>21</v>
      </c>
      <c r="K196" s="79" t="s">
        <v>103</v>
      </c>
      <c r="L196" s="94"/>
      <c r="R196" s="25"/>
    </row>
    <row r="197" spans="1:18" x14ac:dyDescent="0.25">
      <c r="K197" s="79" t="s">
        <v>104</v>
      </c>
      <c r="L197" s="94"/>
      <c r="M197" s="57"/>
    </row>
    <row r="198" spans="1:18" x14ac:dyDescent="0.25">
      <c r="K198" s="79" t="s">
        <v>119</v>
      </c>
      <c r="L198" s="95"/>
    </row>
    <row r="199" spans="1:18" x14ac:dyDescent="0.25">
      <c r="C199" s="91" t="s">
        <v>173</v>
      </c>
      <c r="D199" s="91"/>
      <c r="G199" s="391" t="s">
        <v>125</v>
      </c>
      <c r="H199" s="391"/>
      <c r="I199" s="391"/>
      <c r="J199" s="391"/>
      <c r="K199" s="79" t="s">
        <v>160</v>
      </c>
      <c r="L199" s="95"/>
    </row>
    <row r="200" spans="1:18" x14ac:dyDescent="0.25">
      <c r="C200" t="s">
        <v>153</v>
      </c>
      <c r="G200" s="392" t="s">
        <v>126</v>
      </c>
      <c r="H200" s="392"/>
      <c r="I200" s="392"/>
      <c r="J200" s="392"/>
      <c r="K200" s="79" t="s">
        <v>105</v>
      </c>
      <c r="L200" s="94"/>
    </row>
    <row r="201" spans="1:18" x14ac:dyDescent="0.25">
      <c r="K201" s="79" t="s">
        <v>106</v>
      </c>
      <c r="L201" s="95"/>
    </row>
    <row r="202" spans="1:18" x14ac:dyDescent="0.25">
      <c r="K202" s="79" t="s">
        <v>108</v>
      </c>
      <c r="L202" s="170"/>
    </row>
    <row r="203" spans="1:18" x14ac:dyDescent="0.25">
      <c r="K203" s="79" t="s">
        <v>22</v>
      </c>
      <c r="L203" s="95"/>
    </row>
    <row r="204" spans="1:18" x14ac:dyDescent="0.25">
      <c r="C204" s="27"/>
      <c r="D204" s="27"/>
      <c r="G204" s="27"/>
      <c r="H204" s="27"/>
      <c r="I204" s="27"/>
      <c r="K204" s="92" t="s">
        <v>101</v>
      </c>
      <c r="L204" s="58"/>
    </row>
    <row r="205" spans="1:18" x14ac:dyDescent="0.25">
      <c r="K205" s="92" t="s">
        <v>102</v>
      </c>
      <c r="L205" s="26"/>
    </row>
    <row r="206" spans="1:18" x14ac:dyDescent="0.25">
      <c r="K206" s="79"/>
      <c r="L206" s="26"/>
    </row>
    <row r="207" spans="1:18" x14ac:dyDescent="0.25">
      <c r="K207" s="79"/>
      <c r="L207" s="58"/>
    </row>
    <row r="208" spans="1:18" x14ac:dyDescent="0.25">
      <c r="K208" s="79"/>
      <c r="L208" s="58"/>
    </row>
    <row r="228" spans="14:14" x14ac:dyDescent="0.25">
      <c r="N228" s="25"/>
    </row>
    <row r="251" spans="14:14" x14ac:dyDescent="0.25">
      <c r="N251" s="25"/>
    </row>
    <row r="378" spans="14:14" x14ac:dyDescent="0.25">
      <c r="N378" s="25"/>
    </row>
  </sheetData>
  <mergeCells count="8">
    <mergeCell ref="G199:J199"/>
    <mergeCell ref="G200:J200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486A-576F-4C10-84C8-A1B4BDBED89C}">
  <sheetPr>
    <tabColor theme="5"/>
  </sheetPr>
  <dimension ref="A1:O41"/>
  <sheetViews>
    <sheetView view="pageBreakPreview" topLeftCell="A18" zoomScale="96" zoomScaleNormal="100" zoomScaleSheetLayoutView="96" workbookViewId="0">
      <selection activeCell="J21" sqref="J21:L2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4.2851562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1589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2</v>
      </c>
      <c r="B12" s="194" t="s">
        <v>1619</v>
      </c>
      <c r="C12" s="177"/>
      <c r="D12" s="176"/>
      <c r="E12" s="194" t="s">
        <v>1620</v>
      </c>
      <c r="F12" s="131" t="s">
        <v>1621</v>
      </c>
      <c r="G12" s="176" t="s">
        <v>1622</v>
      </c>
      <c r="H12" s="191" t="s">
        <v>579</v>
      </c>
      <c r="I12" s="244">
        <v>12000</v>
      </c>
      <c r="J12" s="123" t="s">
        <v>123</v>
      </c>
      <c r="K12" s="77" t="s">
        <v>1311</v>
      </c>
      <c r="L12" s="117" t="s">
        <v>41</v>
      </c>
    </row>
    <row r="13" spans="1:15" ht="33.75" customHeight="1" x14ac:dyDescent="0.25">
      <c r="A13" s="172">
        <v>10</v>
      </c>
      <c r="B13" s="194" t="s">
        <v>1675</v>
      </c>
      <c r="C13" s="177"/>
      <c r="D13" s="176" t="s">
        <v>1676</v>
      </c>
      <c r="E13" s="176" t="s">
        <v>750</v>
      </c>
      <c r="F13" s="179"/>
      <c r="G13" s="179" t="s">
        <v>1677</v>
      </c>
      <c r="H13" s="191" t="s">
        <v>1357</v>
      </c>
      <c r="I13" s="198">
        <v>30000</v>
      </c>
      <c r="J13" s="123" t="s">
        <v>123</v>
      </c>
      <c r="K13" s="77" t="s">
        <v>1310</v>
      </c>
      <c r="L13" s="117" t="s">
        <v>41</v>
      </c>
      <c r="M13" s="105"/>
    </row>
    <row r="14" spans="1:15" ht="33.75" customHeight="1" x14ac:dyDescent="0.25">
      <c r="A14" s="239">
        <v>10</v>
      </c>
      <c r="B14" s="187" t="s">
        <v>1043</v>
      </c>
      <c r="C14" s="177"/>
      <c r="D14" s="176" t="s">
        <v>150</v>
      </c>
      <c r="E14" s="194" t="s">
        <v>48</v>
      </c>
      <c r="F14" s="179" t="s">
        <v>1680</v>
      </c>
      <c r="G14" s="176" t="s">
        <v>315</v>
      </c>
      <c r="H14" s="176" t="s">
        <v>145</v>
      </c>
      <c r="I14" s="186">
        <v>15000</v>
      </c>
      <c r="J14" s="123" t="s">
        <v>123</v>
      </c>
      <c r="K14" s="77"/>
      <c r="L14" s="117" t="s">
        <v>41</v>
      </c>
      <c r="M14" s="105"/>
      <c r="O14" s="57"/>
    </row>
    <row r="15" spans="1:15" ht="32.25" customHeight="1" x14ac:dyDescent="0.25">
      <c r="A15" s="173">
        <v>18</v>
      </c>
      <c r="B15" s="187" t="s">
        <v>451</v>
      </c>
      <c r="C15" s="182"/>
      <c r="D15" s="185" t="s">
        <v>452</v>
      </c>
      <c r="E15" s="187" t="s">
        <v>69</v>
      </c>
      <c r="F15" s="179" t="s">
        <v>453</v>
      </c>
      <c r="G15" s="185" t="s">
        <v>454</v>
      </c>
      <c r="H15" s="185" t="s">
        <v>40</v>
      </c>
      <c r="I15" s="186">
        <v>6000</v>
      </c>
      <c r="J15" s="123" t="s">
        <v>123</v>
      </c>
      <c r="K15" s="77" t="s">
        <v>1311</v>
      </c>
      <c r="L15" s="117" t="s">
        <v>41</v>
      </c>
      <c r="O15" s="57"/>
    </row>
    <row r="16" spans="1:15" ht="26.25" customHeight="1" x14ac:dyDescent="0.25">
      <c r="A16" s="173">
        <v>23</v>
      </c>
      <c r="B16" s="187" t="s">
        <v>1043</v>
      </c>
      <c r="C16" s="182"/>
      <c r="D16" s="185" t="s">
        <v>150</v>
      </c>
      <c r="E16" s="187" t="s">
        <v>48</v>
      </c>
      <c r="F16" s="179" t="s">
        <v>502</v>
      </c>
      <c r="G16" s="185" t="s">
        <v>503</v>
      </c>
      <c r="H16" s="245" t="s">
        <v>1287</v>
      </c>
      <c r="I16" s="186">
        <v>10000</v>
      </c>
      <c r="J16" s="123" t="s">
        <v>123</v>
      </c>
      <c r="K16" s="77"/>
      <c r="L16" s="117" t="s">
        <v>41</v>
      </c>
      <c r="O16" s="57"/>
    </row>
    <row r="17" spans="1:15" ht="36" customHeight="1" x14ac:dyDescent="0.25">
      <c r="A17" s="239">
        <v>23</v>
      </c>
      <c r="B17" s="194" t="s">
        <v>1755</v>
      </c>
      <c r="C17" s="177"/>
      <c r="D17" s="176" t="s">
        <v>949</v>
      </c>
      <c r="E17" s="176" t="s">
        <v>43</v>
      </c>
      <c r="F17" s="179" t="s">
        <v>1756</v>
      </c>
      <c r="G17" s="185" t="s">
        <v>1757</v>
      </c>
      <c r="H17" s="245" t="s">
        <v>1287</v>
      </c>
      <c r="I17" s="186">
        <v>500</v>
      </c>
      <c r="J17" s="123" t="s">
        <v>123</v>
      </c>
      <c r="K17" s="77"/>
      <c r="L17" s="117" t="s">
        <v>41</v>
      </c>
      <c r="O17" s="57"/>
    </row>
    <row r="18" spans="1:15" ht="47.25" customHeight="1" x14ac:dyDescent="0.25">
      <c r="A18" s="173">
        <v>24</v>
      </c>
      <c r="B18" s="187" t="s">
        <v>1774</v>
      </c>
      <c r="C18" s="182"/>
      <c r="D18" s="183"/>
      <c r="E18" s="187" t="s">
        <v>1775</v>
      </c>
      <c r="F18" s="179" t="s">
        <v>1776</v>
      </c>
      <c r="G18" s="185" t="s">
        <v>1777</v>
      </c>
      <c r="H18" s="187" t="s">
        <v>40</v>
      </c>
      <c r="I18" s="186">
        <v>1000</v>
      </c>
      <c r="J18" s="123">
        <v>200</v>
      </c>
      <c r="K18" s="257"/>
      <c r="L18" s="117" t="s">
        <v>41</v>
      </c>
      <c r="O18" s="57"/>
    </row>
    <row r="19" spans="1:15" ht="43.5" x14ac:dyDescent="0.25">
      <c r="A19" s="173">
        <v>24</v>
      </c>
      <c r="B19" s="187" t="s">
        <v>1774</v>
      </c>
      <c r="C19" s="182"/>
      <c r="D19" s="183"/>
      <c r="E19" s="187" t="s">
        <v>1775</v>
      </c>
      <c r="F19" s="179" t="s">
        <v>1776</v>
      </c>
      <c r="G19" s="185" t="s">
        <v>1777</v>
      </c>
      <c r="H19" s="245" t="s">
        <v>1287</v>
      </c>
      <c r="I19" s="198">
        <v>2000</v>
      </c>
      <c r="J19" s="123">
        <v>400</v>
      </c>
      <c r="K19" s="77"/>
      <c r="L19" s="117" t="s">
        <v>41</v>
      </c>
      <c r="O19" s="57"/>
    </row>
    <row r="20" spans="1:15" ht="35.25" customHeight="1" x14ac:dyDescent="0.25">
      <c r="A20" s="173">
        <v>26</v>
      </c>
      <c r="B20" s="187" t="s">
        <v>1043</v>
      </c>
      <c r="C20" s="177"/>
      <c r="D20" s="176" t="s">
        <v>150</v>
      </c>
      <c r="E20" s="194" t="s">
        <v>48</v>
      </c>
      <c r="F20" s="179" t="s">
        <v>1680</v>
      </c>
      <c r="G20" s="176" t="s">
        <v>315</v>
      </c>
      <c r="H20" s="245" t="s">
        <v>1287</v>
      </c>
      <c r="I20" s="198">
        <v>13000</v>
      </c>
      <c r="J20" s="123" t="s">
        <v>123</v>
      </c>
      <c r="K20" s="77"/>
      <c r="L20" s="117" t="s">
        <v>41</v>
      </c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1681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1682</v>
      </c>
      <c r="L32" s="205">
        <v>12000</v>
      </c>
    </row>
    <row r="33" spans="2:12" x14ac:dyDescent="0.25">
      <c r="I33" s="26" t="s">
        <v>121</v>
      </c>
      <c r="J33" s="95"/>
      <c r="K33" s="195" t="s">
        <v>1683</v>
      </c>
      <c r="L33" s="206">
        <v>30000</v>
      </c>
    </row>
    <row r="34" spans="2:12" x14ac:dyDescent="0.25">
      <c r="I34" s="26" t="s">
        <v>147</v>
      </c>
      <c r="J34" s="95"/>
      <c r="K34" s="202" t="s">
        <v>1684</v>
      </c>
      <c r="L34" s="205">
        <v>15000</v>
      </c>
    </row>
    <row r="35" spans="2:12" x14ac:dyDescent="0.25">
      <c r="I35" s="26" t="s">
        <v>105</v>
      </c>
      <c r="J35" s="95"/>
      <c r="K35" s="195" t="s">
        <v>1784</v>
      </c>
      <c r="L35" s="206"/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195" t="s">
        <v>119</v>
      </c>
      <c r="L36" s="205">
        <f>SUM(I15:I17)</f>
        <v>16500</v>
      </c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195" t="s">
        <v>1783</v>
      </c>
      <c r="L37" s="207"/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195" t="s">
        <v>119</v>
      </c>
      <c r="L38" s="207">
        <f>SUM(I18:I20)</f>
        <v>16000</v>
      </c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89500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B2DA-17A9-472D-8F53-B964383A216D}">
  <sheetPr>
    <tabColor theme="5"/>
  </sheetPr>
  <dimension ref="A1:U351"/>
  <sheetViews>
    <sheetView view="pageBreakPreview" topLeftCell="A92" zoomScale="106" zoomScaleNormal="100" zoomScaleSheetLayoutView="106" workbookViewId="0">
      <selection activeCell="L102" sqref="L102:M162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1589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/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/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1681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SUM(J12:J46)</f>
        <v>54100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29" t="s">
        <v>1685</v>
      </c>
      <c r="S11" s="25"/>
    </row>
    <row r="12" spans="1:19" x14ac:dyDescent="0.25">
      <c r="A12" s="128">
        <v>2</v>
      </c>
      <c r="B12" s="191" t="s">
        <v>1590</v>
      </c>
      <c r="C12" s="130" t="s">
        <v>198</v>
      </c>
      <c r="D12" s="130"/>
      <c r="E12" s="130" t="s">
        <v>127</v>
      </c>
      <c r="F12" s="130" t="s">
        <v>144</v>
      </c>
      <c r="G12" s="130" t="s">
        <v>43</v>
      </c>
      <c r="H12" s="131" t="s">
        <v>300</v>
      </c>
      <c r="I12" s="133" t="s">
        <v>40</v>
      </c>
      <c r="J12" s="132">
        <v>1500</v>
      </c>
      <c r="K12" s="129">
        <v>300</v>
      </c>
      <c r="L12" s="126" t="s">
        <v>120</v>
      </c>
      <c r="M12" s="126" t="s">
        <v>41</v>
      </c>
      <c r="O12">
        <f>J12/5</f>
        <v>300</v>
      </c>
      <c r="Q12" s="25"/>
      <c r="R12" s="230" t="s">
        <v>119</v>
      </c>
      <c r="S12" s="25">
        <f>SUM(J47:J49,J51,J54,J56:J57,J59,J62,J63)</f>
        <v>16850</v>
      </c>
    </row>
    <row r="13" spans="1:19" x14ac:dyDescent="0.25">
      <c r="A13" s="128">
        <v>2</v>
      </c>
      <c r="B13" s="191" t="s">
        <v>1591</v>
      </c>
      <c r="C13" s="130" t="s">
        <v>1592</v>
      </c>
      <c r="D13" s="130"/>
      <c r="E13" s="130" t="s">
        <v>127</v>
      </c>
      <c r="F13" s="130" t="s">
        <v>1593</v>
      </c>
      <c r="G13" s="130" t="s">
        <v>60</v>
      </c>
      <c r="H13" s="131" t="s">
        <v>1594</v>
      </c>
      <c r="I13" s="130" t="s">
        <v>40</v>
      </c>
      <c r="J13" s="132">
        <v>1000</v>
      </c>
      <c r="K13" s="129">
        <v>200</v>
      </c>
      <c r="L13" s="126" t="s">
        <v>120</v>
      </c>
      <c r="M13" s="126" t="s">
        <v>41</v>
      </c>
      <c r="O13">
        <f>J13/5</f>
        <v>200</v>
      </c>
      <c r="Q13" s="25"/>
      <c r="R13" s="230" t="s">
        <v>1357</v>
      </c>
      <c r="S13" s="25">
        <f>SUM(J50,J52:J53,J55,J58,J60)</f>
        <v>3260</v>
      </c>
    </row>
    <row r="14" spans="1:19" x14ac:dyDescent="0.25">
      <c r="A14" s="128">
        <v>2</v>
      </c>
      <c r="B14" s="191" t="s">
        <v>1595</v>
      </c>
      <c r="C14" s="130" t="s">
        <v>1596</v>
      </c>
      <c r="D14" s="130"/>
      <c r="E14" s="130" t="s">
        <v>127</v>
      </c>
      <c r="F14" s="130" t="s">
        <v>364</v>
      </c>
      <c r="G14" s="130" t="s">
        <v>57</v>
      </c>
      <c r="H14" s="131" t="s">
        <v>1597</v>
      </c>
      <c r="I14" s="133" t="s">
        <v>40</v>
      </c>
      <c r="J14" s="132">
        <v>2000</v>
      </c>
      <c r="K14" s="129">
        <v>400</v>
      </c>
      <c r="L14" s="126" t="s">
        <v>120</v>
      </c>
      <c r="M14" s="126" t="s">
        <v>41</v>
      </c>
      <c r="O14">
        <f t="shared" ref="O14:O153" si="0">J14/5</f>
        <v>400</v>
      </c>
      <c r="Q14" s="25"/>
      <c r="R14" s="204" t="s">
        <v>1707</v>
      </c>
      <c r="S14" s="57">
        <v>10</v>
      </c>
    </row>
    <row r="15" spans="1:19" x14ac:dyDescent="0.25">
      <c r="A15" s="128">
        <v>2</v>
      </c>
      <c r="B15" s="191" t="s">
        <v>1598</v>
      </c>
      <c r="C15" s="130" t="s">
        <v>1599</v>
      </c>
      <c r="D15" s="130"/>
      <c r="E15" s="130" t="s">
        <v>127</v>
      </c>
      <c r="F15" s="130" t="s">
        <v>195</v>
      </c>
      <c r="G15" s="130" t="s">
        <v>43</v>
      </c>
      <c r="H15" s="131" t="s">
        <v>1600</v>
      </c>
      <c r="I15" s="130" t="s">
        <v>40</v>
      </c>
      <c r="J15" s="132">
        <v>500</v>
      </c>
      <c r="K15" s="129">
        <v>100</v>
      </c>
      <c r="L15" s="126" t="s">
        <v>120</v>
      </c>
      <c r="M15" s="126" t="s">
        <v>41</v>
      </c>
      <c r="O15">
        <f t="shared" si="0"/>
        <v>100</v>
      </c>
      <c r="Q15" s="25"/>
      <c r="R15" s="229" t="s">
        <v>1754</v>
      </c>
      <c r="S15" s="57"/>
    </row>
    <row r="16" spans="1:19" x14ac:dyDescent="0.25">
      <c r="A16" s="128">
        <v>2</v>
      </c>
      <c r="B16" s="191" t="s">
        <v>1601</v>
      </c>
      <c r="C16" s="130" t="s">
        <v>820</v>
      </c>
      <c r="D16" s="130"/>
      <c r="E16" s="130" t="s">
        <v>127</v>
      </c>
      <c r="F16" s="130" t="s">
        <v>511</v>
      </c>
      <c r="G16" s="130" t="s">
        <v>65</v>
      </c>
      <c r="H16" s="131" t="s">
        <v>1602</v>
      </c>
      <c r="I16" s="130" t="s">
        <v>40</v>
      </c>
      <c r="J16" s="132">
        <v>1000</v>
      </c>
      <c r="K16" s="129">
        <v>200</v>
      </c>
      <c r="L16" s="126" t="s">
        <v>120</v>
      </c>
      <c r="M16" s="126" t="s">
        <v>41</v>
      </c>
      <c r="O16">
        <f t="shared" si="0"/>
        <v>200</v>
      </c>
      <c r="R16" s="230" t="s">
        <v>119</v>
      </c>
      <c r="S16" s="57">
        <f>SUM(J65,J66,J74,J78,J83)</f>
        <v>6000</v>
      </c>
    </row>
    <row r="17" spans="1:19" x14ac:dyDescent="0.25">
      <c r="A17" s="128">
        <v>2</v>
      </c>
      <c r="B17" s="191" t="s">
        <v>1603</v>
      </c>
      <c r="C17" s="130" t="s">
        <v>1604</v>
      </c>
      <c r="D17" s="130"/>
      <c r="E17" s="130" t="s">
        <v>127</v>
      </c>
      <c r="F17" s="130" t="s">
        <v>1605</v>
      </c>
      <c r="G17" s="130" t="s">
        <v>47</v>
      </c>
      <c r="H17" s="131" t="s">
        <v>1606</v>
      </c>
      <c r="I17" s="133" t="s">
        <v>40</v>
      </c>
      <c r="J17" s="132">
        <v>1500</v>
      </c>
      <c r="K17" s="129">
        <v>300</v>
      </c>
      <c r="L17" s="126" t="s">
        <v>120</v>
      </c>
      <c r="M17" s="126" t="s">
        <v>41</v>
      </c>
      <c r="O17">
        <f t="shared" si="0"/>
        <v>300</v>
      </c>
      <c r="R17" s="230" t="s">
        <v>1383</v>
      </c>
      <c r="S17" s="57">
        <f>SUM(J64,J67:J73,J75:J77,J79:J81)</f>
        <v>14350</v>
      </c>
    </row>
    <row r="18" spans="1:19" x14ac:dyDescent="0.25">
      <c r="A18" s="128">
        <v>2</v>
      </c>
      <c r="B18" s="191" t="s">
        <v>1607</v>
      </c>
      <c r="C18" s="130" t="s">
        <v>1608</v>
      </c>
      <c r="D18" s="130"/>
      <c r="E18" s="130" t="s">
        <v>127</v>
      </c>
      <c r="F18" s="130" t="s">
        <v>158</v>
      </c>
      <c r="G18" s="130" t="s">
        <v>42</v>
      </c>
      <c r="H18" s="131"/>
      <c r="I18" s="130" t="s">
        <v>40</v>
      </c>
      <c r="J18" s="132">
        <v>6000</v>
      </c>
      <c r="K18" s="129">
        <v>1200</v>
      </c>
      <c r="L18" s="126" t="s">
        <v>120</v>
      </c>
      <c r="M18" s="126" t="s">
        <v>41</v>
      </c>
      <c r="O18">
        <f t="shared" si="0"/>
        <v>1200</v>
      </c>
      <c r="Q18" s="57"/>
      <c r="R18" s="279" t="s">
        <v>1707</v>
      </c>
      <c r="S18" s="57">
        <v>60</v>
      </c>
    </row>
    <row r="19" spans="1:19" x14ac:dyDescent="0.25">
      <c r="A19" s="128">
        <v>2</v>
      </c>
      <c r="B19" s="191" t="s">
        <v>1107</v>
      </c>
      <c r="C19" s="130" t="s">
        <v>1609</v>
      </c>
      <c r="D19" s="130"/>
      <c r="E19" s="130" t="s">
        <v>127</v>
      </c>
      <c r="F19" s="130" t="s">
        <v>1610</v>
      </c>
      <c r="G19" s="130" t="s">
        <v>61</v>
      </c>
      <c r="H19" s="131" t="s">
        <v>1611</v>
      </c>
      <c r="I19" s="133" t="s">
        <v>40</v>
      </c>
      <c r="J19" s="132">
        <v>1000</v>
      </c>
      <c r="K19" s="129">
        <v>200</v>
      </c>
      <c r="L19" s="126" t="s">
        <v>120</v>
      </c>
      <c r="M19" s="126" t="s">
        <v>41</v>
      </c>
      <c r="O19">
        <f t="shared" si="0"/>
        <v>200</v>
      </c>
      <c r="R19" s="229" t="s">
        <v>1783</v>
      </c>
      <c r="S19" s="25"/>
    </row>
    <row r="20" spans="1:19" x14ac:dyDescent="0.25">
      <c r="A20" s="128">
        <v>2</v>
      </c>
      <c r="B20" s="191" t="s">
        <v>1612</v>
      </c>
      <c r="C20" s="130" t="s">
        <v>1232</v>
      </c>
      <c r="D20" s="130"/>
      <c r="E20" s="130" t="s">
        <v>127</v>
      </c>
      <c r="F20" s="130" t="s">
        <v>1613</v>
      </c>
      <c r="G20" s="130" t="s">
        <v>49</v>
      </c>
      <c r="H20" s="131" t="s">
        <v>1614</v>
      </c>
      <c r="I20" s="130" t="s">
        <v>40</v>
      </c>
      <c r="J20" s="132">
        <v>2000</v>
      </c>
      <c r="K20" s="129">
        <v>400</v>
      </c>
      <c r="L20" s="126" t="s">
        <v>120</v>
      </c>
      <c r="M20" s="126" t="s">
        <v>41</v>
      </c>
      <c r="O20">
        <f t="shared" si="0"/>
        <v>400</v>
      </c>
      <c r="Q20" s="25"/>
      <c r="R20" s="171" t="s">
        <v>119</v>
      </c>
      <c r="S20" s="57">
        <f>SUM(J84:J85,J87,J89,J91,J93:J100)</f>
        <v>16050</v>
      </c>
    </row>
    <row r="21" spans="1:19" x14ac:dyDescent="0.25">
      <c r="A21" s="128">
        <v>2</v>
      </c>
      <c r="B21" s="191" t="s">
        <v>592</v>
      </c>
      <c r="C21" s="130" t="s">
        <v>1615</v>
      </c>
      <c r="D21" s="130"/>
      <c r="E21" s="130" t="s">
        <v>127</v>
      </c>
      <c r="F21" s="130" t="s">
        <v>142</v>
      </c>
      <c r="G21" s="130" t="s">
        <v>43</v>
      </c>
      <c r="H21" s="131"/>
      <c r="I21" s="130" t="s">
        <v>40</v>
      </c>
      <c r="J21" s="132">
        <v>1000</v>
      </c>
      <c r="K21" s="129">
        <v>200</v>
      </c>
      <c r="L21" s="126" t="s">
        <v>120</v>
      </c>
      <c r="M21" s="126" t="s">
        <v>41</v>
      </c>
      <c r="O21">
        <f t="shared" si="0"/>
        <v>200</v>
      </c>
      <c r="R21" s="171" t="s">
        <v>1357</v>
      </c>
      <c r="S21" s="57">
        <f>SUM(J86,J88,J90,J92)</f>
        <v>800</v>
      </c>
    </row>
    <row r="22" spans="1:19" x14ac:dyDescent="0.25">
      <c r="A22" s="128">
        <v>2</v>
      </c>
      <c r="B22" s="191" t="s">
        <v>1616</v>
      </c>
      <c r="C22" s="130" t="s">
        <v>1617</v>
      </c>
      <c r="D22" s="130"/>
      <c r="E22" s="130" t="s">
        <v>127</v>
      </c>
      <c r="F22" s="130" t="s">
        <v>364</v>
      </c>
      <c r="G22" s="130" t="s">
        <v>44</v>
      </c>
      <c r="H22" s="131" t="s">
        <v>1618</v>
      </c>
      <c r="I22" s="133" t="s">
        <v>40</v>
      </c>
      <c r="J22" s="132">
        <v>1000</v>
      </c>
      <c r="K22" s="164">
        <v>200</v>
      </c>
      <c r="L22" s="126" t="s">
        <v>120</v>
      </c>
      <c r="M22" s="126" t="s">
        <v>41</v>
      </c>
      <c r="O22">
        <f t="shared" si="0"/>
        <v>200</v>
      </c>
      <c r="R22" s="57"/>
      <c r="S22" s="25"/>
    </row>
    <row r="23" spans="1:19" x14ac:dyDescent="0.25">
      <c r="A23" s="128">
        <v>2</v>
      </c>
      <c r="B23" s="191" t="s">
        <v>1623</v>
      </c>
      <c r="C23" s="130" t="s">
        <v>1435</v>
      </c>
      <c r="D23" s="130"/>
      <c r="E23" s="130" t="s">
        <v>127</v>
      </c>
      <c r="F23" s="130" t="s">
        <v>388</v>
      </c>
      <c r="G23" s="130" t="s">
        <v>42</v>
      </c>
      <c r="H23" s="131" t="s">
        <v>1624</v>
      </c>
      <c r="I23" s="133" t="s">
        <v>40</v>
      </c>
      <c r="J23" s="132">
        <v>1000</v>
      </c>
      <c r="K23" s="129">
        <v>200</v>
      </c>
      <c r="L23" s="126" t="s">
        <v>120</v>
      </c>
      <c r="M23" s="126" t="s">
        <v>41</v>
      </c>
      <c r="O23">
        <f t="shared" si="0"/>
        <v>200</v>
      </c>
      <c r="R23" s="241"/>
      <c r="S23" s="25"/>
    </row>
    <row r="24" spans="1:19" x14ac:dyDescent="0.25">
      <c r="A24" s="128">
        <v>2</v>
      </c>
      <c r="B24" s="191" t="s">
        <v>814</v>
      </c>
      <c r="C24" s="130" t="s">
        <v>815</v>
      </c>
      <c r="D24" s="130"/>
      <c r="E24" s="130" t="s">
        <v>127</v>
      </c>
      <c r="F24" s="130" t="s">
        <v>143</v>
      </c>
      <c r="G24" s="130" t="s">
        <v>44</v>
      </c>
      <c r="H24" s="131" t="s">
        <v>1625</v>
      </c>
      <c r="I24" s="133" t="s">
        <v>40</v>
      </c>
      <c r="J24" s="132">
        <v>8500</v>
      </c>
      <c r="K24" s="129">
        <v>1700</v>
      </c>
      <c r="L24" s="126" t="s">
        <v>120</v>
      </c>
      <c r="M24" s="126" t="s">
        <v>41</v>
      </c>
      <c r="O24">
        <f t="shared" si="0"/>
        <v>1700</v>
      </c>
      <c r="R24" s="174"/>
      <c r="S24" s="57"/>
    </row>
    <row r="25" spans="1:19" x14ac:dyDescent="0.25">
      <c r="A25" s="128">
        <v>2</v>
      </c>
      <c r="B25" s="191" t="s">
        <v>1626</v>
      </c>
      <c r="C25" s="130" t="s">
        <v>1627</v>
      </c>
      <c r="D25" s="130"/>
      <c r="E25" s="130" t="s">
        <v>127</v>
      </c>
      <c r="F25" s="130" t="s">
        <v>1628</v>
      </c>
      <c r="G25" s="130" t="s">
        <v>47</v>
      </c>
      <c r="H25" s="131"/>
      <c r="I25" s="130" t="s">
        <v>40</v>
      </c>
      <c r="J25" s="132">
        <v>500</v>
      </c>
      <c r="K25" s="129">
        <v>100</v>
      </c>
      <c r="L25" s="126" t="s">
        <v>120</v>
      </c>
      <c r="M25" s="126" t="s">
        <v>41</v>
      </c>
      <c r="O25">
        <f t="shared" si="0"/>
        <v>100</v>
      </c>
      <c r="R25" s="171"/>
      <c r="S25" s="57"/>
    </row>
    <row r="26" spans="1:19" x14ac:dyDescent="0.25">
      <c r="A26" s="128">
        <v>2</v>
      </c>
      <c r="B26" s="191" t="s">
        <v>427</v>
      </c>
      <c r="C26" s="130" t="s">
        <v>1629</v>
      </c>
      <c r="D26" s="130"/>
      <c r="E26" s="130" t="s">
        <v>127</v>
      </c>
      <c r="F26" s="130" t="s">
        <v>159</v>
      </c>
      <c r="G26" s="130" t="s">
        <v>47</v>
      </c>
      <c r="H26" s="131"/>
      <c r="I26" s="130" t="s">
        <v>40</v>
      </c>
      <c r="J26" s="132">
        <v>500</v>
      </c>
      <c r="K26" s="129">
        <v>100</v>
      </c>
      <c r="L26" s="126" t="s">
        <v>120</v>
      </c>
      <c r="M26" s="126" t="s">
        <v>41</v>
      </c>
      <c r="O26">
        <f t="shared" si="0"/>
        <v>100</v>
      </c>
      <c r="R26" s="171"/>
      <c r="S26" s="57"/>
    </row>
    <row r="27" spans="1:19" x14ac:dyDescent="0.25">
      <c r="A27" s="128">
        <v>2</v>
      </c>
      <c r="B27" s="191" t="s">
        <v>1630</v>
      </c>
      <c r="C27" s="130" t="s">
        <v>1631</v>
      </c>
      <c r="D27" s="130"/>
      <c r="E27" s="130" t="s">
        <v>127</v>
      </c>
      <c r="F27" s="130" t="s">
        <v>132</v>
      </c>
      <c r="G27" s="130" t="s">
        <v>42</v>
      </c>
      <c r="H27" s="131" t="s">
        <v>1632</v>
      </c>
      <c r="I27" s="130" t="s">
        <v>40</v>
      </c>
      <c r="J27" s="132">
        <v>1500</v>
      </c>
      <c r="K27" s="129">
        <v>300</v>
      </c>
      <c r="L27" s="126" t="s">
        <v>120</v>
      </c>
      <c r="M27" s="126" t="s">
        <v>41</v>
      </c>
      <c r="O27">
        <f t="shared" si="0"/>
        <v>300</v>
      </c>
      <c r="R27" s="25"/>
      <c r="S27" s="25"/>
    </row>
    <row r="28" spans="1:19" x14ac:dyDescent="0.25">
      <c r="A28" s="128">
        <v>2</v>
      </c>
      <c r="B28" s="191" t="s">
        <v>1037</v>
      </c>
      <c r="C28" s="130" t="s">
        <v>1633</v>
      </c>
      <c r="D28" s="130"/>
      <c r="E28" s="130" t="s">
        <v>127</v>
      </c>
      <c r="F28" s="130" t="s">
        <v>195</v>
      </c>
      <c r="G28" s="130" t="s">
        <v>43</v>
      </c>
      <c r="H28" s="131" t="s">
        <v>1634</v>
      </c>
      <c r="I28" s="130" t="s">
        <v>40</v>
      </c>
      <c r="J28" s="132">
        <v>2000</v>
      </c>
      <c r="K28" s="129">
        <v>400</v>
      </c>
      <c r="L28" s="126" t="s">
        <v>120</v>
      </c>
      <c r="M28" s="126" t="s">
        <v>41</v>
      </c>
      <c r="O28">
        <f t="shared" si="0"/>
        <v>400</v>
      </c>
      <c r="R28" s="25"/>
      <c r="S28" s="57"/>
    </row>
    <row r="29" spans="1:19" x14ac:dyDescent="0.25">
      <c r="A29" s="128">
        <v>2</v>
      </c>
      <c r="B29" s="191" t="s">
        <v>1635</v>
      </c>
      <c r="C29" s="130" t="s">
        <v>1636</v>
      </c>
      <c r="D29" s="130"/>
      <c r="E29" s="130" t="s">
        <v>127</v>
      </c>
      <c r="F29" s="130" t="s">
        <v>60</v>
      </c>
      <c r="G29" s="130" t="s">
        <v>47</v>
      </c>
      <c r="H29" s="131" t="s">
        <v>1637</v>
      </c>
      <c r="I29" s="133" t="s">
        <v>40</v>
      </c>
      <c r="J29" s="132">
        <v>500</v>
      </c>
      <c r="K29" s="129">
        <v>100</v>
      </c>
      <c r="L29" s="126" t="s">
        <v>120</v>
      </c>
      <c r="M29" s="126" t="s">
        <v>41</v>
      </c>
      <c r="O29">
        <f t="shared" si="0"/>
        <v>100</v>
      </c>
      <c r="R29" s="25"/>
      <c r="S29" s="25"/>
    </row>
    <row r="30" spans="1:19" x14ac:dyDescent="0.25">
      <c r="A30" s="128">
        <v>2</v>
      </c>
      <c r="B30" s="191" t="s">
        <v>1638</v>
      </c>
      <c r="C30" s="130" t="s">
        <v>1639</v>
      </c>
      <c r="D30" s="130"/>
      <c r="E30" s="130" t="s">
        <v>127</v>
      </c>
      <c r="F30" s="130" t="s">
        <v>364</v>
      </c>
      <c r="G30" s="130" t="s">
        <v>57</v>
      </c>
      <c r="H30" s="131" t="s">
        <v>1640</v>
      </c>
      <c r="I30" s="130" t="s">
        <v>40</v>
      </c>
      <c r="J30" s="132">
        <v>1500</v>
      </c>
      <c r="K30" s="129">
        <v>300</v>
      </c>
      <c r="L30" s="126" t="s">
        <v>120</v>
      </c>
      <c r="M30" s="126" t="s">
        <v>41</v>
      </c>
      <c r="O30">
        <f t="shared" si="0"/>
        <v>300</v>
      </c>
      <c r="R30" s="25"/>
    </row>
    <row r="31" spans="1:19" x14ac:dyDescent="0.25">
      <c r="A31" s="128">
        <v>2</v>
      </c>
      <c r="B31" s="191" t="s">
        <v>1641</v>
      </c>
      <c r="C31" s="130" t="s">
        <v>1642</v>
      </c>
      <c r="D31" s="130"/>
      <c r="E31" s="130" t="s">
        <v>127</v>
      </c>
      <c r="F31" s="130" t="s">
        <v>1643</v>
      </c>
      <c r="G31" s="130" t="s">
        <v>86</v>
      </c>
      <c r="H31" s="131"/>
      <c r="I31" s="130" t="s">
        <v>40</v>
      </c>
      <c r="J31" s="132">
        <v>2000</v>
      </c>
      <c r="K31" s="129">
        <v>400</v>
      </c>
      <c r="L31" s="126" t="s">
        <v>120</v>
      </c>
      <c r="M31" s="126" t="s">
        <v>41</v>
      </c>
      <c r="O31">
        <f t="shared" si="0"/>
        <v>400</v>
      </c>
      <c r="R31" s="25"/>
    </row>
    <row r="32" spans="1:19" x14ac:dyDescent="0.25">
      <c r="A32" s="128">
        <v>2</v>
      </c>
      <c r="B32" s="191" t="s">
        <v>1562</v>
      </c>
      <c r="C32" s="130" t="s">
        <v>1644</v>
      </c>
      <c r="D32" s="130"/>
      <c r="E32" s="130" t="s">
        <v>127</v>
      </c>
      <c r="F32" s="130" t="s">
        <v>1645</v>
      </c>
      <c r="G32" s="130" t="s">
        <v>49</v>
      </c>
      <c r="H32" s="131" t="s">
        <v>1646</v>
      </c>
      <c r="I32" s="130" t="s">
        <v>40</v>
      </c>
      <c r="J32" s="132">
        <v>3000</v>
      </c>
      <c r="K32" s="129">
        <v>600</v>
      </c>
      <c r="L32" s="126" t="s">
        <v>120</v>
      </c>
      <c r="M32" s="126" t="s">
        <v>41</v>
      </c>
      <c r="O32">
        <f t="shared" si="0"/>
        <v>600</v>
      </c>
      <c r="R32" s="25"/>
    </row>
    <row r="33" spans="1:21" x14ac:dyDescent="0.25">
      <c r="A33" s="128">
        <v>2</v>
      </c>
      <c r="B33" s="191" t="s">
        <v>1647</v>
      </c>
      <c r="C33" s="130" t="s">
        <v>627</v>
      </c>
      <c r="D33" s="130"/>
      <c r="E33" s="130" t="s">
        <v>127</v>
      </c>
      <c r="F33" s="130" t="s">
        <v>355</v>
      </c>
      <c r="G33" s="130" t="s">
        <v>69</v>
      </c>
      <c r="H33" s="131" t="s">
        <v>1648</v>
      </c>
      <c r="I33" s="133" t="s">
        <v>40</v>
      </c>
      <c r="J33" s="132">
        <v>2000</v>
      </c>
      <c r="K33" s="129">
        <v>400</v>
      </c>
      <c r="L33" s="126" t="s">
        <v>120</v>
      </c>
      <c r="M33" s="126" t="s">
        <v>41</v>
      </c>
      <c r="O33">
        <f t="shared" si="0"/>
        <v>400</v>
      </c>
    </row>
    <row r="34" spans="1:21" x14ac:dyDescent="0.25">
      <c r="A34" s="128">
        <v>2</v>
      </c>
      <c r="B34" s="191" t="s">
        <v>1419</v>
      </c>
      <c r="C34" s="130" t="s">
        <v>1649</v>
      </c>
      <c r="D34" s="130"/>
      <c r="E34" s="130" t="s">
        <v>127</v>
      </c>
      <c r="F34" s="130" t="s">
        <v>759</v>
      </c>
      <c r="G34" s="130" t="s">
        <v>42</v>
      </c>
      <c r="H34" s="131" t="s">
        <v>1650</v>
      </c>
      <c r="I34" s="130" t="s">
        <v>40</v>
      </c>
      <c r="J34" s="132">
        <v>2000</v>
      </c>
      <c r="K34" s="129">
        <v>400</v>
      </c>
      <c r="L34" s="126" t="s">
        <v>120</v>
      </c>
      <c r="M34" s="126" t="s">
        <v>41</v>
      </c>
      <c r="O34">
        <f t="shared" si="0"/>
        <v>400</v>
      </c>
      <c r="R34" s="25"/>
      <c r="S34" s="25"/>
      <c r="T34" s="25"/>
      <c r="U34" s="25"/>
    </row>
    <row r="35" spans="1:21" x14ac:dyDescent="0.25">
      <c r="A35" s="128">
        <v>2</v>
      </c>
      <c r="B35" s="191" t="s">
        <v>1651</v>
      </c>
      <c r="C35" s="130" t="s">
        <v>1652</v>
      </c>
      <c r="D35" s="130"/>
      <c r="E35" s="130" t="s">
        <v>127</v>
      </c>
      <c r="F35" s="130" t="s">
        <v>132</v>
      </c>
      <c r="G35" s="130" t="s">
        <v>42</v>
      </c>
      <c r="H35" s="131" t="s">
        <v>1653</v>
      </c>
      <c r="I35" s="130" t="s">
        <v>40</v>
      </c>
      <c r="J35" s="132">
        <v>2000</v>
      </c>
      <c r="K35" s="129">
        <v>400</v>
      </c>
      <c r="L35" s="126" t="s">
        <v>120</v>
      </c>
      <c r="M35" s="126" t="s">
        <v>41</v>
      </c>
      <c r="O35">
        <f t="shared" si="0"/>
        <v>400</v>
      </c>
      <c r="R35" s="25"/>
    </row>
    <row r="36" spans="1:21" x14ac:dyDescent="0.25">
      <c r="A36" s="128">
        <v>2</v>
      </c>
      <c r="B36" s="191" t="s">
        <v>257</v>
      </c>
      <c r="C36" s="130" t="s">
        <v>1654</v>
      </c>
      <c r="D36" s="130"/>
      <c r="E36" s="130" t="s">
        <v>127</v>
      </c>
      <c r="F36" s="130" t="s">
        <v>178</v>
      </c>
      <c r="G36" s="130" t="s">
        <v>49</v>
      </c>
      <c r="H36" s="131" t="s">
        <v>1655</v>
      </c>
      <c r="I36" s="130" t="s">
        <v>40</v>
      </c>
      <c r="J36" s="132">
        <v>500</v>
      </c>
      <c r="K36" s="129">
        <v>100</v>
      </c>
      <c r="L36" s="126" t="s">
        <v>120</v>
      </c>
      <c r="M36" s="126" t="s">
        <v>41</v>
      </c>
      <c r="O36">
        <f t="shared" si="0"/>
        <v>100</v>
      </c>
    </row>
    <row r="37" spans="1:21" x14ac:dyDescent="0.25">
      <c r="A37" s="128">
        <v>9</v>
      </c>
      <c r="B37" s="191" t="s">
        <v>1178</v>
      </c>
      <c r="C37" s="130" t="s">
        <v>1179</v>
      </c>
      <c r="D37" s="130"/>
      <c r="E37" s="130" t="s">
        <v>127</v>
      </c>
      <c r="F37" s="130" t="s">
        <v>1180</v>
      </c>
      <c r="G37" s="130" t="s">
        <v>55</v>
      </c>
      <c r="H37" s="131"/>
      <c r="I37" s="130" t="s">
        <v>40</v>
      </c>
      <c r="J37" s="132">
        <v>1000</v>
      </c>
      <c r="K37" s="129">
        <v>200</v>
      </c>
      <c r="L37" s="126" t="s">
        <v>120</v>
      </c>
      <c r="M37" s="126" t="s">
        <v>41</v>
      </c>
      <c r="O37">
        <f t="shared" si="0"/>
        <v>200</v>
      </c>
    </row>
    <row r="38" spans="1:21" x14ac:dyDescent="0.25">
      <c r="A38" s="128">
        <v>9</v>
      </c>
      <c r="B38" s="191" t="s">
        <v>1656</v>
      </c>
      <c r="C38" s="130" t="s">
        <v>1467</v>
      </c>
      <c r="D38" s="130"/>
      <c r="E38" s="130" t="s">
        <v>127</v>
      </c>
      <c r="F38" s="130" t="s">
        <v>706</v>
      </c>
      <c r="G38" s="130" t="s">
        <v>45</v>
      </c>
      <c r="H38" s="131" t="s">
        <v>1657</v>
      </c>
      <c r="I38" s="130" t="s">
        <v>40</v>
      </c>
      <c r="J38" s="132">
        <v>500</v>
      </c>
      <c r="K38" s="129">
        <v>100</v>
      </c>
      <c r="L38" s="126" t="s">
        <v>120</v>
      </c>
      <c r="M38" s="126" t="s">
        <v>41</v>
      </c>
      <c r="O38">
        <f t="shared" si="0"/>
        <v>100</v>
      </c>
    </row>
    <row r="39" spans="1:21" x14ac:dyDescent="0.25">
      <c r="A39" s="128">
        <v>9</v>
      </c>
      <c r="B39" s="191" t="s">
        <v>1385</v>
      </c>
      <c r="C39" s="130" t="s">
        <v>1658</v>
      </c>
      <c r="D39" s="130"/>
      <c r="E39" s="130" t="s">
        <v>127</v>
      </c>
      <c r="F39" s="130" t="s">
        <v>1029</v>
      </c>
      <c r="G39" s="130" t="s">
        <v>45</v>
      </c>
      <c r="H39" s="131" t="s">
        <v>1465</v>
      </c>
      <c r="I39" s="130" t="s">
        <v>40</v>
      </c>
      <c r="J39" s="132">
        <v>2000</v>
      </c>
      <c r="K39" s="129">
        <v>400</v>
      </c>
      <c r="L39" s="126" t="s">
        <v>120</v>
      </c>
      <c r="M39" s="126" t="s">
        <v>41</v>
      </c>
      <c r="O39">
        <f t="shared" si="0"/>
        <v>400</v>
      </c>
    </row>
    <row r="40" spans="1:21" x14ac:dyDescent="0.25">
      <c r="A40" s="128">
        <v>9</v>
      </c>
      <c r="B40" s="191" t="s">
        <v>1659</v>
      </c>
      <c r="C40" s="130" t="s">
        <v>1660</v>
      </c>
      <c r="D40" s="130"/>
      <c r="E40" s="130" t="s">
        <v>127</v>
      </c>
      <c r="F40" s="130" t="s">
        <v>1661</v>
      </c>
      <c r="G40" s="130" t="s">
        <v>49</v>
      </c>
      <c r="H40" s="131" t="s">
        <v>1662</v>
      </c>
      <c r="I40" s="240" t="s">
        <v>145</v>
      </c>
      <c r="J40" s="136">
        <v>1000</v>
      </c>
      <c r="K40" s="164">
        <v>200</v>
      </c>
      <c r="L40" s="126" t="s">
        <v>120</v>
      </c>
      <c r="M40" s="126" t="s">
        <v>41</v>
      </c>
      <c r="O40">
        <f t="shared" si="0"/>
        <v>200</v>
      </c>
    </row>
    <row r="41" spans="1:21" x14ac:dyDescent="0.25">
      <c r="A41" s="128">
        <v>9</v>
      </c>
      <c r="B41" s="191" t="s">
        <v>1663</v>
      </c>
      <c r="C41" s="130" t="s">
        <v>1664</v>
      </c>
      <c r="D41" s="130"/>
      <c r="E41" s="130" t="s">
        <v>127</v>
      </c>
      <c r="F41" s="130" t="s">
        <v>1665</v>
      </c>
      <c r="G41" s="130" t="s">
        <v>48</v>
      </c>
      <c r="H41" s="131"/>
      <c r="I41" s="130" t="s">
        <v>40</v>
      </c>
      <c r="J41" s="136">
        <v>300</v>
      </c>
      <c r="K41" s="164">
        <v>90</v>
      </c>
      <c r="L41" s="126" t="s">
        <v>120</v>
      </c>
      <c r="M41" s="126" t="s">
        <v>41</v>
      </c>
      <c r="O41">
        <f t="shared" si="0"/>
        <v>60</v>
      </c>
    </row>
    <row r="42" spans="1:21" x14ac:dyDescent="0.25">
      <c r="A42" s="128">
        <v>9</v>
      </c>
      <c r="B42" s="191" t="s">
        <v>1059</v>
      </c>
      <c r="C42" s="130" t="s">
        <v>1666</v>
      </c>
      <c r="D42" s="130"/>
      <c r="E42" s="130" t="s">
        <v>127</v>
      </c>
      <c r="F42" s="130" t="s">
        <v>937</v>
      </c>
      <c r="G42" s="130" t="s">
        <v>61</v>
      </c>
      <c r="H42" s="131" t="s">
        <v>1667</v>
      </c>
      <c r="I42" s="130" t="s">
        <v>40</v>
      </c>
      <c r="J42" s="136">
        <v>1000</v>
      </c>
      <c r="K42" s="164">
        <v>300</v>
      </c>
      <c r="L42" s="126" t="s">
        <v>120</v>
      </c>
      <c r="M42" s="126" t="s">
        <v>41</v>
      </c>
      <c r="O42">
        <f t="shared" si="0"/>
        <v>200</v>
      </c>
    </row>
    <row r="43" spans="1:21" x14ac:dyDescent="0.25">
      <c r="A43" s="128">
        <v>9</v>
      </c>
      <c r="B43" s="191" t="s">
        <v>1668</v>
      </c>
      <c r="C43" s="130" t="s">
        <v>528</v>
      </c>
      <c r="D43" s="130"/>
      <c r="E43" s="130" t="s">
        <v>127</v>
      </c>
      <c r="F43" s="130" t="s">
        <v>158</v>
      </c>
      <c r="G43" s="130" t="s">
        <v>42</v>
      </c>
      <c r="H43" s="131" t="s">
        <v>1669</v>
      </c>
      <c r="I43" s="130" t="s">
        <v>40</v>
      </c>
      <c r="J43" s="136">
        <v>200</v>
      </c>
      <c r="K43" s="164">
        <v>40</v>
      </c>
      <c r="L43" s="126" t="s">
        <v>120</v>
      </c>
      <c r="M43" s="126" t="s">
        <v>41</v>
      </c>
      <c r="O43">
        <f t="shared" si="0"/>
        <v>40</v>
      </c>
    </row>
    <row r="44" spans="1:21" x14ac:dyDescent="0.25">
      <c r="A44" s="128">
        <v>9</v>
      </c>
      <c r="B44" s="191" t="s">
        <v>630</v>
      </c>
      <c r="C44" s="130" t="s">
        <v>768</v>
      </c>
      <c r="D44" s="130"/>
      <c r="E44" s="130" t="s">
        <v>127</v>
      </c>
      <c r="F44" s="130" t="s">
        <v>1670</v>
      </c>
      <c r="G44" s="130" t="s">
        <v>57</v>
      </c>
      <c r="H44" s="131" t="s">
        <v>1671</v>
      </c>
      <c r="I44" s="130" t="s">
        <v>40</v>
      </c>
      <c r="J44" s="136">
        <v>1000</v>
      </c>
      <c r="K44" s="164">
        <v>200</v>
      </c>
      <c r="L44" s="126" t="s">
        <v>120</v>
      </c>
      <c r="M44" s="126" t="s">
        <v>41</v>
      </c>
      <c r="O44">
        <f t="shared" si="0"/>
        <v>200</v>
      </c>
    </row>
    <row r="45" spans="1:21" x14ac:dyDescent="0.25">
      <c r="A45" s="128">
        <v>9</v>
      </c>
      <c r="B45" s="191" t="s">
        <v>1672</v>
      </c>
      <c r="C45" s="130" t="s">
        <v>1673</v>
      </c>
      <c r="D45" s="130"/>
      <c r="E45" s="130" t="s">
        <v>127</v>
      </c>
      <c r="F45" s="130" t="s">
        <v>364</v>
      </c>
      <c r="G45" s="130" t="s">
        <v>49</v>
      </c>
      <c r="H45" s="131" t="s">
        <v>1674</v>
      </c>
      <c r="I45" s="130" t="s">
        <v>40</v>
      </c>
      <c r="J45" s="136">
        <v>100</v>
      </c>
      <c r="K45" s="164">
        <v>20</v>
      </c>
      <c r="L45" s="126" t="s">
        <v>120</v>
      </c>
      <c r="M45" s="126" t="s">
        <v>41</v>
      </c>
      <c r="O45">
        <f t="shared" si="0"/>
        <v>20</v>
      </c>
      <c r="R45" s="57"/>
      <c r="S45" s="25"/>
    </row>
    <row r="46" spans="1:21" x14ac:dyDescent="0.25">
      <c r="A46" s="231">
        <v>10</v>
      </c>
      <c r="B46" s="191" t="s">
        <v>1678</v>
      </c>
      <c r="C46" s="130" t="s">
        <v>741</v>
      </c>
      <c r="D46" s="130"/>
      <c r="E46" s="130" t="s">
        <v>127</v>
      </c>
      <c r="F46" s="130" t="s">
        <v>1593</v>
      </c>
      <c r="G46" s="130" t="s">
        <v>60</v>
      </c>
      <c r="H46" s="131" t="s">
        <v>1679</v>
      </c>
      <c r="I46" s="240" t="s">
        <v>145</v>
      </c>
      <c r="J46" s="136">
        <v>1000</v>
      </c>
      <c r="K46" s="164">
        <v>200</v>
      </c>
      <c r="L46" s="126" t="s">
        <v>120</v>
      </c>
      <c r="M46" s="126" t="s">
        <v>41</v>
      </c>
      <c r="O46">
        <f t="shared" si="0"/>
        <v>200</v>
      </c>
    </row>
    <row r="47" spans="1:21" x14ac:dyDescent="0.25">
      <c r="A47" s="128">
        <v>13</v>
      </c>
      <c r="B47" s="191" t="s">
        <v>868</v>
      </c>
      <c r="C47" s="130" t="s">
        <v>1686</v>
      </c>
      <c r="D47" s="130"/>
      <c r="E47" s="130" t="s">
        <v>127</v>
      </c>
      <c r="F47" s="130" t="s">
        <v>132</v>
      </c>
      <c r="G47" s="130" t="s">
        <v>42</v>
      </c>
      <c r="H47" s="131" t="s">
        <v>1687</v>
      </c>
      <c r="I47" s="130" t="s">
        <v>40</v>
      </c>
      <c r="J47" s="136">
        <v>3500</v>
      </c>
      <c r="K47" s="164">
        <v>700</v>
      </c>
      <c r="L47" s="126" t="s">
        <v>120</v>
      </c>
      <c r="M47" s="126" t="s">
        <v>41</v>
      </c>
      <c r="O47">
        <f t="shared" si="0"/>
        <v>700</v>
      </c>
    </row>
    <row r="48" spans="1:21" x14ac:dyDescent="0.25">
      <c r="A48" s="128">
        <v>13</v>
      </c>
      <c r="B48" s="191" t="s">
        <v>868</v>
      </c>
      <c r="C48" s="130" t="s">
        <v>1686</v>
      </c>
      <c r="D48" s="130"/>
      <c r="E48" s="130" t="s">
        <v>127</v>
      </c>
      <c r="F48" s="130" t="s">
        <v>132</v>
      </c>
      <c r="G48" s="130" t="s">
        <v>42</v>
      </c>
      <c r="H48" s="131" t="s">
        <v>1687</v>
      </c>
      <c r="I48" s="130" t="s">
        <v>40</v>
      </c>
      <c r="J48" s="136">
        <v>500</v>
      </c>
      <c r="K48" s="164" t="s">
        <v>123</v>
      </c>
      <c r="L48" s="126" t="s">
        <v>120</v>
      </c>
      <c r="M48" s="126" t="s">
        <v>41</v>
      </c>
      <c r="O48">
        <f t="shared" si="0"/>
        <v>100</v>
      </c>
    </row>
    <row r="49" spans="1:19" x14ac:dyDescent="0.25">
      <c r="A49" s="128">
        <v>13</v>
      </c>
      <c r="B49" s="191" t="s">
        <v>868</v>
      </c>
      <c r="C49" s="130" t="s">
        <v>1686</v>
      </c>
      <c r="D49" s="130"/>
      <c r="E49" s="130" t="s">
        <v>127</v>
      </c>
      <c r="F49" s="130" t="s">
        <v>132</v>
      </c>
      <c r="G49" s="130" t="s">
        <v>42</v>
      </c>
      <c r="H49" s="131" t="s">
        <v>1687</v>
      </c>
      <c r="I49" s="240" t="s">
        <v>145</v>
      </c>
      <c r="J49" s="136">
        <v>1000</v>
      </c>
      <c r="K49" s="164">
        <v>200</v>
      </c>
      <c r="L49" s="126" t="s">
        <v>120</v>
      </c>
      <c r="M49" s="126" t="s">
        <v>41</v>
      </c>
      <c r="O49">
        <f t="shared" si="0"/>
        <v>200</v>
      </c>
    </row>
    <row r="50" spans="1:19" x14ac:dyDescent="0.25">
      <c r="A50" s="128">
        <v>13</v>
      </c>
      <c r="B50" s="191" t="s">
        <v>868</v>
      </c>
      <c r="C50" s="130" t="s">
        <v>1686</v>
      </c>
      <c r="D50" s="130"/>
      <c r="E50" s="130" t="s">
        <v>127</v>
      </c>
      <c r="F50" s="130" t="s">
        <v>132</v>
      </c>
      <c r="G50" s="130" t="s">
        <v>42</v>
      </c>
      <c r="H50" s="131" t="s">
        <v>1687</v>
      </c>
      <c r="I50" s="256" t="s">
        <v>1357</v>
      </c>
      <c r="J50" s="136">
        <v>1000</v>
      </c>
      <c r="K50" s="164">
        <v>500</v>
      </c>
      <c r="L50" s="126" t="s">
        <v>120</v>
      </c>
      <c r="M50" s="126" t="s">
        <v>41</v>
      </c>
      <c r="O50">
        <f t="shared" si="0"/>
        <v>200</v>
      </c>
    </row>
    <row r="51" spans="1:19" x14ac:dyDescent="0.25">
      <c r="A51" s="128">
        <v>13</v>
      </c>
      <c r="B51" s="191" t="s">
        <v>1688</v>
      </c>
      <c r="C51" s="130" t="s">
        <v>1689</v>
      </c>
      <c r="D51" s="130"/>
      <c r="E51" s="168" t="s">
        <v>129</v>
      </c>
      <c r="F51" s="130" t="s">
        <v>371</v>
      </c>
      <c r="G51" s="130" t="s">
        <v>43</v>
      </c>
      <c r="H51" s="131" t="s">
        <v>1690</v>
      </c>
      <c r="I51" s="240" t="s">
        <v>145</v>
      </c>
      <c r="J51" s="136">
        <v>1000</v>
      </c>
      <c r="K51" s="164">
        <v>200</v>
      </c>
      <c r="L51" s="126" t="s">
        <v>120</v>
      </c>
      <c r="M51" s="126" t="s">
        <v>41</v>
      </c>
      <c r="O51">
        <f t="shared" si="0"/>
        <v>200</v>
      </c>
    </row>
    <row r="52" spans="1:19" x14ac:dyDescent="0.25">
      <c r="A52" s="128">
        <v>13</v>
      </c>
      <c r="B52" s="191" t="s">
        <v>1691</v>
      </c>
      <c r="C52" s="130" t="s">
        <v>1660</v>
      </c>
      <c r="D52" s="130"/>
      <c r="E52" s="130" t="s">
        <v>127</v>
      </c>
      <c r="F52" s="130" t="s">
        <v>706</v>
      </c>
      <c r="G52" s="130" t="s">
        <v>45</v>
      </c>
      <c r="H52" s="131" t="s">
        <v>1692</v>
      </c>
      <c r="I52" s="256" t="s">
        <v>1357</v>
      </c>
      <c r="J52" s="136">
        <v>400</v>
      </c>
      <c r="K52" s="164">
        <v>200</v>
      </c>
      <c r="L52" s="126" t="s">
        <v>120</v>
      </c>
      <c r="M52" s="126" t="s">
        <v>41</v>
      </c>
      <c r="O52">
        <f t="shared" si="0"/>
        <v>80</v>
      </c>
    </row>
    <row r="53" spans="1:19" x14ac:dyDescent="0.25">
      <c r="A53" s="128">
        <v>13</v>
      </c>
      <c r="B53" s="191" t="s">
        <v>1507</v>
      </c>
      <c r="C53" s="130" t="s">
        <v>1693</v>
      </c>
      <c r="D53" s="130"/>
      <c r="E53" s="130" t="s">
        <v>127</v>
      </c>
      <c r="F53" s="130" t="s">
        <v>749</v>
      </c>
      <c r="G53" s="130" t="s">
        <v>42</v>
      </c>
      <c r="H53" s="131" t="s">
        <v>1694</v>
      </c>
      <c r="I53" s="256" t="s">
        <v>1357</v>
      </c>
      <c r="J53" s="136">
        <v>500</v>
      </c>
      <c r="K53" s="164">
        <v>250</v>
      </c>
      <c r="L53" s="126" t="s">
        <v>120</v>
      </c>
      <c r="M53" s="126" t="s">
        <v>41</v>
      </c>
      <c r="O53">
        <f t="shared" si="0"/>
        <v>100</v>
      </c>
      <c r="S53" s="57"/>
    </row>
    <row r="54" spans="1:19" x14ac:dyDescent="0.25">
      <c r="A54" s="128">
        <v>13</v>
      </c>
      <c r="B54" s="191" t="s">
        <v>733</v>
      </c>
      <c r="C54" s="130" t="s">
        <v>1695</v>
      </c>
      <c r="D54" s="130"/>
      <c r="E54" s="130" t="s">
        <v>127</v>
      </c>
      <c r="F54" s="130" t="s">
        <v>141</v>
      </c>
      <c r="G54" s="130" t="s">
        <v>42</v>
      </c>
      <c r="H54" s="131" t="s">
        <v>1696</v>
      </c>
      <c r="I54" s="240" t="s">
        <v>145</v>
      </c>
      <c r="J54" s="136">
        <v>100</v>
      </c>
      <c r="K54" s="164">
        <v>20</v>
      </c>
      <c r="L54" s="126" t="s">
        <v>120</v>
      </c>
      <c r="M54" s="126" t="s">
        <v>41</v>
      </c>
      <c r="O54">
        <f t="shared" si="0"/>
        <v>20</v>
      </c>
    </row>
    <row r="55" spans="1:19" x14ac:dyDescent="0.25">
      <c r="A55" s="128">
        <v>13</v>
      </c>
      <c r="B55" s="191" t="s">
        <v>733</v>
      </c>
      <c r="C55" s="130" t="s">
        <v>1695</v>
      </c>
      <c r="D55" s="130"/>
      <c r="E55" s="130" t="s">
        <v>127</v>
      </c>
      <c r="F55" s="130" t="s">
        <v>141</v>
      </c>
      <c r="G55" s="130" t="s">
        <v>42</v>
      </c>
      <c r="H55" s="131" t="s">
        <v>1696</v>
      </c>
      <c r="I55" s="256" t="s">
        <v>1357</v>
      </c>
      <c r="J55" s="136">
        <v>60</v>
      </c>
      <c r="K55" s="164">
        <v>30</v>
      </c>
      <c r="L55" s="126" t="s">
        <v>120</v>
      </c>
      <c r="M55" s="126" t="s">
        <v>41</v>
      </c>
      <c r="O55">
        <f t="shared" si="0"/>
        <v>12</v>
      </c>
    </row>
    <row r="56" spans="1:19" x14ac:dyDescent="0.25">
      <c r="A56" s="128">
        <v>13</v>
      </c>
      <c r="B56" s="191" t="s">
        <v>1059</v>
      </c>
      <c r="C56" s="130" t="s">
        <v>1666</v>
      </c>
      <c r="D56" s="130"/>
      <c r="E56" s="130" t="s">
        <v>127</v>
      </c>
      <c r="F56" s="130" t="s">
        <v>937</v>
      </c>
      <c r="G56" s="130" t="s">
        <v>61</v>
      </c>
      <c r="H56" s="131" t="s">
        <v>1697</v>
      </c>
      <c r="I56" s="130" t="s">
        <v>40</v>
      </c>
      <c r="J56" s="136">
        <v>750</v>
      </c>
      <c r="K56" s="164">
        <v>150</v>
      </c>
      <c r="L56" s="126" t="s">
        <v>120</v>
      </c>
      <c r="M56" s="126" t="s">
        <v>41</v>
      </c>
      <c r="O56">
        <f t="shared" si="0"/>
        <v>150</v>
      </c>
    </row>
    <row r="57" spans="1:19" x14ac:dyDescent="0.25">
      <c r="A57" s="128">
        <v>13</v>
      </c>
      <c r="B57" s="191" t="s">
        <v>1698</v>
      </c>
      <c r="C57" s="130" t="s">
        <v>1699</v>
      </c>
      <c r="D57" s="130"/>
      <c r="E57" s="130" t="s">
        <v>127</v>
      </c>
      <c r="F57" s="130" t="s">
        <v>954</v>
      </c>
      <c r="G57" s="130" t="s">
        <v>44</v>
      </c>
      <c r="H57" s="131" t="s">
        <v>1700</v>
      </c>
      <c r="I57" s="240" t="s">
        <v>145</v>
      </c>
      <c r="J57" s="136">
        <v>4000</v>
      </c>
      <c r="K57" s="164">
        <v>800</v>
      </c>
      <c r="L57" s="126" t="s">
        <v>120</v>
      </c>
      <c r="M57" s="126" t="s">
        <v>41</v>
      </c>
      <c r="O57">
        <f t="shared" si="0"/>
        <v>800</v>
      </c>
    </row>
    <row r="58" spans="1:19" x14ac:dyDescent="0.25">
      <c r="A58" s="128">
        <v>13</v>
      </c>
      <c r="B58" s="191" t="s">
        <v>1698</v>
      </c>
      <c r="C58" s="130" t="s">
        <v>1699</v>
      </c>
      <c r="D58" s="130"/>
      <c r="E58" s="130" t="s">
        <v>127</v>
      </c>
      <c r="F58" s="130" t="s">
        <v>954</v>
      </c>
      <c r="G58" s="130" t="s">
        <v>44</v>
      </c>
      <c r="H58" s="131" t="s">
        <v>1700</v>
      </c>
      <c r="I58" s="256" t="s">
        <v>1357</v>
      </c>
      <c r="J58" s="136">
        <v>1000</v>
      </c>
      <c r="K58" s="164">
        <v>500</v>
      </c>
      <c r="L58" s="126" t="s">
        <v>120</v>
      </c>
      <c r="M58" s="126" t="s">
        <v>41</v>
      </c>
      <c r="O58">
        <f t="shared" si="0"/>
        <v>200</v>
      </c>
      <c r="R58" s="57"/>
    </row>
    <row r="59" spans="1:19" x14ac:dyDescent="0.25">
      <c r="A59" s="128">
        <v>13</v>
      </c>
      <c r="B59" s="191" t="s">
        <v>1701</v>
      </c>
      <c r="C59" s="130" t="s">
        <v>1126</v>
      </c>
      <c r="D59" s="130"/>
      <c r="E59" s="168" t="s">
        <v>129</v>
      </c>
      <c r="F59" s="130" t="s">
        <v>609</v>
      </c>
      <c r="G59" s="130" t="s">
        <v>49</v>
      </c>
      <c r="H59" s="131" t="s">
        <v>1702</v>
      </c>
      <c r="I59" s="133" t="s">
        <v>40</v>
      </c>
      <c r="J59" s="136">
        <v>2000</v>
      </c>
      <c r="K59" s="164">
        <v>400</v>
      </c>
      <c r="L59" s="126" t="s">
        <v>120</v>
      </c>
      <c r="M59" s="126" t="s">
        <v>41</v>
      </c>
      <c r="O59">
        <f t="shared" si="0"/>
        <v>400</v>
      </c>
      <c r="R59" s="57"/>
    </row>
    <row r="60" spans="1:19" x14ac:dyDescent="0.25">
      <c r="A60" s="128">
        <v>13</v>
      </c>
      <c r="B60" s="191" t="s">
        <v>1182</v>
      </c>
      <c r="C60" s="191" t="s">
        <v>168</v>
      </c>
      <c r="D60" s="130"/>
      <c r="E60" s="130" t="s">
        <v>127</v>
      </c>
      <c r="F60" s="130" t="s">
        <v>364</v>
      </c>
      <c r="G60" s="199" t="s">
        <v>1703</v>
      </c>
      <c r="H60" s="131" t="s">
        <v>1704</v>
      </c>
      <c r="I60" s="256" t="s">
        <v>1357</v>
      </c>
      <c r="J60" s="136">
        <v>300</v>
      </c>
      <c r="K60" s="164">
        <v>150</v>
      </c>
      <c r="L60" s="126" t="s">
        <v>120</v>
      </c>
      <c r="M60" s="126" t="s">
        <v>41</v>
      </c>
      <c r="O60">
        <f t="shared" si="0"/>
        <v>60</v>
      </c>
    </row>
    <row r="61" spans="1:19" x14ac:dyDescent="0.25">
      <c r="A61" s="128">
        <v>13</v>
      </c>
      <c r="B61" s="191" t="s">
        <v>1182</v>
      </c>
      <c r="C61" s="191" t="s">
        <v>168</v>
      </c>
      <c r="D61" s="130"/>
      <c r="E61" s="130" t="s">
        <v>127</v>
      </c>
      <c r="F61" s="130" t="s">
        <v>364</v>
      </c>
      <c r="G61" s="199" t="s">
        <v>1703</v>
      </c>
      <c r="H61" s="131" t="s">
        <v>1704</v>
      </c>
      <c r="I61" s="280" t="s">
        <v>186</v>
      </c>
      <c r="J61" s="136">
        <v>10</v>
      </c>
      <c r="K61" s="164">
        <v>50</v>
      </c>
      <c r="L61" s="126" t="s">
        <v>120</v>
      </c>
      <c r="M61" s="126" t="s">
        <v>41</v>
      </c>
      <c r="O61">
        <f t="shared" si="0"/>
        <v>2</v>
      </c>
    </row>
    <row r="62" spans="1:19" x14ac:dyDescent="0.25">
      <c r="A62" s="128">
        <v>13</v>
      </c>
      <c r="B62" s="191" t="s">
        <v>1638</v>
      </c>
      <c r="C62" s="130" t="s">
        <v>1705</v>
      </c>
      <c r="D62" s="130"/>
      <c r="E62" s="168" t="s">
        <v>129</v>
      </c>
      <c r="F62" s="130" t="s">
        <v>706</v>
      </c>
      <c r="G62" s="130" t="s">
        <v>63</v>
      </c>
      <c r="H62" s="131" t="s">
        <v>1706</v>
      </c>
      <c r="I62" s="240" t="s">
        <v>145</v>
      </c>
      <c r="J62" s="136">
        <v>2000</v>
      </c>
      <c r="K62" s="164">
        <v>400</v>
      </c>
      <c r="L62" s="126" t="s">
        <v>120</v>
      </c>
      <c r="M62" s="126" t="s">
        <v>41</v>
      </c>
      <c r="O62">
        <f t="shared" si="0"/>
        <v>400</v>
      </c>
      <c r="R62" s="25"/>
    </row>
    <row r="63" spans="1:19" x14ac:dyDescent="0.25">
      <c r="A63" s="231">
        <v>13</v>
      </c>
      <c r="B63" s="191" t="s">
        <v>1708</v>
      </c>
      <c r="C63" s="130" t="s">
        <v>1709</v>
      </c>
      <c r="D63" s="130"/>
      <c r="E63" s="168" t="s">
        <v>129</v>
      </c>
      <c r="F63" s="130"/>
      <c r="G63" s="130" t="s">
        <v>64</v>
      </c>
      <c r="H63" s="131"/>
      <c r="I63" s="130" t="s">
        <v>40</v>
      </c>
      <c r="J63" s="136">
        <v>2000</v>
      </c>
      <c r="K63" s="164" t="s">
        <v>123</v>
      </c>
      <c r="L63" s="126" t="s">
        <v>120</v>
      </c>
      <c r="M63" s="126" t="s">
        <v>41</v>
      </c>
      <c r="O63">
        <f t="shared" si="0"/>
        <v>400</v>
      </c>
      <c r="R63" s="25"/>
    </row>
    <row r="64" spans="1:19" x14ac:dyDescent="0.25">
      <c r="A64" s="128">
        <v>16</v>
      </c>
      <c r="B64" s="191" t="s">
        <v>1710</v>
      </c>
      <c r="C64" s="130" t="s">
        <v>1711</v>
      </c>
      <c r="D64" s="130"/>
      <c r="E64" s="130" t="s">
        <v>127</v>
      </c>
      <c r="F64" s="130" t="s">
        <v>812</v>
      </c>
      <c r="G64" s="130" t="s">
        <v>47</v>
      </c>
      <c r="H64" s="131" t="s">
        <v>1712</v>
      </c>
      <c r="I64" s="256" t="s">
        <v>1357</v>
      </c>
      <c r="J64" s="136">
        <v>1000</v>
      </c>
      <c r="K64" s="164">
        <v>500</v>
      </c>
      <c r="L64" s="126" t="s">
        <v>120</v>
      </c>
      <c r="M64" s="126" t="s">
        <v>41</v>
      </c>
      <c r="O64">
        <f t="shared" si="0"/>
        <v>200</v>
      </c>
      <c r="R64" s="25"/>
    </row>
    <row r="65" spans="1:18" x14ac:dyDescent="0.25">
      <c r="A65" s="128">
        <v>16</v>
      </c>
      <c r="B65" s="191" t="s">
        <v>1713</v>
      </c>
      <c r="C65" s="130" t="s">
        <v>1218</v>
      </c>
      <c r="D65" s="130"/>
      <c r="E65" s="130" t="s">
        <v>127</v>
      </c>
      <c r="F65" s="130" t="s">
        <v>937</v>
      </c>
      <c r="G65" s="130" t="s">
        <v>54</v>
      </c>
      <c r="H65" s="131" t="s">
        <v>1714</v>
      </c>
      <c r="I65" s="240" t="s">
        <v>145</v>
      </c>
      <c r="J65" s="136">
        <v>200</v>
      </c>
      <c r="K65" s="164">
        <v>40</v>
      </c>
      <c r="L65" s="126" t="s">
        <v>120</v>
      </c>
      <c r="M65" s="126" t="s">
        <v>41</v>
      </c>
      <c r="O65">
        <f t="shared" si="0"/>
        <v>40</v>
      </c>
    </row>
    <row r="66" spans="1:18" x14ac:dyDescent="0.25">
      <c r="A66" s="128">
        <v>16</v>
      </c>
      <c r="B66" s="191" t="s">
        <v>1715</v>
      </c>
      <c r="C66" s="130" t="s">
        <v>1716</v>
      </c>
      <c r="D66" s="130"/>
      <c r="E66" s="130" t="s">
        <v>127</v>
      </c>
      <c r="F66" s="130" t="s">
        <v>1717</v>
      </c>
      <c r="G66" s="130" t="s">
        <v>54</v>
      </c>
      <c r="H66" s="131" t="s">
        <v>1718</v>
      </c>
      <c r="I66" s="133" t="s">
        <v>40</v>
      </c>
      <c r="J66" s="136">
        <v>500</v>
      </c>
      <c r="K66" s="164" t="s">
        <v>123</v>
      </c>
      <c r="L66" s="126" t="s">
        <v>120</v>
      </c>
      <c r="M66" s="126" t="s">
        <v>41</v>
      </c>
      <c r="O66">
        <f t="shared" si="0"/>
        <v>100</v>
      </c>
    </row>
    <row r="67" spans="1:18" x14ac:dyDescent="0.25">
      <c r="A67" s="128">
        <v>16</v>
      </c>
      <c r="B67" s="191" t="s">
        <v>1715</v>
      </c>
      <c r="C67" s="130" t="s">
        <v>1716</v>
      </c>
      <c r="D67" s="130"/>
      <c r="E67" s="130" t="s">
        <v>127</v>
      </c>
      <c r="F67" s="130" t="s">
        <v>1717</v>
      </c>
      <c r="G67" s="130" t="s">
        <v>54</v>
      </c>
      <c r="H67" s="131" t="s">
        <v>1718</v>
      </c>
      <c r="I67" s="256" t="s">
        <v>1357</v>
      </c>
      <c r="J67" s="136">
        <v>100</v>
      </c>
      <c r="K67" s="164">
        <v>50</v>
      </c>
      <c r="L67" s="126" t="s">
        <v>120</v>
      </c>
      <c r="M67" s="126" t="s">
        <v>41</v>
      </c>
      <c r="O67">
        <f t="shared" si="0"/>
        <v>20</v>
      </c>
    </row>
    <row r="68" spans="1:18" x14ac:dyDescent="0.25">
      <c r="A68" s="128">
        <v>16</v>
      </c>
      <c r="B68" s="192" t="s">
        <v>1719</v>
      </c>
      <c r="C68" s="133" t="s">
        <v>1720</v>
      </c>
      <c r="D68" s="133"/>
      <c r="E68" s="130" t="s">
        <v>127</v>
      </c>
      <c r="F68" s="130" t="s">
        <v>1421</v>
      </c>
      <c r="G68" s="130" t="s">
        <v>54</v>
      </c>
      <c r="H68" s="131" t="s">
        <v>1721</v>
      </c>
      <c r="I68" s="256" t="s">
        <v>1357</v>
      </c>
      <c r="J68" s="136">
        <v>100</v>
      </c>
      <c r="K68" s="164">
        <v>50</v>
      </c>
      <c r="L68" s="130" t="s">
        <v>120</v>
      </c>
      <c r="M68" s="130" t="s">
        <v>41</v>
      </c>
      <c r="O68">
        <f t="shared" si="0"/>
        <v>20</v>
      </c>
    </row>
    <row r="69" spans="1:18" x14ac:dyDescent="0.25">
      <c r="A69" s="128">
        <v>16</v>
      </c>
      <c r="B69" s="192" t="s">
        <v>1722</v>
      </c>
      <c r="C69" s="133" t="s">
        <v>741</v>
      </c>
      <c r="D69" s="133"/>
      <c r="E69" s="130" t="s">
        <v>127</v>
      </c>
      <c r="F69" s="130" t="s">
        <v>609</v>
      </c>
      <c r="G69" s="130" t="s">
        <v>49</v>
      </c>
      <c r="H69" s="131" t="s">
        <v>1723</v>
      </c>
      <c r="I69" s="256" t="s">
        <v>1357</v>
      </c>
      <c r="J69" s="136">
        <v>150</v>
      </c>
      <c r="K69" s="164">
        <v>75</v>
      </c>
      <c r="L69" s="126" t="s">
        <v>120</v>
      </c>
      <c r="M69" s="126" t="s">
        <v>41</v>
      </c>
      <c r="O69">
        <f t="shared" si="0"/>
        <v>30</v>
      </c>
    </row>
    <row r="70" spans="1:18" x14ac:dyDescent="0.25">
      <c r="A70" s="128">
        <v>16</v>
      </c>
      <c r="B70" s="192" t="s">
        <v>1724</v>
      </c>
      <c r="C70" s="133" t="s">
        <v>1725</v>
      </c>
      <c r="D70" s="133"/>
      <c r="E70" s="130" t="s">
        <v>127</v>
      </c>
      <c r="F70" s="130" t="s">
        <v>1029</v>
      </c>
      <c r="G70" s="130" t="s">
        <v>45</v>
      </c>
      <c r="H70" s="131" t="s">
        <v>1726</v>
      </c>
      <c r="I70" s="256" t="s">
        <v>1357</v>
      </c>
      <c r="J70" s="136">
        <v>2000</v>
      </c>
      <c r="K70" s="164">
        <v>1000</v>
      </c>
      <c r="L70" s="126" t="s">
        <v>120</v>
      </c>
      <c r="M70" s="126" t="s">
        <v>41</v>
      </c>
      <c r="O70">
        <f t="shared" si="0"/>
        <v>400</v>
      </c>
    </row>
    <row r="71" spans="1:18" x14ac:dyDescent="0.25">
      <c r="A71" s="128">
        <v>16</v>
      </c>
      <c r="B71" s="192" t="s">
        <v>1727</v>
      </c>
      <c r="C71" s="133" t="s">
        <v>1604</v>
      </c>
      <c r="D71" s="133"/>
      <c r="E71" s="130" t="s">
        <v>127</v>
      </c>
      <c r="F71" s="130" t="s">
        <v>1728</v>
      </c>
      <c r="G71" s="130" t="s">
        <v>45</v>
      </c>
      <c r="H71" s="131"/>
      <c r="I71" s="256" t="s">
        <v>1357</v>
      </c>
      <c r="J71" s="136">
        <v>300</v>
      </c>
      <c r="K71" s="164">
        <v>150</v>
      </c>
      <c r="L71" s="126" t="s">
        <v>120</v>
      </c>
      <c r="M71" s="126" t="s">
        <v>41</v>
      </c>
      <c r="O71">
        <f t="shared" si="0"/>
        <v>60</v>
      </c>
    </row>
    <row r="72" spans="1:18" x14ac:dyDescent="0.25">
      <c r="A72" s="128">
        <v>16</v>
      </c>
      <c r="B72" s="192" t="s">
        <v>1729</v>
      </c>
      <c r="C72" s="133" t="s">
        <v>1730</v>
      </c>
      <c r="D72" s="133"/>
      <c r="E72" s="130" t="s">
        <v>127</v>
      </c>
      <c r="F72" s="130" t="s">
        <v>1325</v>
      </c>
      <c r="G72" s="130" t="s">
        <v>50</v>
      </c>
      <c r="H72" s="131" t="s">
        <v>1731</v>
      </c>
      <c r="I72" s="256" t="s">
        <v>1357</v>
      </c>
      <c r="J72" s="136">
        <v>100</v>
      </c>
      <c r="K72" s="164">
        <v>50</v>
      </c>
      <c r="L72" s="126" t="s">
        <v>120</v>
      </c>
      <c r="M72" s="126" t="s">
        <v>41</v>
      </c>
      <c r="O72">
        <f t="shared" si="0"/>
        <v>20</v>
      </c>
    </row>
    <row r="73" spans="1:18" x14ac:dyDescent="0.25">
      <c r="A73" s="128">
        <v>16</v>
      </c>
      <c r="B73" s="192" t="s">
        <v>1732</v>
      </c>
      <c r="C73" s="133" t="s">
        <v>1733</v>
      </c>
      <c r="D73" s="133"/>
      <c r="E73" s="130" t="s">
        <v>127</v>
      </c>
      <c r="F73" s="130" t="s">
        <v>841</v>
      </c>
      <c r="G73" s="130" t="s">
        <v>54</v>
      </c>
      <c r="H73" s="131"/>
      <c r="I73" s="256" t="s">
        <v>1357</v>
      </c>
      <c r="J73" s="136">
        <v>1600</v>
      </c>
      <c r="K73" s="164">
        <v>800</v>
      </c>
      <c r="L73" s="126" t="s">
        <v>120</v>
      </c>
      <c r="M73" s="126" t="s">
        <v>41</v>
      </c>
      <c r="O73">
        <f t="shared" si="0"/>
        <v>320</v>
      </c>
    </row>
    <row r="74" spans="1:18" x14ac:dyDescent="0.25">
      <c r="A74" s="128">
        <v>16</v>
      </c>
      <c r="B74" s="192" t="s">
        <v>1672</v>
      </c>
      <c r="C74" s="133" t="s">
        <v>1673</v>
      </c>
      <c r="D74" s="133"/>
      <c r="E74" s="130" t="s">
        <v>127</v>
      </c>
      <c r="F74" s="130" t="s">
        <v>364</v>
      </c>
      <c r="G74" s="130" t="s">
        <v>49</v>
      </c>
      <c r="H74" s="131" t="s">
        <v>1734</v>
      </c>
      <c r="I74" s="240" t="s">
        <v>145</v>
      </c>
      <c r="J74" s="136">
        <v>300</v>
      </c>
      <c r="K74" s="164">
        <v>60</v>
      </c>
      <c r="L74" s="126" t="s">
        <v>120</v>
      </c>
      <c r="M74" s="126" t="s">
        <v>41</v>
      </c>
      <c r="O74">
        <f t="shared" si="0"/>
        <v>60</v>
      </c>
    </row>
    <row r="75" spans="1:18" x14ac:dyDescent="0.25">
      <c r="A75" s="128">
        <v>16</v>
      </c>
      <c r="B75" s="192" t="s">
        <v>1672</v>
      </c>
      <c r="C75" s="133" t="s">
        <v>1673</v>
      </c>
      <c r="D75" s="133"/>
      <c r="E75" s="130" t="s">
        <v>127</v>
      </c>
      <c r="F75" s="130" t="s">
        <v>364</v>
      </c>
      <c r="G75" s="130" t="s">
        <v>49</v>
      </c>
      <c r="H75" s="131" t="s">
        <v>1734</v>
      </c>
      <c r="I75" s="256" t="s">
        <v>1357</v>
      </c>
      <c r="J75" s="136">
        <v>100</v>
      </c>
      <c r="K75" s="164">
        <v>50</v>
      </c>
      <c r="L75" s="126" t="s">
        <v>120</v>
      </c>
      <c r="M75" s="126" t="s">
        <v>41</v>
      </c>
      <c r="O75">
        <f t="shared" si="0"/>
        <v>20</v>
      </c>
    </row>
    <row r="76" spans="1:18" x14ac:dyDescent="0.25">
      <c r="A76" s="142">
        <v>16</v>
      </c>
      <c r="B76" s="192" t="s">
        <v>1735</v>
      </c>
      <c r="C76" s="133" t="s">
        <v>1462</v>
      </c>
      <c r="D76" s="133"/>
      <c r="E76" s="130" t="s">
        <v>127</v>
      </c>
      <c r="F76" s="130" t="s">
        <v>1736</v>
      </c>
      <c r="G76" s="130" t="s">
        <v>45</v>
      </c>
      <c r="H76" s="131" t="s">
        <v>1737</v>
      </c>
      <c r="I76" s="256" t="s">
        <v>1357</v>
      </c>
      <c r="J76" s="136">
        <v>5000</v>
      </c>
      <c r="K76" s="164">
        <v>2500</v>
      </c>
      <c r="L76" s="126" t="s">
        <v>120</v>
      </c>
      <c r="M76" s="126" t="s">
        <v>41</v>
      </c>
      <c r="O76">
        <f t="shared" si="0"/>
        <v>1000</v>
      </c>
    </row>
    <row r="77" spans="1:18" x14ac:dyDescent="0.25">
      <c r="A77" s="142">
        <v>19</v>
      </c>
      <c r="B77" s="192" t="s">
        <v>755</v>
      </c>
      <c r="C77" s="133" t="s">
        <v>1738</v>
      </c>
      <c r="D77" s="133"/>
      <c r="E77" s="130" t="s">
        <v>127</v>
      </c>
      <c r="F77" s="130" t="s">
        <v>872</v>
      </c>
      <c r="G77" s="130" t="s">
        <v>58</v>
      </c>
      <c r="H77" s="131"/>
      <c r="I77" s="256" t="s">
        <v>1357</v>
      </c>
      <c r="J77" s="136">
        <v>1800</v>
      </c>
      <c r="K77" s="164">
        <v>900</v>
      </c>
      <c r="L77" s="126" t="s">
        <v>120</v>
      </c>
      <c r="M77" s="126" t="s">
        <v>41</v>
      </c>
      <c r="O77">
        <f t="shared" si="0"/>
        <v>360</v>
      </c>
    </row>
    <row r="78" spans="1:18" x14ac:dyDescent="0.25">
      <c r="A78" s="142">
        <v>19</v>
      </c>
      <c r="B78" s="192" t="s">
        <v>1739</v>
      </c>
      <c r="C78" s="133" t="s">
        <v>1740</v>
      </c>
      <c r="D78" s="133"/>
      <c r="E78" s="130" t="s">
        <v>127</v>
      </c>
      <c r="F78" s="130" t="s">
        <v>1741</v>
      </c>
      <c r="G78" s="130" t="s">
        <v>56</v>
      </c>
      <c r="H78" s="131"/>
      <c r="I78" s="130" t="s">
        <v>40</v>
      </c>
      <c r="J78" s="136">
        <v>2000</v>
      </c>
      <c r="K78" s="164">
        <v>400</v>
      </c>
      <c r="L78" s="126" t="s">
        <v>120</v>
      </c>
      <c r="M78" s="126" t="s">
        <v>41</v>
      </c>
      <c r="O78">
        <f t="shared" si="0"/>
        <v>400</v>
      </c>
    </row>
    <row r="79" spans="1:18" x14ac:dyDescent="0.25">
      <c r="A79" s="142">
        <v>19</v>
      </c>
      <c r="B79" s="192" t="s">
        <v>595</v>
      </c>
      <c r="C79" s="133" t="s">
        <v>1742</v>
      </c>
      <c r="D79" s="133"/>
      <c r="E79" s="130" t="s">
        <v>127</v>
      </c>
      <c r="F79" s="130" t="s">
        <v>555</v>
      </c>
      <c r="G79" s="130" t="s">
        <v>57</v>
      </c>
      <c r="H79" s="131" t="s">
        <v>1743</v>
      </c>
      <c r="I79" s="256" t="s">
        <v>1357</v>
      </c>
      <c r="J79" s="136">
        <v>1000</v>
      </c>
      <c r="K79" s="164">
        <v>500</v>
      </c>
      <c r="L79" s="126" t="s">
        <v>120</v>
      </c>
      <c r="M79" s="126" t="s">
        <v>41</v>
      </c>
      <c r="O79">
        <f t="shared" si="0"/>
        <v>200</v>
      </c>
    </row>
    <row r="80" spans="1:18" x14ac:dyDescent="0.25">
      <c r="A80" s="142">
        <v>19</v>
      </c>
      <c r="B80" s="192" t="s">
        <v>1361</v>
      </c>
      <c r="C80" s="133" t="s">
        <v>1744</v>
      </c>
      <c r="D80" s="133"/>
      <c r="E80" s="130" t="s">
        <v>127</v>
      </c>
      <c r="F80" s="130" t="s">
        <v>821</v>
      </c>
      <c r="G80" s="130" t="s">
        <v>43</v>
      </c>
      <c r="H80" s="131" t="s">
        <v>1745</v>
      </c>
      <c r="I80" s="256" t="s">
        <v>1357</v>
      </c>
      <c r="J80" s="136">
        <v>100</v>
      </c>
      <c r="K80" s="164">
        <v>50</v>
      </c>
      <c r="L80" s="126" t="s">
        <v>120</v>
      </c>
      <c r="M80" s="126" t="s">
        <v>41</v>
      </c>
      <c r="O80">
        <f t="shared" si="0"/>
        <v>20</v>
      </c>
      <c r="R80" s="57"/>
    </row>
    <row r="81" spans="1:19" x14ac:dyDescent="0.25">
      <c r="A81" s="142">
        <v>19</v>
      </c>
      <c r="B81" s="192" t="s">
        <v>1746</v>
      </c>
      <c r="C81" s="133" t="s">
        <v>1528</v>
      </c>
      <c r="D81" s="133"/>
      <c r="E81" s="130" t="s">
        <v>127</v>
      </c>
      <c r="F81" s="130" t="s">
        <v>452</v>
      </c>
      <c r="G81" s="130" t="s">
        <v>69</v>
      </c>
      <c r="H81" s="131"/>
      <c r="I81" s="256" t="s">
        <v>1357</v>
      </c>
      <c r="J81" s="136">
        <v>1000</v>
      </c>
      <c r="K81" s="164">
        <v>500</v>
      </c>
      <c r="L81" s="126" t="s">
        <v>120</v>
      </c>
      <c r="M81" s="126" t="s">
        <v>41</v>
      </c>
      <c r="O81">
        <f t="shared" si="0"/>
        <v>200</v>
      </c>
    </row>
    <row r="82" spans="1:19" x14ac:dyDescent="0.25">
      <c r="A82" s="142">
        <v>19</v>
      </c>
      <c r="B82" s="192" t="s">
        <v>1747</v>
      </c>
      <c r="C82" s="133" t="s">
        <v>1748</v>
      </c>
      <c r="D82" s="133"/>
      <c r="E82" s="168" t="s">
        <v>129</v>
      </c>
      <c r="F82" s="130" t="s">
        <v>1749</v>
      </c>
      <c r="G82" s="130" t="s">
        <v>56</v>
      </c>
      <c r="H82" s="131" t="s">
        <v>1750</v>
      </c>
      <c r="I82" s="280" t="s">
        <v>186</v>
      </c>
      <c r="J82" s="136">
        <v>60</v>
      </c>
      <c r="K82" s="164">
        <v>300</v>
      </c>
      <c r="L82" s="126" t="s">
        <v>120</v>
      </c>
      <c r="M82" s="126" t="s">
        <v>41</v>
      </c>
      <c r="O82">
        <f t="shared" si="0"/>
        <v>12</v>
      </c>
    </row>
    <row r="83" spans="1:19" x14ac:dyDescent="0.25">
      <c r="A83" s="210">
        <v>20</v>
      </c>
      <c r="B83" s="192" t="s">
        <v>1751</v>
      </c>
      <c r="C83" s="133" t="s">
        <v>1752</v>
      </c>
      <c r="D83" s="133"/>
      <c r="E83" s="168" t="s">
        <v>129</v>
      </c>
      <c r="F83" s="130"/>
      <c r="G83" s="130" t="s">
        <v>77</v>
      </c>
      <c r="H83" s="131" t="s">
        <v>1753</v>
      </c>
      <c r="I83" s="130" t="s">
        <v>40</v>
      </c>
      <c r="J83" s="136">
        <v>3000</v>
      </c>
      <c r="K83" s="164" t="s">
        <v>123</v>
      </c>
      <c r="L83" s="126" t="s">
        <v>120</v>
      </c>
      <c r="M83" s="126" t="s">
        <v>41</v>
      </c>
      <c r="O83">
        <f t="shared" si="0"/>
        <v>600</v>
      </c>
    </row>
    <row r="84" spans="1:19" x14ac:dyDescent="0.25">
      <c r="A84" s="142">
        <v>24</v>
      </c>
      <c r="B84" s="192" t="s">
        <v>1758</v>
      </c>
      <c r="C84" s="133" t="s">
        <v>528</v>
      </c>
      <c r="D84" s="133"/>
      <c r="E84" s="130" t="s">
        <v>127</v>
      </c>
      <c r="F84" s="130" t="s">
        <v>1418</v>
      </c>
      <c r="G84" s="130" t="s">
        <v>69</v>
      </c>
      <c r="H84" s="131" t="s">
        <v>1759</v>
      </c>
      <c r="I84" s="240" t="s">
        <v>145</v>
      </c>
      <c r="J84" s="136">
        <v>500</v>
      </c>
      <c r="K84" s="164">
        <v>100</v>
      </c>
      <c r="L84" s="126" t="s">
        <v>120</v>
      </c>
      <c r="M84" s="126" t="s">
        <v>41</v>
      </c>
      <c r="O84">
        <f t="shared" si="0"/>
        <v>100</v>
      </c>
      <c r="S84" s="57"/>
    </row>
    <row r="85" spans="1:19" x14ac:dyDescent="0.25">
      <c r="A85" s="142">
        <v>24</v>
      </c>
      <c r="B85" s="192" t="s">
        <v>191</v>
      </c>
      <c r="C85" s="133" t="s">
        <v>1760</v>
      </c>
      <c r="D85" s="133"/>
      <c r="E85" s="130" t="s">
        <v>127</v>
      </c>
      <c r="F85" s="130" t="s">
        <v>184</v>
      </c>
      <c r="G85" s="130" t="s">
        <v>42</v>
      </c>
      <c r="H85" s="131" t="s">
        <v>1761</v>
      </c>
      <c r="I85" s="240" t="s">
        <v>145</v>
      </c>
      <c r="J85" s="136">
        <v>500</v>
      </c>
      <c r="K85" s="164">
        <v>100</v>
      </c>
      <c r="L85" s="126" t="s">
        <v>120</v>
      </c>
      <c r="M85" s="126" t="s">
        <v>41</v>
      </c>
      <c r="O85">
        <f t="shared" si="0"/>
        <v>100</v>
      </c>
      <c r="R85" s="57"/>
    </row>
    <row r="86" spans="1:19" x14ac:dyDescent="0.25">
      <c r="A86" s="142">
        <v>24</v>
      </c>
      <c r="B86" s="192" t="s">
        <v>191</v>
      </c>
      <c r="C86" s="133" t="s">
        <v>1760</v>
      </c>
      <c r="D86" s="133"/>
      <c r="E86" s="130" t="s">
        <v>127</v>
      </c>
      <c r="F86" s="130" t="s">
        <v>184</v>
      </c>
      <c r="G86" s="130" t="s">
        <v>42</v>
      </c>
      <c r="H86" s="131" t="s">
        <v>1761</v>
      </c>
      <c r="I86" s="256" t="s">
        <v>1357</v>
      </c>
      <c r="J86" s="136">
        <v>500</v>
      </c>
      <c r="K86" s="164">
        <v>250</v>
      </c>
      <c r="L86" s="126" t="s">
        <v>120</v>
      </c>
      <c r="M86" s="126" t="s">
        <v>41</v>
      </c>
      <c r="O86">
        <f t="shared" si="0"/>
        <v>100</v>
      </c>
    </row>
    <row r="87" spans="1:19" x14ac:dyDescent="0.25">
      <c r="A87" s="142">
        <v>24</v>
      </c>
      <c r="B87" s="192" t="s">
        <v>1607</v>
      </c>
      <c r="C87" s="133" t="s">
        <v>1762</v>
      </c>
      <c r="D87" s="133"/>
      <c r="E87" s="130" t="s">
        <v>127</v>
      </c>
      <c r="F87" s="130" t="s">
        <v>1763</v>
      </c>
      <c r="G87" s="130" t="s">
        <v>47</v>
      </c>
      <c r="H87" s="131"/>
      <c r="I87" s="133" t="s">
        <v>40</v>
      </c>
      <c r="J87" s="136">
        <v>100</v>
      </c>
      <c r="K87" s="164">
        <v>20</v>
      </c>
      <c r="L87" s="126" t="s">
        <v>120</v>
      </c>
      <c r="M87" s="126" t="s">
        <v>41</v>
      </c>
      <c r="O87">
        <f t="shared" si="0"/>
        <v>20</v>
      </c>
      <c r="R87" s="57"/>
    </row>
    <row r="88" spans="1:19" x14ac:dyDescent="0.25">
      <c r="A88" s="142">
        <v>24</v>
      </c>
      <c r="B88" s="192" t="s">
        <v>1607</v>
      </c>
      <c r="C88" s="133" t="s">
        <v>1762</v>
      </c>
      <c r="D88" s="133"/>
      <c r="E88" s="130" t="s">
        <v>127</v>
      </c>
      <c r="F88" s="130" t="s">
        <v>1763</v>
      </c>
      <c r="G88" s="130" t="s">
        <v>47</v>
      </c>
      <c r="H88" s="131"/>
      <c r="I88" s="256" t="s">
        <v>1357</v>
      </c>
      <c r="J88" s="136">
        <v>100</v>
      </c>
      <c r="K88" s="164">
        <v>50</v>
      </c>
      <c r="L88" s="126" t="s">
        <v>120</v>
      </c>
      <c r="M88" s="126" t="s">
        <v>41</v>
      </c>
      <c r="O88">
        <f t="shared" si="0"/>
        <v>20</v>
      </c>
      <c r="R88" s="57"/>
    </row>
    <row r="89" spans="1:19" x14ac:dyDescent="0.25">
      <c r="A89" s="142">
        <v>24</v>
      </c>
      <c r="B89" s="192" t="s">
        <v>1764</v>
      </c>
      <c r="C89" s="133" t="s">
        <v>409</v>
      </c>
      <c r="D89" s="130"/>
      <c r="E89" s="130" t="s">
        <v>127</v>
      </c>
      <c r="F89" s="130" t="s">
        <v>1035</v>
      </c>
      <c r="G89" s="130" t="s">
        <v>42</v>
      </c>
      <c r="H89" s="131" t="s">
        <v>1765</v>
      </c>
      <c r="I89" s="240" t="s">
        <v>145</v>
      </c>
      <c r="J89" s="136">
        <v>50</v>
      </c>
      <c r="K89" s="164">
        <v>10</v>
      </c>
      <c r="L89" s="126" t="s">
        <v>120</v>
      </c>
      <c r="M89" s="126" t="s">
        <v>41</v>
      </c>
      <c r="O89">
        <f t="shared" si="0"/>
        <v>10</v>
      </c>
    </row>
    <row r="90" spans="1:19" x14ac:dyDescent="0.25">
      <c r="A90" s="142">
        <v>24</v>
      </c>
      <c r="B90" s="192" t="s">
        <v>1764</v>
      </c>
      <c r="C90" s="133" t="s">
        <v>409</v>
      </c>
      <c r="D90" s="130"/>
      <c r="E90" s="130" t="s">
        <v>127</v>
      </c>
      <c r="F90" s="130" t="s">
        <v>1035</v>
      </c>
      <c r="G90" s="130" t="s">
        <v>42</v>
      </c>
      <c r="H90" s="131" t="s">
        <v>1765</v>
      </c>
      <c r="I90" s="256" t="s">
        <v>1357</v>
      </c>
      <c r="J90" s="136">
        <v>100</v>
      </c>
      <c r="K90" s="164">
        <v>50</v>
      </c>
      <c r="L90" s="126" t="s">
        <v>120</v>
      </c>
      <c r="M90" s="126" t="s">
        <v>41</v>
      </c>
      <c r="O90">
        <f t="shared" si="0"/>
        <v>20</v>
      </c>
    </row>
    <row r="91" spans="1:19" x14ac:dyDescent="0.25">
      <c r="A91" s="142">
        <v>24</v>
      </c>
      <c r="B91" s="192" t="s">
        <v>1766</v>
      </c>
      <c r="C91" s="133" t="s">
        <v>1567</v>
      </c>
      <c r="D91" s="133"/>
      <c r="E91" s="130" t="s">
        <v>127</v>
      </c>
      <c r="F91" s="130" t="s">
        <v>1438</v>
      </c>
      <c r="G91" s="130" t="s">
        <v>47</v>
      </c>
      <c r="H91" s="131"/>
      <c r="I91" s="240" t="s">
        <v>145</v>
      </c>
      <c r="J91" s="136">
        <v>200</v>
      </c>
      <c r="K91" s="164">
        <v>40</v>
      </c>
      <c r="L91" s="126" t="s">
        <v>120</v>
      </c>
      <c r="M91" s="126" t="s">
        <v>41</v>
      </c>
      <c r="O91">
        <f t="shared" si="0"/>
        <v>40</v>
      </c>
    </row>
    <row r="92" spans="1:19" x14ac:dyDescent="0.25">
      <c r="A92" s="142">
        <v>24</v>
      </c>
      <c r="B92" s="192" t="s">
        <v>1766</v>
      </c>
      <c r="C92" s="133" t="s">
        <v>1567</v>
      </c>
      <c r="D92" s="133"/>
      <c r="E92" s="130" t="s">
        <v>127</v>
      </c>
      <c r="F92" s="130" t="s">
        <v>1438</v>
      </c>
      <c r="G92" s="130" t="s">
        <v>47</v>
      </c>
      <c r="H92" s="131"/>
      <c r="I92" s="256" t="s">
        <v>1357</v>
      </c>
      <c r="J92" s="136">
        <v>100</v>
      </c>
      <c r="K92" s="164">
        <v>50</v>
      </c>
      <c r="L92" s="126" t="s">
        <v>120</v>
      </c>
      <c r="M92" s="126" t="s">
        <v>41</v>
      </c>
      <c r="O92">
        <f t="shared" si="0"/>
        <v>20</v>
      </c>
    </row>
    <row r="93" spans="1:19" x14ac:dyDescent="0.25">
      <c r="A93" s="142">
        <v>24</v>
      </c>
      <c r="B93" s="192" t="s">
        <v>1767</v>
      </c>
      <c r="C93" s="133" t="s">
        <v>1768</v>
      </c>
      <c r="D93" s="133"/>
      <c r="E93" s="130" t="s">
        <v>127</v>
      </c>
      <c r="F93" s="130" t="s">
        <v>355</v>
      </c>
      <c r="G93" s="130" t="s">
        <v>57</v>
      </c>
      <c r="H93" s="131" t="s">
        <v>1769</v>
      </c>
      <c r="I93" s="133" t="s">
        <v>40</v>
      </c>
      <c r="J93" s="136">
        <v>2000</v>
      </c>
      <c r="K93" s="164">
        <v>400</v>
      </c>
      <c r="L93" s="126" t="s">
        <v>120</v>
      </c>
      <c r="M93" s="126" t="s">
        <v>41</v>
      </c>
      <c r="O93">
        <f t="shared" si="0"/>
        <v>400</v>
      </c>
    </row>
    <row r="94" spans="1:19" x14ac:dyDescent="0.25">
      <c r="A94" s="142">
        <v>24</v>
      </c>
      <c r="B94" s="192" t="s">
        <v>1767</v>
      </c>
      <c r="C94" s="133" t="s">
        <v>1768</v>
      </c>
      <c r="D94" s="133"/>
      <c r="E94" s="130" t="s">
        <v>127</v>
      </c>
      <c r="F94" s="130" t="s">
        <v>355</v>
      </c>
      <c r="G94" s="130" t="s">
        <v>57</v>
      </c>
      <c r="H94" s="131" t="s">
        <v>1769</v>
      </c>
      <c r="I94" s="133" t="s">
        <v>40</v>
      </c>
      <c r="J94" s="136">
        <v>6000</v>
      </c>
      <c r="K94" s="164" t="s">
        <v>123</v>
      </c>
      <c r="L94" s="126" t="s">
        <v>120</v>
      </c>
      <c r="M94" s="126" t="s">
        <v>41</v>
      </c>
      <c r="O94">
        <f t="shared" si="0"/>
        <v>1200</v>
      </c>
    </row>
    <row r="95" spans="1:19" x14ac:dyDescent="0.25">
      <c r="A95" s="142">
        <v>24</v>
      </c>
      <c r="B95" s="192" t="s">
        <v>1770</v>
      </c>
      <c r="C95" s="133" t="s">
        <v>1771</v>
      </c>
      <c r="D95" s="133"/>
      <c r="E95" s="168" t="s">
        <v>129</v>
      </c>
      <c r="F95" s="130" t="s">
        <v>1772</v>
      </c>
      <c r="G95" s="130" t="s">
        <v>49</v>
      </c>
      <c r="H95" s="131" t="s">
        <v>1773</v>
      </c>
      <c r="I95" s="130" t="s">
        <v>40</v>
      </c>
      <c r="J95" s="136">
        <v>200</v>
      </c>
      <c r="K95" s="164">
        <v>40</v>
      </c>
      <c r="L95" s="126" t="s">
        <v>120</v>
      </c>
      <c r="M95" s="126" t="s">
        <v>41</v>
      </c>
      <c r="O95">
        <f t="shared" si="0"/>
        <v>40</v>
      </c>
    </row>
    <row r="96" spans="1:19" x14ac:dyDescent="0.25">
      <c r="A96" s="142">
        <v>26</v>
      </c>
      <c r="B96" s="192" t="s">
        <v>1736</v>
      </c>
      <c r="C96" s="133" t="s">
        <v>1791</v>
      </c>
      <c r="D96" s="133" t="s">
        <v>1792</v>
      </c>
      <c r="E96" s="130" t="s">
        <v>127</v>
      </c>
      <c r="F96" s="130" t="s">
        <v>364</v>
      </c>
      <c r="G96" s="130" t="s">
        <v>57</v>
      </c>
      <c r="H96" s="131" t="s">
        <v>1793</v>
      </c>
      <c r="I96" s="256" t="s">
        <v>1357</v>
      </c>
      <c r="J96" s="136">
        <v>100</v>
      </c>
      <c r="K96" s="164">
        <v>50</v>
      </c>
      <c r="L96" s="126" t="s">
        <v>120</v>
      </c>
      <c r="M96" s="126" t="s">
        <v>41</v>
      </c>
      <c r="O96">
        <f t="shared" si="0"/>
        <v>20</v>
      </c>
    </row>
    <row r="97" spans="1:18" x14ac:dyDescent="0.25">
      <c r="A97" s="142">
        <v>26</v>
      </c>
      <c r="B97" s="192" t="s">
        <v>1788</v>
      </c>
      <c r="C97" s="133" t="s">
        <v>1789</v>
      </c>
      <c r="D97" s="133"/>
      <c r="E97" s="130" t="s">
        <v>127</v>
      </c>
      <c r="F97" s="130" t="s">
        <v>1790</v>
      </c>
      <c r="G97" s="130" t="s">
        <v>67</v>
      </c>
      <c r="H97" s="131"/>
      <c r="I97" s="256" t="s">
        <v>1357</v>
      </c>
      <c r="J97" s="136">
        <v>100</v>
      </c>
      <c r="K97" s="164">
        <v>50</v>
      </c>
      <c r="L97" s="126" t="s">
        <v>120</v>
      </c>
      <c r="M97" s="126" t="s">
        <v>41</v>
      </c>
    </row>
    <row r="98" spans="1:18" x14ac:dyDescent="0.25">
      <c r="A98" s="142">
        <v>26</v>
      </c>
      <c r="B98" s="192" t="s">
        <v>1786</v>
      </c>
      <c r="C98" s="133" t="s">
        <v>1787</v>
      </c>
      <c r="D98" s="133"/>
      <c r="E98" s="130" t="s">
        <v>127</v>
      </c>
      <c r="F98" s="130" t="s">
        <v>159</v>
      </c>
      <c r="G98" s="130" t="s">
        <v>79</v>
      </c>
      <c r="H98" s="131"/>
      <c r="I98" s="256" t="s">
        <v>1357</v>
      </c>
      <c r="J98" s="136">
        <v>500</v>
      </c>
      <c r="K98" s="164">
        <v>250</v>
      </c>
      <c r="L98" s="126" t="s">
        <v>120</v>
      </c>
      <c r="M98" s="126" t="s">
        <v>41</v>
      </c>
    </row>
    <row r="99" spans="1:18" x14ac:dyDescent="0.25">
      <c r="A99" s="142">
        <v>26</v>
      </c>
      <c r="B99" s="192" t="s">
        <v>1778</v>
      </c>
      <c r="C99" s="133" t="s">
        <v>1779</v>
      </c>
      <c r="D99" s="133"/>
      <c r="E99" s="130" t="s">
        <v>127</v>
      </c>
      <c r="F99" s="130" t="s">
        <v>1780</v>
      </c>
      <c r="G99" s="130" t="s">
        <v>48</v>
      </c>
      <c r="H99" s="131"/>
      <c r="I99" s="130" t="s">
        <v>40</v>
      </c>
      <c r="J99" s="136">
        <v>300</v>
      </c>
      <c r="K99" s="164">
        <v>60</v>
      </c>
      <c r="L99" s="126" t="s">
        <v>120</v>
      </c>
      <c r="M99" s="126" t="s">
        <v>41</v>
      </c>
      <c r="O99">
        <f t="shared" si="0"/>
        <v>60</v>
      </c>
    </row>
    <row r="100" spans="1:18" x14ac:dyDescent="0.25">
      <c r="A100" s="210">
        <v>26</v>
      </c>
      <c r="B100" s="192" t="s">
        <v>661</v>
      </c>
      <c r="C100" s="133" t="s">
        <v>1781</v>
      </c>
      <c r="D100" s="133" t="s">
        <v>1782</v>
      </c>
      <c r="E100" s="130" t="s">
        <v>127</v>
      </c>
      <c r="F100" s="130" t="s">
        <v>818</v>
      </c>
      <c r="G100" s="130" t="s">
        <v>44</v>
      </c>
      <c r="H100" s="131" t="s">
        <v>819</v>
      </c>
      <c r="I100" s="130" t="s">
        <v>40</v>
      </c>
      <c r="J100" s="136">
        <v>5500</v>
      </c>
      <c r="K100" s="164">
        <v>1100</v>
      </c>
      <c r="L100" s="126" t="s">
        <v>120</v>
      </c>
      <c r="M100" s="126" t="s">
        <v>41</v>
      </c>
      <c r="O100">
        <f t="shared" si="0"/>
        <v>1100</v>
      </c>
    </row>
    <row r="101" spans="1:18" x14ac:dyDescent="0.25">
      <c r="A101" s="142"/>
      <c r="B101" s="192"/>
      <c r="C101" s="133"/>
      <c r="D101" s="133"/>
      <c r="E101" s="130"/>
      <c r="F101" s="130"/>
      <c r="G101" s="130"/>
      <c r="H101" s="131"/>
      <c r="I101" s="130"/>
      <c r="J101" s="136"/>
      <c r="K101" s="164"/>
      <c r="L101" s="126" t="s">
        <v>120</v>
      </c>
      <c r="M101" s="126" t="s">
        <v>41</v>
      </c>
      <c r="O101">
        <f t="shared" si="0"/>
        <v>0</v>
      </c>
      <c r="R101" s="57"/>
    </row>
    <row r="102" spans="1:18" x14ac:dyDescent="0.25">
      <c r="A102" s="142"/>
      <c r="B102" s="192"/>
      <c r="C102" s="133"/>
      <c r="D102" s="133"/>
      <c r="E102" s="130"/>
      <c r="F102" s="130"/>
      <c r="G102" s="130"/>
      <c r="H102" s="131"/>
      <c r="I102" s="133"/>
      <c r="J102" s="136"/>
      <c r="K102" s="164"/>
      <c r="L102" s="126"/>
      <c r="M102" s="126"/>
      <c r="O102">
        <f t="shared" si="0"/>
        <v>0</v>
      </c>
    </row>
    <row r="103" spans="1:18" x14ac:dyDescent="0.25">
      <c r="A103" s="142"/>
      <c r="B103" s="192"/>
      <c r="C103" s="133"/>
      <c r="D103" s="133"/>
      <c r="E103" s="130"/>
      <c r="F103" s="130"/>
      <c r="G103" s="130"/>
      <c r="H103" s="131"/>
      <c r="I103" s="130"/>
      <c r="J103" s="136"/>
      <c r="K103" s="164"/>
      <c r="L103" s="126"/>
      <c r="M103" s="126"/>
      <c r="O103">
        <f t="shared" si="0"/>
        <v>0</v>
      </c>
    </row>
    <row r="104" spans="1:18" x14ac:dyDescent="0.25">
      <c r="A104" s="142"/>
      <c r="B104" s="192"/>
      <c r="C104" s="133"/>
      <c r="D104" s="133"/>
      <c r="E104" s="130"/>
      <c r="F104" s="130"/>
      <c r="G104" s="130"/>
      <c r="H104" s="131"/>
      <c r="I104" s="130"/>
      <c r="J104" s="136"/>
      <c r="K104" s="164"/>
      <c r="L104" s="126"/>
      <c r="M104" s="126"/>
      <c r="O104">
        <f t="shared" si="0"/>
        <v>0</v>
      </c>
    </row>
    <row r="105" spans="1:18" x14ac:dyDescent="0.25">
      <c r="A105" s="142"/>
      <c r="B105" s="192"/>
      <c r="C105" s="133"/>
      <c r="D105" s="133"/>
      <c r="E105" s="130"/>
      <c r="F105" s="130"/>
      <c r="G105" s="130"/>
      <c r="H105" s="131"/>
      <c r="I105" s="130"/>
      <c r="J105" s="136"/>
      <c r="K105" s="164"/>
      <c r="L105" s="126"/>
      <c r="M105" s="126"/>
      <c r="O105">
        <f t="shared" si="0"/>
        <v>0</v>
      </c>
    </row>
    <row r="106" spans="1:18" x14ac:dyDescent="0.25">
      <c r="A106" s="142"/>
      <c r="B106" s="192"/>
      <c r="C106" s="133"/>
      <c r="D106" s="133"/>
      <c r="E106" s="130"/>
      <c r="F106" s="130"/>
      <c r="G106" s="130"/>
      <c r="H106" s="131"/>
      <c r="I106" s="133"/>
      <c r="J106" s="136"/>
      <c r="K106" s="164"/>
      <c r="L106" s="126"/>
      <c r="M106" s="126"/>
      <c r="O106">
        <f t="shared" si="0"/>
        <v>0</v>
      </c>
    </row>
    <row r="107" spans="1:18" x14ac:dyDescent="0.25">
      <c r="A107" s="142"/>
      <c r="B107" s="192"/>
      <c r="C107" s="133"/>
      <c r="D107" s="133"/>
      <c r="E107" s="130"/>
      <c r="F107" s="130"/>
      <c r="G107" s="130"/>
      <c r="H107" s="131"/>
      <c r="I107" s="133"/>
      <c r="J107" s="136"/>
      <c r="K107" s="164"/>
      <c r="L107" s="126"/>
      <c r="M107" s="126"/>
      <c r="O107">
        <f t="shared" si="0"/>
        <v>0</v>
      </c>
    </row>
    <row r="108" spans="1:18" x14ac:dyDescent="0.25">
      <c r="A108" s="142"/>
      <c r="B108" s="192"/>
      <c r="C108" s="133"/>
      <c r="D108" s="133"/>
      <c r="E108" s="130"/>
      <c r="F108" s="130"/>
      <c r="G108" s="130"/>
      <c r="H108" s="131"/>
      <c r="I108" s="133"/>
      <c r="J108" s="136"/>
      <c r="K108" s="164"/>
      <c r="L108" s="126"/>
      <c r="M108" s="126"/>
      <c r="O108">
        <f t="shared" si="0"/>
        <v>0</v>
      </c>
    </row>
    <row r="109" spans="1:18" x14ac:dyDescent="0.25">
      <c r="A109" s="142"/>
      <c r="B109" s="192"/>
      <c r="C109" s="133"/>
      <c r="D109" s="133"/>
      <c r="E109" s="130"/>
      <c r="F109" s="130"/>
      <c r="G109" s="130"/>
      <c r="H109" s="131"/>
      <c r="I109" s="130"/>
      <c r="J109" s="136"/>
      <c r="K109" s="164"/>
      <c r="L109" s="126"/>
      <c r="M109" s="126"/>
      <c r="O109">
        <f t="shared" si="0"/>
        <v>0</v>
      </c>
    </row>
    <row r="110" spans="1:18" x14ac:dyDescent="0.25">
      <c r="A110" s="142"/>
      <c r="B110" s="192"/>
      <c r="C110" s="133"/>
      <c r="D110" s="133"/>
      <c r="E110" s="130"/>
      <c r="F110" s="130"/>
      <c r="G110" s="130"/>
      <c r="H110" s="131"/>
      <c r="I110" s="130"/>
      <c r="J110" s="136"/>
      <c r="K110" s="164"/>
      <c r="L110" s="126"/>
      <c r="M110" s="126"/>
      <c r="O110">
        <f t="shared" si="0"/>
        <v>0</v>
      </c>
    </row>
    <row r="111" spans="1:18" x14ac:dyDescent="0.25">
      <c r="A111" s="142"/>
      <c r="B111" s="192"/>
      <c r="C111" s="133"/>
      <c r="D111" s="133"/>
      <c r="E111" s="130"/>
      <c r="F111" s="130"/>
      <c r="G111" s="130"/>
      <c r="H111" s="131"/>
      <c r="I111" s="130"/>
      <c r="J111" s="136"/>
      <c r="K111" s="164"/>
      <c r="L111" s="126"/>
      <c r="M111" s="126"/>
      <c r="O111">
        <f t="shared" si="0"/>
        <v>0</v>
      </c>
    </row>
    <row r="112" spans="1:18" x14ac:dyDescent="0.25">
      <c r="A112" s="142"/>
      <c r="B112" s="192"/>
      <c r="C112" s="133"/>
      <c r="D112" s="133"/>
      <c r="E112" s="130"/>
      <c r="F112" s="130"/>
      <c r="G112" s="130"/>
      <c r="H112" s="131"/>
      <c r="I112" s="133"/>
      <c r="J112" s="136"/>
      <c r="K112" s="164"/>
      <c r="L112" s="126"/>
      <c r="M112" s="126"/>
      <c r="O112">
        <f t="shared" si="0"/>
        <v>0</v>
      </c>
    </row>
    <row r="113" spans="1:15" x14ac:dyDescent="0.25">
      <c r="A113" s="142"/>
      <c r="B113" s="192"/>
      <c r="C113" s="133"/>
      <c r="D113" s="133"/>
      <c r="E113" s="130"/>
      <c r="F113" s="130"/>
      <c r="G113" s="130"/>
      <c r="H113" s="131"/>
      <c r="I113" s="130"/>
      <c r="J113" s="136"/>
      <c r="K113" s="164"/>
      <c r="L113" s="126"/>
      <c r="M113" s="126"/>
      <c r="O113">
        <f t="shared" si="0"/>
        <v>0</v>
      </c>
    </row>
    <row r="114" spans="1:15" x14ac:dyDescent="0.25">
      <c r="A114" s="142"/>
      <c r="B114" s="192"/>
      <c r="C114" s="133"/>
      <c r="D114" s="133"/>
      <c r="E114" s="130"/>
      <c r="F114" s="130"/>
      <c r="G114" s="130"/>
      <c r="H114" s="131"/>
      <c r="I114" s="130"/>
      <c r="J114" s="136"/>
      <c r="K114" s="164"/>
      <c r="L114" s="126"/>
      <c r="M114" s="126"/>
      <c r="O114">
        <f t="shared" si="0"/>
        <v>0</v>
      </c>
    </row>
    <row r="115" spans="1:15" x14ac:dyDescent="0.25">
      <c r="A115" s="142"/>
      <c r="B115" s="192"/>
      <c r="C115" s="133"/>
      <c r="D115" s="133"/>
      <c r="E115" s="130"/>
      <c r="F115" s="130"/>
      <c r="G115" s="130"/>
      <c r="H115" s="131"/>
      <c r="I115" s="130"/>
      <c r="J115" s="136"/>
      <c r="K115" s="164"/>
      <c r="L115" s="126"/>
      <c r="M115" s="126"/>
      <c r="O115">
        <f t="shared" si="0"/>
        <v>0</v>
      </c>
    </row>
    <row r="116" spans="1:15" x14ac:dyDescent="0.25">
      <c r="A116" s="142"/>
      <c r="B116" s="192"/>
      <c r="C116" s="133"/>
      <c r="D116" s="133"/>
      <c r="E116" s="130"/>
      <c r="F116" s="130"/>
      <c r="G116" s="130"/>
      <c r="H116" s="131"/>
      <c r="I116" s="133"/>
      <c r="J116" s="136"/>
      <c r="K116" s="164"/>
      <c r="L116" s="126"/>
      <c r="M116" s="126"/>
      <c r="O116">
        <f t="shared" si="0"/>
        <v>0</v>
      </c>
    </row>
    <row r="117" spans="1:15" x14ac:dyDescent="0.25">
      <c r="A117" s="142"/>
      <c r="B117" s="192"/>
      <c r="C117" s="133"/>
      <c r="D117" s="133"/>
      <c r="E117" s="130"/>
      <c r="F117" s="130"/>
      <c r="G117" s="130"/>
      <c r="H117" s="131"/>
      <c r="I117" s="130"/>
      <c r="J117" s="136"/>
      <c r="K117" s="164"/>
      <c r="L117" s="126"/>
      <c r="M117" s="126"/>
      <c r="O117">
        <f t="shared" si="0"/>
        <v>0</v>
      </c>
    </row>
    <row r="118" spans="1:15" x14ac:dyDescent="0.25">
      <c r="A118" s="142"/>
      <c r="B118" s="192"/>
      <c r="C118" s="133"/>
      <c r="D118" s="133"/>
      <c r="E118" s="130"/>
      <c r="F118" s="130"/>
      <c r="G118" s="130"/>
      <c r="H118" s="131"/>
      <c r="I118" s="130"/>
      <c r="J118" s="136"/>
      <c r="K118" s="164"/>
      <c r="L118" s="126"/>
      <c r="M118" s="126"/>
      <c r="O118">
        <f t="shared" si="0"/>
        <v>0</v>
      </c>
    </row>
    <row r="119" spans="1:15" x14ac:dyDescent="0.25">
      <c r="A119" s="142"/>
      <c r="B119" s="192"/>
      <c r="C119" s="133"/>
      <c r="D119" s="133"/>
      <c r="E119" s="130"/>
      <c r="F119" s="130"/>
      <c r="G119" s="130"/>
      <c r="H119" s="131"/>
      <c r="I119" s="133"/>
      <c r="J119" s="136"/>
      <c r="K119" s="164"/>
      <c r="L119" s="126"/>
      <c r="M119" s="126"/>
      <c r="O119">
        <f t="shared" si="0"/>
        <v>0</v>
      </c>
    </row>
    <row r="120" spans="1:15" x14ac:dyDescent="0.25">
      <c r="A120" s="142"/>
      <c r="B120" s="192"/>
      <c r="C120" s="133"/>
      <c r="D120" s="133"/>
      <c r="E120" s="130"/>
      <c r="F120" s="130"/>
      <c r="G120" s="130"/>
      <c r="H120" s="131"/>
      <c r="I120" s="133"/>
      <c r="J120" s="136"/>
      <c r="K120" s="164"/>
      <c r="L120" s="126"/>
      <c r="M120" s="126"/>
      <c r="O120">
        <f t="shared" si="0"/>
        <v>0</v>
      </c>
    </row>
    <row r="121" spans="1:15" x14ac:dyDescent="0.25">
      <c r="A121" s="142"/>
      <c r="B121" s="192"/>
      <c r="C121" s="133"/>
      <c r="D121" s="133"/>
      <c r="E121" s="130"/>
      <c r="F121" s="130"/>
      <c r="G121" s="130"/>
      <c r="H121" s="131"/>
      <c r="I121" s="133"/>
      <c r="J121" s="136"/>
      <c r="K121" s="164"/>
      <c r="L121" s="126"/>
      <c r="M121" s="126"/>
      <c r="O121">
        <f t="shared" si="0"/>
        <v>0</v>
      </c>
    </row>
    <row r="122" spans="1:15" x14ac:dyDescent="0.25">
      <c r="A122" s="142"/>
      <c r="B122" s="192"/>
      <c r="C122" s="133"/>
      <c r="D122" s="133"/>
      <c r="E122" s="130"/>
      <c r="F122" s="130"/>
      <c r="G122" s="130"/>
      <c r="H122" s="131"/>
      <c r="I122" s="130"/>
      <c r="J122" s="136"/>
      <c r="K122" s="164"/>
      <c r="L122" s="126"/>
      <c r="M122" s="126"/>
      <c r="O122">
        <f t="shared" si="0"/>
        <v>0</v>
      </c>
    </row>
    <row r="123" spans="1:15" x14ac:dyDescent="0.25">
      <c r="A123" s="142"/>
      <c r="B123" s="192"/>
      <c r="C123" s="133"/>
      <c r="D123" s="133"/>
      <c r="E123" s="130"/>
      <c r="F123" s="130"/>
      <c r="G123" s="130"/>
      <c r="H123" s="131"/>
      <c r="I123" s="130"/>
      <c r="J123" s="136"/>
      <c r="K123" s="164"/>
      <c r="L123" s="126"/>
      <c r="M123" s="126"/>
      <c r="O123">
        <f t="shared" si="0"/>
        <v>0</v>
      </c>
    </row>
    <row r="124" spans="1:15" x14ac:dyDescent="0.25">
      <c r="A124" s="142"/>
      <c r="B124" s="192"/>
      <c r="C124" s="133"/>
      <c r="D124" s="133"/>
      <c r="E124" s="130"/>
      <c r="F124" s="130"/>
      <c r="G124" s="130"/>
      <c r="H124" s="131"/>
      <c r="I124" s="130"/>
      <c r="J124" s="136"/>
      <c r="K124" s="164"/>
      <c r="L124" s="126"/>
      <c r="M124" s="126"/>
      <c r="O124">
        <f t="shared" si="0"/>
        <v>0</v>
      </c>
    </row>
    <row r="125" spans="1:15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5" x14ac:dyDescent="0.25">
      <c r="A126" s="142"/>
      <c r="B126" s="192"/>
      <c r="C126" s="133"/>
      <c r="D126" s="133"/>
      <c r="E126" s="130"/>
      <c r="F126" s="130"/>
      <c r="G126" s="130"/>
      <c r="H126" s="131"/>
      <c r="I126" s="133"/>
      <c r="J126" s="136"/>
      <c r="K126" s="164"/>
      <c r="L126" s="126"/>
      <c r="M126" s="126"/>
      <c r="O126">
        <f t="shared" si="0"/>
        <v>0</v>
      </c>
    </row>
    <row r="127" spans="1:15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5" x14ac:dyDescent="0.25">
      <c r="A128" s="142"/>
      <c r="B128" s="192"/>
      <c r="C128" s="133"/>
      <c r="D128" s="133"/>
      <c r="E128" s="130"/>
      <c r="F128" s="130"/>
      <c r="G128" s="130"/>
      <c r="H128" s="131"/>
      <c r="I128" s="130"/>
      <c r="J128" s="136"/>
      <c r="K128" s="164"/>
      <c r="L128" s="126"/>
      <c r="M128" s="126"/>
      <c r="O128">
        <f t="shared" si="0"/>
        <v>0</v>
      </c>
    </row>
    <row r="129" spans="1:15" x14ac:dyDescent="0.25">
      <c r="A129" s="142"/>
      <c r="B129" s="192"/>
      <c r="C129" s="133"/>
      <c r="D129" s="133"/>
      <c r="E129" s="130"/>
      <c r="F129" s="130"/>
      <c r="G129" s="130"/>
      <c r="H129" s="131"/>
      <c r="I129" s="133"/>
      <c r="J129" s="136"/>
      <c r="K129" s="164"/>
      <c r="L129" s="126"/>
      <c r="M129" s="126"/>
      <c r="O129">
        <f t="shared" si="0"/>
        <v>0</v>
      </c>
    </row>
    <row r="130" spans="1:15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5" x14ac:dyDescent="0.25">
      <c r="A131" s="142"/>
      <c r="B131" s="192"/>
      <c r="C131" s="133"/>
      <c r="D131" s="133"/>
      <c r="E131" s="130"/>
      <c r="F131" s="130"/>
      <c r="G131" s="130"/>
      <c r="H131" s="131"/>
      <c r="I131" s="133"/>
      <c r="J131" s="136"/>
      <c r="K131" s="164"/>
      <c r="L131" s="126"/>
      <c r="M131" s="126"/>
      <c r="O131">
        <f t="shared" si="0"/>
        <v>0</v>
      </c>
    </row>
    <row r="132" spans="1:15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5" x14ac:dyDescent="0.25">
      <c r="A133" s="142"/>
      <c r="B133" s="192"/>
      <c r="C133" s="133"/>
      <c r="D133" s="133"/>
      <c r="E133" s="130"/>
      <c r="F133" s="130"/>
      <c r="G133" s="130"/>
      <c r="H133" s="131"/>
      <c r="I133" s="130"/>
      <c r="J133" s="136"/>
      <c r="K133" s="164"/>
      <c r="L133" s="126"/>
      <c r="M133" s="126"/>
      <c r="O133">
        <f t="shared" si="0"/>
        <v>0</v>
      </c>
    </row>
    <row r="134" spans="1:15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5" x14ac:dyDescent="0.25">
      <c r="A135" s="142"/>
      <c r="B135" s="192"/>
      <c r="C135" s="133"/>
      <c r="D135" s="133"/>
      <c r="E135" s="130"/>
      <c r="F135" s="130"/>
      <c r="G135" s="130"/>
      <c r="H135" s="131"/>
      <c r="I135" s="130"/>
      <c r="J135" s="136"/>
      <c r="K135" s="164"/>
      <c r="L135" s="126"/>
      <c r="M135" s="126"/>
      <c r="O135">
        <f t="shared" si="0"/>
        <v>0</v>
      </c>
    </row>
    <row r="136" spans="1:15" x14ac:dyDescent="0.25">
      <c r="A136" s="142"/>
      <c r="B136" s="192"/>
      <c r="C136" s="133"/>
      <c r="D136" s="133"/>
      <c r="E136" s="130"/>
      <c r="F136" s="130"/>
      <c r="G136" s="130"/>
      <c r="H136" s="131"/>
      <c r="I136" s="130"/>
      <c r="J136" s="136"/>
      <c r="K136" s="164"/>
      <c r="L136" s="126"/>
      <c r="M136" s="126"/>
      <c r="O136">
        <f t="shared" si="0"/>
        <v>0</v>
      </c>
    </row>
    <row r="137" spans="1:15" x14ac:dyDescent="0.25">
      <c r="A137" s="142"/>
      <c r="B137" s="192"/>
      <c r="C137" s="133"/>
      <c r="D137" s="133"/>
      <c r="E137" s="130"/>
      <c r="F137" s="130"/>
      <c r="G137" s="130"/>
      <c r="H137" s="131"/>
      <c r="I137" s="130"/>
      <c r="J137" s="136"/>
      <c r="K137" s="164"/>
      <c r="L137" s="126"/>
      <c r="M137" s="126"/>
      <c r="O137">
        <f t="shared" si="0"/>
        <v>0</v>
      </c>
    </row>
    <row r="138" spans="1:15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5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5" x14ac:dyDescent="0.25">
      <c r="A140" s="142"/>
      <c r="B140" s="192"/>
      <c r="C140" s="133"/>
      <c r="D140" s="133"/>
      <c r="E140" s="130"/>
      <c r="F140" s="130"/>
      <c r="G140" s="130"/>
      <c r="H140" s="131"/>
      <c r="I140" s="133"/>
      <c r="J140" s="136"/>
      <c r="K140" s="164"/>
      <c r="L140" s="126"/>
      <c r="M140" s="126"/>
      <c r="O140">
        <f t="shared" si="0"/>
        <v>0</v>
      </c>
    </row>
    <row r="141" spans="1:15" x14ac:dyDescent="0.25">
      <c r="A141" s="142"/>
      <c r="B141" s="192"/>
      <c r="C141" s="133"/>
      <c r="D141" s="133"/>
      <c r="E141" s="130"/>
      <c r="F141" s="130"/>
      <c r="G141" s="130"/>
      <c r="H141" s="131"/>
      <c r="I141" s="133"/>
      <c r="J141" s="136"/>
      <c r="K141" s="164"/>
      <c r="L141" s="126"/>
      <c r="M141" s="126"/>
      <c r="O141">
        <f t="shared" si="0"/>
        <v>0</v>
      </c>
    </row>
    <row r="142" spans="1:15" x14ac:dyDescent="0.25">
      <c r="A142" s="142"/>
      <c r="B142" s="192"/>
      <c r="C142" s="133"/>
      <c r="D142" s="133"/>
      <c r="E142" s="130"/>
      <c r="F142" s="130"/>
      <c r="G142" s="130"/>
      <c r="H142" s="131"/>
      <c r="I142" s="130"/>
      <c r="J142" s="136"/>
      <c r="K142" s="164"/>
      <c r="L142" s="126"/>
      <c r="M142" s="126"/>
      <c r="O142">
        <f t="shared" si="0"/>
        <v>0</v>
      </c>
    </row>
    <row r="143" spans="1:15" x14ac:dyDescent="0.25">
      <c r="A143" s="142"/>
      <c r="B143" s="192"/>
      <c r="C143" s="133"/>
      <c r="D143" s="133"/>
      <c r="E143" s="130"/>
      <c r="F143" s="130"/>
      <c r="G143" s="130"/>
      <c r="H143" s="131"/>
      <c r="I143" s="133"/>
      <c r="J143" s="136"/>
      <c r="K143" s="164"/>
      <c r="L143" s="126"/>
      <c r="M143" s="126"/>
      <c r="O143">
        <f t="shared" si="0"/>
        <v>0</v>
      </c>
    </row>
    <row r="144" spans="1:15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8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  <c r="R145" s="57">
        <f>SUM(J129:J132,J135:J138,J145,J114,J90,J83:J84)</f>
        <v>3600</v>
      </c>
    </row>
    <row r="146" spans="1:18" x14ac:dyDescent="0.25">
      <c r="A146" s="142"/>
      <c r="B146" s="192"/>
      <c r="C146" s="133"/>
      <c r="D146" s="133"/>
      <c r="E146" s="130"/>
      <c r="F146" s="130"/>
      <c r="G146" s="130"/>
      <c r="H146" s="131"/>
      <c r="I146" s="133"/>
      <c r="J146" s="136"/>
      <c r="K146" s="164"/>
      <c r="L146" s="126"/>
      <c r="M146" s="126"/>
      <c r="O146">
        <f t="shared" si="0"/>
        <v>0</v>
      </c>
      <c r="R146" s="57">
        <f>SUM(J146:J149)</f>
        <v>0</v>
      </c>
    </row>
    <row r="147" spans="1:18" x14ac:dyDescent="0.25">
      <c r="A147" s="142"/>
      <c r="B147" s="192"/>
      <c r="C147" s="133"/>
      <c r="D147" s="133"/>
      <c r="E147" s="130"/>
      <c r="F147" s="130"/>
      <c r="G147" s="130"/>
      <c r="H147" s="131"/>
      <c r="I147" s="130"/>
      <c r="J147" s="136"/>
      <c r="K147" s="164"/>
      <c r="L147" s="126"/>
      <c r="M147" s="126"/>
      <c r="O147">
        <f t="shared" si="0"/>
        <v>0</v>
      </c>
    </row>
    <row r="148" spans="1:18" x14ac:dyDescent="0.25">
      <c r="A148" s="142"/>
      <c r="B148" s="192"/>
      <c r="C148" s="133"/>
      <c r="D148" s="133"/>
      <c r="E148" s="130"/>
      <c r="F148" s="130"/>
      <c r="G148" s="130"/>
      <c r="H148" s="131"/>
      <c r="I148" s="133"/>
      <c r="J148" s="136"/>
      <c r="K148" s="164"/>
      <c r="L148" s="126"/>
      <c r="M148" s="126"/>
      <c r="O148">
        <f t="shared" si="0"/>
        <v>0</v>
      </c>
    </row>
    <row r="149" spans="1:18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8" x14ac:dyDescent="0.25">
      <c r="A150" s="142"/>
      <c r="B150" s="192"/>
      <c r="C150" s="133"/>
      <c r="D150" s="133"/>
      <c r="E150" s="130"/>
      <c r="F150" s="130"/>
      <c r="G150" s="130"/>
      <c r="H150" s="131"/>
      <c r="I150" s="133"/>
      <c r="J150" s="136"/>
      <c r="K150" s="164"/>
      <c r="L150" s="126"/>
      <c r="M150" s="126"/>
      <c r="O150">
        <f t="shared" si="0"/>
        <v>0</v>
      </c>
    </row>
    <row r="151" spans="1:18" x14ac:dyDescent="0.25">
      <c r="A151" s="142"/>
      <c r="B151" s="192"/>
      <c r="C151" s="133"/>
      <c r="D151" s="133"/>
      <c r="E151" s="130"/>
      <c r="F151" s="130"/>
      <c r="G151" s="130"/>
      <c r="H151" s="131"/>
      <c r="I151" s="133"/>
      <c r="J151" s="136"/>
      <c r="K151" s="164"/>
      <c r="L151" s="126"/>
      <c r="M151" s="126"/>
      <c r="O151">
        <f t="shared" si="0"/>
        <v>0</v>
      </c>
    </row>
    <row r="152" spans="1:18" x14ac:dyDescent="0.25">
      <c r="A152" s="142"/>
      <c r="B152" s="192"/>
      <c r="C152" s="133"/>
      <c r="D152" s="133"/>
      <c r="E152" s="130"/>
      <c r="F152" s="130"/>
      <c r="G152" s="130"/>
      <c r="H152" s="131"/>
      <c r="I152" s="130"/>
      <c r="J152" s="136"/>
      <c r="K152" s="164"/>
      <c r="L152" s="126"/>
      <c r="M152" s="126"/>
      <c r="O152">
        <f t="shared" si="0"/>
        <v>0</v>
      </c>
    </row>
    <row r="153" spans="1:18" x14ac:dyDescent="0.25">
      <c r="A153" s="142"/>
      <c r="B153" s="192"/>
      <c r="C153" s="133"/>
      <c r="D153" s="133"/>
      <c r="E153" s="130"/>
      <c r="F153" s="130"/>
      <c r="G153" s="130"/>
      <c r="H153" s="131"/>
      <c r="I153" s="130"/>
      <c r="J153" s="136"/>
      <c r="K153" s="164"/>
      <c r="L153" s="126"/>
      <c r="M153" s="126"/>
      <c r="O153">
        <f t="shared" si="0"/>
        <v>0</v>
      </c>
    </row>
    <row r="154" spans="1:18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</row>
    <row r="155" spans="1:18" x14ac:dyDescent="0.25">
      <c r="A155" s="142"/>
      <c r="B155" s="192"/>
      <c r="C155" s="133"/>
      <c r="D155" s="133"/>
      <c r="E155" s="130"/>
      <c r="F155" s="130"/>
      <c r="G155" s="130"/>
      <c r="H155" s="131"/>
      <c r="I155" s="130"/>
      <c r="J155" s="136"/>
      <c r="K155" s="164"/>
      <c r="L155" s="126"/>
      <c r="M155" s="126"/>
    </row>
    <row r="156" spans="1:18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</row>
    <row r="157" spans="1:18" x14ac:dyDescent="0.25">
      <c r="A157" s="142"/>
      <c r="B157" s="192"/>
      <c r="C157" s="133"/>
      <c r="D157" s="133"/>
      <c r="E157" s="130"/>
      <c r="F157" s="130"/>
      <c r="G157" s="130"/>
      <c r="H157" s="131"/>
      <c r="I157" s="130"/>
      <c r="J157" s="136"/>
      <c r="K157" s="164"/>
      <c r="L157" s="126"/>
      <c r="M157" s="126"/>
    </row>
    <row r="158" spans="1:18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</row>
    <row r="159" spans="1:18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8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</row>
    <row r="161" spans="1:18" x14ac:dyDescent="0.25">
      <c r="A161" s="142"/>
      <c r="B161" s="192"/>
      <c r="C161" s="133"/>
      <c r="D161" s="133"/>
      <c r="E161" s="130"/>
      <c r="F161" s="130"/>
      <c r="G161" s="130"/>
      <c r="H161" s="131"/>
      <c r="I161" s="133"/>
      <c r="J161" s="136"/>
      <c r="K161" s="164"/>
      <c r="L161" s="126"/>
      <c r="M161" s="126"/>
    </row>
    <row r="162" spans="1:18" x14ac:dyDescent="0.25">
      <c r="A162" s="142"/>
      <c r="B162" s="192"/>
      <c r="C162" s="133"/>
      <c r="D162" s="133"/>
      <c r="E162" s="130"/>
      <c r="F162" s="130"/>
      <c r="G162" s="130"/>
      <c r="H162" s="131"/>
      <c r="I162" s="130"/>
      <c r="J162" s="136"/>
      <c r="K162" s="164"/>
      <c r="L162" s="126"/>
      <c r="M162" s="126"/>
    </row>
    <row r="163" spans="1:18" x14ac:dyDescent="0.25">
      <c r="A163" s="142"/>
      <c r="B163" s="192"/>
      <c r="C163" s="133"/>
      <c r="D163" s="133"/>
      <c r="E163" s="130"/>
      <c r="F163" s="130"/>
      <c r="G163" s="130"/>
      <c r="H163" s="131"/>
      <c r="I163" s="130"/>
      <c r="J163" s="136"/>
      <c r="K163" s="164"/>
      <c r="L163" s="126"/>
      <c r="M163" s="126"/>
    </row>
    <row r="164" spans="1:18" x14ac:dyDescent="0.25">
      <c r="A164" s="142"/>
      <c r="B164" s="192"/>
      <c r="C164" s="133"/>
      <c r="D164" s="133"/>
      <c r="E164" s="130"/>
      <c r="F164" s="130"/>
      <c r="G164" s="130"/>
      <c r="H164" s="131"/>
      <c r="I164" s="130"/>
      <c r="J164" s="136"/>
      <c r="K164" s="164"/>
      <c r="L164" s="126"/>
      <c r="M164" s="126"/>
    </row>
    <row r="165" spans="1:18" x14ac:dyDescent="0.25">
      <c r="A165" s="125"/>
      <c r="B165" s="193"/>
      <c r="C165" s="77"/>
      <c r="D165" s="77"/>
      <c r="E165" s="126"/>
      <c r="F165" s="126"/>
      <c r="G165" s="126"/>
      <c r="H165" s="127"/>
      <c r="I165" s="126"/>
      <c r="J165" s="134"/>
      <c r="K165" s="135"/>
      <c r="L165" s="126"/>
      <c r="M165" s="126"/>
      <c r="O165">
        <f>SUM(O12:O148)</f>
        <v>22176</v>
      </c>
    </row>
    <row r="166" spans="1:18" x14ac:dyDescent="0.25">
      <c r="A166" s="169"/>
      <c r="B166" s="190"/>
      <c r="J166" s="25"/>
      <c r="K166" s="88"/>
    </row>
    <row r="168" spans="1:18" x14ac:dyDescent="0.25">
      <c r="K168" s="90"/>
      <c r="L168" s="26"/>
    </row>
    <row r="169" spans="1:18" ht="16.5" customHeight="1" x14ac:dyDescent="0.25">
      <c r="C169" t="s">
        <v>20</v>
      </c>
      <c r="G169" t="s">
        <v>21</v>
      </c>
      <c r="K169" s="79" t="s">
        <v>103</v>
      </c>
      <c r="L169" s="94"/>
      <c r="R169" s="25"/>
    </row>
    <row r="170" spans="1:18" x14ac:dyDescent="0.25">
      <c r="K170" s="79" t="s">
        <v>104</v>
      </c>
      <c r="L170" s="94"/>
      <c r="M170" s="57"/>
    </row>
    <row r="171" spans="1:18" x14ac:dyDescent="0.25">
      <c r="K171" s="79" t="s">
        <v>119</v>
      </c>
      <c r="L171" s="95"/>
    </row>
    <row r="172" spans="1:18" x14ac:dyDescent="0.25">
      <c r="C172" s="91" t="s">
        <v>173</v>
      </c>
      <c r="D172" s="91"/>
      <c r="G172" s="391" t="s">
        <v>125</v>
      </c>
      <c r="H172" s="391"/>
      <c r="I172" s="391"/>
      <c r="J172" s="391"/>
      <c r="K172" s="79" t="s">
        <v>160</v>
      </c>
      <c r="L172" s="95"/>
    </row>
    <row r="173" spans="1:18" x14ac:dyDescent="0.25">
      <c r="C173" t="s">
        <v>153</v>
      </c>
      <c r="G173" s="392" t="s">
        <v>126</v>
      </c>
      <c r="H173" s="392"/>
      <c r="I173" s="392"/>
      <c r="J173" s="392"/>
      <c r="K173" s="79" t="s">
        <v>105</v>
      </c>
      <c r="L173" s="94"/>
    </row>
    <row r="174" spans="1:18" x14ac:dyDescent="0.25">
      <c r="K174" s="79" t="s">
        <v>106</v>
      </c>
      <c r="L174" s="95"/>
    </row>
    <row r="175" spans="1:18" x14ac:dyDescent="0.25">
      <c r="K175" s="79" t="s">
        <v>108</v>
      </c>
      <c r="L175" s="170"/>
    </row>
    <row r="176" spans="1:18" x14ac:dyDescent="0.25">
      <c r="K176" s="79" t="s">
        <v>22</v>
      </c>
      <c r="L176" s="95"/>
    </row>
    <row r="177" spans="3:12" x14ac:dyDescent="0.25">
      <c r="C177" s="27"/>
      <c r="D177" s="27"/>
      <c r="G177" s="27"/>
      <c r="H177" s="27"/>
      <c r="I177" s="27"/>
      <c r="K177" s="92" t="s">
        <v>101</v>
      </c>
      <c r="L177" s="58"/>
    </row>
    <row r="178" spans="3:12" x14ac:dyDescent="0.25">
      <c r="K178" s="92" t="s">
        <v>102</v>
      </c>
      <c r="L178" s="26"/>
    </row>
    <row r="179" spans="3:12" x14ac:dyDescent="0.25">
      <c r="K179" s="79"/>
      <c r="L179" s="26"/>
    </row>
    <row r="180" spans="3:12" x14ac:dyDescent="0.25">
      <c r="K180" s="79"/>
      <c r="L180" s="58"/>
    </row>
    <row r="181" spans="3:12" x14ac:dyDescent="0.25">
      <c r="K181" s="79"/>
      <c r="L181" s="58"/>
    </row>
    <row r="201" spans="14:14" x14ac:dyDescent="0.25">
      <c r="N201" s="25"/>
    </row>
    <row r="224" spans="14:14" x14ac:dyDescent="0.25">
      <c r="N224" s="25"/>
    </row>
    <row r="351" spans="14:14" x14ac:dyDescent="0.25">
      <c r="N351" s="25"/>
    </row>
  </sheetData>
  <mergeCells count="8">
    <mergeCell ref="G172:J172"/>
    <mergeCell ref="G173:J173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1C84-FD0C-4188-BD74-67B02066C846}">
  <sheetPr>
    <tabColor theme="5"/>
  </sheetPr>
  <dimension ref="A1:O41"/>
  <sheetViews>
    <sheetView view="pageBreakPreview" topLeftCell="A5" zoomScale="96" zoomScaleNormal="100" zoomScaleSheetLayoutView="96" workbookViewId="0">
      <selection activeCell="G16" sqref="G16:G18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1402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23</v>
      </c>
      <c r="B12" s="194" t="s">
        <v>1550</v>
      </c>
      <c r="C12" s="177"/>
      <c r="D12" s="176"/>
      <c r="E12" s="194" t="s">
        <v>78</v>
      </c>
      <c r="F12" s="131" t="s">
        <v>1535</v>
      </c>
      <c r="G12" s="176" t="s">
        <v>1551</v>
      </c>
      <c r="H12" s="191" t="s">
        <v>40</v>
      </c>
      <c r="I12" s="244">
        <v>2000</v>
      </c>
      <c r="J12" s="123" t="s">
        <v>123</v>
      </c>
      <c r="K12" s="77" t="s">
        <v>1311</v>
      </c>
      <c r="L12" s="117" t="s">
        <v>41</v>
      </c>
    </row>
    <row r="13" spans="1:15" ht="33.75" customHeight="1" x14ac:dyDescent="0.25">
      <c r="A13" s="172"/>
      <c r="B13" s="194"/>
      <c r="C13" s="177"/>
      <c r="D13" s="176"/>
      <c r="E13" s="176"/>
      <c r="F13" s="179"/>
      <c r="G13" s="179"/>
      <c r="H13" s="191"/>
      <c r="I13" s="198"/>
      <c r="J13" s="123"/>
      <c r="K13" s="77"/>
      <c r="L13" s="117"/>
      <c r="M13" s="105"/>
    </row>
    <row r="14" spans="1:15" ht="33.75" customHeight="1" x14ac:dyDescent="0.25">
      <c r="A14" s="173"/>
      <c r="B14" s="187"/>
      <c r="C14" s="182"/>
      <c r="D14" s="176"/>
      <c r="E14" s="176"/>
      <c r="F14" s="179"/>
      <c r="G14" s="185"/>
      <c r="H14" s="185"/>
      <c r="I14" s="186"/>
      <c r="J14" s="123"/>
      <c r="K14" s="77"/>
      <c r="L14" s="117"/>
      <c r="M14" s="105"/>
      <c r="O14" s="57"/>
    </row>
    <row r="15" spans="1:15" ht="32.25" customHeight="1" x14ac:dyDescent="0.25">
      <c r="A15" s="173"/>
      <c r="B15" s="194"/>
      <c r="C15" s="177"/>
      <c r="D15" s="176"/>
      <c r="E15" s="176"/>
      <c r="F15" s="179"/>
      <c r="G15" s="185"/>
      <c r="H15" s="133"/>
      <c r="I15" s="186"/>
      <c r="J15" s="123"/>
      <c r="K15" s="77"/>
      <c r="L15" s="117"/>
      <c r="O15" s="57"/>
    </row>
    <row r="16" spans="1:15" ht="26.25" customHeight="1" x14ac:dyDescent="0.25">
      <c r="A16" s="173"/>
      <c r="B16" s="187"/>
      <c r="C16" s="182"/>
      <c r="D16" s="185"/>
      <c r="E16" s="187"/>
      <c r="F16" s="179"/>
      <c r="G16" s="185"/>
      <c r="H16" s="185"/>
      <c r="I16" s="186"/>
      <c r="J16" s="123"/>
      <c r="K16" s="77"/>
      <c r="L16" s="117"/>
      <c r="O16" s="57"/>
    </row>
    <row r="17" spans="1:15" ht="23.25" customHeight="1" x14ac:dyDescent="0.25">
      <c r="A17" s="173"/>
      <c r="B17" s="194"/>
      <c r="C17" s="177"/>
      <c r="D17" s="176"/>
      <c r="E17" s="176"/>
      <c r="F17" s="179"/>
      <c r="G17" s="185"/>
      <c r="H17" s="187"/>
      <c r="I17" s="186"/>
      <c r="J17" s="123"/>
      <c r="K17" s="77"/>
      <c r="L17" s="117"/>
      <c r="O17" s="57"/>
    </row>
    <row r="18" spans="1:15" ht="27" customHeight="1" x14ac:dyDescent="0.25">
      <c r="A18" s="173"/>
      <c r="B18" s="187"/>
      <c r="C18" s="182"/>
      <c r="D18" s="183"/>
      <c r="E18" s="187"/>
      <c r="F18" s="179"/>
      <c r="G18" s="185"/>
      <c r="H18" s="187"/>
      <c r="I18" s="186"/>
      <c r="J18" s="123"/>
      <c r="K18" s="257"/>
      <c r="L18" s="117"/>
      <c r="O18" s="57"/>
    </row>
    <row r="19" spans="1:15" ht="24" customHeight="1" x14ac:dyDescent="0.25">
      <c r="A19" s="173"/>
      <c r="B19" s="181"/>
      <c r="C19" s="182"/>
      <c r="D19" s="185"/>
      <c r="E19" s="185"/>
      <c r="F19" s="179"/>
      <c r="G19" s="185"/>
      <c r="H19" s="187"/>
      <c r="I19" s="198"/>
      <c r="J19" s="123"/>
      <c r="K19" s="77"/>
      <c r="L19" s="117"/>
      <c r="O19" s="57"/>
    </row>
    <row r="20" spans="1:15" ht="35.25" customHeight="1" x14ac:dyDescent="0.25">
      <c r="A20" s="173"/>
      <c r="B20" s="187"/>
      <c r="C20" s="182"/>
      <c r="D20" s="185"/>
      <c r="E20" s="185"/>
      <c r="F20" s="179"/>
      <c r="G20" s="185"/>
      <c r="H20" s="187"/>
      <c r="I20" s="198"/>
      <c r="J20" s="123"/>
      <c r="K20" s="77"/>
      <c r="L20" s="117"/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1288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40</v>
      </c>
      <c r="L32" s="205">
        <v>90350</v>
      </c>
    </row>
    <row r="33" spans="2:12" x14ac:dyDescent="0.25">
      <c r="I33" s="26" t="s">
        <v>121</v>
      </c>
      <c r="J33" s="95"/>
      <c r="K33" s="195" t="s">
        <v>1289</v>
      </c>
      <c r="L33" s="206">
        <v>5000</v>
      </c>
    </row>
    <row r="34" spans="2:12" x14ac:dyDescent="0.25">
      <c r="I34" s="26" t="s">
        <v>147</v>
      </c>
      <c r="J34" s="95"/>
      <c r="K34" s="202" t="s">
        <v>1382</v>
      </c>
      <c r="L34" s="205"/>
    </row>
    <row r="35" spans="2:12" x14ac:dyDescent="0.25">
      <c r="I35" s="26" t="s">
        <v>105</v>
      </c>
      <c r="J35" s="95"/>
      <c r="K35" s="202" t="s">
        <v>40</v>
      </c>
      <c r="L35" s="206">
        <f>SUM(I15,I18)</f>
        <v>0</v>
      </c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195" t="s">
        <v>1289</v>
      </c>
      <c r="L36" s="205">
        <v>15000</v>
      </c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204" t="s">
        <v>1383</v>
      </c>
      <c r="L37" s="207">
        <v>50000</v>
      </c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204"/>
      <c r="L38" s="207"/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2000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0D71-52E1-4994-BA29-15CFB17AEABA}">
  <sheetPr>
    <tabColor theme="5"/>
  </sheetPr>
  <dimension ref="A1:U347"/>
  <sheetViews>
    <sheetView view="pageBreakPreview" topLeftCell="A83" zoomScale="106" zoomScaleNormal="100" zoomScaleSheetLayoutView="106" workbookViewId="0">
      <selection activeCell="L93" sqref="L93:M158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1402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/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/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1463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SUM(J12,J14,J17,J19,J22:J24,J27:J30,J32:J33)</f>
        <v>17100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849</v>
      </c>
      <c r="S11" s="25">
        <f>SUM(J13,J21,J25,J31,J34:J35,J40,J42,J44)</f>
        <v>5900</v>
      </c>
    </row>
    <row r="12" spans="1:19" x14ac:dyDescent="0.25">
      <c r="A12" s="128">
        <v>5</v>
      </c>
      <c r="B12" s="191" t="s">
        <v>1403</v>
      </c>
      <c r="C12" s="130" t="s">
        <v>1404</v>
      </c>
      <c r="D12" s="130"/>
      <c r="E12" s="130" t="s">
        <v>127</v>
      </c>
      <c r="F12" s="130" t="s">
        <v>156</v>
      </c>
      <c r="G12" s="130" t="s">
        <v>54</v>
      </c>
      <c r="H12" s="131" t="s">
        <v>1405</v>
      </c>
      <c r="I12" s="240" t="s">
        <v>145</v>
      </c>
      <c r="J12" s="132">
        <v>500</v>
      </c>
      <c r="K12" s="129">
        <v>100</v>
      </c>
      <c r="L12" s="126" t="s">
        <v>120</v>
      </c>
      <c r="M12" s="126" t="s">
        <v>41</v>
      </c>
      <c r="O12">
        <f>J12/5</f>
        <v>100</v>
      </c>
      <c r="Q12" s="25"/>
      <c r="R12" s="230" t="s">
        <v>1383</v>
      </c>
      <c r="S12" s="25">
        <f>SUM(J15:J16,J18,J20,J26,J36:J39,J41,J43,J45)</f>
        <v>6300</v>
      </c>
    </row>
    <row r="13" spans="1:19" x14ac:dyDescent="0.25">
      <c r="A13" s="128">
        <v>5</v>
      </c>
      <c r="B13" s="191" t="s">
        <v>1403</v>
      </c>
      <c r="C13" s="130" t="s">
        <v>1404</v>
      </c>
      <c r="D13" s="130"/>
      <c r="E13" s="130" t="s">
        <v>127</v>
      </c>
      <c r="F13" s="130" t="s">
        <v>156</v>
      </c>
      <c r="G13" s="130" t="s">
        <v>54</v>
      </c>
      <c r="H13" s="131" t="s">
        <v>1405</v>
      </c>
      <c r="I13" s="242" t="s">
        <v>849</v>
      </c>
      <c r="J13" s="132">
        <v>500</v>
      </c>
      <c r="K13" s="129">
        <v>500</v>
      </c>
      <c r="L13" s="126" t="s">
        <v>120</v>
      </c>
      <c r="M13" s="126" t="s">
        <v>41</v>
      </c>
      <c r="O13">
        <f>J13/5</f>
        <v>100</v>
      </c>
      <c r="Q13" s="25"/>
      <c r="R13" s="229" t="s">
        <v>1585</v>
      </c>
      <c r="S13" s="25"/>
    </row>
    <row r="14" spans="1:19" x14ac:dyDescent="0.25">
      <c r="A14" s="128">
        <v>5</v>
      </c>
      <c r="B14" s="191" t="s">
        <v>1406</v>
      </c>
      <c r="C14" s="130" t="s">
        <v>1407</v>
      </c>
      <c r="D14" s="130"/>
      <c r="E14" s="130" t="s">
        <v>127</v>
      </c>
      <c r="F14" s="130" t="s">
        <v>672</v>
      </c>
      <c r="G14" s="130" t="s">
        <v>54</v>
      </c>
      <c r="H14" s="131" t="s">
        <v>1408</v>
      </c>
      <c r="I14" s="240" t="s">
        <v>145</v>
      </c>
      <c r="J14" s="132">
        <v>500</v>
      </c>
      <c r="K14" s="129">
        <v>100</v>
      </c>
      <c r="L14" s="126" t="s">
        <v>120</v>
      </c>
      <c r="M14" s="126" t="s">
        <v>41</v>
      </c>
      <c r="O14">
        <f t="shared" ref="O14:O149" si="0">J14/5</f>
        <v>100</v>
      </c>
      <c r="Q14" s="25"/>
      <c r="R14" s="204" t="s">
        <v>119</v>
      </c>
      <c r="S14" s="57">
        <f>SUM(J52,J55:J56,J58:J91,J92)</f>
        <v>72650</v>
      </c>
    </row>
    <row r="15" spans="1:19" x14ac:dyDescent="0.25">
      <c r="A15" s="128">
        <v>5</v>
      </c>
      <c r="B15" s="191" t="s">
        <v>1409</v>
      </c>
      <c r="C15" s="130" t="s">
        <v>1410</v>
      </c>
      <c r="D15" s="130"/>
      <c r="E15" s="130" t="s">
        <v>127</v>
      </c>
      <c r="F15" s="130" t="s">
        <v>1411</v>
      </c>
      <c r="G15" s="130" t="s">
        <v>42</v>
      </c>
      <c r="H15" s="131" t="s">
        <v>1412</v>
      </c>
      <c r="I15" s="256" t="s">
        <v>1357</v>
      </c>
      <c r="J15" s="132">
        <v>100</v>
      </c>
      <c r="K15" s="129">
        <v>50</v>
      </c>
      <c r="L15" s="126" t="s">
        <v>120</v>
      </c>
      <c r="M15" s="126" t="s">
        <v>41</v>
      </c>
      <c r="O15">
        <f t="shared" si="0"/>
        <v>20</v>
      </c>
      <c r="Q15" s="25"/>
      <c r="R15" s="230" t="s">
        <v>1383</v>
      </c>
      <c r="S15" s="57">
        <f>SUM(J46:J51,J53:J54,J57)</f>
        <v>7900</v>
      </c>
    </row>
    <row r="16" spans="1:19" x14ac:dyDescent="0.25">
      <c r="A16" s="128">
        <v>5</v>
      </c>
      <c r="B16" s="191" t="s">
        <v>1413</v>
      </c>
      <c r="C16" s="130" t="s">
        <v>1414</v>
      </c>
      <c r="D16" s="130"/>
      <c r="E16" s="168" t="s">
        <v>129</v>
      </c>
      <c r="F16" s="130" t="s">
        <v>1415</v>
      </c>
      <c r="G16" s="130" t="s">
        <v>54</v>
      </c>
      <c r="H16" s="131" t="s">
        <v>1416</v>
      </c>
      <c r="I16" s="256" t="s">
        <v>1357</v>
      </c>
      <c r="J16" s="132">
        <v>100</v>
      </c>
      <c r="K16" s="129">
        <v>50</v>
      </c>
      <c r="L16" s="126" t="s">
        <v>120</v>
      </c>
      <c r="M16" s="126" t="s">
        <v>41</v>
      </c>
      <c r="O16">
        <f t="shared" si="0"/>
        <v>20</v>
      </c>
      <c r="R16" s="230"/>
      <c r="S16" s="57"/>
    </row>
    <row r="17" spans="1:19" x14ac:dyDescent="0.25">
      <c r="A17" s="128">
        <v>5</v>
      </c>
      <c r="B17" s="191" t="s">
        <v>359</v>
      </c>
      <c r="C17" s="130" t="s">
        <v>1417</v>
      </c>
      <c r="D17" s="130"/>
      <c r="E17" s="168" t="s">
        <v>129</v>
      </c>
      <c r="F17" s="130" t="s">
        <v>1418</v>
      </c>
      <c r="G17" s="130" t="s">
        <v>69</v>
      </c>
      <c r="H17" s="131"/>
      <c r="I17" s="133" t="s">
        <v>40</v>
      </c>
      <c r="J17" s="132">
        <v>200</v>
      </c>
      <c r="K17" s="129">
        <v>40</v>
      </c>
      <c r="L17" s="126" t="s">
        <v>120</v>
      </c>
      <c r="M17" s="126" t="s">
        <v>41</v>
      </c>
      <c r="O17">
        <f t="shared" si="0"/>
        <v>40</v>
      </c>
      <c r="R17" s="229"/>
      <c r="S17" s="57"/>
    </row>
    <row r="18" spans="1:19" x14ac:dyDescent="0.25">
      <c r="A18" s="128">
        <v>5</v>
      </c>
      <c r="B18" s="191" t="s">
        <v>359</v>
      </c>
      <c r="C18" s="130" t="s">
        <v>1417</v>
      </c>
      <c r="D18" s="130"/>
      <c r="E18" s="168" t="s">
        <v>129</v>
      </c>
      <c r="F18" s="130" t="s">
        <v>1418</v>
      </c>
      <c r="G18" s="130" t="s">
        <v>69</v>
      </c>
      <c r="H18" s="131"/>
      <c r="I18" s="256" t="s">
        <v>1357</v>
      </c>
      <c r="J18" s="132">
        <v>200</v>
      </c>
      <c r="K18" s="129">
        <v>100</v>
      </c>
      <c r="L18" s="126" t="s">
        <v>120</v>
      </c>
      <c r="M18" s="126" t="s">
        <v>41</v>
      </c>
      <c r="O18">
        <f t="shared" si="0"/>
        <v>40</v>
      </c>
      <c r="Q18" s="57"/>
      <c r="R18" s="230"/>
      <c r="S18" s="57"/>
    </row>
    <row r="19" spans="1:19" x14ac:dyDescent="0.25">
      <c r="A19" s="128">
        <v>5</v>
      </c>
      <c r="B19" s="191" t="s">
        <v>1419</v>
      </c>
      <c r="C19" s="130" t="s">
        <v>1420</v>
      </c>
      <c r="D19" s="130"/>
      <c r="E19" s="130" t="s">
        <v>127</v>
      </c>
      <c r="F19" s="130" t="s">
        <v>616</v>
      </c>
      <c r="G19" s="130" t="s">
        <v>43</v>
      </c>
      <c r="H19" s="131"/>
      <c r="I19" s="133" t="s">
        <v>40</v>
      </c>
      <c r="J19" s="132">
        <v>1000</v>
      </c>
      <c r="K19" s="129">
        <v>200</v>
      </c>
      <c r="L19" s="126" t="s">
        <v>120</v>
      </c>
      <c r="M19" s="126" t="s">
        <v>41</v>
      </c>
      <c r="O19">
        <f t="shared" si="0"/>
        <v>200</v>
      </c>
      <c r="R19" s="230"/>
      <c r="S19" s="25"/>
    </row>
    <row r="20" spans="1:19" x14ac:dyDescent="0.25">
      <c r="A20" s="128">
        <v>5</v>
      </c>
      <c r="B20" s="191" t="s">
        <v>1419</v>
      </c>
      <c r="C20" s="130" t="s">
        <v>1420</v>
      </c>
      <c r="D20" s="130"/>
      <c r="E20" s="130" t="s">
        <v>127</v>
      </c>
      <c r="F20" s="130" t="s">
        <v>616</v>
      </c>
      <c r="G20" s="130" t="s">
        <v>43</v>
      </c>
      <c r="H20" s="131"/>
      <c r="I20" s="256" t="s">
        <v>1357</v>
      </c>
      <c r="J20" s="132">
        <v>1000</v>
      </c>
      <c r="K20" s="129">
        <v>500</v>
      </c>
      <c r="L20" s="126" t="s">
        <v>120</v>
      </c>
      <c r="M20" s="126" t="s">
        <v>41</v>
      </c>
      <c r="O20">
        <f t="shared" si="0"/>
        <v>200</v>
      </c>
      <c r="Q20" s="25"/>
      <c r="R20" s="171"/>
      <c r="S20" s="57"/>
    </row>
    <row r="21" spans="1:19" x14ac:dyDescent="0.25">
      <c r="A21" s="128">
        <v>5</v>
      </c>
      <c r="B21" s="191" t="s">
        <v>1419</v>
      </c>
      <c r="C21" s="130" t="s">
        <v>1420</v>
      </c>
      <c r="D21" s="130"/>
      <c r="E21" s="130" t="s">
        <v>127</v>
      </c>
      <c r="F21" s="130" t="s">
        <v>616</v>
      </c>
      <c r="G21" s="130" t="s">
        <v>43</v>
      </c>
      <c r="H21" s="131"/>
      <c r="I21" s="242" t="s">
        <v>849</v>
      </c>
      <c r="J21" s="132">
        <v>200</v>
      </c>
      <c r="K21" s="129">
        <v>200</v>
      </c>
      <c r="L21" s="126" t="s">
        <v>120</v>
      </c>
      <c r="M21" s="126" t="s">
        <v>41</v>
      </c>
      <c r="O21">
        <f t="shared" si="0"/>
        <v>40</v>
      </c>
      <c r="R21" s="171"/>
      <c r="S21" s="57"/>
    </row>
    <row r="22" spans="1:19" x14ac:dyDescent="0.25">
      <c r="A22" s="128">
        <v>5</v>
      </c>
      <c r="B22" s="191" t="s">
        <v>846</v>
      </c>
      <c r="C22" s="130" t="s">
        <v>847</v>
      </c>
      <c r="D22" s="130"/>
      <c r="E22" s="130" t="s">
        <v>127</v>
      </c>
      <c r="F22" s="130" t="s">
        <v>60</v>
      </c>
      <c r="G22" s="130" t="s">
        <v>84</v>
      </c>
      <c r="H22" s="131"/>
      <c r="I22" s="133" t="s">
        <v>40</v>
      </c>
      <c r="J22" s="132">
        <v>2000</v>
      </c>
      <c r="K22" s="164">
        <v>400</v>
      </c>
      <c r="L22" s="126" t="s">
        <v>120</v>
      </c>
      <c r="M22" s="126" t="s">
        <v>41</v>
      </c>
      <c r="O22">
        <f t="shared" si="0"/>
        <v>400</v>
      </c>
      <c r="R22" s="57"/>
      <c r="S22" s="25"/>
    </row>
    <row r="23" spans="1:19" x14ac:dyDescent="0.25">
      <c r="A23" s="128">
        <v>5</v>
      </c>
      <c r="B23" s="191" t="s">
        <v>846</v>
      </c>
      <c r="C23" s="130" t="s">
        <v>847</v>
      </c>
      <c r="D23" s="130"/>
      <c r="E23" s="130" t="s">
        <v>127</v>
      </c>
      <c r="F23" s="130" t="s">
        <v>60</v>
      </c>
      <c r="G23" s="130" t="s">
        <v>84</v>
      </c>
      <c r="H23" s="131"/>
      <c r="I23" s="240" t="s">
        <v>145</v>
      </c>
      <c r="J23" s="132">
        <v>500</v>
      </c>
      <c r="K23" s="129">
        <v>100</v>
      </c>
      <c r="L23" s="126" t="s">
        <v>120</v>
      </c>
      <c r="M23" s="126" t="s">
        <v>41</v>
      </c>
      <c r="O23">
        <f t="shared" si="0"/>
        <v>100</v>
      </c>
      <c r="R23" s="241"/>
      <c r="S23" s="25"/>
    </row>
    <row r="24" spans="1:19" x14ac:dyDescent="0.25">
      <c r="A24" s="128">
        <v>5</v>
      </c>
      <c r="B24" s="191" t="s">
        <v>810</v>
      </c>
      <c r="C24" s="130" t="s">
        <v>730</v>
      </c>
      <c r="D24" s="130"/>
      <c r="E24" s="130" t="s">
        <v>127</v>
      </c>
      <c r="F24" s="130" t="s">
        <v>1421</v>
      </c>
      <c r="G24" s="130" t="s">
        <v>54</v>
      </c>
      <c r="H24" s="131" t="s">
        <v>1422</v>
      </c>
      <c r="I24" s="133" t="s">
        <v>40</v>
      </c>
      <c r="J24" s="132">
        <v>500</v>
      </c>
      <c r="K24" s="129">
        <v>150</v>
      </c>
      <c r="L24" s="126" t="s">
        <v>120</v>
      </c>
      <c r="M24" s="126" t="s">
        <v>41</v>
      </c>
      <c r="O24">
        <f t="shared" si="0"/>
        <v>100</v>
      </c>
      <c r="R24" s="174"/>
      <c r="S24" s="57"/>
    </row>
    <row r="25" spans="1:19" x14ac:dyDescent="0.25">
      <c r="A25" s="128">
        <v>5</v>
      </c>
      <c r="B25" s="191" t="s">
        <v>192</v>
      </c>
      <c r="C25" s="130" t="s">
        <v>1423</v>
      </c>
      <c r="D25" s="130"/>
      <c r="E25" s="130" t="s">
        <v>127</v>
      </c>
      <c r="F25" s="130" t="s">
        <v>133</v>
      </c>
      <c r="G25" s="130" t="s">
        <v>43</v>
      </c>
      <c r="H25" s="131" t="s">
        <v>1424</v>
      </c>
      <c r="I25" s="242" t="s">
        <v>849</v>
      </c>
      <c r="J25" s="132">
        <v>100</v>
      </c>
      <c r="K25" s="129">
        <v>100</v>
      </c>
      <c r="L25" s="126" t="s">
        <v>120</v>
      </c>
      <c r="M25" s="126" t="s">
        <v>41</v>
      </c>
      <c r="O25">
        <f t="shared" si="0"/>
        <v>20</v>
      </c>
      <c r="R25" s="171"/>
      <c r="S25" s="57"/>
    </row>
    <row r="26" spans="1:19" x14ac:dyDescent="0.25">
      <c r="A26" s="128">
        <v>5</v>
      </c>
      <c r="B26" s="191" t="s">
        <v>1425</v>
      </c>
      <c r="C26" s="130" t="s">
        <v>1426</v>
      </c>
      <c r="D26" s="130"/>
      <c r="E26" s="168" t="s">
        <v>129</v>
      </c>
      <c r="F26" s="130" t="s">
        <v>134</v>
      </c>
      <c r="G26" s="130" t="s">
        <v>43</v>
      </c>
      <c r="H26" s="131" t="s">
        <v>1427</v>
      </c>
      <c r="I26" s="256" t="s">
        <v>1357</v>
      </c>
      <c r="J26" s="132">
        <v>100</v>
      </c>
      <c r="K26" s="129">
        <v>50</v>
      </c>
      <c r="L26" s="126" t="s">
        <v>120</v>
      </c>
      <c r="M26" s="126" t="s">
        <v>41</v>
      </c>
      <c r="O26">
        <f t="shared" si="0"/>
        <v>20</v>
      </c>
      <c r="R26" s="171"/>
      <c r="S26" s="57"/>
    </row>
    <row r="27" spans="1:19" x14ac:dyDescent="0.25">
      <c r="A27" s="128">
        <v>8</v>
      </c>
      <c r="B27" s="191" t="s">
        <v>1428</v>
      </c>
      <c r="C27" s="130" t="s">
        <v>1429</v>
      </c>
      <c r="D27" s="130"/>
      <c r="E27" s="130" t="s">
        <v>127</v>
      </c>
      <c r="F27" s="130" t="s">
        <v>132</v>
      </c>
      <c r="G27" s="130" t="s">
        <v>42</v>
      </c>
      <c r="H27" s="131" t="s">
        <v>1430</v>
      </c>
      <c r="I27" s="130" t="s">
        <v>40</v>
      </c>
      <c r="J27" s="132">
        <v>2000</v>
      </c>
      <c r="K27" s="129">
        <v>600</v>
      </c>
      <c r="L27" s="126" t="s">
        <v>120</v>
      </c>
      <c r="M27" s="126" t="s">
        <v>41</v>
      </c>
      <c r="O27">
        <f t="shared" si="0"/>
        <v>400</v>
      </c>
      <c r="R27" s="25"/>
      <c r="S27" s="25">
        <v>0</v>
      </c>
    </row>
    <row r="28" spans="1:19" x14ac:dyDescent="0.25">
      <c r="A28" s="128">
        <v>8</v>
      </c>
      <c r="B28" s="191" t="s">
        <v>1431</v>
      </c>
      <c r="C28" s="130" t="s">
        <v>561</v>
      </c>
      <c r="D28" s="130"/>
      <c r="E28" s="130" t="s">
        <v>127</v>
      </c>
      <c r="F28" s="130" t="s">
        <v>562</v>
      </c>
      <c r="G28" s="130" t="s">
        <v>42</v>
      </c>
      <c r="H28" s="131" t="s">
        <v>563</v>
      </c>
      <c r="I28" s="130" t="s">
        <v>40</v>
      </c>
      <c r="J28" s="132">
        <v>3000</v>
      </c>
      <c r="K28" s="129">
        <v>900</v>
      </c>
      <c r="L28" s="126" t="s">
        <v>120</v>
      </c>
      <c r="M28" s="126" t="s">
        <v>41</v>
      </c>
      <c r="O28">
        <f t="shared" si="0"/>
        <v>600</v>
      </c>
      <c r="R28" s="25"/>
      <c r="S28" s="57"/>
    </row>
    <row r="29" spans="1:19" x14ac:dyDescent="0.25">
      <c r="A29" s="128">
        <v>8</v>
      </c>
      <c r="B29" s="191" t="s">
        <v>1059</v>
      </c>
      <c r="C29" s="130" t="s">
        <v>1432</v>
      </c>
      <c r="D29" s="130"/>
      <c r="E29" s="130" t="s">
        <v>127</v>
      </c>
      <c r="F29" s="130" t="s">
        <v>937</v>
      </c>
      <c r="G29" s="130" t="s">
        <v>61</v>
      </c>
      <c r="H29" s="131" t="s">
        <v>1433</v>
      </c>
      <c r="I29" s="133" t="s">
        <v>40</v>
      </c>
      <c r="J29" s="132">
        <v>2000</v>
      </c>
      <c r="K29" s="129">
        <v>600</v>
      </c>
      <c r="L29" s="126" t="s">
        <v>120</v>
      </c>
      <c r="M29" s="126" t="s">
        <v>41</v>
      </c>
      <c r="O29">
        <f t="shared" si="0"/>
        <v>400</v>
      </c>
      <c r="R29" s="25"/>
      <c r="S29" s="25"/>
    </row>
    <row r="30" spans="1:19" x14ac:dyDescent="0.25">
      <c r="A30" s="128">
        <v>8</v>
      </c>
      <c r="B30" s="191" t="s">
        <v>1434</v>
      </c>
      <c r="C30" s="130" t="s">
        <v>1435</v>
      </c>
      <c r="D30" s="130"/>
      <c r="E30" s="130" t="s">
        <v>127</v>
      </c>
      <c r="F30" s="130"/>
      <c r="G30" s="130"/>
      <c r="H30" s="131"/>
      <c r="I30" s="130" t="s">
        <v>40</v>
      </c>
      <c r="J30" s="132">
        <v>400</v>
      </c>
      <c r="K30" s="129">
        <v>80</v>
      </c>
      <c r="L30" s="126" t="s">
        <v>120</v>
      </c>
      <c r="M30" s="126" t="s">
        <v>41</v>
      </c>
      <c r="O30">
        <f t="shared" si="0"/>
        <v>80</v>
      </c>
      <c r="R30" s="25"/>
    </row>
    <row r="31" spans="1:19" x14ac:dyDescent="0.25">
      <c r="A31" s="128">
        <v>8</v>
      </c>
      <c r="B31" s="191" t="s">
        <v>1436</v>
      </c>
      <c r="C31" s="130" t="s">
        <v>1437</v>
      </c>
      <c r="D31" s="130"/>
      <c r="E31" s="168" t="s">
        <v>129</v>
      </c>
      <c r="F31" s="130" t="s">
        <v>1438</v>
      </c>
      <c r="G31" s="130" t="s">
        <v>47</v>
      </c>
      <c r="H31" s="131" t="s">
        <v>1439</v>
      </c>
      <c r="I31" s="242" t="s">
        <v>849</v>
      </c>
      <c r="J31" s="132">
        <v>2000</v>
      </c>
      <c r="K31" s="129">
        <v>2000</v>
      </c>
      <c r="L31" s="126" t="s">
        <v>120</v>
      </c>
      <c r="M31" s="126" t="s">
        <v>41</v>
      </c>
      <c r="O31">
        <f t="shared" si="0"/>
        <v>400</v>
      </c>
      <c r="R31" s="25"/>
    </row>
    <row r="32" spans="1:19" x14ac:dyDescent="0.25">
      <c r="A32" s="128">
        <v>8</v>
      </c>
      <c r="B32" s="191" t="s">
        <v>1428</v>
      </c>
      <c r="C32" s="130" t="s">
        <v>1440</v>
      </c>
      <c r="D32" s="130"/>
      <c r="E32" s="130" t="s">
        <v>127</v>
      </c>
      <c r="F32" s="130" t="s">
        <v>1035</v>
      </c>
      <c r="G32" s="130" t="s">
        <v>42</v>
      </c>
      <c r="H32" s="131"/>
      <c r="I32" s="130" t="s">
        <v>40</v>
      </c>
      <c r="J32" s="132">
        <v>3500</v>
      </c>
      <c r="K32" s="129">
        <v>1050</v>
      </c>
      <c r="L32" s="126" t="s">
        <v>120</v>
      </c>
      <c r="M32" s="126" t="s">
        <v>41</v>
      </c>
      <c r="O32">
        <f t="shared" si="0"/>
        <v>700</v>
      </c>
      <c r="R32" s="25"/>
    </row>
    <row r="33" spans="1:21" x14ac:dyDescent="0.25">
      <c r="A33" s="128">
        <v>8</v>
      </c>
      <c r="B33" s="191" t="s">
        <v>1441</v>
      </c>
      <c r="C33" s="130" t="s">
        <v>1244</v>
      </c>
      <c r="D33" s="130"/>
      <c r="E33" s="130" t="s">
        <v>127</v>
      </c>
      <c r="F33" s="130"/>
      <c r="G33" s="130" t="s">
        <v>63</v>
      </c>
      <c r="H33" s="131" t="s">
        <v>216</v>
      </c>
      <c r="I33" s="240" t="s">
        <v>145</v>
      </c>
      <c r="J33" s="132">
        <v>1000</v>
      </c>
      <c r="K33" s="129">
        <v>200</v>
      </c>
      <c r="L33" s="126" t="s">
        <v>120</v>
      </c>
      <c r="M33" s="126" t="s">
        <v>41</v>
      </c>
      <c r="O33">
        <f t="shared" si="0"/>
        <v>200</v>
      </c>
    </row>
    <row r="34" spans="1:21" x14ac:dyDescent="0.25">
      <c r="A34" s="128">
        <v>8</v>
      </c>
      <c r="B34" s="191" t="s">
        <v>1441</v>
      </c>
      <c r="C34" s="130" t="s">
        <v>1244</v>
      </c>
      <c r="D34" s="130"/>
      <c r="E34" s="130" t="s">
        <v>127</v>
      </c>
      <c r="F34" s="130"/>
      <c r="G34" s="130" t="s">
        <v>63</v>
      </c>
      <c r="H34" s="131" t="s">
        <v>216</v>
      </c>
      <c r="I34" s="242" t="s">
        <v>849</v>
      </c>
      <c r="J34" s="132">
        <v>100</v>
      </c>
      <c r="K34" s="129">
        <v>100</v>
      </c>
      <c r="L34" s="126" t="s">
        <v>120</v>
      </c>
      <c r="M34" s="126" t="s">
        <v>41</v>
      </c>
      <c r="O34">
        <f t="shared" si="0"/>
        <v>20</v>
      </c>
      <c r="R34" s="25"/>
      <c r="S34" s="25"/>
      <c r="T34" s="25"/>
      <c r="U34" s="25"/>
    </row>
    <row r="35" spans="1:21" x14ac:dyDescent="0.25">
      <c r="A35" s="128">
        <v>13</v>
      </c>
      <c r="B35" s="191" t="s">
        <v>1442</v>
      </c>
      <c r="C35" s="130" t="s">
        <v>1363</v>
      </c>
      <c r="D35" s="130"/>
      <c r="E35" s="130" t="s">
        <v>127</v>
      </c>
      <c r="F35" s="130" t="s">
        <v>1443</v>
      </c>
      <c r="G35" s="130" t="s">
        <v>58</v>
      </c>
      <c r="H35" s="131" t="s">
        <v>1444</v>
      </c>
      <c r="I35" s="242" t="s">
        <v>849</v>
      </c>
      <c r="J35" s="132">
        <v>1000</v>
      </c>
      <c r="K35" s="129">
        <v>1000</v>
      </c>
      <c r="L35" s="126" t="s">
        <v>120</v>
      </c>
      <c r="M35" s="126" t="s">
        <v>41</v>
      </c>
      <c r="O35">
        <f t="shared" si="0"/>
        <v>200</v>
      </c>
      <c r="R35" s="25"/>
    </row>
    <row r="36" spans="1:21" x14ac:dyDescent="0.25">
      <c r="A36" s="128">
        <v>13</v>
      </c>
      <c r="B36" s="191" t="s">
        <v>882</v>
      </c>
      <c r="C36" s="130" t="s">
        <v>1445</v>
      </c>
      <c r="D36" s="130"/>
      <c r="E36" s="130" t="s">
        <v>127</v>
      </c>
      <c r="F36" s="130" t="s">
        <v>531</v>
      </c>
      <c r="G36" s="130" t="s">
        <v>61</v>
      </c>
      <c r="H36" s="131" t="s">
        <v>1446</v>
      </c>
      <c r="I36" s="256" t="s">
        <v>1357</v>
      </c>
      <c r="J36" s="132">
        <v>500</v>
      </c>
      <c r="K36" s="129">
        <v>250</v>
      </c>
      <c r="L36" s="126" t="s">
        <v>120</v>
      </c>
      <c r="M36" s="126" t="s">
        <v>41</v>
      </c>
      <c r="O36">
        <f t="shared" si="0"/>
        <v>100</v>
      </c>
    </row>
    <row r="37" spans="1:21" x14ac:dyDescent="0.25">
      <c r="A37" s="128">
        <v>13</v>
      </c>
      <c r="B37" s="191" t="s">
        <v>1447</v>
      </c>
      <c r="C37" s="130" t="s">
        <v>1448</v>
      </c>
      <c r="D37" s="130"/>
      <c r="E37" s="168" t="s">
        <v>129</v>
      </c>
      <c r="F37" s="130" t="s">
        <v>346</v>
      </c>
      <c r="G37" s="130" t="s">
        <v>42</v>
      </c>
      <c r="H37" s="131" t="s">
        <v>1449</v>
      </c>
      <c r="I37" s="256" t="s">
        <v>1357</v>
      </c>
      <c r="J37" s="132">
        <v>200</v>
      </c>
      <c r="K37" s="129">
        <v>100</v>
      </c>
      <c r="L37" s="126" t="s">
        <v>120</v>
      </c>
      <c r="M37" s="126" t="s">
        <v>41</v>
      </c>
      <c r="O37">
        <f t="shared" si="0"/>
        <v>40</v>
      </c>
    </row>
    <row r="38" spans="1:21" x14ac:dyDescent="0.25">
      <c r="A38" s="128">
        <v>13</v>
      </c>
      <c r="B38" s="191" t="s">
        <v>1450</v>
      </c>
      <c r="C38" s="130" t="s">
        <v>1451</v>
      </c>
      <c r="D38" s="130"/>
      <c r="E38" s="130" t="s">
        <v>127</v>
      </c>
      <c r="F38" s="130" t="s">
        <v>158</v>
      </c>
      <c r="G38" s="130" t="s">
        <v>42</v>
      </c>
      <c r="H38" s="131" t="s">
        <v>1452</v>
      </c>
      <c r="I38" s="256" t="s">
        <v>1357</v>
      </c>
      <c r="J38" s="132">
        <v>500</v>
      </c>
      <c r="K38" s="129">
        <v>250</v>
      </c>
      <c r="L38" s="126" t="s">
        <v>120</v>
      </c>
      <c r="M38" s="126" t="s">
        <v>41</v>
      </c>
      <c r="O38">
        <f t="shared" si="0"/>
        <v>100</v>
      </c>
    </row>
    <row r="39" spans="1:21" x14ac:dyDescent="0.25">
      <c r="A39" s="128">
        <v>13</v>
      </c>
      <c r="B39" s="191" t="s">
        <v>874</v>
      </c>
      <c r="C39" s="130" t="s">
        <v>1453</v>
      </c>
      <c r="D39" s="130"/>
      <c r="E39" s="130" t="s">
        <v>127</v>
      </c>
      <c r="F39" s="130"/>
      <c r="G39" s="130" t="s">
        <v>42</v>
      </c>
      <c r="H39" s="131" t="s">
        <v>1454</v>
      </c>
      <c r="I39" s="256" t="s">
        <v>1357</v>
      </c>
      <c r="J39" s="132">
        <v>2000</v>
      </c>
      <c r="K39" s="129">
        <v>1000</v>
      </c>
      <c r="L39" s="126" t="s">
        <v>120</v>
      </c>
      <c r="M39" s="126" t="s">
        <v>41</v>
      </c>
      <c r="O39">
        <f t="shared" si="0"/>
        <v>400</v>
      </c>
    </row>
    <row r="40" spans="1:21" x14ac:dyDescent="0.25">
      <c r="A40" s="128">
        <v>13</v>
      </c>
      <c r="B40" s="191" t="s">
        <v>1455</v>
      </c>
      <c r="C40" s="130" t="s">
        <v>627</v>
      </c>
      <c r="D40" s="130"/>
      <c r="E40" s="130" t="s">
        <v>127</v>
      </c>
      <c r="F40" s="130"/>
      <c r="G40" s="130" t="s">
        <v>48</v>
      </c>
      <c r="H40" s="131" t="s">
        <v>1456</v>
      </c>
      <c r="I40" s="242" t="s">
        <v>849</v>
      </c>
      <c r="J40" s="136">
        <v>1000</v>
      </c>
      <c r="K40" s="164">
        <v>1000</v>
      </c>
      <c r="L40" s="126" t="s">
        <v>120</v>
      </c>
      <c r="M40" s="126" t="s">
        <v>41</v>
      </c>
      <c r="O40">
        <f t="shared" si="0"/>
        <v>200</v>
      </c>
    </row>
    <row r="41" spans="1:21" x14ac:dyDescent="0.25">
      <c r="A41" s="128">
        <v>13</v>
      </c>
      <c r="B41" s="191" t="s">
        <v>1455</v>
      </c>
      <c r="C41" s="130" t="s">
        <v>627</v>
      </c>
      <c r="D41" s="130"/>
      <c r="E41" s="130" t="s">
        <v>127</v>
      </c>
      <c r="F41" s="130"/>
      <c r="G41" s="130" t="s">
        <v>48</v>
      </c>
      <c r="H41" s="131" t="s">
        <v>1456</v>
      </c>
      <c r="I41" s="256" t="s">
        <v>1357</v>
      </c>
      <c r="J41" s="136">
        <v>1000</v>
      </c>
      <c r="K41" s="164">
        <v>500</v>
      </c>
      <c r="L41" s="126" t="s">
        <v>120</v>
      </c>
      <c r="M41" s="126" t="s">
        <v>41</v>
      </c>
      <c r="O41">
        <f t="shared" si="0"/>
        <v>200</v>
      </c>
    </row>
    <row r="42" spans="1:21" x14ac:dyDescent="0.25">
      <c r="A42" s="128">
        <v>13</v>
      </c>
      <c r="B42" s="191" t="s">
        <v>588</v>
      </c>
      <c r="C42" s="130" t="s">
        <v>589</v>
      </c>
      <c r="D42" s="130" t="s">
        <v>1457</v>
      </c>
      <c r="E42" s="168" t="s">
        <v>129</v>
      </c>
      <c r="F42" s="130" t="s">
        <v>590</v>
      </c>
      <c r="G42" s="130" t="s">
        <v>44</v>
      </c>
      <c r="H42" s="131" t="s">
        <v>591</v>
      </c>
      <c r="I42" s="242" t="s">
        <v>849</v>
      </c>
      <c r="J42" s="136">
        <v>500</v>
      </c>
      <c r="K42" s="164">
        <v>500</v>
      </c>
      <c r="L42" s="126" t="s">
        <v>120</v>
      </c>
      <c r="M42" s="126" t="s">
        <v>41</v>
      </c>
      <c r="O42">
        <f t="shared" si="0"/>
        <v>100</v>
      </c>
    </row>
    <row r="43" spans="1:21" x14ac:dyDescent="0.25">
      <c r="A43" s="128">
        <v>13</v>
      </c>
      <c r="B43" s="191" t="s">
        <v>588</v>
      </c>
      <c r="C43" s="130" t="s">
        <v>589</v>
      </c>
      <c r="D43" s="130" t="s">
        <v>1457</v>
      </c>
      <c r="E43" s="168" t="s">
        <v>129</v>
      </c>
      <c r="F43" s="130" t="s">
        <v>590</v>
      </c>
      <c r="G43" s="130" t="s">
        <v>44</v>
      </c>
      <c r="H43" s="131" t="s">
        <v>591</v>
      </c>
      <c r="I43" s="256" t="s">
        <v>1357</v>
      </c>
      <c r="J43" s="136">
        <v>300</v>
      </c>
      <c r="K43" s="164" t="s">
        <v>123</v>
      </c>
      <c r="L43" s="126" t="s">
        <v>120</v>
      </c>
      <c r="M43" s="126" t="s">
        <v>41</v>
      </c>
      <c r="O43">
        <f t="shared" si="0"/>
        <v>60</v>
      </c>
    </row>
    <row r="44" spans="1:21" x14ac:dyDescent="0.25">
      <c r="A44" s="128">
        <v>15</v>
      </c>
      <c r="B44" s="191" t="s">
        <v>1458</v>
      </c>
      <c r="C44" s="130" t="s">
        <v>1459</v>
      </c>
      <c r="D44" s="130"/>
      <c r="E44" s="130" t="s">
        <v>127</v>
      </c>
      <c r="F44" s="130" t="s">
        <v>812</v>
      </c>
      <c r="G44" s="130" t="s">
        <v>86</v>
      </c>
      <c r="H44" s="131" t="s">
        <v>1460</v>
      </c>
      <c r="I44" s="242" t="s">
        <v>849</v>
      </c>
      <c r="J44" s="136">
        <v>500</v>
      </c>
      <c r="K44" s="164">
        <v>500</v>
      </c>
      <c r="L44" s="126" t="s">
        <v>120</v>
      </c>
      <c r="M44" s="126" t="s">
        <v>41</v>
      </c>
      <c r="O44">
        <f t="shared" si="0"/>
        <v>100</v>
      </c>
    </row>
    <row r="45" spans="1:21" x14ac:dyDescent="0.25">
      <c r="A45" s="231">
        <v>15</v>
      </c>
      <c r="B45" s="191" t="s">
        <v>1461</v>
      </c>
      <c r="C45" s="130" t="s">
        <v>1462</v>
      </c>
      <c r="D45" s="130"/>
      <c r="E45" s="130" t="s">
        <v>127</v>
      </c>
      <c r="F45" s="130" t="s">
        <v>531</v>
      </c>
      <c r="G45" s="130" t="s">
        <v>61</v>
      </c>
      <c r="H45" s="131"/>
      <c r="I45" s="256" t="s">
        <v>1357</v>
      </c>
      <c r="J45" s="136">
        <v>300</v>
      </c>
      <c r="K45" s="164">
        <v>150</v>
      </c>
      <c r="L45" s="126" t="s">
        <v>120</v>
      </c>
      <c r="M45" s="126" t="s">
        <v>41</v>
      </c>
      <c r="O45">
        <f t="shared" si="0"/>
        <v>60</v>
      </c>
      <c r="S45" s="25"/>
    </row>
    <row r="46" spans="1:21" x14ac:dyDescent="0.25">
      <c r="A46" s="128">
        <v>15</v>
      </c>
      <c r="B46" s="191" t="s">
        <v>1385</v>
      </c>
      <c r="C46" s="130" t="s">
        <v>1464</v>
      </c>
      <c r="D46" s="130"/>
      <c r="E46" s="130" t="s">
        <v>127</v>
      </c>
      <c r="F46" s="130" t="s">
        <v>1029</v>
      </c>
      <c r="G46" s="130" t="s">
        <v>45</v>
      </c>
      <c r="H46" s="131" t="s">
        <v>1465</v>
      </c>
      <c r="I46" s="256" t="s">
        <v>1357</v>
      </c>
      <c r="J46" s="136">
        <v>2000</v>
      </c>
      <c r="K46" s="164">
        <v>1000</v>
      </c>
      <c r="L46" s="126" t="s">
        <v>120</v>
      </c>
      <c r="M46" s="126" t="s">
        <v>41</v>
      </c>
      <c r="O46">
        <f t="shared" si="0"/>
        <v>400</v>
      </c>
    </row>
    <row r="47" spans="1:21" x14ac:dyDescent="0.25">
      <c r="A47" s="128">
        <v>15</v>
      </c>
      <c r="B47" s="191" t="s">
        <v>1466</v>
      </c>
      <c r="C47" s="130" t="s">
        <v>1467</v>
      </c>
      <c r="D47" s="130"/>
      <c r="E47" s="130" t="s">
        <v>127</v>
      </c>
      <c r="F47" s="130" t="s">
        <v>531</v>
      </c>
      <c r="G47" s="130" t="s">
        <v>61</v>
      </c>
      <c r="H47" s="131"/>
      <c r="I47" s="256" t="s">
        <v>1357</v>
      </c>
      <c r="J47" s="136">
        <v>500</v>
      </c>
      <c r="K47" s="164">
        <v>250</v>
      </c>
      <c r="L47" s="126" t="s">
        <v>120</v>
      </c>
      <c r="M47" s="126" t="s">
        <v>41</v>
      </c>
      <c r="O47">
        <f t="shared" si="0"/>
        <v>100</v>
      </c>
    </row>
    <row r="48" spans="1:21" x14ac:dyDescent="0.25">
      <c r="A48" s="128">
        <v>19</v>
      </c>
      <c r="B48" s="191" t="s">
        <v>1468</v>
      </c>
      <c r="C48" s="130" t="s">
        <v>698</v>
      </c>
      <c r="D48" s="130"/>
      <c r="E48" s="130" t="s">
        <v>127</v>
      </c>
      <c r="F48" s="130" t="s">
        <v>1029</v>
      </c>
      <c r="G48" s="130" t="s">
        <v>45</v>
      </c>
      <c r="H48" s="131" t="s">
        <v>1469</v>
      </c>
      <c r="I48" s="256" t="s">
        <v>1357</v>
      </c>
      <c r="J48" s="136">
        <v>500</v>
      </c>
      <c r="K48" s="164">
        <v>250</v>
      </c>
      <c r="L48" s="126" t="s">
        <v>120</v>
      </c>
      <c r="M48" s="126" t="s">
        <v>41</v>
      </c>
      <c r="O48">
        <f t="shared" si="0"/>
        <v>100</v>
      </c>
    </row>
    <row r="49" spans="1:19" x14ac:dyDescent="0.25">
      <c r="A49" s="128">
        <v>19</v>
      </c>
      <c r="B49" s="191" t="s">
        <v>1385</v>
      </c>
      <c r="C49" s="130" t="s">
        <v>1336</v>
      </c>
      <c r="D49" s="130"/>
      <c r="E49" s="130" t="s">
        <v>127</v>
      </c>
      <c r="F49" s="130" t="s">
        <v>1029</v>
      </c>
      <c r="G49" s="130" t="s">
        <v>45</v>
      </c>
      <c r="H49" s="131"/>
      <c r="I49" s="256" t="s">
        <v>1357</v>
      </c>
      <c r="J49" s="136">
        <v>200</v>
      </c>
      <c r="K49" s="164">
        <v>100</v>
      </c>
      <c r="L49" s="126" t="s">
        <v>120</v>
      </c>
      <c r="M49" s="126" t="s">
        <v>41</v>
      </c>
      <c r="O49">
        <f t="shared" si="0"/>
        <v>40</v>
      </c>
    </row>
    <row r="50" spans="1:19" x14ac:dyDescent="0.25">
      <c r="A50" s="128">
        <v>19</v>
      </c>
      <c r="B50" s="191" t="s">
        <v>1470</v>
      </c>
      <c r="C50" s="130" t="s">
        <v>1471</v>
      </c>
      <c r="D50" s="130"/>
      <c r="E50" s="130" t="s">
        <v>127</v>
      </c>
      <c r="F50" s="130" t="s">
        <v>1472</v>
      </c>
      <c r="G50" s="130" t="s">
        <v>62</v>
      </c>
      <c r="H50" s="131"/>
      <c r="I50" s="256" t="s">
        <v>1357</v>
      </c>
      <c r="J50" s="136">
        <v>1000</v>
      </c>
      <c r="K50" s="164">
        <v>500</v>
      </c>
      <c r="L50" s="126" t="s">
        <v>120</v>
      </c>
      <c r="M50" s="126" t="s">
        <v>41</v>
      </c>
      <c r="O50">
        <f t="shared" si="0"/>
        <v>200</v>
      </c>
    </row>
    <row r="51" spans="1:19" x14ac:dyDescent="0.25">
      <c r="A51" s="128">
        <v>19</v>
      </c>
      <c r="B51" s="191" t="s">
        <v>1473</v>
      </c>
      <c r="C51" s="130" t="s">
        <v>790</v>
      </c>
      <c r="D51" s="130"/>
      <c r="E51" s="130" t="s">
        <v>127</v>
      </c>
      <c r="F51" s="130" t="s">
        <v>156</v>
      </c>
      <c r="G51" s="130" t="s">
        <v>54</v>
      </c>
      <c r="H51" s="131" t="s">
        <v>1474</v>
      </c>
      <c r="I51" s="256" t="s">
        <v>1357</v>
      </c>
      <c r="J51" s="136">
        <v>100</v>
      </c>
      <c r="K51" s="164">
        <v>50</v>
      </c>
      <c r="L51" s="126" t="s">
        <v>120</v>
      </c>
      <c r="M51" s="126" t="s">
        <v>41</v>
      </c>
      <c r="O51">
        <f t="shared" si="0"/>
        <v>20</v>
      </c>
    </row>
    <row r="52" spans="1:19" x14ac:dyDescent="0.25">
      <c r="A52" s="128">
        <v>19</v>
      </c>
      <c r="B52" s="191" t="s">
        <v>1475</v>
      </c>
      <c r="C52" s="130" t="s">
        <v>1476</v>
      </c>
      <c r="D52" s="130"/>
      <c r="E52" s="168" t="s">
        <v>129</v>
      </c>
      <c r="F52" s="130" t="s">
        <v>672</v>
      </c>
      <c r="G52" s="130" t="s">
        <v>54</v>
      </c>
      <c r="H52" s="131" t="s">
        <v>1477</v>
      </c>
      <c r="I52" s="133" t="s">
        <v>40</v>
      </c>
      <c r="J52" s="136">
        <v>2000</v>
      </c>
      <c r="K52" s="164">
        <v>400</v>
      </c>
      <c r="L52" s="126" t="s">
        <v>120</v>
      </c>
      <c r="M52" s="126" t="s">
        <v>41</v>
      </c>
      <c r="O52">
        <f t="shared" si="0"/>
        <v>400</v>
      </c>
      <c r="S52" s="57"/>
    </row>
    <row r="53" spans="1:19" x14ac:dyDescent="0.25">
      <c r="A53" s="128">
        <v>19</v>
      </c>
      <c r="B53" s="191" t="s">
        <v>1436</v>
      </c>
      <c r="C53" s="130" t="s">
        <v>180</v>
      </c>
      <c r="D53" s="130"/>
      <c r="E53" s="130" t="s">
        <v>127</v>
      </c>
      <c r="F53" s="130"/>
      <c r="G53" s="130" t="s">
        <v>54</v>
      </c>
      <c r="H53" s="131" t="s">
        <v>1478</v>
      </c>
      <c r="I53" s="256" t="s">
        <v>1357</v>
      </c>
      <c r="J53" s="136">
        <v>100</v>
      </c>
      <c r="K53" s="164">
        <v>50</v>
      </c>
      <c r="L53" s="126" t="s">
        <v>120</v>
      </c>
      <c r="M53" s="126" t="s">
        <v>41</v>
      </c>
      <c r="O53">
        <f t="shared" si="0"/>
        <v>20</v>
      </c>
    </row>
    <row r="54" spans="1:19" x14ac:dyDescent="0.25">
      <c r="A54" s="128">
        <v>19</v>
      </c>
      <c r="B54" s="191" t="s">
        <v>191</v>
      </c>
      <c r="C54" s="130" t="s">
        <v>1479</v>
      </c>
      <c r="D54" s="130"/>
      <c r="E54" s="130" t="s">
        <v>127</v>
      </c>
      <c r="F54" s="130" t="s">
        <v>184</v>
      </c>
      <c r="G54" s="130" t="s">
        <v>42</v>
      </c>
      <c r="H54" s="131" t="s">
        <v>1480</v>
      </c>
      <c r="I54" s="256" t="s">
        <v>1357</v>
      </c>
      <c r="J54" s="136">
        <v>3000</v>
      </c>
      <c r="K54" s="164">
        <v>1500</v>
      </c>
      <c r="L54" s="126" t="s">
        <v>120</v>
      </c>
      <c r="M54" s="126" t="s">
        <v>41</v>
      </c>
      <c r="O54">
        <f t="shared" si="0"/>
        <v>600</v>
      </c>
    </row>
    <row r="55" spans="1:19" x14ac:dyDescent="0.25">
      <c r="A55" s="128">
        <v>19</v>
      </c>
      <c r="B55" s="191" t="s">
        <v>1481</v>
      </c>
      <c r="C55" s="130" t="s">
        <v>1482</v>
      </c>
      <c r="D55" s="130"/>
      <c r="E55" s="130" t="s">
        <v>127</v>
      </c>
      <c r="F55" s="130" t="s">
        <v>1483</v>
      </c>
      <c r="G55" s="130" t="s">
        <v>68</v>
      </c>
      <c r="H55" s="131" t="s">
        <v>1484</v>
      </c>
      <c r="I55" s="130" t="s">
        <v>40</v>
      </c>
      <c r="J55" s="136">
        <v>2000</v>
      </c>
      <c r="K55" s="164" t="s">
        <v>123</v>
      </c>
      <c r="L55" s="126" t="s">
        <v>120</v>
      </c>
      <c r="M55" s="126" t="s">
        <v>41</v>
      </c>
      <c r="O55">
        <f t="shared" si="0"/>
        <v>400</v>
      </c>
    </row>
    <row r="56" spans="1:19" x14ac:dyDescent="0.25">
      <c r="A56" s="128">
        <v>19</v>
      </c>
      <c r="B56" s="191" t="s">
        <v>1485</v>
      </c>
      <c r="C56" s="130" t="s">
        <v>1486</v>
      </c>
      <c r="D56" s="130"/>
      <c r="E56" s="130" t="s">
        <v>127</v>
      </c>
      <c r="F56" s="130" t="s">
        <v>1487</v>
      </c>
      <c r="G56" s="130" t="s">
        <v>49</v>
      </c>
      <c r="H56" s="131" t="s">
        <v>1488</v>
      </c>
      <c r="I56" s="130" t="s">
        <v>40</v>
      </c>
      <c r="J56" s="136">
        <v>1500</v>
      </c>
      <c r="K56" s="164">
        <v>300</v>
      </c>
      <c r="L56" s="126" t="s">
        <v>120</v>
      </c>
      <c r="M56" s="126" t="s">
        <v>41</v>
      </c>
      <c r="O56">
        <f t="shared" si="0"/>
        <v>300</v>
      </c>
    </row>
    <row r="57" spans="1:19" x14ac:dyDescent="0.25">
      <c r="A57" s="128">
        <v>22</v>
      </c>
      <c r="B57" s="191" t="s">
        <v>1489</v>
      </c>
      <c r="C57" s="130" t="s">
        <v>269</v>
      </c>
      <c r="D57" s="130"/>
      <c r="E57" s="130" t="s">
        <v>127</v>
      </c>
      <c r="F57" s="130" t="s">
        <v>1490</v>
      </c>
      <c r="G57" s="130" t="s">
        <v>47</v>
      </c>
      <c r="H57" s="131" t="s">
        <v>1491</v>
      </c>
      <c r="I57" s="256" t="s">
        <v>1357</v>
      </c>
      <c r="J57" s="136">
        <v>500</v>
      </c>
      <c r="K57" s="164">
        <v>250</v>
      </c>
      <c r="L57" s="126" t="s">
        <v>120</v>
      </c>
      <c r="M57" s="126" t="s">
        <v>41</v>
      </c>
      <c r="O57">
        <f t="shared" si="0"/>
        <v>100</v>
      </c>
      <c r="R57" s="57">
        <f>SUM(J55,J65:J71,J85:J90)</f>
        <v>8300</v>
      </c>
    </row>
    <row r="58" spans="1:19" x14ac:dyDescent="0.25">
      <c r="A58" s="128">
        <v>22</v>
      </c>
      <c r="B58" s="191" t="s">
        <v>1492</v>
      </c>
      <c r="C58" s="130" t="s">
        <v>1493</v>
      </c>
      <c r="D58" s="130"/>
      <c r="E58" s="130" t="s">
        <v>127</v>
      </c>
      <c r="F58" s="130"/>
      <c r="G58" s="130" t="s">
        <v>1494</v>
      </c>
      <c r="H58" s="131" t="s">
        <v>1495</v>
      </c>
      <c r="I58" s="133" t="s">
        <v>40</v>
      </c>
      <c r="J58" s="136">
        <v>1000</v>
      </c>
      <c r="K58" s="164">
        <v>200</v>
      </c>
      <c r="L58" s="126" t="s">
        <v>120</v>
      </c>
      <c r="M58" s="126" t="s">
        <v>41</v>
      </c>
      <c r="O58">
        <f t="shared" si="0"/>
        <v>200</v>
      </c>
      <c r="R58" s="57"/>
    </row>
    <row r="59" spans="1:19" x14ac:dyDescent="0.25">
      <c r="A59" s="128">
        <v>22</v>
      </c>
      <c r="B59" s="191" t="s">
        <v>1496</v>
      </c>
      <c r="C59" s="191" t="s">
        <v>1157</v>
      </c>
      <c r="D59" s="130"/>
      <c r="E59" s="168" t="s">
        <v>129</v>
      </c>
      <c r="F59" s="130" t="s">
        <v>1497</v>
      </c>
      <c r="G59" s="199" t="s">
        <v>81</v>
      </c>
      <c r="H59" s="131" t="s">
        <v>1498</v>
      </c>
      <c r="I59" s="133" t="s">
        <v>40</v>
      </c>
      <c r="J59" s="136">
        <v>2000</v>
      </c>
      <c r="K59" s="164">
        <v>400</v>
      </c>
      <c r="L59" s="126" t="s">
        <v>120</v>
      </c>
      <c r="M59" s="126" t="s">
        <v>41</v>
      </c>
      <c r="O59">
        <f t="shared" si="0"/>
        <v>400</v>
      </c>
    </row>
    <row r="60" spans="1:19" x14ac:dyDescent="0.25">
      <c r="A60" s="128">
        <v>22</v>
      </c>
      <c r="B60" s="191" t="s">
        <v>1499</v>
      </c>
      <c r="C60" s="130" t="s">
        <v>1500</v>
      </c>
      <c r="D60" s="130"/>
      <c r="E60" s="130" t="s">
        <v>127</v>
      </c>
      <c r="F60" s="130" t="s">
        <v>860</v>
      </c>
      <c r="G60" s="130" t="s">
        <v>54</v>
      </c>
      <c r="H60" s="131" t="s">
        <v>1501</v>
      </c>
      <c r="I60" s="133" t="s">
        <v>40</v>
      </c>
      <c r="J60" s="136">
        <v>300</v>
      </c>
      <c r="K60" s="164">
        <v>60</v>
      </c>
      <c r="L60" s="126" t="s">
        <v>120</v>
      </c>
      <c r="M60" s="126" t="s">
        <v>41</v>
      </c>
      <c r="O60">
        <f t="shared" si="0"/>
        <v>60</v>
      </c>
    </row>
    <row r="61" spans="1:19" x14ac:dyDescent="0.25">
      <c r="A61" s="128">
        <v>22</v>
      </c>
      <c r="B61" s="191" t="s">
        <v>1502</v>
      </c>
      <c r="C61" s="130" t="s">
        <v>1503</v>
      </c>
      <c r="D61" s="130"/>
      <c r="E61" s="130" t="s">
        <v>127</v>
      </c>
      <c r="F61" s="130" t="s">
        <v>159</v>
      </c>
      <c r="G61" s="130" t="s">
        <v>47</v>
      </c>
      <c r="H61" s="131" t="s">
        <v>1504</v>
      </c>
      <c r="I61" s="133" t="s">
        <v>40</v>
      </c>
      <c r="J61" s="136">
        <v>150</v>
      </c>
      <c r="K61" s="164">
        <v>30</v>
      </c>
      <c r="L61" s="126" t="s">
        <v>120</v>
      </c>
      <c r="M61" s="126" t="s">
        <v>41</v>
      </c>
      <c r="O61">
        <f t="shared" si="0"/>
        <v>30</v>
      </c>
      <c r="R61" s="25"/>
    </row>
    <row r="62" spans="1:19" x14ac:dyDescent="0.25">
      <c r="A62" s="128">
        <v>22</v>
      </c>
      <c r="B62" s="191" t="s">
        <v>1505</v>
      </c>
      <c r="C62" s="130" t="s">
        <v>777</v>
      </c>
      <c r="D62" s="130"/>
      <c r="E62" s="130" t="s">
        <v>127</v>
      </c>
      <c r="F62" s="130"/>
      <c r="G62" s="130" t="s">
        <v>54</v>
      </c>
      <c r="H62" s="131" t="s">
        <v>1506</v>
      </c>
      <c r="I62" s="130" t="s">
        <v>40</v>
      </c>
      <c r="J62" s="136">
        <v>100</v>
      </c>
      <c r="K62" s="164">
        <v>20</v>
      </c>
      <c r="L62" s="126" t="s">
        <v>120</v>
      </c>
      <c r="M62" s="126" t="s">
        <v>41</v>
      </c>
      <c r="O62">
        <f t="shared" si="0"/>
        <v>20</v>
      </c>
      <c r="R62" s="25"/>
    </row>
    <row r="63" spans="1:19" x14ac:dyDescent="0.25">
      <c r="A63" s="128">
        <v>22</v>
      </c>
      <c r="B63" s="191" t="s">
        <v>1507</v>
      </c>
      <c r="C63" s="130" t="s">
        <v>1508</v>
      </c>
      <c r="D63" s="130"/>
      <c r="E63" s="130" t="s">
        <v>127</v>
      </c>
      <c r="F63" s="130" t="s">
        <v>511</v>
      </c>
      <c r="G63" s="130" t="s">
        <v>47</v>
      </c>
      <c r="H63" s="131" t="s">
        <v>1509</v>
      </c>
      <c r="I63" s="130" t="s">
        <v>40</v>
      </c>
      <c r="J63" s="136">
        <v>100</v>
      </c>
      <c r="K63" s="164">
        <v>20</v>
      </c>
      <c r="L63" s="126" t="s">
        <v>120</v>
      </c>
      <c r="M63" s="126" t="s">
        <v>41</v>
      </c>
      <c r="O63">
        <f t="shared" si="0"/>
        <v>20</v>
      </c>
      <c r="R63" s="25"/>
    </row>
    <row r="64" spans="1:19" x14ac:dyDescent="0.25">
      <c r="A64" s="128">
        <v>22</v>
      </c>
      <c r="B64" s="191" t="s">
        <v>1510</v>
      </c>
      <c r="C64" s="130" t="s">
        <v>1511</v>
      </c>
      <c r="D64" s="130"/>
      <c r="E64" s="130" t="s">
        <v>127</v>
      </c>
      <c r="F64" s="130" t="s">
        <v>346</v>
      </c>
      <c r="G64" s="130" t="s">
        <v>42</v>
      </c>
      <c r="H64" s="131" t="s">
        <v>1512</v>
      </c>
      <c r="I64" s="130" t="s">
        <v>40</v>
      </c>
      <c r="J64" s="136">
        <v>4000</v>
      </c>
      <c r="K64" s="164">
        <v>800</v>
      </c>
      <c r="L64" s="126" t="s">
        <v>120</v>
      </c>
      <c r="M64" s="126" t="s">
        <v>41</v>
      </c>
      <c r="O64">
        <f t="shared" si="0"/>
        <v>800</v>
      </c>
    </row>
    <row r="65" spans="1:18" x14ac:dyDescent="0.25">
      <c r="A65" s="128">
        <v>22</v>
      </c>
      <c r="B65" s="191" t="s">
        <v>1513</v>
      </c>
      <c r="C65" s="130" t="s">
        <v>1514</v>
      </c>
      <c r="D65" s="130"/>
      <c r="E65" s="130" t="s">
        <v>127</v>
      </c>
      <c r="F65" s="130" t="s">
        <v>146</v>
      </c>
      <c r="G65" s="130" t="s">
        <v>61</v>
      </c>
      <c r="H65" s="131" t="s">
        <v>1515</v>
      </c>
      <c r="I65" s="133" t="s">
        <v>40</v>
      </c>
      <c r="J65" s="136">
        <v>500</v>
      </c>
      <c r="K65" s="164" t="s">
        <v>123</v>
      </c>
      <c r="L65" s="126" t="s">
        <v>120</v>
      </c>
      <c r="M65" s="126" t="s">
        <v>41</v>
      </c>
      <c r="O65">
        <f t="shared" si="0"/>
        <v>100</v>
      </c>
    </row>
    <row r="66" spans="1:18" x14ac:dyDescent="0.25">
      <c r="A66" s="128">
        <v>22</v>
      </c>
      <c r="B66" s="192" t="s">
        <v>1516</v>
      </c>
      <c r="C66" s="133" t="s">
        <v>1517</v>
      </c>
      <c r="D66" s="133"/>
      <c r="E66" s="130" t="s">
        <v>127</v>
      </c>
      <c r="F66" s="130" t="s">
        <v>146</v>
      </c>
      <c r="G66" s="130" t="s">
        <v>61</v>
      </c>
      <c r="H66" s="131" t="s">
        <v>1518</v>
      </c>
      <c r="I66" s="133" t="s">
        <v>40</v>
      </c>
      <c r="J66" s="136">
        <v>500</v>
      </c>
      <c r="K66" s="164" t="s">
        <v>123</v>
      </c>
      <c r="L66" s="126" t="s">
        <v>120</v>
      </c>
      <c r="M66" s="126" t="s">
        <v>41</v>
      </c>
      <c r="O66">
        <f t="shared" si="0"/>
        <v>100</v>
      </c>
    </row>
    <row r="67" spans="1:18" x14ac:dyDescent="0.25">
      <c r="A67" s="128">
        <v>22</v>
      </c>
      <c r="B67" s="192" t="s">
        <v>1519</v>
      </c>
      <c r="C67" s="133" t="s">
        <v>1520</v>
      </c>
      <c r="D67" s="133"/>
      <c r="E67" s="130" t="s">
        <v>127</v>
      </c>
      <c r="F67" s="130" t="s">
        <v>146</v>
      </c>
      <c r="G67" s="130" t="s">
        <v>61</v>
      </c>
      <c r="H67" s="131" t="s">
        <v>1518</v>
      </c>
      <c r="I67" s="133" t="s">
        <v>40</v>
      </c>
      <c r="J67" s="136">
        <v>500</v>
      </c>
      <c r="K67" s="164" t="s">
        <v>123</v>
      </c>
      <c r="L67" s="130" t="s">
        <v>120</v>
      </c>
      <c r="M67" s="130" t="s">
        <v>41</v>
      </c>
      <c r="O67">
        <f t="shared" si="0"/>
        <v>100</v>
      </c>
    </row>
    <row r="68" spans="1:18" x14ac:dyDescent="0.25">
      <c r="A68" s="128">
        <v>22</v>
      </c>
      <c r="B68" s="192" t="s">
        <v>1521</v>
      </c>
      <c r="C68" s="133" t="s">
        <v>1522</v>
      </c>
      <c r="D68" s="133"/>
      <c r="E68" s="168" t="s">
        <v>129</v>
      </c>
      <c r="F68" s="130" t="s">
        <v>937</v>
      </c>
      <c r="G68" s="130" t="s">
        <v>61</v>
      </c>
      <c r="H68" s="131" t="s">
        <v>1523</v>
      </c>
      <c r="I68" s="130" t="s">
        <v>40</v>
      </c>
      <c r="J68" s="136">
        <v>500</v>
      </c>
      <c r="K68" s="164" t="s">
        <v>123</v>
      </c>
      <c r="L68" s="126" t="s">
        <v>120</v>
      </c>
      <c r="M68" s="126" t="s">
        <v>41</v>
      </c>
      <c r="O68">
        <f t="shared" si="0"/>
        <v>100</v>
      </c>
    </row>
    <row r="69" spans="1:18" x14ac:dyDescent="0.25">
      <c r="A69" s="128">
        <v>22</v>
      </c>
      <c r="B69" s="192" t="s">
        <v>1521</v>
      </c>
      <c r="C69" s="133" t="s">
        <v>1524</v>
      </c>
      <c r="D69" s="133"/>
      <c r="E69" s="168" t="s">
        <v>129</v>
      </c>
      <c r="F69" s="130" t="s">
        <v>937</v>
      </c>
      <c r="G69" s="130" t="s">
        <v>61</v>
      </c>
      <c r="H69" s="131" t="s">
        <v>1523</v>
      </c>
      <c r="I69" s="133" t="s">
        <v>40</v>
      </c>
      <c r="J69" s="136">
        <v>500</v>
      </c>
      <c r="K69" s="164" t="s">
        <v>123</v>
      </c>
      <c r="L69" s="126" t="s">
        <v>120</v>
      </c>
      <c r="M69" s="126" t="s">
        <v>41</v>
      </c>
      <c r="O69">
        <f t="shared" si="0"/>
        <v>100</v>
      </c>
    </row>
    <row r="70" spans="1:18" x14ac:dyDescent="0.25">
      <c r="A70" s="128">
        <v>22</v>
      </c>
      <c r="B70" s="192" t="s">
        <v>1525</v>
      </c>
      <c r="C70" s="133" t="s">
        <v>1526</v>
      </c>
      <c r="D70" s="133"/>
      <c r="E70" s="130" t="s">
        <v>127</v>
      </c>
      <c r="F70" s="130" t="s">
        <v>937</v>
      </c>
      <c r="G70" s="130" t="s">
        <v>61</v>
      </c>
      <c r="H70" s="131" t="s">
        <v>1527</v>
      </c>
      <c r="I70" s="133" t="s">
        <v>40</v>
      </c>
      <c r="J70" s="136">
        <v>500</v>
      </c>
      <c r="K70" s="164" t="s">
        <v>123</v>
      </c>
      <c r="L70" s="126" t="s">
        <v>120</v>
      </c>
      <c r="M70" s="126" t="s">
        <v>41</v>
      </c>
      <c r="O70">
        <f t="shared" si="0"/>
        <v>100</v>
      </c>
    </row>
    <row r="71" spans="1:18" x14ac:dyDescent="0.25">
      <c r="A71" s="128">
        <v>22</v>
      </c>
      <c r="B71" s="192" t="s">
        <v>947</v>
      </c>
      <c r="C71" s="133" t="s">
        <v>1528</v>
      </c>
      <c r="D71" s="133"/>
      <c r="E71" s="130" t="s">
        <v>127</v>
      </c>
      <c r="F71" s="130" t="s">
        <v>937</v>
      </c>
      <c r="G71" s="130" t="s">
        <v>61</v>
      </c>
      <c r="H71" s="131"/>
      <c r="I71" s="133" t="s">
        <v>40</v>
      </c>
      <c r="J71" s="136">
        <v>500</v>
      </c>
      <c r="K71" s="164" t="s">
        <v>123</v>
      </c>
      <c r="L71" s="126" t="s">
        <v>120</v>
      </c>
      <c r="M71" s="126" t="s">
        <v>41</v>
      </c>
      <c r="O71">
        <f t="shared" si="0"/>
        <v>100</v>
      </c>
    </row>
    <row r="72" spans="1:18" x14ac:dyDescent="0.25">
      <c r="A72" s="128">
        <v>22</v>
      </c>
      <c r="B72" s="192" t="s">
        <v>679</v>
      </c>
      <c r="C72" s="133" t="s">
        <v>1529</v>
      </c>
      <c r="D72" s="133"/>
      <c r="E72" s="130" t="s">
        <v>127</v>
      </c>
      <c r="F72" s="130" t="s">
        <v>1530</v>
      </c>
      <c r="G72" s="130" t="s">
        <v>54</v>
      </c>
      <c r="H72" s="131" t="s">
        <v>1531</v>
      </c>
      <c r="I72" s="133" t="s">
        <v>40</v>
      </c>
      <c r="J72" s="136">
        <v>10000</v>
      </c>
      <c r="K72" s="164">
        <v>2000</v>
      </c>
      <c r="L72" s="126" t="s">
        <v>120</v>
      </c>
      <c r="M72" s="126" t="s">
        <v>41</v>
      </c>
      <c r="O72">
        <f t="shared" si="0"/>
        <v>2000</v>
      </c>
    </row>
    <row r="73" spans="1:18" x14ac:dyDescent="0.25">
      <c r="A73" s="128">
        <v>22</v>
      </c>
      <c r="B73" s="192" t="s">
        <v>1532</v>
      </c>
      <c r="C73" s="133" t="s">
        <v>1533</v>
      </c>
      <c r="D73" s="133"/>
      <c r="E73" s="168" t="s">
        <v>129</v>
      </c>
      <c r="F73" s="130" t="s">
        <v>152</v>
      </c>
      <c r="G73" s="130" t="s">
        <v>60</v>
      </c>
      <c r="H73" s="131" t="s">
        <v>1534</v>
      </c>
      <c r="I73" s="130" t="s">
        <v>40</v>
      </c>
      <c r="J73" s="136">
        <v>4000</v>
      </c>
      <c r="K73" s="164">
        <v>800</v>
      </c>
      <c r="L73" s="126" t="s">
        <v>120</v>
      </c>
      <c r="M73" s="126" t="s">
        <v>41</v>
      </c>
      <c r="O73">
        <f t="shared" si="0"/>
        <v>800</v>
      </c>
    </row>
    <row r="74" spans="1:18" x14ac:dyDescent="0.25">
      <c r="A74" s="142">
        <v>26</v>
      </c>
      <c r="B74" s="192" t="s">
        <v>1536</v>
      </c>
      <c r="C74" s="133" t="s">
        <v>1537</v>
      </c>
      <c r="D74" s="133"/>
      <c r="E74" s="130" t="s">
        <v>127</v>
      </c>
      <c r="F74" s="130" t="s">
        <v>525</v>
      </c>
      <c r="G74" s="130" t="s">
        <v>56</v>
      </c>
      <c r="H74" s="131"/>
      <c r="I74" s="133" t="s">
        <v>40</v>
      </c>
      <c r="J74" s="136">
        <v>1000</v>
      </c>
      <c r="K74" s="164">
        <v>200</v>
      </c>
      <c r="L74" s="126" t="s">
        <v>120</v>
      </c>
      <c r="M74" s="126" t="s">
        <v>41</v>
      </c>
      <c r="O74">
        <f t="shared" si="0"/>
        <v>200</v>
      </c>
    </row>
    <row r="75" spans="1:18" x14ac:dyDescent="0.25">
      <c r="A75" s="142">
        <v>26</v>
      </c>
      <c r="B75" s="192" t="s">
        <v>1538</v>
      </c>
      <c r="C75" s="133" t="s">
        <v>1539</v>
      </c>
      <c r="D75" s="133"/>
      <c r="E75" s="168" t="s">
        <v>129</v>
      </c>
      <c r="F75" s="130" t="s">
        <v>562</v>
      </c>
      <c r="G75" s="130" t="s">
        <v>42</v>
      </c>
      <c r="H75" s="131" t="s">
        <v>1540</v>
      </c>
      <c r="I75" s="133" t="s">
        <v>40</v>
      </c>
      <c r="J75" s="136">
        <v>800</v>
      </c>
      <c r="K75" s="164">
        <v>160</v>
      </c>
      <c r="L75" s="126" t="s">
        <v>120</v>
      </c>
      <c r="M75" s="126" t="s">
        <v>41</v>
      </c>
      <c r="O75">
        <f t="shared" si="0"/>
        <v>160</v>
      </c>
    </row>
    <row r="76" spans="1:18" x14ac:dyDescent="0.25">
      <c r="A76" s="142">
        <v>26</v>
      </c>
      <c r="B76" s="192" t="s">
        <v>1541</v>
      </c>
      <c r="C76" s="133" t="s">
        <v>1500</v>
      </c>
      <c r="D76" s="133"/>
      <c r="E76" s="130" t="s">
        <v>127</v>
      </c>
      <c r="F76" s="130" t="s">
        <v>144</v>
      </c>
      <c r="G76" s="130" t="s">
        <v>43</v>
      </c>
      <c r="H76" s="131" t="s">
        <v>1542</v>
      </c>
      <c r="I76" s="130" t="s">
        <v>40</v>
      </c>
      <c r="J76" s="136">
        <v>1000</v>
      </c>
      <c r="K76" s="164">
        <v>200</v>
      </c>
      <c r="L76" s="126" t="s">
        <v>120</v>
      </c>
      <c r="M76" s="126" t="s">
        <v>41</v>
      </c>
      <c r="O76">
        <f t="shared" si="0"/>
        <v>200</v>
      </c>
    </row>
    <row r="77" spans="1:18" x14ac:dyDescent="0.25">
      <c r="A77" s="142">
        <v>26</v>
      </c>
      <c r="B77" s="192" t="s">
        <v>1543</v>
      </c>
      <c r="C77" s="133" t="s">
        <v>1544</v>
      </c>
      <c r="D77" s="133"/>
      <c r="E77" s="168" t="s">
        <v>129</v>
      </c>
      <c r="F77" s="130" t="s">
        <v>1545</v>
      </c>
      <c r="G77" s="130" t="s">
        <v>47</v>
      </c>
      <c r="H77" s="131" t="s">
        <v>1546</v>
      </c>
      <c r="I77" s="130" t="s">
        <v>40</v>
      </c>
      <c r="J77" s="136">
        <v>1000</v>
      </c>
      <c r="K77" s="164">
        <v>200</v>
      </c>
      <c r="L77" s="126" t="s">
        <v>120</v>
      </c>
      <c r="M77" s="126" t="s">
        <v>41</v>
      </c>
      <c r="O77">
        <f t="shared" si="0"/>
        <v>200</v>
      </c>
    </row>
    <row r="78" spans="1:18" x14ac:dyDescent="0.25">
      <c r="A78" s="142">
        <v>26</v>
      </c>
      <c r="B78" s="192" t="s">
        <v>1547</v>
      </c>
      <c r="C78" s="133" t="s">
        <v>1548</v>
      </c>
      <c r="D78" s="133"/>
      <c r="E78" s="130" t="s">
        <v>127</v>
      </c>
      <c r="F78" s="130" t="s">
        <v>706</v>
      </c>
      <c r="G78" s="130" t="s">
        <v>53</v>
      </c>
      <c r="H78" s="131" t="s">
        <v>1549</v>
      </c>
      <c r="I78" s="133" t="s">
        <v>40</v>
      </c>
      <c r="J78" s="136">
        <v>7000</v>
      </c>
      <c r="K78" s="164">
        <v>1400</v>
      </c>
      <c r="L78" s="126" t="s">
        <v>120</v>
      </c>
      <c r="M78" s="126" t="s">
        <v>41</v>
      </c>
      <c r="O78">
        <f t="shared" si="0"/>
        <v>1400</v>
      </c>
    </row>
    <row r="79" spans="1:18" x14ac:dyDescent="0.25">
      <c r="A79" s="142">
        <v>26</v>
      </c>
      <c r="B79" s="192" t="s">
        <v>977</v>
      </c>
      <c r="C79" s="133" t="s">
        <v>1552</v>
      </c>
      <c r="D79" s="133"/>
      <c r="E79" s="130" t="s">
        <v>127</v>
      </c>
      <c r="F79" s="130" t="s">
        <v>1553</v>
      </c>
      <c r="G79" s="130" t="s">
        <v>64</v>
      </c>
      <c r="H79" s="131"/>
      <c r="I79" s="133" t="s">
        <v>40</v>
      </c>
      <c r="J79" s="136">
        <v>3000</v>
      </c>
      <c r="K79" s="164">
        <v>600</v>
      </c>
      <c r="L79" s="126" t="s">
        <v>120</v>
      </c>
      <c r="M79" s="126" t="s">
        <v>41</v>
      </c>
      <c r="O79">
        <f t="shared" si="0"/>
        <v>600</v>
      </c>
      <c r="R79" s="57"/>
    </row>
    <row r="80" spans="1:18" x14ac:dyDescent="0.25">
      <c r="A80" s="142">
        <v>26</v>
      </c>
      <c r="B80" s="192" t="s">
        <v>1554</v>
      </c>
      <c r="C80" s="133" t="s">
        <v>1555</v>
      </c>
      <c r="D80" s="133"/>
      <c r="E80" s="130" t="s">
        <v>127</v>
      </c>
      <c r="F80" s="130" t="s">
        <v>693</v>
      </c>
      <c r="G80" s="130" t="s">
        <v>49</v>
      </c>
      <c r="H80" s="131" t="s">
        <v>1556</v>
      </c>
      <c r="I80" s="133" t="s">
        <v>40</v>
      </c>
      <c r="J80" s="136">
        <v>2000</v>
      </c>
      <c r="K80" s="164">
        <v>40</v>
      </c>
      <c r="L80" s="126" t="s">
        <v>120</v>
      </c>
      <c r="M80" s="126" t="s">
        <v>41</v>
      </c>
      <c r="O80">
        <f t="shared" si="0"/>
        <v>400</v>
      </c>
    </row>
    <row r="81" spans="1:19" x14ac:dyDescent="0.25">
      <c r="A81" s="142">
        <v>26</v>
      </c>
      <c r="B81" s="192" t="s">
        <v>1557</v>
      </c>
      <c r="C81" s="133" t="s">
        <v>180</v>
      </c>
      <c r="D81" s="133"/>
      <c r="E81" s="130" t="s">
        <v>127</v>
      </c>
      <c r="F81" s="130" t="s">
        <v>449</v>
      </c>
      <c r="G81" s="130" t="s">
        <v>49</v>
      </c>
      <c r="H81" s="131" t="s">
        <v>1558</v>
      </c>
      <c r="I81" s="130" t="s">
        <v>40</v>
      </c>
      <c r="J81" s="136">
        <v>2000</v>
      </c>
      <c r="K81" s="164">
        <v>600</v>
      </c>
      <c r="L81" s="126" t="s">
        <v>120</v>
      </c>
      <c r="M81" s="126" t="s">
        <v>41</v>
      </c>
      <c r="O81">
        <f t="shared" si="0"/>
        <v>400</v>
      </c>
    </row>
    <row r="82" spans="1:19" x14ac:dyDescent="0.25">
      <c r="A82" s="142">
        <v>26</v>
      </c>
      <c r="B82" s="192" t="s">
        <v>1559</v>
      </c>
      <c r="C82" s="133" t="s">
        <v>1560</v>
      </c>
      <c r="D82" s="133"/>
      <c r="E82" s="130" t="s">
        <v>127</v>
      </c>
      <c r="F82" s="130" t="s">
        <v>769</v>
      </c>
      <c r="G82" s="130" t="s">
        <v>47</v>
      </c>
      <c r="H82" s="131" t="s">
        <v>1561</v>
      </c>
      <c r="I82" s="130" t="s">
        <v>40</v>
      </c>
      <c r="J82" s="136">
        <v>100</v>
      </c>
      <c r="K82" s="164">
        <v>30</v>
      </c>
      <c r="L82" s="126" t="s">
        <v>120</v>
      </c>
      <c r="M82" s="126" t="s">
        <v>41</v>
      </c>
      <c r="O82">
        <f t="shared" si="0"/>
        <v>20</v>
      </c>
    </row>
    <row r="83" spans="1:19" x14ac:dyDescent="0.25">
      <c r="A83" s="142">
        <v>26</v>
      </c>
      <c r="B83" s="192" t="s">
        <v>1562</v>
      </c>
      <c r="C83" s="133" t="s">
        <v>180</v>
      </c>
      <c r="D83" s="133"/>
      <c r="E83" s="130" t="s">
        <v>127</v>
      </c>
      <c r="F83" s="130" t="s">
        <v>1563</v>
      </c>
      <c r="G83" s="130" t="s">
        <v>54</v>
      </c>
      <c r="H83" s="131" t="s">
        <v>1564</v>
      </c>
      <c r="I83" s="130" t="s">
        <v>40</v>
      </c>
      <c r="J83" s="136">
        <v>6000</v>
      </c>
      <c r="K83" s="164">
        <v>1200</v>
      </c>
      <c r="L83" s="126" t="s">
        <v>120</v>
      </c>
      <c r="M83" s="126" t="s">
        <v>41</v>
      </c>
      <c r="O83">
        <f t="shared" si="0"/>
        <v>1200</v>
      </c>
      <c r="S83" s="57"/>
    </row>
    <row r="84" spans="1:19" x14ac:dyDescent="0.25">
      <c r="A84" s="142">
        <v>26</v>
      </c>
      <c r="B84" s="192" t="s">
        <v>199</v>
      </c>
      <c r="C84" s="133" t="s">
        <v>1565</v>
      </c>
      <c r="D84" s="133"/>
      <c r="E84" s="130" t="s">
        <v>127</v>
      </c>
      <c r="F84" s="130" t="s">
        <v>1566</v>
      </c>
      <c r="G84" s="130" t="s">
        <v>58</v>
      </c>
      <c r="H84" s="131"/>
      <c r="I84" s="130" t="s">
        <v>40</v>
      </c>
      <c r="J84" s="136">
        <v>5000</v>
      </c>
      <c r="K84" s="164">
        <v>1000</v>
      </c>
      <c r="L84" s="126" t="s">
        <v>120</v>
      </c>
      <c r="M84" s="126" t="s">
        <v>41</v>
      </c>
      <c r="O84">
        <f t="shared" si="0"/>
        <v>1000</v>
      </c>
    </row>
    <row r="85" spans="1:19" x14ac:dyDescent="0.25">
      <c r="A85" s="142">
        <v>26</v>
      </c>
      <c r="B85" s="192" t="s">
        <v>1567</v>
      </c>
      <c r="C85" s="133" t="s">
        <v>1568</v>
      </c>
      <c r="D85" s="133"/>
      <c r="E85" s="130" t="s">
        <v>127</v>
      </c>
      <c r="F85" s="130" t="s">
        <v>949</v>
      </c>
      <c r="G85" s="130" t="s">
        <v>43</v>
      </c>
      <c r="H85" s="131" t="s">
        <v>1569</v>
      </c>
      <c r="I85" s="130" t="s">
        <v>40</v>
      </c>
      <c r="J85" s="136">
        <v>300</v>
      </c>
      <c r="K85" s="164" t="s">
        <v>123</v>
      </c>
      <c r="L85" s="126" t="s">
        <v>120</v>
      </c>
      <c r="M85" s="126" t="s">
        <v>41</v>
      </c>
      <c r="O85">
        <f t="shared" si="0"/>
        <v>60</v>
      </c>
    </row>
    <row r="86" spans="1:19" x14ac:dyDescent="0.25">
      <c r="A86" s="142">
        <v>26</v>
      </c>
      <c r="B86" s="192" t="s">
        <v>1570</v>
      </c>
      <c r="C86" s="133" t="s">
        <v>1571</v>
      </c>
      <c r="D86" s="133"/>
      <c r="E86" s="168" t="s">
        <v>129</v>
      </c>
      <c r="F86" s="130" t="s">
        <v>1572</v>
      </c>
      <c r="G86" s="130" t="s">
        <v>61</v>
      </c>
      <c r="H86" s="131" t="s">
        <v>1573</v>
      </c>
      <c r="I86" s="133" t="s">
        <v>40</v>
      </c>
      <c r="J86" s="136">
        <v>500</v>
      </c>
      <c r="K86" s="164" t="s">
        <v>123</v>
      </c>
      <c r="L86" s="126" t="s">
        <v>120</v>
      </c>
      <c r="M86" s="126" t="s">
        <v>41</v>
      </c>
      <c r="O86">
        <f t="shared" si="0"/>
        <v>100</v>
      </c>
    </row>
    <row r="87" spans="1:19" x14ac:dyDescent="0.25">
      <c r="A87" s="142">
        <v>26</v>
      </c>
      <c r="B87" s="192" t="s">
        <v>1574</v>
      </c>
      <c r="C87" s="133" t="s">
        <v>1575</v>
      </c>
      <c r="D87" s="133"/>
      <c r="E87" s="168" t="s">
        <v>129</v>
      </c>
      <c r="F87" s="130" t="s">
        <v>1572</v>
      </c>
      <c r="G87" s="130" t="s">
        <v>61</v>
      </c>
      <c r="H87" s="131" t="s">
        <v>1576</v>
      </c>
      <c r="I87" s="130" t="s">
        <v>40</v>
      </c>
      <c r="J87" s="136">
        <v>500</v>
      </c>
      <c r="K87" s="164" t="s">
        <v>123</v>
      </c>
      <c r="L87" s="126" t="s">
        <v>120</v>
      </c>
      <c r="M87" s="126" t="s">
        <v>41</v>
      </c>
      <c r="O87">
        <f t="shared" si="0"/>
        <v>100</v>
      </c>
      <c r="R87" s="57"/>
    </row>
    <row r="88" spans="1:19" x14ac:dyDescent="0.25">
      <c r="A88" s="142">
        <v>26</v>
      </c>
      <c r="B88" s="192" t="s">
        <v>1574</v>
      </c>
      <c r="C88" s="133" t="s">
        <v>1453</v>
      </c>
      <c r="D88" s="130"/>
      <c r="E88" s="130" t="s">
        <v>127</v>
      </c>
      <c r="F88" s="130" t="s">
        <v>1572</v>
      </c>
      <c r="G88" s="130" t="s">
        <v>61</v>
      </c>
      <c r="H88" s="131"/>
      <c r="I88" s="133" t="s">
        <v>40</v>
      </c>
      <c r="J88" s="136">
        <v>500</v>
      </c>
      <c r="K88" s="164" t="s">
        <v>123</v>
      </c>
      <c r="L88" s="126" t="s">
        <v>120</v>
      </c>
      <c r="M88" s="126" t="s">
        <v>41</v>
      </c>
      <c r="O88">
        <f t="shared" si="0"/>
        <v>100</v>
      </c>
    </row>
    <row r="89" spans="1:19" x14ac:dyDescent="0.25">
      <c r="A89" s="142">
        <v>26</v>
      </c>
      <c r="B89" s="192" t="s">
        <v>1577</v>
      </c>
      <c r="C89" s="133" t="s">
        <v>1578</v>
      </c>
      <c r="D89" s="133"/>
      <c r="E89" s="130" t="s">
        <v>127</v>
      </c>
      <c r="F89" s="130" t="s">
        <v>1572</v>
      </c>
      <c r="G89" s="130" t="s">
        <v>61</v>
      </c>
      <c r="H89" s="131" t="s">
        <v>1579</v>
      </c>
      <c r="I89" s="130" t="s">
        <v>40</v>
      </c>
      <c r="J89" s="136">
        <v>500</v>
      </c>
      <c r="K89" s="164" t="s">
        <v>123</v>
      </c>
      <c r="L89" s="126" t="s">
        <v>120</v>
      </c>
      <c r="M89" s="126" t="s">
        <v>41</v>
      </c>
      <c r="O89">
        <f t="shared" si="0"/>
        <v>100</v>
      </c>
    </row>
    <row r="90" spans="1:19" x14ac:dyDescent="0.25">
      <c r="A90" s="142">
        <v>26</v>
      </c>
      <c r="B90" s="192" t="s">
        <v>1574</v>
      </c>
      <c r="C90" s="133" t="s">
        <v>1580</v>
      </c>
      <c r="D90" s="133"/>
      <c r="E90" s="168" t="s">
        <v>129</v>
      </c>
      <c r="F90" s="130" t="s">
        <v>1572</v>
      </c>
      <c r="G90" s="130" t="s">
        <v>61</v>
      </c>
      <c r="H90" s="131" t="s">
        <v>1581</v>
      </c>
      <c r="I90" s="130" t="s">
        <v>40</v>
      </c>
      <c r="J90" s="136">
        <v>500</v>
      </c>
      <c r="K90" s="164" t="s">
        <v>123</v>
      </c>
      <c r="L90" s="126" t="s">
        <v>120</v>
      </c>
      <c r="M90" s="126" t="s">
        <v>41</v>
      </c>
      <c r="O90">
        <f t="shared" si="0"/>
        <v>100</v>
      </c>
    </row>
    <row r="91" spans="1:19" x14ac:dyDescent="0.25">
      <c r="A91" s="210">
        <v>26</v>
      </c>
      <c r="B91" s="192" t="s">
        <v>1582</v>
      </c>
      <c r="C91" s="133" t="s">
        <v>431</v>
      </c>
      <c r="D91" s="133"/>
      <c r="E91" s="130" t="s">
        <v>127</v>
      </c>
      <c r="F91" s="130" t="s">
        <v>1583</v>
      </c>
      <c r="G91" s="130" t="s">
        <v>59</v>
      </c>
      <c r="H91" s="131" t="s">
        <v>1584</v>
      </c>
      <c r="I91" s="133" t="s">
        <v>40</v>
      </c>
      <c r="J91" s="136">
        <v>300</v>
      </c>
      <c r="K91" s="164">
        <v>600</v>
      </c>
      <c r="L91" s="126" t="s">
        <v>120</v>
      </c>
      <c r="M91" s="126" t="s">
        <v>41</v>
      </c>
      <c r="O91">
        <f t="shared" si="0"/>
        <v>60</v>
      </c>
    </row>
    <row r="92" spans="1:19" x14ac:dyDescent="0.25">
      <c r="A92" s="210">
        <v>26</v>
      </c>
      <c r="B92" s="192" t="s">
        <v>1586</v>
      </c>
      <c r="C92" s="133" t="s">
        <v>1587</v>
      </c>
      <c r="D92" s="133"/>
      <c r="E92" s="130" t="s">
        <v>127</v>
      </c>
      <c r="F92" s="130" t="s">
        <v>844</v>
      </c>
      <c r="G92" s="130" t="s">
        <v>42</v>
      </c>
      <c r="H92" s="131" t="s">
        <v>1588</v>
      </c>
      <c r="I92" s="133" t="s">
        <v>40</v>
      </c>
      <c r="J92" s="136">
        <v>10000</v>
      </c>
      <c r="K92" s="164">
        <v>2000</v>
      </c>
      <c r="L92" s="126" t="s">
        <v>120</v>
      </c>
      <c r="M92" s="126" t="s">
        <v>41</v>
      </c>
      <c r="O92">
        <f t="shared" si="0"/>
        <v>2000</v>
      </c>
    </row>
    <row r="93" spans="1:19" x14ac:dyDescent="0.25">
      <c r="A93" s="142"/>
      <c r="B93" s="192"/>
      <c r="C93" s="133"/>
      <c r="D93" s="133"/>
      <c r="E93" s="130"/>
      <c r="F93" s="130"/>
      <c r="G93" s="130"/>
      <c r="H93" s="131"/>
      <c r="I93" s="133"/>
      <c r="J93" s="136"/>
      <c r="K93" s="164"/>
      <c r="L93" s="126"/>
      <c r="M93" s="126"/>
      <c r="O93">
        <f t="shared" si="0"/>
        <v>0</v>
      </c>
    </row>
    <row r="94" spans="1:19" x14ac:dyDescent="0.25">
      <c r="A94" s="142"/>
      <c r="B94" s="192"/>
      <c r="C94" s="133"/>
      <c r="D94" s="133"/>
      <c r="E94" s="130"/>
      <c r="F94" s="130"/>
      <c r="G94" s="199"/>
      <c r="H94" s="131"/>
      <c r="I94" s="130"/>
      <c r="J94" s="136"/>
      <c r="K94" s="164"/>
      <c r="L94" s="126"/>
      <c r="M94" s="126"/>
      <c r="O94">
        <f t="shared" si="0"/>
        <v>0</v>
      </c>
    </row>
    <row r="95" spans="1:19" x14ac:dyDescent="0.25">
      <c r="A95" s="142"/>
      <c r="B95" s="192"/>
      <c r="C95" s="133"/>
      <c r="D95" s="133"/>
      <c r="E95" s="130"/>
      <c r="F95" s="130"/>
      <c r="G95" s="130"/>
      <c r="H95" s="131"/>
      <c r="I95" s="130"/>
      <c r="J95" s="136"/>
      <c r="K95" s="164"/>
      <c r="L95" s="126"/>
      <c r="M95" s="126"/>
      <c r="O95">
        <f t="shared" si="0"/>
        <v>0</v>
      </c>
    </row>
    <row r="96" spans="1:19" x14ac:dyDescent="0.25">
      <c r="A96" s="142"/>
      <c r="B96" s="192"/>
      <c r="C96" s="133"/>
      <c r="D96" s="133"/>
      <c r="E96" s="130"/>
      <c r="F96" s="130"/>
      <c r="G96" s="130"/>
      <c r="H96" s="131"/>
      <c r="I96" s="130"/>
      <c r="J96" s="136"/>
      <c r="K96" s="164"/>
      <c r="L96" s="126"/>
      <c r="M96" s="126"/>
      <c r="O96">
        <f t="shared" si="0"/>
        <v>0</v>
      </c>
    </row>
    <row r="97" spans="1:18" x14ac:dyDescent="0.25">
      <c r="A97" s="142"/>
      <c r="B97" s="192"/>
      <c r="C97" s="133"/>
      <c r="D97" s="133"/>
      <c r="E97" s="130"/>
      <c r="F97" s="130"/>
      <c r="G97" s="130"/>
      <c r="H97" s="131"/>
      <c r="I97" s="130"/>
      <c r="J97" s="136"/>
      <c r="K97" s="164"/>
      <c r="L97" s="126"/>
      <c r="M97" s="126"/>
      <c r="O97">
        <f t="shared" si="0"/>
        <v>0</v>
      </c>
      <c r="R97" s="57"/>
    </row>
    <row r="98" spans="1:18" x14ac:dyDescent="0.25">
      <c r="A98" s="142"/>
      <c r="B98" s="192"/>
      <c r="C98" s="133"/>
      <c r="D98" s="133"/>
      <c r="E98" s="130"/>
      <c r="F98" s="130"/>
      <c r="G98" s="130"/>
      <c r="H98" s="131"/>
      <c r="I98" s="133"/>
      <c r="J98" s="136"/>
      <c r="K98" s="164"/>
      <c r="L98" s="126"/>
      <c r="M98" s="126"/>
      <c r="O98">
        <f t="shared" si="0"/>
        <v>0</v>
      </c>
    </row>
    <row r="99" spans="1:18" x14ac:dyDescent="0.25">
      <c r="A99" s="142"/>
      <c r="B99" s="192"/>
      <c r="C99" s="133"/>
      <c r="D99" s="133"/>
      <c r="E99" s="130"/>
      <c r="F99" s="130"/>
      <c r="G99" s="130"/>
      <c r="H99" s="131"/>
      <c r="I99" s="130"/>
      <c r="J99" s="136"/>
      <c r="K99" s="164"/>
      <c r="L99" s="126"/>
      <c r="M99" s="126"/>
      <c r="O99">
        <f t="shared" si="0"/>
        <v>0</v>
      </c>
    </row>
    <row r="100" spans="1:18" x14ac:dyDescent="0.25">
      <c r="A100" s="142"/>
      <c r="B100" s="192"/>
      <c r="C100" s="133"/>
      <c r="D100" s="133"/>
      <c r="E100" s="130"/>
      <c r="F100" s="130"/>
      <c r="G100" s="130"/>
      <c r="H100" s="131"/>
      <c r="I100" s="130"/>
      <c r="J100" s="136"/>
      <c r="K100" s="164"/>
      <c r="L100" s="126"/>
      <c r="M100" s="126"/>
      <c r="O100">
        <f t="shared" si="0"/>
        <v>0</v>
      </c>
    </row>
    <row r="101" spans="1:18" x14ac:dyDescent="0.25">
      <c r="A101" s="142"/>
      <c r="B101" s="192"/>
      <c r="C101" s="133"/>
      <c r="D101" s="133"/>
      <c r="E101" s="130"/>
      <c r="F101" s="130"/>
      <c r="G101" s="130"/>
      <c r="H101" s="131"/>
      <c r="I101" s="130"/>
      <c r="J101" s="136"/>
      <c r="K101" s="164"/>
      <c r="L101" s="126"/>
      <c r="M101" s="126"/>
      <c r="O101">
        <f t="shared" si="0"/>
        <v>0</v>
      </c>
    </row>
    <row r="102" spans="1:18" x14ac:dyDescent="0.25">
      <c r="A102" s="142"/>
      <c r="B102" s="192"/>
      <c r="C102" s="133"/>
      <c r="D102" s="133"/>
      <c r="E102" s="130"/>
      <c r="F102" s="130"/>
      <c r="G102" s="130"/>
      <c r="H102" s="131"/>
      <c r="I102" s="133"/>
      <c r="J102" s="136"/>
      <c r="K102" s="164"/>
      <c r="L102" s="126"/>
      <c r="M102" s="126"/>
      <c r="O102">
        <f t="shared" si="0"/>
        <v>0</v>
      </c>
    </row>
    <row r="103" spans="1:18" x14ac:dyDescent="0.25">
      <c r="A103" s="142"/>
      <c r="B103" s="192"/>
      <c r="C103" s="133"/>
      <c r="D103" s="133"/>
      <c r="E103" s="130"/>
      <c r="F103" s="130"/>
      <c r="G103" s="130"/>
      <c r="H103" s="131"/>
      <c r="I103" s="133"/>
      <c r="J103" s="136"/>
      <c r="K103" s="164"/>
      <c r="L103" s="126"/>
      <c r="M103" s="126"/>
      <c r="O103">
        <f t="shared" si="0"/>
        <v>0</v>
      </c>
    </row>
    <row r="104" spans="1:18" x14ac:dyDescent="0.25">
      <c r="A104" s="142"/>
      <c r="B104" s="192"/>
      <c r="C104" s="133"/>
      <c r="D104" s="133"/>
      <c r="E104" s="130"/>
      <c r="F104" s="130"/>
      <c r="G104" s="130"/>
      <c r="H104" s="131"/>
      <c r="I104" s="133"/>
      <c r="J104" s="136"/>
      <c r="K104" s="164"/>
      <c r="L104" s="126"/>
      <c r="M104" s="126"/>
      <c r="O104">
        <f t="shared" si="0"/>
        <v>0</v>
      </c>
    </row>
    <row r="105" spans="1:18" x14ac:dyDescent="0.25">
      <c r="A105" s="142"/>
      <c r="B105" s="192"/>
      <c r="C105" s="133"/>
      <c r="D105" s="133"/>
      <c r="E105" s="130"/>
      <c r="F105" s="130"/>
      <c r="G105" s="130"/>
      <c r="H105" s="131"/>
      <c r="I105" s="130"/>
      <c r="J105" s="136"/>
      <c r="K105" s="164"/>
      <c r="L105" s="126"/>
      <c r="M105" s="126"/>
      <c r="O105">
        <f t="shared" si="0"/>
        <v>0</v>
      </c>
    </row>
    <row r="106" spans="1:18" x14ac:dyDescent="0.25">
      <c r="A106" s="142"/>
      <c r="B106" s="192"/>
      <c r="C106" s="133"/>
      <c r="D106" s="133"/>
      <c r="E106" s="130"/>
      <c r="F106" s="130"/>
      <c r="G106" s="130"/>
      <c r="H106" s="131"/>
      <c r="I106" s="130"/>
      <c r="J106" s="136"/>
      <c r="K106" s="164"/>
      <c r="L106" s="126"/>
      <c r="M106" s="126"/>
      <c r="O106">
        <f t="shared" si="0"/>
        <v>0</v>
      </c>
    </row>
    <row r="107" spans="1:18" x14ac:dyDescent="0.25">
      <c r="A107" s="142"/>
      <c r="B107" s="192"/>
      <c r="C107" s="133"/>
      <c r="D107" s="133"/>
      <c r="E107" s="130"/>
      <c r="F107" s="130"/>
      <c r="G107" s="130"/>
      <c r="H107" s="131"/>
      <c r="I107" s="130"/>
      <c r="J107" s="136"/>
      <c r="K107" s="164"/>
      <c r="L107" s="126"/>
      <c r="M107" s="126"/>
      <c r="O107">
        <f t="shared" si="0"/>
        <v>0</v>
      </c>
    </row>
    <row r="108" spans="1:18" x14ac:dyDescent="0.25">
      <c r="A108" s="142"/>
      <c r="B108" s="192"/>
      <c r="C108" s="133"/>
      <c r="D108" s="133"/>
      <c r="E108" s="130"/>
      <c r="F108" s="130"/>
      <c r="G108" s="130"/>
      <c r="H108" s="131"/>
      <c r="I108" s="133"/>
      <c r="J108" s="136"/>
      <c r="K108" s="164"/>
      <c r="L108" s="126"/>
      <c r="M108" s="126"/>
      <c r="O108">
        <f t="shared" si="0"/>
        <v>0</v>
      </c>
    </row>
    <row r="109" spans="1:18" x14ac:dyDescent="0.25">
      <c r="A109" s="142"/>
      <c r="B109" s="192"/>
      <c r="C109" s="133"/>
      <c r="D109" s="133"/>
      <c r="E109" s="130"/>
      <c r="F109" s="130"/>
      <c r="G109" s="130"/>
      <c r="H109" s="131"/>
      <c r="I109" s="130"/>
      <c r="J109" s="136"/>
      <c r="K109" s="164"/>
      <c r="L109" s="126"/>
      <c r="M109" s="126"/>
      <c r="O109">
        <f t="shared" si="0"/>
        <v>0</v>
      </c>
    </row>
    <row r="110" spans="1:18" x14ac:dyDescent="0.25">
      <c r="A110" s="142"/>
      <c r="B110" s="192"/>
      <c r="C110" s="133"/>
      <c r="D110" s="133"/>
      <c r="E110" s="130"/>
      <c r="F110" s="130"/>
      <c r="G110" s="130"/>
      <c r="H110" s="131"/>
      <c r="I110" s="130"/>
      <c r="J110" s="136"/>
      <c r="K110" s="164"/>
      <c r="L110" s="126"/>
      <c r="M110" s="126"/>
      <c r="O110">
        <f t="shared" si="0"/>
        <v>0</v>
      </c>
    </row>
    <row r="111" spans="1:18" x14ac:dyDescent="0.25">
      <c r="A111" s="142"/>
      <c r="B111" s="192"/>
      <c r="C111" s="133"/>
      <c r="D111" s="133"/>
      <c r="E111" s="130"/>
      <c r="F111" s="130"/>
      <c r="G111" s="130"/>
      <c r="H111" s="131"/>
      <c r="I111" s="130"/>
      <c r="J111" s="136"/>
      <c r="K111" s="164"/>
      <c r="L111" s="126"/>
      <c r="M111" s="126"/>
      <c r="O111">
        <f t="shared" si="0"/>
        <v>0</v>
      </c>
    </row>
    <row r="112" spans="1:18" x14ac:dyDescent="0.25">
      <c r="A112" s="142"/>
      <c r="B112" s="192"/>
      <c r="C112" s="133"/>
      <c r="D112" s="133"/>
      <c r="E112" s="130"/>
      <c r="F112" s="130"/>
      <c r="G112" s="130"/>
      <c r="H112" s="131"/>
      <c r="I112" s="133"/>
      <c r="J112" s="136"/>
      <c r="K112" s="164"/>
      <c r="L112" s="126"/>
      <c r="M112" s="126"/>
      <c r="O112">
        <f t="shared" si="0"/>
        <v>0</v>
      </c>
    </row>
    <row r="113" spans="1:15" x14ac:dyDescent="0.25">
      <c r="A113" s="142"/>
      <c r="B113" s="192"/>
      <c r="C113" s="133"/>
      <c r="D113" s="133"/>
      <c r="E113" s="130"/>
      <c r="F113" s="130"/>
      <c r="G113" s="130"/>
      <c r="H113" s="131"/>
      <c r="I113" s="130"/>
      <c r="J113" s="136"/>
      <c r="K113" s="164"/>
      <c r="L113" s="126"/>
      <c r="M113" s="126"/>
      <c r="O113">
        <f t="shared" si="0"/>
        <v>0</v>
      </c>
    </row>
    <row r="114" spans="1:15" x14ac:dyDescent="0.25">
      <c r="A114" s="142"/>
      <c r="B114" s="192"/>
      <c r="C114" s="133"/>
      <c r="D114" s="133"/>
      <c r="E114" s="130"/>
      <c r="F114" s="130"/>
      <c r="G114" s="130"/>
      <c r="H114" s="131"/>
      <c r="I114" s="130"/>
      <c r="J114" s="136"/>
      <c r="K114" s="164"/>
      <c r="L114" s="126"/>
      <c r="M114" s="126"/>
      <c r="O114">
        <f t="shared" si="0"/>
        <v>0</v>
      </c>
    </row>
    <row r="115" spans="1:15" x14ac:dyDescent="0.25">
      <c r="A115" s="142"/>
      <c r="B115" s="192"/>
      <c r="C115" s="133"/>
      <c r="D115" s="133"/>
      <c r="E115" s="130"/>
      <c r="F115" s="130"/>
      <c r="G115" s="130"/>
      <c r="H115" s="131"/>
      <c r="I115" s="133"/>
      <c r="J115" s="136"/>
      <c r="K115" s="164"/>
      <c r="L115" s="126"/>
      <c r="M115" s="126"/>
      <c r="O115">
        <f t="shared" si="0"/>
        <v>0</v>
      </c>
    </row>
    <row r="116" spans="1:15" x14ac:dyDescent="0.25">
      <c r="A116" s="142"/>
      <c r="B116" s="192"/>
      <c r="C116" s="133"/>
      <c r="D116" s="133"/>
      <c r="E116" s="130"/>
      <c r="F116" s="130"/>
      <c r="G116" s="130"/>
      <c r="H116" s="131"/>
      <c r="I116" s="133"/>
      <c r="J116" s="136"/>
      <c r="K116" s="164"/>
      <c r="L116" s="126"/>
      <c r="M116" s="126"/>
      <c r="O116">
        <f t="shared" si="0"/>
        <v>0</v>
      </c>
    </row>
    <row r="117" spans="1:15" x14ac:dyDescent="0.25">
      <c r="A117" s="142"/>
      <c r="B117" s="192"/>
      <c r="C117" s="133"/>
      <c r="D117" s="133"/>
      <c r="E117" s="130"/>
      <c r="F117" s="130"/>
      <c r="G117" s="130"/>
      <c r="H117" s="131"/>
      <c r="I117" s="133"/>
      <c r="J117" s="136"/>
      <c r="K117" s="164"/>
      <c r="L117" s="126"/>
      <c r="M117" s="126"/>
      <c r="O117">
        <f t="shared" si="0"/>
        <v>0</v>
      </c>
    </row>
    <row r="118" spans="1:15" x14ac:dyDescent="0.25">
      <c r="A118" s="142"/>
      <c r="B118" s="192"/>
      <c r="C118" s="133"/>
      <c r="D118" s="133"/>
      <c r="E118" s="130"/>
      <c r="F118" s="130"/>
      <c r="G118" s="130"/>
      <c r="H118" s="131"/>
      <c r="I118" s="130"/>
      <c r="J118" s="136"/>
      <c r="K118" s="164"/>
      <c r="L118" s="126"/>
      <c r="M118" s="126"/>
      <c r="O118">
        <f t="shared" si="0"/>
        <v>0</v>
      </c>
    </row>
    <row r="119" spans="1:15" x14ac:dyDescent="0.25">
      <c r="A119" s="142"/>
      <c r="B119" s="192"/>
      <c r="C119" s="133"/>
      <c r="D119" s="133"/>
      <c r="E119" s="130"/>
      <c r="F119" s="130"/>
      <c r="G119" s="130"/>
      <c r="H119" s="131"/>
      <c r="I119" s="130"/>
      <c r="J119" s="136"/>
      <c r="K119" s="164"/>
      <c r="L119" s="126"/>
      <c r="M119" s="126"/>
      <c r="O119">
        <f t="shared" si="0"/>
        <v>0</v>
      </c>
    </row>
    <row r="120" spans="1:15" x14ac:dyDescent="0.25">
      <c r="A120" s="142"/>
      <c r="B120" s="192"/>
      <c r="C120" s="133"/>
      <c r="D120" s="133"/>
      <c r="E120" s="130"/>
      <c r="F120" s="130"/>
      <c r="G120" s="130"/>
      <c r="H120" s="131"/>
      <c r="I120" s="130"/>
      <c r="J120" s="136"/>
      <c r="K120" s="164"/>
      <c r="L120" s="126"/>
      <c r="M120" s="126"/>
      <c r="O120">
        <f t="shared" si="0"/>
        <v>0</v>
      </c>
    </row>
    <row r="121" spans="1:15" x14ac:dyDescent="0.25">
      <c r="A121" s="142"/>
      <c r="B121" s="192"/>
      <c r="C121" s="133"/>
      <c r="D121" s="133"/>
      <c r="E121" s="130"/>
      <c r="F121" s="130"/>
      <c r="G121" s="130"/>
      <c r="H121" s="131"/>
      <c r="I121" s="130"/>
      <c r="J121" s="136"/>
      <c r="K121" s="164"/>
      <c r="L121" s="126"/>
      <c r="M121" s="126"/>
      <c r="O121">
        <f t="shared" si="0"/>
        <v>0</v>
      </c>
    </row>
    <row r="122" spans="1:15" x14ac:dyDescent="0.25">
      <c r="A122" s="142"/>
      <c r="B122" s="192"/>
      <c r="C122" s="133"/>
      <c r="D122" s="133"/>
      <c r="E122" s="130"/>
      <c r="F122" s="130"/>
      <c r="G122" s="130"/>
      <c r="H122" s="131"/>
      <c r="I122" s="133"/>
      <c r="J122" s="136"/>
      <c r="K122" s="164"/>
      <c r="L122" s="126"/>
      <c r="M122" s="126"/>
      <c r="O122">
        <f t="shared" si="0"/>
        <v>0</v>
      </c>
    </row>
    <row r="123" spans="1:15" x14ac:dyDescent="0.25">
      <c r="A123" s="142"/>
      <c r="B123" s="192"/>
      <c r="C123" s="133"/>
      <c r="D123" s="133"/>
      <c r="E123" s="130"/>
      <c r="F123" s="130"/>
      <c r="G123" s="130"/>
      <c r="H123" s="131"/>
      <c r="I123" s="130"/>
      <c r="J123" s="136"/>
      <c r="K123" s="164"/>
      <c r="L123" s="126"/>
      <c r="M123" s="126"/>
      <c r="O123">
        <f t="shared" si="0"/>
        <v>0</v>
      </c>
    </row>
    <row r="124" spans="1:15" x14ac:dyDescent="0.25">
      <c r="A124" s="142"/>
      <c r="B124" s="192"/>
      <c r="C124" s="133"/>
      <c r="D124" s="133"/>
      <c r="E124" s="130"/>
      <c r="F124" s="130"/>
      <c r="G124" s="130"/>
      <c r="H124" s="131"/>
      <c r="I124" s="130"/>
      <c r="J124" s="136"/>
      <c r="K124" s="164"/>
      <c r="L124" s="126"/>
      <c r="M124" s="126"/>
      <c r="O124">
        <f t="shared" si="0"/>
        <v>0</v>
      </c>
    </row>
    <row r="125" spans="1:15" x14ac:dyDescent="0.25">
      <c r="A125" s="142"/>
      <c r="B125" s="192"/>
      <c r="C125" s="133"/>
      <c r="D125" s="133"/>
      <c r="E125" s="130"/>
      <c r="F125" s="130"/>
      <c r="G125" s="130"/>
      <c r="H125" s="131"/>
      <c r="I125" s="133"/>
      <c r="J125" s="136"/>
      <c r="K125" s="164"/>
      <c r="L125" s="126"/>
      <c r="M125" s="126"/>
      <c r="O125">
        <f t="shared" si="0"/>
        <v>0</v>
      </c>
    </row>
    <row r="126" spans="1:15" x14ac:dyDescent="0.25">
      <c r="A126" s="142"/>
      <c r="B126" s="192"/>
      <c r="C126" s="133"/>
      <c r="D126" s="133"/>
      <c r="E126" s="130"/>
      <c r="F126" s="130"/>
      <c r="G126" s="130"/>
      <c r="H126" s="131"/>
      <c r="I126" s="130"/>
      <c r="J126" s="136"/>
      <c r="K126" s="164"/>
      <c r="L126" s="126"/>
      <c r="M126" s="126"/>
      <c r="O126">
        <f t="shared" si="0"/>
        <v>0</v>
      </c>
    </row>
    <row r="127" spans="1:15" x14ac:dyDescent="0.25">
      <c r="A127" s="142"/>
      <c r="B127" s="192"/>
      <c r="C127" s="133"/>
      <c r="D127" s="133"/>
      <c r="E127" s="130"/>
      <c r="F127" s="130"/>
      <c r="G127" s="130"/>
      <c r="H127" s="131"/>
      <c r="I127" s="133"/>
      <c r="J127" s="136"/>
      <c r="K127" s="164"/>
      <c r="L127" s="126"/>
      <c r="M127" s="126"/>
      <c r="O127">
        <f t="shared" si="0"/>
        <v>0</v>
      </c>
    </row>
    <row r="128" spans="1:15" x14ac:dyDescent="0.25">
      <c r="A128" s="142"/>
      <c r="B128" s="192"/>
      <c r="C128" s="133"/>
      <c r="D128" s="133"/>
      <c r="E128" s="130"/>
      <c r="F128" s="130"/>
      <c r="G128" s="130"/>
      <c r="H128" s="131"/>
      <c r="I128" s="130"/>
      <c r="J128" s="136"/>
      <c r="K128" s="164"/>
      <c r="L128" s="126"/>
      <c r="M128" s="126"/>
      <c r="O128">
        <f t="shared" si="0"/>
        <v>0</v>
      </c>
    </row>
    <row r="129" spans="1:18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8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8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8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8" x14ac:dyDescent="0.25">
      <c r="A133" s="142"/>
      <c r="B133" s="192"/>
      <c r="C133" s="133"/>
      <c r="D133" s="133"/>
      <c r="E133" s="130"/>
      <c r="F133" s="130"/>
      <c r="G133" s="130"/>
      <c r="H133" s="131"/>
      <c r="I133" s="130"/>
      <c r="J133" s="136"/>
      <c r="K133" s="164"/>
      <c r="L133" s="126"/>
      <c r="M133" s="126"/>
      <c r="O133">
        <f t="shared" si="0"/>
        <v>0</v>
      </c>
    </row>
    <row r="134" spans="1:18" x14ac:dyDescent="0.25">
      <c r="A134" s="142"/>
      <c r="B134" s="192"/>
      <c r="C134" s="133"/>
      <c r="D134" s="133"/>
      <c r="E134" s="130"/>
      <c r="F134" s="130"/>
      <c r="G134" s="130"/>
      <c r="H134" s="131"/>
      <c r="I134" s="133"/>
      <c r="J134" s="136"/>
      <c r="K134" s="164"/>
      <c r="L134" s="126"/>
      <c r="M134" s="126"/>
      <c r="O134">
        <f t="shared" si="0"/>
        <v>0</v>
      </c>
    </row>
    <row r="135" spans="1:18" x14ac:dyDescent="0.25">
      <c r="A135" s="142"/>
      <c r="B135" s="192"/>
      <c r="C135" s="133"/>
      <c r="D135" s="133"/>
      <c r="E135" s="130"/>
      <c r="F135" s="130"/>
      <c r="G135" s="130"/>
      <c r="H135" s="131"/>
      <c r="I135" s="130"/>
      <c r="J135" s="136"/>
      <c r="K135" s="164"/>
      <c r="L135" s="126"/>
      <c r="M135" s="126"/>
      <c r="O135">
        <f t="shared" si="0"/>
        <v>0</v>
      </c>
    </row>
    <row r="136" spans="1:18" x14ac:dyDescent="0.25">
      <c r="A136" s="142"/>
      <c r="B136" s="192"/>
      <c r="C136" s="133"/>
      <c r="D136" s="133"/>
      <c r="E136" s="130"/>
      <c r="F136" s="130"/>
      <c r="G136" s="130"/>
      <c r="H136" s="131"/>
      <c r="I136" s="133"/>
      <c r="J136" s="136"/>
      <c r="K136" s="164"/>
      <c r="L136" s="126"/>
      <c r="M136" s="126"/>
      <c r="O136">
        <f t="shared" si="0"/>
        <v>0</v>
      </c>
    </row>
    <row r="137" spans="1:18" x14ac:dyDescent="0.25">
      <c r="A137" s="142"/>
      <c r="B137" s="192"/>
      <c r="C137" s="133"/>
      <c r="D137" s="133"/>
      <c r="E137" s="130"/>
      <c r="F137" s="130"/>
      <c r="G137" s="130"/>
      <c r="H137" s="131"/>
      <c r="I137" s="133"/>
      <c r="J137" s="136"/>
      <c r="K137" s="164"/>
      <c r="L137" s="126"/>
      <c r="M137" s="126"/>
      <c r="O137">
        <f t="shared" si="0"/>
        <v>0</v>
      </c>
    </row>
    <row r="138" spans="1:18" x14ac:dyDescent="0.25">
      <c r="A138" s="142"/>
      <c r="B138" s="192"/>
      <c r="C138" s="133"/>
      <c r="D138" s="133"/>
      <c r="E138" s="130"/>
      <c r="F138" s="130"/>
      <c r="G138" s="130"/>
      <c r="H138" s="131"/>
      <c r="I138" s="130"/>
      <c r="J138" s="136"/>
      <c r="K138" s="164"/>
      <c r="L138" s="126"/>
      <c r="M138" s="126"/>
      <c r="O138">
        <f t="shared" si="0"/>
        <v>0</v>
      </c>
    </row>
    <row r="139" spans="1:18" x14ac:dyDescent="0.25">
      <c r="A139" s="142"/>
      <c r="B139" s="192"/>
      <c r="C139" s="133"/>
      <c r="D139" s="133"/>
      <c r="E139" s="130"/>
      <c r="F139" s="130"/>
      <c r="G139" s="130"/>
      <c r="H139" s="131"/>
      <c r="I139" s="133"/>
      <c r="J139" s="136"/>
      <c r="K139" s="164"/>
      <c r="L139" s="126"/>
      <c r="M139" s="126"/>
      <c r="O139">
        <f t="shared" si="0"/>
        <v>0</v>
      </c>
    </row>
    <row r="140" spans="1:18" x14ac:dyDescent="0.25">
      <c r="A140" s="142"/>
      <c r="B140" s="192"/>
      <c r="C140" s="133"/>
      <c r="D140" s="133"/>
      <c r="E140" s="130"/>
      <c r="F140" s="130"/>
      <c r="G140" s="130"/>
      <c r="H140" s="131"/>
      <c r="I140" s="130"/>
      <c r="J140" s="136"/>
      <c r="K140" s="164"/>
      <c r="L140" s="126"/>
      <c r="M140" s="126"/>
      <c r="O140">
        <f t="shared" si="0"/>
        <v>0</v>
      </c>
    </row>
    <row r="141" spans="1:18" x14ac:dyDescent="0.25">
      <c r="A141" s="142"/>
      <c r="B141" s="192"/>
      <c r="C141" s="133"/>
      <c r="D141" s="133"/>
      <c r="E141" s="130"/>
      <c r="F141" s="130"/>
      <c r="G141" s="130"/>
      <c r="H141" s="131"/>
      <c r="I141" s="133"/>
      <c r="J141" s="136"/>
      <c r="K141" s="164"/>
      <c r="L141" s="126"/>
      <c r="M141" s="126"/>
      <c r="O141">
        <f t="shared" si="0"/>
        <v>0</v>
      </c>
      <c r="R141" s="57">
        <f>SUM(J125:J128,J131:J134,J141,J110,J89,J82:J83)</f>
        <v>6600</v>
      </c>
    </row>
    <row r="142" spans="1:18" x14ac:dyDescent="0.25">
      <c r="A142" s="142"/>
      <c r="B142" s="192"/>
      <c r="C142" s="133"/>
      <c r="D142" s="133"/>
      <c r="E142" s="130"/>
      <c r="F142" s="130"/>
      <c r="G142" s="130"/>
      <c r="H142" s="131"/>
      <c r="I142" s="133"/>
      <c r="J142" s="136"/>
      <c r="K142" s="164"/>
      <c r="L142" s="126"/>
      <c r="M142" s="126"/>
      <c r="O142">
        <f t="shared" si="0"/>
        <v>0</v>
      </c>
      <c r="R142" s="57">
        <f>SUM(J142:J145)</f>
        <v>0</v>
      </c>
    </row>
    <row r="143" spans="1:18" x14ac:dyDescent="0.25">
      <c r="A143" s="142"/>
      <c r="B143" s="192"/>
      <c r="C143" s="133"/>
      <c r="D143" s="133"/>
      <c r="E143" s="130"/>
      <c r="F143" s="130"/>
      <c r="G143" s="130"/>
      <c r="H143" s="131"/>
      <c r="I143" s="130"/>
      <c r="J143" s="136"/>
      <c r="K143" s="164"/>
      <c r="L143" s="126"/>
      <c r="M143" s="126"/>
      <c r="O143">
        <f t="shared" si="0"/>
        <v>0</v>
      </c>
    </row>
    <row r="144" spans="1:18" x14ac:dyDescent="0.25">
      <c r="A144" s="142"/>
      <c r="B144" s="192"/>
      <c r="C144" s="133"/>
      <c r="D144" s="133"/>
      <c r="E144" s="130"/>
      <c r="F144" s="130"/>
      <c r="G144" s="130"/>
      <c r="H144" s="131"/>
      <c r="I144" s="133"/>
      <c r="J144" s="136"/>
      <c r="K144" s="164"/>
      <c r="L144" s="126"/>
      <c r="M144" s="126"/>
      <c r="O144">
        <f t="shared" si="0"/>
        <v>0</v>
      </c>
    </row>
    <row r="145" spans="1:15" x14ac:dyDescent="0.25">
      <c r="A145" s="142"/>
      <c r="B145" s="192"/>
      <c r="C145" s="133"/>
      <c r="D145" s="133"/>
      <c r="E145" s="130"/>
      <c r="F145" s="130"/>
      <c r="G145" s="130"/>
      <c r="H145" s="131"/>
      <c r="I145" s="130"/>
      <c r="J145" s="136"/>
      <c r="K145" s="164"/>
      <c r="L145" s="126"/>
      <c r="M145" s="126"/>
      <c r="O145">
        <f t="shared" si="0"/>
        <v>0</v>
      </c>
    </row>
    <row r="146" spans="1:15" x14ac:dyDescent="0.25">
      <c r="A146" s="142"/>
      <c r="B146" s="192"/>
      <c r="C146" s="133"/>
      <c r="D146" s="133"/>
      <c r="E146" s="130"/>
      <c r="F146" s="130"/>
      <c r="G146" s="130"/>
      <c r="H146" s="131"/>
      <c r="I146" s="133"/>
      <c r="J146" s="136"/>
      <c r="K146" s="164"/>
      <c r="L146" s="126"/>
      <c r="M146" s="126"/>
      <c r="O146">
        <f t="shared" si="0"/>
        <v>0</v>
      </c>
    </row>
    <row r="147" spans="1:15" x14ac:dyDescent="0.25">
      <c r="A147" s="142"/>
      <c r="B147" s="192"/>
      <c r="C147" s="133"/>
      <c r="D147" s="133"/>
      <c r="E147" s="130"/>
      <c r="F147" s="130"/>
      <c r="G147" s="130"/>
      <c r="H147" s="131"/>
      <c r="I147" s="133"/>
      <c r="J147" s="136"/>
      <c r="K147" s="164"/>
      <c r="L147" s="126"/>
      <c r="M147" s="126"/>
      <c r="O147">
        <f t="shared" si="0"/>
        <v>0</v>
      </c>
    </row>
    <row r="148" spans="1:15" x14ac:dyDescent="0.25">
      <c r="A148" s="142"/>
      <c r="B148" s="192"/>
      <c r="C148" s="133"/>
      <c r="D148" s="133"/>
      <c r="E148" s="130"/>
      <c r="F148" s="130"/>
      <c r="G148" s="130"/>
      <c r="H148" s="131"/>
      <c r="I148" s="130"/>
      <c r="J148" s="136"/>
      <c r="K148" s="164"/>
      <c r="L148" s="126"/>
      <c r="M148" s="126"/>
      <c r="O148">
        <f t="shared" si="0"/>
        <v>0</v>
      </c>
    </row>
    <row r="149" spans="1:15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5" x14ac:dyDescent="0.25">
      <c r="A150" s="142"/>
      <c r="B150" s="192"/>
      <c r="C150" s="133"/>
      <c r="D150" s="133"/>
      <c r="E150" s="130"/>
      <c r="F150" s="130"/>
      <c r="G150" s="130"/>
      <c r="H150" s="131"/>
      <c r="I150" s="130"/>
      <c r="J150" s="136"/>
      <c r="K150" s="164"/>
      <c r="L150" s="126"/>
      <c r="M150" s="126"/>
    </row>
    <row r="151" spans="1:15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</row>
    <row r="152" spans="1:15" x14ac:dyDescent="0.25">
      <c r="A152" s="142"/>
      <c r="B152" s="192"/>
      <c r="C152" s="133"/>
      <c r="D152" s="133"/>
      <c r="E152" s="130"/>
      <c r="F152" s="130"/>
      <c r="G152" s="130"/>
      <c r="H152" s="131"/>
      <c r="I152" s="130"/>
      <c r="J152" s="136"/>
      <c r="K152" s="164"/>
      <c r="L152" s="126"/>
      <c r="M152" s="126"/>
    </row>
    <row r="153" spans="1:15" x14ac:dyDescent="0.25">
      <c r="A153" s="142"/>
      <c r="B153" s="192"/>
      <c r="C153" s="133"/>
      <c r="D153" s="133"/>
      <c r="E153" s="130"/>
      <c r="F153" s="130"/>
      <c r="G153" s="130"/>
      <c r="H153" s="131"/>
      <c r="I153" s="130"/>
      <c r="J153" s="136"/>
      <c r="K153" s="164"/>
      <c r="L153" s="126"/>
      <c r="M153" s="126"/>
    </row>
    <row r="154" spans="1:15" x14ac:dyDescent="0.25">
      <c r="A154" s="142"/>
      <c r="B154" s="192"/>
      <c r="C154" s="133"/>
      <c r="D154" s="133"/>
      <c r="E154" s="130"/>
      <c r="F154" s="130"/>
      <c r="G154" s="130"/>
      <c r="H154" s="131"/>
      <c r="I154" s="133"/>
      <c r="J154" s="136"/>
      <c r="K154" s="164"/>
      <c r="L154" s="126"/>
      <c r="M154" s="126"/>
    </row>
    <row r="155" spans="1:15" x14ac:dyDescent="0.25">
      <c r="A155" s="142"/>
      <c r="B155" s="192"/>
      <c r="C155" s="133"/>
      <c r="D155" s="133"/>
      <c r="E155" s="130"/>
      <c r="F155" s="130"/>
      <c r="G155" s="130"/>
      <c r="H155" s="131"/>
      <c r="I155" s="130"/>
      <c r="J155" s="136"/>
      <c r="K155" s="164"/>
      <c r="L155" s="126"/>
      <c r="M155" s="126"/>
    </row>
    <row r="156" spans="1:15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</row>
    <row r="157" spans="1:15" x14ac:dyDescent="0.25">
      <c r="A157" s="142"/>
      <c r="B157" s="192"/>
      <c r="C157" s="133"/>
      <c r="D157" s="133"/>
      <c r="E157" s="130"/>
      <c r="F157" s="130"/>
      <c r="G157" s="130"/>
      <c r="H157" s="131"/>
      <c r="I157" s="133"/>
      <c r="J157" s="136"/>
      <c r="K157" s="164"/>
      <c r="L157" s="126"/>
      <c r="M157" s="126"/>
    </row>
    <row r="158" spans="1:15" x14ac:dyDescent="0.25">
      <c r="A158" s="142"/>
      <c r="B158" s="192"/>
      <c r="C158" s="133"/>
      <c r="D158" s="133"/>
      <c r="E158" s="130"/>
      <c r="F158" s="130"/>
      <c r="G158" s="130"/>
      <c r="H158" s="131"/>
      <c r="I158" s="130"/>
      <c r="J158" s="136"/>
      <c r="K158" s="164"/>
      <c r="L158" s="126"/>
      <c r="M158" s="126"/>
    </row>
    <row r="159" spans="1:15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5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</row>
    <row r="161" spans="1:18" x14ac:dyDescent="0.25">
      <c r="A161" s="125"/>
      <c r="B161" s="193"/>
      <c r="C161" s="77"/>
      <c r="D161" s="77"/>
      <c r="E161" s="126"/>
      <c r="F161" s="126"/>
      <c r="G161" s="126"/>
      <c r="H161" s="127"/>
      <c r="I161" s="126"/>
      <c r="J161" s="134"/>
      <c r="K161" s="135"/>
      <c r="L161" s="126"/>
      <c r="M161" s="126"/>
      <c r="O161">
        <f>SUM(O12:O144)</f>
        <v>21970</v>
      </c>
    </row>
    <row r="162" spans="1:18" x14ac:dyDescent="0.25">
      <c r="A162" s="169"/>
      <c r="B162" s="190"/>
      <c r="J162" s="25"/>
      <c r="K162" s="88"/>
    </row>
    <row r="164" spans="1:18" x14ac:dyDescent="0.25">
      <c r="K164" s="90"/>
      <c r="L164" s="26"/>
    </row>
    <row r="165" spans="1:18" ht="16.5" customHeight="1" x14ac:dyDescent="0.25">
      <c r="C165" t="s">
        <v>20</v>
      </c>
      <c r="G165" t="s">
        <v>21</v>
      </c>
      <c r="K165" s="79" t="s">
        <v>103</v>
      </c>
      <c r="L165" s="94"/>
      <c r="R165" s="25"/>
    </row>
    <row r="166" spans="1:18" x14ac:dyDescent="0.25">
      <c r="K166" s="79" t="s">
        <v>104</v>
      </c>
      <c r="L166" s="94"/>
      <c r="M166" s="57"/>
    </row>
    <row r="167" spans="1:18" x14ac:dyDescent="0.25">
      <c r="K167" s="79" t="s">
        <v>119</v>
      </c>
      <c r="L167" s="95"/>
    </row>
    <row r="168" spans="1:18" x14ac:dyDescent="0.25">
      <c r="C168" s="91" t="s">
        <v>173</v>
      </c>
      <c r="D168" s="91"/>
      <c r="G168" s="391" t="s">
        <v>125</v>
      </c>
      <c r="H168" s="391"/>
      <c r="I168" s="391"/>
      <c r="J168" s="391"/>
      <c r="K168" s="79" t="s">
        <v>160</v>
      </c>
      <c r="L168" s="95"/>
    </row>
    <row r="169" spans="1:18" x14ac:dyDescent="0.25">
      <c r="C169" t="s">
        <v>153</v>
      </c>
      <c r="G169" s="392" t="s">
        <v>126</v>
      </c>
      <c r="H169" s="392"/>
      <c r="I169" s="392"/>
      <c r="J169" s="392"/>
      <c r="K169" s="79" t="s">
        <v>105</v>
      </c>
      <c r="L169" s="94"/>
    </row>
    <row r="170" spans="1:18" x14ac:dyDescent="0.25">
      <c r="K170" s="79" t="s">
        <v>106</v>
      </c>
      <c r="L170" s="95"/>
    </row>
    <row r="171" spans="1:18" x14ac:dyDescent="0.25">
      <c r="K171" s="79" t="s">
        <v>108</v>
      </c>
      <c r="L171" s="170"/>
    </row>
    <row r="172" spans="1:18" x14ac:dyDescent="0.25">
      <c r="K172" s="79" t="s">
        <v>22</v>
      </c>
      <c r="L172" s="95"/>
    </row>
    <row r="173" spans="1:18" x14ac:dyDescent="0.25">
      <c r="C173" s="27"/>
      <c r="D173" s="27"/>
      <c r="G173" s="27"/>
      <c r="H173" s="27"/>
      <c r="I173" s="27"/>
      <c r="K173" s="92" t="s">
        <v>101</v>
      </c>
      <c r="L173" s="58"/>
    </row>
    <row r="174" spans="1:18" x14ac:dyDescent="0.25">
      <c r="K174" s="92" t="s">
        <v>102</v>
      </c>
      <c r="L174" s="26"/>
    </row>
    <row r="175" spans="1:18" x14ac:dyDescent="0.25">
      <c r="K175" s="79"/>
      <c r="L175" s="26"/>
    </row>
    <row r="176" spans="1:18" x14ac:dyDescent="0.25">
      <c r="K176" s="79"/>
      <c r="L176" s="58"/>
    </row>
    <row r="177" spans="11:12" x14ac:dyDescent="0.25">
      <c r="K177" s="79"/>
      <c r="L177" s="58"/>
    </row>
    <row r="197" spans="14:14" x14ac:dyDescent="0.25">
      <c r="N197" s="25"/>
    </row>
    <row r="220" spans="14:14" x14ac:dyDescent="0.25">
      <c r="N220" s="25"/>
    </row>
    <row r="347" spans="14:14" x14ac:dyDescent="0.25">
      <c r="N347" s="25"/>
    </row>
  </sheetData>
  <mergeCells count="8">
    <mergeCell ref="G168:J168"/>
    <mergeCell ref="G169:J169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8A5E-D349-4922-A9BE-8C4C699736D3}">
  <sheetPr>
    <tabColor theme="5"/>
  </sheetPr>
  <dimension ref="A1:O41"/>
  <sheetViews>
    <sheetView view="pageBreakPreview" topLeftCell="A17" zoomScale="96" zoomScaleNormal="100" zoomScaleSheetLayoutView="96" workbookViewId="0">
      <selection activeCell="J19" sqref="J19:L2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1113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4</v>
      </c>
      <c r="B12" s="194" t="s">
        <v>1194</v>
      </c>
      <c r="C12" s="177"/>
      <c r="D12" s="176"/>
      <c r="E12" s="194" t="s">
        <v>70</v>
      </c>
      <c r="F12" s="179" t="s">
        <v>1285</v>
      </c>
      <c r="G12" s="176" t="s">
        <v>1195</v>
      </c>
      <c r="H12" s="191" t="s">
        <v>40</v>
      </c>
      <c r="I12" s="244" t="s">
        <v>1196</v>
      </c>
      <c r="J12" s="123" t="s">
        <v>123</v>
      </c>
      <c r="K12" s="77" t="s">
        <v>1311</v>
      </c>
      <c r="L12" s="117" t="s">
        <v>41</v>
      </c>
    </row>
    <row r="13" spans="1:15" ht="33.75" customHeight="1" x14ac:dyDescent="0.25">
      <c r="A13" s="172">
        <v>8</v>
      </c>
      <c r="B13" s="194" t="s">
        <v>1283</v>
      </c>
      <c r="C13" s="177"/>
      <c r="D13" s="176" t="s">
        <v>646</v>
      </c>
      <c r="E13" s="176" t="s">
        <v>750</v>
      </c>
      <c r="F13" s="179" t="s">
        <v>1286</v>
      </c>
      <c r="G13" s="179" t="s">
        <v>1284</v>
      </c>
      <c r="H13" s="191" t="s">
        <v>40</v>
      </c>
      <c r="I13" s="198">
        <v>80000</v>
      </c>
      <c r="J13" s="123" t="s">
        <v>123</v>
      </c>
      <c r="K13" s="77" t="s">
        <v>1310</v>
      </c>
      <c r="L13" s="117" t="s">
        <v>41</v>
      </c>
      <c r="M13" s="105"/>
    </row>
    <row r="14" spans="1:15" ht="33.75" customHeight="1" x14ac:dyDescent="0.25">
      <c r="A14" s="239">
        <v>10</v>
      </c>
      <c r="B14" s="187" t="s">
        <v>885</v>
      </c>
      <c r="C14" s="182"/>
      <c r="D14" s="176" t="s">
        <v>646</v>
      </c>
      <c r="E14" s="176" t="s">
        <v>750</v>
      </c>
      <c r="F14" s="179" t="s">
        <v>886</v>
      </c>
      <c r="G14" s="185" t="s">
        <v>887</v>
      </c>
      <c r="H14" s="245" t="s">
        <v>1287</v>
      </c>
      <c r="I14" s="186">
        <v>5000</v>
      </c>
      <c r="J14" s="123" t="s">
        <v>123</v>
      </c>
      <c r="K14" s="77"/>
      <c r="L14" s="117" t="s">
        <v>41</v>
      </c>
      <c r="M14" s="105"/>
      <c r="O14" s="57"/>
    </row>
    <row r="15" spans="1:15" ht="32.25" customHeight="1" x14ac:dyDescent="0.25">
      <c r="A15" s="173">
        <v>16</v>
      </c>
      <c r="B15" s="194" t="s">
        <v>1283</v>
      </c>
      <c r="C15" s="177"/>
      <c r="D15" s="176" t="s">
        <v>646</v>
      </c>
      <c r="E15" s="176" t="s">
        <v>750</v>
      </c>
      <c r="F15" s="179" t="s">
        <v>1308</v>
      </c>
      <c r="G15" s="185" t="s">
        <v>1309</v>
      </c>
      <c r="H15" s="133" t="s">
        <v>40</v>
      </c>
      <c r="I15" s="186">
        <v>20000</v>
      </c>
      <c r="J15" s="123" t="s">
        <v>123</v>
      </c>
      <c r="K15" s="77" t="s">
        <v>1310</v>
      </c>
      <c r="L15" s="117" t="s">
        <v>41</v>
      </c>
      <c r="O15" s="57"/>
    </row>
    <row r="16" spans="1:15" ht="26.25" customHeight="1" x14ac:dyDescent="0.25">
      <c r="A16" s="173">
        <v>16</v>
      </c>
      <c r="B16" s="187" t="s">
        <v>1043</v>
      </c>
      <c r="C16" s="182"/>
      <c r="D16" s="185" t="s">
        <v>150</v>
      </c>
      <c r="E16" s="187" t="s">
        <v>48</v>
      </c>
      <c r="F16" s="179" t="s">
        <v>502</v>
      </c>
      <c r="G16" s="185" t="s">
        <v>503</v>
      </c>
      <c r="H16" s="245" t="s">
        <v>1287</v>
      </c>
      <c r="I16" s="186">
        <v>15000</v>
      </c>
      <c r="J16" s="123" t="s">
        <v>123</v>
      </c>
      <c r="K16" s="77"/>
      <c r="L16" s="117" t="s">
        <v>41</v>
      </c>
      <c r="O16" s="57"/>
    </row>
    <row r="17" spans="1:15" ht="23.25" customHeight="1" x14ac:dyDescent="0.25">
      <c r="A17" s="173">
        <v>22</v>
      </c>
      <c r="B17" s="194" t="s">
        <v>1283</v>
      </c>
      <c r="C17" s="177"/>
      <c r="D17" s="176" t="s">
        <v>646</v>
      </c>
      <c r="E17" s="176" t="s">
        <v>750</v>
      </c>
      <c r="F17" s="179" t="s">
        <v>1355</v>
      </c>
      <c r="G17" s="185" t="s">
        <v>1356</v>
      </c>
      <c r="H17" s="255" t="s">
        <v>1357</v>
      </c>
      <c r="I17" s="186">
        <v>50000</v>
      </c>
      <c r="J17" s="123" t="s">
        <v>123</v>
      </c>
      <c r="K17" s="77" t="s">
        <v>1310</v>
      </c>
      <c r="L17" s="117" t="s">
        <v>41</v>
      </c>
      <c r="O17" s="57"/>
    </row>
    <row r="18" spans="1:15" ht="27" customHeight="1" x14ac:dyDescent="0.25">
      <c r="A18" s="239">
        <v>25</v>
      </c>
      <c r="B18" s="187" t="s">
        <v>1378</v>
      </c>
      <c r="C18" s="182"/>
      <c r="D18" s="183" t="s">
        <v>355</v>
      </c>
      <c r="E18" s="187" t="s">
        <v>57</v>
      </c>
      <c r="F18" s="179"/>
      <c r="G18" s="185" t="s">
        <v>1379</v>
      </c>
      <c r="H18" s="187" t="s">
        <v>40</v>
      </c>
      <c r="I18" s="186">
        <v>6000</v>
      </c>
      <c r="J18" s="123" t="s">
        <v>123</v>
      </c>
      <c r="K18" s="257" t="s">
        <v>1380</v>
      </c>
      <c r="L18" s="117" t="s">
        <v>41</v>
      </c>
      <c r="O18" s="57"/>
    </row>
    <row r="19" spans="1:15" ht="24" customHeight="1" x14ac:dyDescent="0.25">
      <c r="A19" s="173"/>
      <c r="B19" s="181"/>
      <c r="C19" s="182"/>
      <c r="D19" s="185"/>
      <c r="E19" s="185"/>
      <c r="F19" s="179"/>
      <c r="G19" s="185"/>
      <c r="H19" s="187"/>
      <c r="I19" s="198"/>
      <c r="J19" s="123"/>
      <c r="K19" s="77"/>
      <c r="L19" s="117"/>
      <c r="O19" s="57"/>
    </row>
    <row r="20" spans="1:15" ht="35.25" customHeight="1" x14ac:dyDescent="0.25">
      <c r="A20" s="173"/>
      <c r="B20" s="187"/>
      <c r="C20" s="182"/>
      <c r="D20" s="185"/>
      <c r="E20" s="185"/>
      <c r="F20" s="179"/>
      <c r="G20" s="185"/>
      <c r="H20" s="187"/>
      <c r="I20" s="198"/>
      <c r="J20" s="123"/>
      <c r="K20" s="77"/>
      <c r="L20" s="117"/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1288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40</v>
      </c>
      <c r="L32" s="205">
        <v>90350</v>
      </c>
    </row>
    <row r="33" spans="2:12" x14ac:dyDescent="0.25">
      <c r="I33" s="26" t="s">
        <v>121</v>
      </c>
      <c r="J33" s="95"/>
      <c r="K33" s="195" t="s">
        <v>1289</v>
      </c>
      <c r="L33" s="206">
        <v>5000</v>
      </c>
    </row>
    <row r="34" spans="2:12" x14ac:dyDescent="0.25">
      <c r="I34" s="26" t="s">
        <v>147</v>
      </c>
      <c r="J34" s="95"/>
      <c r="K34" s="202" t="s">
        <v>1382</v>
      </c>
      <c r="L34" s="205"/>
    </row>
    <row r="35" spans="2:12" x14ac:dyDescent="0.25">
      <c r="I35" s="26" t="s">
        <v>105</v>
      </c>
      <c r="J35" s="95"/>
      <c r="K35" s="202" t="s">
        <v>40</v>
      </c>
      <c r="L35" s="206">
        <f>SUM(I15,I18)</f>
        <v>26000</v>
      </c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195" t="s">
        <v>1289</v>
      </c>
      <c r="L36" s="205">
        <v>15000</v>
      </c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204" t="s">
        <v>1383</v>
      </c>
      <c r="L37" s="207">
        <v>50000</v>
      </c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204"/>
      <c r="L38" s="207"/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176000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E125-FF76-4259-B427-724C53782D1B}">
  <sheetPr>
    <tabColor theme="5"/>
  </sheetPr>
  <dimension ref="A1:U348"/>
  <sheetViews>
    <sheetView view="pageBreakPreview" topLeftCell="A113" zoomScale="106" zoomScaleNormal="100" zoomScaleSheetLayoutView="106" workbookViewId="0">
      <selection activeCell="L123" sqref="L123:M159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1113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>
        <v>86</v>
      </c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>
        <v>16</v>
      </c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1257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1282</v>
      </c>
      <c r="S10" s="25">
        <f>SUM(J12:J13,J15:J37,J39:J77)</f>
        <v>143770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849</v>
      </c>
      <c r="S11" s="25">
        <v>350</v>
      </c>
    </row>
    <row r="12" spans="1:19" x14ac:dyDescent="0.25">
      <c r="A12" s="128">
        <v>2</v>
      </c>
      <c r="B12" s="191" t="s">
        <v>1114</v>
      </c>
      <c r="C12" s="130" t="s">
        <v>1115</v>
      </c>
      <c r="D12" s="130"/>
      <c r="E12" s="130" t="s">
        <v>127</v>
      </c>
      <c r="F12" s="130"/>
      <c r="G12" s="130" t="s">
        <v>49</v>
      </c>
      <c r="H12" s="131" t="s">
        <v>1116</v>
      </c>
      <c r="I12" s="133" t="s">
        <v>40</v>
      </c>
      <c r="J12" s="132">
        <v>3000</v>
      </c>
      <c r="K12" s="129">
        <v>600</v>
      </c>
      <c r="L12" s="126" t="s">
        <v>120</v>
      </c>
      <c r="M12" s="126" t="s">
        <v>41</v>
      </c>
      <c r="O12">
        <f>J12/5</f>
        <v>600</v>
      </c>
      <c r="Q12" s="25"/>
      <c r="R12" s="230" t="s">
        <v>378</v>
      </c>
      <c r="S12" s="25">
        <v>1000</v>
      </c>
    </row>
    <row r="13" spans="1:19" x14ac:dyDescent="0.25">
      <c r="A13" s="128">
        <v>2</v>
      </c>
      <c r="B13" s="191" t="s">
        <v>416</v>
      </c>
      <c r="C13" s="130" t="s">
        <v>1117</v>
      </c>
      <c r="D13" s="130"/>
      <c r="E13" s="130" t="s">
        <v>127</v>
      </c>
      <c r="F13" s="130" t="s">
        <v>1118</v>
      </c>
      <c r="G13" s="130" t="s">
        <v>43</v>
      </c>
      <c r="H13" s="131" t="s">
        <v>1119</v>
      </c>
      <c r="I13" s="130" t="s">
        <v>40</v>
      </c>
      <c r="J13" s="132">
        <v>2500</v>
      </c>
      <c r="K13" s="129">
        <v>500</v>
      </c>
      <c r="L13" s="126" t="s">
        <v>120</v>
      </c>
      <c r="M13" s="126" t="s">
        <v>41</v>
      </c>
      <c r="O13">
        <f>J13/5</f>
        <v>500</v>
      </c>
      <c r="Q13" s="25"/>
      <c r="R13" s="229" t="s">
        <v>1381</v>
      </c>
      <c r="S13" s="25"/>
    </row>
    <row r="14" spans="1:19" x14ac:dyDescent="0.25">
      <c r="A14" s="128">
        <v>2</v>
      </c>
      <c r="B14" s="191" t="s">
        <v>1120</v>
      </c>
      <c r="C14" s="130" t="s">
        <v>1121</v>
      </c>
      <c r="D14" s="130"/>
      <c r="E14" s="130" t="s">
        <v>127</v>
      </c>
      <c r="F14" s="130" t="s">
        <v>1122</v>
      </c>
      <c r="G14" s="130" t="s">
        <v>58</v>
      </c>
      <c r="H14" s="131" t="s">
        <v>1123</v>
      </c>
      <c r="I14" s="242" t="s">
        <v>849</v>
      </c>
      <c r="J14" s="132">
        <v>350</v>
      </c>
      <c r="K14" s="129">
        <v>350</v>
      </c>
      <c r="L14" s="126" t="s">
        <v>120</v>
      </c>
      <c r="M14" s="126" t="s">
        <v>41</v>
      </c>
      <c r="O14">
        <f t="shared" ref="O14:O150" si="0">J14/5</f>
        <v>70</v>
      </c>
      <c r="Q14" s="25"/>
      <c r="R14" s="230" t="s">
        <v>119</v>
      </c>
      <c r="S14" s="57">
        <f>SUM(J78:J81,J83:J90,J92:J96,J98:J99,J101:J106,J108:J109,J112,J113)</f>
        <v>72200</v>
      </c>
    </row>
    <row r="15" spans="1:19" x14ac:dyDescent="0.25">
      <c r="A15" s="128">
        <v>2</v>
      </c>
      <c r="B15" s="191" t="s">
        <v>1124</v>
      </c>
      <c r="C15" s="130" t="s">
        <v>634</v>
      </c>
      <c r="D15" s="130"/>
      <c r="E15" s="130" t="s">
        <v>127</v>
      </c>
      <c r="F15" s="130" t="s">
        <v>457</v>
      </c>
      <c r="G15" s="130" t="s">
        <v>42</v>
      </c>
      <c r="H15" s="131" t="s">
        <v>1125</v>
      </c>
      <c r="I15" s="130" t="s">
        <v>40</v>
      </c>
      <c r="J15" s="132">
        <v>2000</v>
      </c>
      <c r="K15" s="129">
        <v>400</v>
      </c>
      <c r="L15" s="126" t="s">
        <v>120</v>
      </c>
      <c r="M15" s="126" t="s">
        <v>41</v>
      </c>
      <c r="O15">
        <f t="shared" si="0"/>
        <v>400</v>
      </c>
      <c r="Q15" s="25"/>
      <c r="R15" s="230" t="s">
        <v>849</v>
      </c>
      <c r="S15" s="57">
        <f>SUM(J82,J91,J97,J100,J107,J110)</f>
        <v>11500</v>
      </c>
    </row>
    <row r="16" spans="1:19" x14ac:dyDescent="0.25">
      <c r="A16" s="128">
        <v>2</v>
      </c>
      <c r="B16" s="191" t="s">
        <v>729</v>
      </c>
      <c r="C16" s="130" t="s">
        <v>1126</v>
      </c>
      <c r="D16" s="130"/>
      <c r="E16" s="168" t="s">
        <v>129</v>
      </c>
      <c r="F16" s="130" t="s">
        <v>649</v>
      </c>
      <c r="G16" s="130" t="s">
        <v>48</v>
      </c>
      <c r="H16" s="131" t="s">
        <v>731</v>
      </c>
      <c r="I16" s="130" t="s">
        <v>40</v>
      </c>
      <c r="J16" s="132">
        <v>500</v>
      </c>
      <c r="K16" s="129">
        <v>100</v>
      </c>
      <c r="L16" s="126" t="s">
        <v>120</v>
      </c>
      <c r="M16" s="126" t="s">
        <v>41</v>
      </c>
      <c r="O16">
        <f t="shared" si="0"/>
        <v>100</v>
      </c>
      <c r="R16" s="230" t="s">
        <v>1357</v>
      </c>
      <c r="S16" s="57">
        <v>2500</v>
      </c>
    </row>
    <row r="17" spans="1:19" x14ac:dyDescent="0.25">
      <c r="A17" s="128">
        <v>2</v>
      </c>
      <c r="B17" s="191" t="s">
        <v>330</v>
      </c>
      <c r="C17" s="130" t="s">
        <v>1127</v>
      </c>
      <c r="D17" s="130"/>
      <c r="E17" s="168" t="s">
        <v>129</v>
      </c>
      <c r="F17" s="130" t="s">
        <v>146</v>
      </c>
      <c r="G17" s="130" t="s">
        <v>57</v>
      </c>
      <c r="H17" s="131" t="s">
        <v>332</v>
      </c>
      <c r="I17" s="133" t="s">
        <v>40</v>
      </c>
      <c r="J17" s="132">
        <v>2000</v>
      </c>
      <c r="K17" s="129" t="s">
        <v>123</v>
      </c>
      <c r="L17" s="126" t="s">
        <v>120</v>
      </c>
      <c r="M17" s="126" t="s">
        <v>41</v>
      </c>
      <c r="O17">
        <f t="shared" si="0"/>
        <v>400</v>
      </c>
      <c r="R17" s="229" t="s">
        <v>1397</v>
      </c>
      <c r="S17" s="57"/>
    </row>
    <row r="18" spans="1:19" x14ac:dyDescent="0.25">
      <c r="A18" s="128">
        <v>2</v>
      </c>
      <c r="B18" s="191" t="s">
        <v>1128</v>
      </c>
      <c r="C18" s="130" t="s">
        <v>1129</v>
      </c>
      <c r="D18" s="130"/>
      <c r="E18" s="168" t="s">
        <v>129</v>
      </c>
      <c r="F18" s="130" t="s">
        <v>146</v>
      </c>
      <c r="G18" s="130" t="s">
        <v>57</v>
      </c>
      <c r="H18" s="131"/>
      <c r="I18" s="133" t="s">
        <v>40</v>
      </c>
      <c r="J18" s="132">
        <v>750</v>
      </c>
      <c r="K18" s="129" t="s">
        <v>123</v>
      </c>
      <c r="L18" s="126" t="s">
        <v>120</v>
      </c>
      <c r="M18" s="126" t="s">
        <v>41</v>
      </c>
      <c r="O18">
        <f t="shared" si="0"/>
        <v>150</v>
      </c>
      <c r="Q18" s="57"/>
      <c r="R18" s="230" t="s">
        <v>119</v>
      </c>
      <c r="S18" s="57">
        <f>SUM(J115:J119,J121)</f>
        <v>9650</v>
      </c>
    </row>
    <row r="19" spans="1:19" x14ac:dyDescent="0.25">
      <c r="A19" s="128">
        <v>2</v>
      </c>
      <c r="B19" s="191" t="s">
        <v>1130</v>
      </c>
      <c r="C19" s="130" t="s">
        <v>1131</v>
      </c>
      <c r="D19" s="130"/>
      <c r="E19" s="168" t="s">
        <v>129</v>
      </c>
      <c r="F19" s="130" t="s">
        <v>146</v>
      </c>
      <c r="G19" s="130" t="s">
        <v>57</v>
      </c>
      <c r="H19" s="131" t="s">
        <v>1132</v>
      </c>
      <c r="I19" s="133" t="s">
        <v>40</v>
      </c>
      <c r="J19" s="132">
        <v>1000</v>
      </c>
      <c r="K19" s="129" t="s">
        <v>123</v>
      </c>
      <c r="L19" s="126" t="s">
        <v>120</v>
      </c>
      <c r="M19" s="126" t="s">
        <v>41</v>
      </c>
      <c r="O19">
        <f t="shared" si="0"/>
        <v>200</v>
      </c>
      <c r="R19" s="230" t="s">
        <v>1357</v>
      </c>
      <c r="S19" s="25">
        <v>1000</v>
      </c>
    </row>
    <row r="20" spans="1:19" x14ac:dyDescent="0.25">
      <c r="A20" s="128">
        <v>2</v>
      </c>
      <c r="B20" s="191" t="s">
        <v>1133</v>
      </c>
      <c r="C20" s="130" t="s">
        <v>1134</v>
      </c>
      <c r="D20" s="130"/>
      <c r="E20" s="130" t="s">
        <v>127</v>
      </c>
      <c r="F20" s="130" t="s">
        <v>555</v>
      </c>
      <c r="G20" s="130" t="s">
        <v>57</v>
      </c>
      <c r="H20" s="131" t="s">
        <v>1135</v>
      </c>
      <c r="I20" s="133" t="s">
        <v>40</v>
      </c>
      <c r="J20" s="132">
        <v>1780</v>
      </c>
      <c r="K20" s="129" t="s">
        <v>123</v>
      </c>
      <c r="L20" s="126" t="s">
        <v>120</v>
      </c>
      <c r="M20" s="126" t="s">
        <v>41</v>
      </c>
      <c r="O20">
        <f t="shared" si="0"/>
        <v>356</v>
      </c>
      <c r="Q20" s="25"/>
      <c r="R20" s="171"/>
      <c r="S20" s="57"/>
    </row>
    <row r="21" spans="1:19" x14ac:dyDescent="0.25">
      <c r="A21" s="128">
        <v>2</v>
      </c>
      <c r="B21" s="191" t="s">
        <v>1136</v>
      </c>
      <c r="C21" s="130" t="s">
        <v>1137</v>
      </c>
      <c r="D21" s="130"/>
      <c r="E21" s="130" t="s">
        <v>127</v>
      </c>
      <c r="F21" s="130" t="s">
        <v>555</v>
      </c>
      <c r="G21" s="130" t="s">
        <v>57</v>
      </c>
      <c r="H21" s="131" t="s">
        <v>1138</v>
      </c>
      <c r="I21" s="130" t="s">
        <v>40</v>
      </c>
      <c r="J21" s="132">
        <v>1320</v>
      </c>
      <c r="K21" s="129" t="s">
        <v>123</v>
      </c>
      <c r="L21" s="126" t="s">
        <v>120</v>
      </c>
      <c r="M21" s="126" t="s">
        <v>41</v>
      </c>
      <c r="O21">
        <f t="shared" si="0"/>
        <v>264</v>
      </c>
      <c r="R21" s="171"/>
      <c r="S21" s="57"/>
    </row>
    <row r="22" spans="1:19" x14ac:dyDescent="0.25">
      <c r="A22" s="128">
        <v>2</v>
      </c>
      <c r="B22" s="191" t="s">
        <v>1139</v>
      </c>
      <c r="C22" s="130" t="s">
        <v>1140</v>
      </c>
      <c r="D22" s="130"/>
      <c r="E22" s="130" t="s">
        <v>127</v>
      </c>
      <c r="F22" s="130" t="s">
        <v>749</v>
      </c>
      <c r="G22" s="130" t="s">
        <v>42</v>
      </c>
      <c r="H22" s="131" t="s">
        <v>1141</v>
      </c>
      <c r="I22" s="133" t="s">
        <v>40</v>
      </c>
      <c r="J22" s="132">
        <v>13000</v>
      </c>
      <c r="K22" s="129">
        <v>2600</v>
      </c>
      <c r="L22" s="126" t="s">
        <v>120</v>
      </c>
      <c r="M22" s="126" t="s">
        <v>41</v>
      </c>
      <c r="O22">
        <f t="shared" si="0"/>
        <v>2600</v>
      </c>
      <c r="R22" s="57"/>
      <c r="S22" s="25"/>
    </row>
    <row r="23" spans="1:19" x14ac:dyDescent="0.25">
      <c r="A23" s="128">
        <v>2</v>
      </c>
      <c r="B23" s="191" t="s">
        <v>1142</v>
      </c>
      <c r="C23" s="130" t="s">
        <v>1143</v>
      </c>
      <c r="D23" s="130"/>
      <c r="E23" s="168" t="s">
        <v>129</v>
      </c>
      <c r="F23" s="130" t="s">
        <v>1144</v>
      </c>
      <c r="G23" s="130" t="s">
        <v>57</v>
      </c>
      <c r="H23" s="131" t="s">
        <v>1145</v>
      </c>
      <c r="I23" s="133" t="s">
        <v>40</v>
      </c>
      <c r="J23" s="132">
        <v>1320</v>
      </c>
      <c r="K23" s="129" t="s">
        <v>123</v>
      </c>
      <c r="L23" s="126" t="s">
        <v>120</v>
      </c>
      <c r="M23" s="126" t="s">
        <v>41</v>
      </c>
      <c r="O23">
        <f t="shared" si="0"/>
        <v>264</v>
      </c>
      <c r="R23" s="241"/>
      <c r="S23" s="25"/>
    </row>
    <row r="24" spans="1:19" x14ac:dyDescent="0.25">
      <c r="A24" s="128">
        <v>2</v>
      </c>
      <c r="B24" s="191" t="s">
        <v>1142</v>
      </c>
      <c r="C24" s="130" t="s">
        <v>1143</v>
      </c>
      <c r="D24" s="130"/>
      <c r="E24" s="168" t="s">
        <v>129</v>
      </c>
      <c r="F24" s="130" t="s">
        <v>1144</v>
      </c>
      <c r="G24" s="130" t="s">
        <v>57</v>
      </c>
      <c r="H24" s="131" t="s">
        <v>1145</v>
      </c>
      <c r="I24" s="133" t="s">
        <v>40</v>
      </c>
      <c r="J24" s="132">
        <v>500</v>
      </c>
      <c r="K24" s="129">
        <v>100</v>
      </c>
      <c r="L24" s="126" t="s">
        <v>120</v>
      </c>
      <c r="M24" s="126" t="s">
        <v>41</v>
      </c>
      <c r="O24">
        <f t="shared" si="0"/>
        <v>100</v>
      </c>
      <c r="R24" s="174"/>
      <c r="S24" s="57"/>
    </row>
    <row r="25" spans="1:19" x14ac:dyDescent="0.25">
      <c r="A25" s="128">
        <v>2</v>
      </c>
      <c r="B25" s="191" t="s">
        <v>1146</v>
      </c>
      <c r="C25" s="130" t="s">
        <v>1147</v>
      </c>
      <c r="D25" s="130"/>
      <c r="E25" s="168" t="s">
        <v>129</v>
      </c>
      <c r="F25" s="130" t="s">
        <v>1148</v>
      </c>
      <c r="G25" s="130" t="s">
        <v>43</v>
      </c>
      <c r="H25" s="131" t="s">
        <v>1149</v>
      </c>
      <c r="I25" s="130" t="s">
        <v>40</v>
      </c>
      <c r="J25" s="132">
        <v>600</v>
      </c>
      <c r="K25" s="129">
        <v>120</v>
      </c>
      <c r="L25" s="126" t="s">
        <v>120</v>
      </c>
      <c r="M25" s="126" t="s">
        <v>41</v>
      </c>
      <c r="O25">
        <f t="shared" si="0"/>
        <v>120</v>
      </c>
      <c r="R25" s="171"/>
      <c r="S25" s="57"/>
    </row>
    <row r="26" spans="1:19" x14ac:dyDescent="0.25">
      <c r="A26" s="128">
        <v>2</v>
      </c>
      <c r="B26" s="191" t="s">
        <v>1150</v>
      </c>
      <c r="C26" s="130" t="s">
        <v>1151</v>
      </c>
      <c r="D26" s="130"/>
      <c r="E26" s="130" t="s">
        <v>127</v>
      </c>
      <c r="F26" s="130" t="s">
        <v>1152</v>
      </c>
      <c r="G26" s="130" t="s">
        <v>49</v>
      </c>
      <c r="H26" s="131" t="s">
        <v>1153</v>
      </c>
      <c r="I26" s="133" t="s">
        <v>40</v>
      </c>
      <c r="J26" s="132">
        <v>2000</v>
      </c>
      <c r="K26" s="129">
        <v>400</v>
      </c>
      <c r="L26" s="126" t="s">
        <v>120</v>
      </c>
      <c r="M26" s="126" t="s">
        <v>41</v>
      </c>
      <c r="O26">
        <f t="shared" si="0"/>
        <v>400</v>
      </c>
      <c r="R26" s="171"/>
      <c r="S26" s="57"/>
    </row>
    <row r="27" spans="1:19" x14ac:dyDescent="0.25">
      <c r="A27" s="128">
        <v>2</v>
      </c>
      <c r="B27" s="191" t="s">
        <v>1154</v>
      </c>
      <c r="C27" s="130" t="s">
        <v>1155</v>
      </c>
      <c r="D27" s="130"/>
      <c r="E27" s="130" t="s">
        <v>127</v>
      </c>
      <c r="F27" s="130" t="s">
        <v>220</v>
      </c>
      <c r="G27" s="130" t="s">
        <v>54</v>
      </c>
      <c r="H27" s="131"/>
      <c r="I27" s="130" t="s">
        <v>40</v>
      </c>
      <c r="J27" s="132">
        <v>1000</v>
      </c>
      <c r="K27" s="129">
        <v>200</v>
      </c>
      <c r="L27" s="126" t="s">
        <v>120</v>
      </c>
      <c r="M27" s="126" t="s">
        <v>41</v>
      </c>
      <c r="O27">
        <f t="shared" si="0"/>
        <v>200</v>
      </c>
      <c r="R27" s="25"/>
      <c r="S27" s="25"/>
    </row>
    <row r="28" spans="1:19" x14ac:dyDescent="0.25">
      <c r="A28" s="128">
        <v>2</v>
      </c>
      <c r="B28" s="191" t="s">
        <v>1156</v>
      </c>
      <c r="C28" s="130" t="s">
        <v>1157</v>
      </c>
      <c r="D28" s="130"/>
      <c r="E28" s="168" t="s">
        <v>129</v>
      </c>
      <c r="F28" s="130" t="s">
        <v>1148</v>
      </c>
      <c r="G28" s="130" t="s">
        <v>43</v>
      </c>
      <c r="H28" s="131" t="s">
        <v>1158</v>
      </c>
      <c r="I28" s="130" t="s">
        <v>40</v>
      </c>
      <c r="J28" s="132">
        <v>1000</v>
      </c>
      <c r="K28" s="129">
        <v>200</v>
      </c>
      <c r="L28" s="126" t="s">
        <v>120</v>
      </c>
      <c r="M28" s="126" t="s">
        <v>41</v>
      </c>
      <c r="O28">
        <f t="shared" si="0"/>
        <v>200</v>
      </c>
      <c r="S28" s="57"/>
    </row>
    <row r="29" spans="1:19" x14ac:dyDescent="0.25">
      <c r="A29" s="128">
        <v>2</v>
      </c>
      <c r="B29" s="191" t="s">
        <v>1159</v>
      </c>
      <c r="C29" s="130" t="s">
        <v>1160</v>
      </c>
      <c r="D29" s="130"/>
      <c r="E29" s="168" t="s">
        <v>129</v>
      </c>
      <c r="F29" s="130" t="s">
        <v>60</v>
      </c>
      <c r="G29" s="130" t="s">
        <v>54</v>
      </c>
      <c r="H29" s="131" t="s">
        <v>1161</v>
      </c>
      <c r="I29" s="133" t="s">
        <v>40</v>
      </c>
      <c r="J29" s="132">
        <v>12000</v>
      </c>
      <c r="K29" s="129">
        <v>2400</v>
      </c>
      <c r="L29" s="126" t="s">
        <v>120</v>
      </c>
      <c r="M29" s="126" t="s">
        <v>41</v>
      </c>
      <c r="O29">
        <f t="shared" si="0"/>
        <v>2400</v>
      </c>
      <c r="R29" s="25"/>
      <c r="S29" s="25"/>
    </row>
    <row r="30" spans="1:19" x14ac:dyDescent="0.25">
      <c r="A30" s="128">
        <v>2</v>
      </c>
      <c r="B30" s="191" t="s">
        <v>1400</v>
      </c>
      <c r="C30" s="130" t="s">
        <v>1401</v>
      </c>
      <c r="D30" s="130"/>
      <c r="E30" s="168" t="s">
        <v>129</v>
      </c>
      <c r="F30" s="130" t="s">
        <v>215</v>
      </c>
      <c r="G30" s="130" t="s">
        <v>59</v>
      </c>
      <c r="H30" s="131" t="s">
        <v>1162</v>
      </c>
      <c r="I30" s="130" t="s">
        <v>40</v>
      </c>
      <c r="J30" s="132">
        <v>1000</v>
      </c>
      <c r="K30" s="129">
        <v>200</v>
      </c>
      <c r="L30" s="126" t="s">
        <v>120</v>
      </c>
      <c r="M30" s="126" t="s">
        <v>41</v>
      </c>
      <c r="O30">
        <f t="shared" si="0"/>
        <v>200</v>
      </c>
      <c r="R30" s="25"/>
    </row>
    <row r="31" spans="1:19" x14ac:dyDescent="0.25">
      <c r="A31" s="128">
        <v>2</v>
      </c>
      <c r="B31" s="191" t="s">
        <v>1163</v>
      </c>
      <c r="C31" s="130" t="s">
        <v>231</v>
      </c>
      <c r="D31" s="130"/>
      <c r="E31" s="130" t="s">
        <v>127</v>
      </c>
      <c r="F31" s="130" t="s">
        <v>215</v>
      </c>
      <c r="G31" s="130" t="s">
        <v>59</v>
      </c>
      <c r="H31" s="131" t="s">
        <v>1164</v>
      </c>
      <c r="I31" s="133" t="s">
        <v>40</v>
      </c>
      <c r="J31" s="132">
        <v>1000</v>
      </c>
      <c r="K31" s="129">
        <v>200</v>
      </c>
      <c r="L31" s="126" t="s">
        <v>120</v>
      </c>
      <c r="M31" s="126" t="s">
        <v>41</v>
      </c>
      <c r="O31">
        <f t="shared" si="0"/>
        <v>200</v>
      </c>
      <c r="R31" s="25"/>
    </row>
    <row r="32" spans="1:19" x14ac:dyDescent="0.25">
      <c r="A32" s="128">
        <v>2</v>
      </c>
      <c r="B32" s="191" t="s">
        <v>1165</v>
      </c>
      <c r="C32" s="130" t="s">
        <v>182</v>
      </c>
      <c r="D32" s="130"/>
      <c r="E32" s="130" t="s">
        <v>127</v>
      </c>
      <c r="F32" s="130"/>
      <c r="G32" s="130" t="s">
        <v>72</v>
      </c>
      <c r="H32" s="131" t="s">
        <v>976</v>
      </c>
      <c r="I32" s="130" t="s">
        <v>40</v>
      </c>
      <c r="J32" s="132">
        <v>3000</v>
      </c>
      <c r="K32" s="129">
        <v>600</v>
      </c>
      <c r="L32" s="126" t="s">
        <v>120</v>
      </c>
      <c r="M32" s="126" t="s">
        <v>41</v>
      </c>
      <c r="O32">
        <f t="shared" si="0"/>
        <v>600</v>
      </c>
    </row>
    <row r="33" spans="1:21" x14ac:dyDescent="0.25">
      <c r="A33" s="128">
        <v>2</v>
      </c>
      <c r="B33" s="191" t="s">
        <v>1166</v>
      </c>
      <c r="C33" s="130" t="s">
        <v>1167</v>
      </c>
      <c r="D33" s="130"/>
      <c r="E33" s="130" t="s">
        <v>127</v>
      </c>
      <c r="F33" s="130" t="s">
        <v>1168</v>
      </c>
      <c r="G33" s="130" t="s">
        <v>76</v>
      </c>
      <c r="H33" s="131" t="s">
        <v>1169</v>
      </c>
      <c r="I33" s="133" t="s">
        <v>40</v>
      </c>
      <c r="J33" s="132">
        <v>2000</v>
      </c>
      <c r="K33" s="129">
        <v>400</v>
      </c>
      <c r="L33" s="126" t="s">
        <v>120</v>
      </c>
      <c r="M33" s="126" t="s">
        <v>41</v>
      </c>
      <c r="O33">
        <f t="shared" si="0"/>
        <v>400</v>
      </c>
    </row>
    <row r="34" spans="1:21" x14ac:dyDescent="0.25">
      <c r="A34" s="128">
        <v>2</v>
      </c>
      <c r="B34" s="191" t="s">
        <v>618</v>
      </c>
      <c r="C34" s="130" t="s">
        <v>1170</v>
      </c>
      <c r="D34" s="130"/>
      <c r="E34" s="130" t="s">
        <v>127</v>
      </c>
      <c r="F34" s="130" t="s">
        <v>1085</v>
      </c>
      <c r="G34" s="130" t="s">
        <v>43</v>
      </c>
      <c r="H34" s="131" t="s">
        <v>1171</v>
      </c>
      <c r="I34" s="133" t="s">
        <v>40</v>
      </c>
      <c r="J34" s="132">
        <v>200</v>
      </c>
      <c r="K34" s="129">
        <v>40</v>
      </c>
      <c r="L34" s="126" t="s">
        <v>120</v>
      </c>
      <c r="M34" s="126" t="s">
        <v>41</v>
      </c>
      <c r="O34">
        <f t="shared" si="0"/>
        <v>40</v>
      </c>
      <c r="R34" s="25"/>
      <c r="S34" s="25"/>
      <c r="T34" s="25"/>
      <c r="U34" s="25"/>
    </row>
    <row r="35" spans="1:21" x14ac:dyDescent="0.25">
      <c r="A35" s="128">
        <v>2</v>
      </c>
      <c r="B35" s="191" t="s">
        <v>425</v>
      </c>
      <c r="C35" s="130" t="s">
        <v>1172</v>
      </c>
      <c r="D35" s="130"/>
      <c r="E35" s="130" t="s">
        <v>127</v>
      </c>
      <c r="F35" s="130" t="s">
        <v>565</v>
      </c>
      <c r="G35" s="130" t="s">
        <v>42</v>
      </c>
      <c r="H35" s="131" t="s">
        <v>1173</v>
      </c>
      <c r="I35" s="133" t="s">
        <v>40</v>
      </c>
      <c r="J35" s="132">
        <v>200</v>
      </c>
      <c r="K35" s="129">
        <v>40</v>
      </c>
      <c r="L35" s="126" t="s">
        <v>120</v>
      </c>
      <c r="M35" s="126" t="s">
        <v>41</v>
      </c>
      <c r="O35">
        <f t="shared" si="0"/>
        <v>40</v>
      </c>
      <c r="R35" s="25"/>
    </row>
    <row r="36" spans="1:21" x14ac:dyDescent="0.25">
      <c r="A36" s="128">
        <v>2</v>
      </c>
      <c r="B36" s="191" t="s">
        <v>810</v>
      </c>
      <c r="C36" s="130" t="s">
        <v>1398</v>
      </c>
      <c r="D36" s="130"/>
      <c r="E36" s="130" t="s">
        <v>127</v>
      </c>
      <c r="F36" s="130" t="s">
        <v>821</v>
      </c>
      <c r="G36" s="130" t="s">
        <v>43</v>
      </c>
      <c r="H36" s="131" t="s">
        <v>1174</v>
      </c>
      <c r="I36" s="133" t="s">
        <v>40</v>
      </c>
      <c r="J36" s="132">
        <v>1000</v>
      </c>
      <c r="K36" s="129">
        <v>200</v>
      </c>
      <c r="L36" s="126" t="s">
        <v>120</v>
      </c>
      <c r="M36" s="126" t="s">
        <v>41</v>
      </c>
      <c r="O36">
        <f t="shared" si="0"/>
        <v>200</v>
      </c>
    </row>
    <row r="37" spans="1:21" x14ac:dyDescent="0.25">
      <c r="A37" s="128">
        <v>2</v>
      </c>
      <c r="B37" s="191" t="s">
        <v>810</v>
      </c>
      <c r="C37" s="130" t="s">
        <v>1398</v>
      </c>
      <c r="D37" s="130"/>
      <c r="E37" s="130" t="s">
        <v>127</v>
      </c>
      <c r="F37" s="130" t="s">
        <v>821</v>
      </c>
      <c r="G37" s="130" t="s">
        <v>43</v>
      </c>
      <c r="H37" s="131" t="s">
        <v>1174</v>
      </c>
      <c r="I37" s="240" t="s">
        <v>145</v>
      </c>
      <c r="J37" s="132">
        <v>1000</v>
      </c>
      <c r="K37" s="129">
        <v>200</v>
      </c>
      <c r="L37" s="126" t="s">
        <v>120</v>
      </c>
      <c r="M37" s="126" t="s">
        <v>41</v>
      </c>
      <c r="O37">
        <f t="shared" si="0"/>
        <v>200</v>
      </c>
    </row>
    <row r="38" spans="1:21" x14ac:dyDescent="0.25">
      <c r="A38" s="128">
        <v>2</v>
      </c>
      <c r="B38" s="191" t="s">
        <v>1175</v>
      </c>
      <c r="C38" s="130" t="s">
        <v>1176</v>
      </c>
      <c r="D38" s="130"/>
      <c r="E38" s="130" t="s">
        <v>127</v>
      </c>
      <c r="F38" s="130" t="s">
        <v>60</v>
      </c>
      <c r="G38" s="130" t="s">
        <v>69</v>
      </c>
      <c r="H38" s="131" t="s">
        <v>1177</v>
      </c>
      <c r="I38" s="243" t="s">
        <v>378</v>
      </c>
      <c r="J38" s="132">
        <v>1000</v>
      </c>
      <c r="K38" s="129" t="s">
        <v>123</v>
      </c>
      <c r="L38" s="126" t="s">
        <v>120</v>
      </c>
      <c r="M38" s="126" t="s">
        <v>41</v>
      </c>
      <c r="O38">
        <f t="shared" si="0"/>
        <v>200</v>
      </c>
    </row>
    <row r="39" spans="1:21" x14ac:dyDescent="0.25">
      <c r="A39" s="128">
        <v>2</v>
      </c>
      <c r="B39" s="191" t="s">
        <v>1178</v>
      </c>
      <c r="C39" s="130" t="s">
        <v>1179</v>
      </c>
      <c r="D39" s="130"/>
      <c r="E39" s="130" t="s">
        <v>127</v>
      </c>
      <c r="F39" s="130" t="s">
        <v>1180</v>
      </c>
      <c r="G39" s="130" t="s">
        <v>55</v>
      </c>
      <c r="H39" s="131"/>
      <c r="I39" s="130" t="s">
        <v>40</v>
      </c>
      <c r="J39" s="132">
        <v>1000</v>
      </c>
      <c r="K39" s="129">
        <v>200</v>
      </c>
      <c r="L39" s="126" t="s">
        <v>120</v>
      </c>
      <c r="M39" s="126" t="s">
        <v>41</v>
      </c>
      <c r="O39">
        <f t="shared" si="0"/>
        <v>200</v>
      </c>
    </row>
    <row r="40" spans="1:21" x14ac:dyDescent="0.25">
      <c r="A40" s="128">
        <v>2</v>
      </c>
      <c r="B40" s="191" t="s">
        <v>725</v>
      </c>
      <c r="C40" s="130" t="s">
        <v>175</v>
      </c>
      <c r="D40" s="130"/>
      <c r="E40" s="130" t="s">
        <v>127</v>
      </c>
      <c r="F40" s="130"/>
      <c r="G40" s="130" t="s">
        <v>45</v>
      </c>
      <c r="H40" s="131" t="s">
        <v>1181</v>
      </c>
      <c r="I40" s="130" t="s">
        <v>40</v>
      </c>
      <c r="J40" s="136">
        <v>1000</v>
      </c>
      <c r="K40" s="164">
        <v>200</v>
      </c>
      <c r="L40" s="126" t="s">
        <v>120</v>
      </c>
      <c r="M40" s="126" t="s">
        <v>41</v>
      </c>
      <c r="O40">
        <f t="shared" si="0"/>
        <v>200</v>
      </c>
    </row>
    <row r="41" spans="1:21" x14ac:dyDescent="0.25">
      <c r="A41" s="128">
        <v>2</v>
      </c>
      <c r="B41" s="191" t="s">
        <v>1182</v>
      </c>
      <c r="C41" s="130" t="s">
        <v>1183</v>
      </c>
      <c r="D41" s="130"/>
      <c r="E41" s="130" t="s">
        <v>127</v>
      </c>
      <c r="F41" s="130" t="s">
        <v>195</v>
      </c>
      <c r="G41" s="130" t="s">
        <v>43</v>
      </c>
      <c r="H41" s="131" t="s">
        <v>1184</v>
      </c>
      <c r="I41" s="130" t="s">
        <v>40</v>
      </c>
      <c r="J41" s="136">
        <v>1000</v>
      </c>
      <c r="K41" s="164">
        <v>200</v>
      </c>
      <c r="L41" s="126" t="s">
        <v>120</v>
      </c>
      <c r="M41" s="126" t="s">
        <v>41</v>
      </c>
      <c r="O41">
        <f t="shared" si="0"/>
        <v>200</v>
      </c>
    </row>
    <row r="42" spans="1:21" x14ac:dyDescent="0.25">
      <c r="A42" s="128">
        <v>4</v>
      </c>
      <c r="B42" s="191" t="s">
        <v>1185</v>
      </c>
      <c r="C42" s="130" t="s">
        <v>1186</v>
      </c>
      <c r="D42" s="130"/>
      <c r="E42" s="130" t="s">
        <v>127</v>
      </c>
      <c r="F42" s="130" t="s">
        <v>1187</v>
      </c>
      <c r="G42" s="130" t="s">
        <v>49</v>
      </c>
      <c r="H42" s="131" t="s">
        <v>1188</v>
      </c>
      <c r="I42" s="130" t="s">
        <v>40</v>
      </c>
      <c r="J42" s="136">
        <v>11000</v>
      </c>
      <c r="K42" s="164">
        <v>2200</v>
      </c>
      <c r="L42" s="126" t="s">
        <v>120</v>
      </c>
      <c r="M42" s="126" t="s">
        <v>41</v>
      </c>
      <c r="O42">
        <f t="shared" si="0"/>
        <v>2200</v>
      </c>
    </row>
    <row r="43" spans="1:21" x14ac:dyDescent="0.25">
      <c r="A43" s="128">
        <v>4</v>
      </c>
      <c r="B43" s="191" t="s">
        <v>1189</v>
      </c>
      <c r="C43" s="130" t="s">
        <v>1190</v>
      </c>
      <c r="D43" s="130"/>
      <c r="E43" s="130" t="s">
        <v>127</v>
      </c>
      <c r="F43" s="130"/>
      <c r="G43" s="130" t="s">
        <v>72</v>
      </c>
      <c r="H43" s="131" t="s">
        <v>1191</v>
      </c>
      <c r="I43" s="130" t="s">
        <v>40</v>
      </c>
      <c r="J43" s="136">
        <v>10000</v>
      </c>
      <c r="K43" s="164">
        <v>2000</v>
      </c>
      <c r="L43" s="126" t="s">
        <v>120</v>
      </c>
      <c r="M43" s="126" t="s">
        <v>41</v>
      </c>
      <c r="O43">
        <f t="shared" si="0"/>
        <v>2000</v>
      </c>
    </row>
    <row r="44" spans="1:21" x14ac:dyDescent="0.25">
      <c r="A44" s="128">
        <v>4</v>
      </c>
      <c r="B44" s="191" t="s">
        <v>1192</v>
      </c>
      <c r="C44" s="130" t="s">
        <v>409</v>
      </c>
      <c r="D44" s="130"/>
      <c r="E44" s="130" t="s">
        <v>127</v>
      </c>
      <c r="F44" s="130" t="s">
        <v>759</v>
      </c>
      <c r="G44" s="130" t="s">
        <v>49</v>
      </c>
      <c r="H44" s="131" t="s">
        <v>1193</v>
      </c>
      <c r="I44" s="130" t="s">
        <v>40</v>
      </c>
      <c r="J44" s="136">
        <v>600</v>
      </c>
      <c r="K44" s="164">
        <v>1200</v>
      </c>
      <c r="L44" s="126" t="s">
        <v>120</v>
      </c>
      <c r="M44" s="126" t="s">
        <v>41</v>
      </c>
      <c r="O44">
        <f t="shared" si="0"/>
        <v>120</v>
      </c>
    </row>
    <row r="45" spans="1:21" x14ac:dyDescent="0.25">
      <c r="A45" s="128">
        <v>4</v>
      </c>
      <c r="B45" s="191" t="s">
        <v>1197</v>
      </c>
      <c r="C45" s="130" t="s">
        <v>1198</v>
      </c>
      <c r="D45" s="130"/>
      <c r="E45" s="130" t="s">
        <v>127</v>
      </c>
      <c r="F45" s="130" t="s">
        <v>719</v>
      </c>
      <c r="G45" s="130" t="s">
        <v>59</v>
      </c>
      <c r="H45" s="131" t="s">
        <v>1258</v>
      </c>
      <c r="I45" s="130" t="s">
        <v>40</v>
      </c>
      <c r="J45" s="136">
        <v>6000</v>
      </c>
      <c r="K45" s="164">
        <v>120</v>
      </c>
      <c r="L45" s="126" t="s">
        <v>120</v>
      </c>
      <c r="M45" s="126" t="s">
        <v>41</v>
      </c>
      <c r="O45">
        <f t="shared" si="0"/>
        <v>1200</v>
      </c>
      <c r="S45" s="25"/>
    </row>
    <row r="46" spans="1:21" x14ac:dyDescent="0.25">
      <c r="A46" s="128">
        <v>7</v>
      </c>
      <c r="B46" s="191" t="s">
        <v>1199</v>
      </c>
      <c r="C46" s="130" t="s">
        <v>835</v>
      </c>
      <c r="D46" s="130"/>
      <c r="E46" s="130" t="s">
        <v>127</v>
      </c>
      <c r="F46" s="130" t="s">
        <v>836</v>
      </c>
      <c r="G46" s="130" t="s">
        <v>55</v>
      </c>
      <c r="H46" s="131" t="s">
        <v>838</v>
      </c>
      <c r="I46" s="240" t="s">
        <v>145</v>
      </c>
      <c r="J46" s="136">
        <v>500</v>
      </c>
      <c r="K46" s="164">
        <v>100</v>
      </c>
      <c r="L46" s="126" t="s">
        <v>120</v>
      </c>
      <c r="M46" s="126" t="s">
        <v>41</v>
      </c>
      <c r="O46">
        <f t="shared" si="0"/>
        <v>100</v>
      </c>
    </row>
    <row r="47" spans="1:21" x14ac:dyDescent="0.25">
      <c r="A47" s="128">
        <v>7</v>
      </c>
      <c r="B47" s="191" t="s">
        <v>1200</v>
      </c>
      <c r="C47" s="130" t="s">
        <v>1201</v>
      </c>
      <c r="D47" s="130"/>
      <c r="E47" s="168" t="s">
        <v>129</v>
      </c>
      <c r="F47" s="130" t="s">
        <v>769</v>
      </c>
      <c r="G47" s="130" t="s">
        <v>47</v>
      </c>
      <c r="H47" s="131" t="s">
        <v>1259</v>
      </c>
      <c r="I47" s="130" t="s">
        <v>40</v>
      </c>
      <c r="J47" s="136">
        <v>500</v>
      </c>
      <c r="K47" s="164">
        <v>100</v>
      </c>
      <c r="L47" s="126" t="s">
        <v>120</v>
      </c>
      <c r="M47" s="126" t="s">
        <v>41</v>
      </c>
      <c r="O47">
        <f t="shared" si="0"/>
        <v>100</v>
      </c>
    </row>
    <row r="48" spans="1:21" x14ac:dyDescent="0.25">
      <c r="A48" s="128">
        <v>7</v>
      </c>
      <c r="B48" s="191" t="s">
        <v>167</v>
      </c>
      <c r="C48" s="130" t="s">
        <v>1202</v>
      </c>
      <c r="D48" s="130"/>
      <c r="E48" s="130" t="s">
        <v>127</v>
      </c>
      <c r="F48" s="130" t="s">
        <v>130</v>
      </c>
      <c r="G48" s="130" t="s">
        <v>43</v>
      </c>
      <c r="H48" s="131"/>
      <c r="I48" s="130" t="s">
        <v>40</v>
      </c>
      <c r="J48" s="136">
        <v>12000</v>
      </c>
      <c r="K48" s="164">
        <v>2400</v>
      </c>
      <c r="L48" s="126" t="s">
        <v>120</v>
      </c>
      <c r="M48" s="126" t="s">
        <v>41</v>
      </c>
      <c r="O48">
        <f t="shared" si="0"/>
        <v>2400</v>
      </c>
    </row>
    <row r="49" spans="1:19" x14ac:dyDescent="0.25">
      <c r="A49" s="128">
        <v>7</v>
      </c>
      <c r="B49" s="191" t="s">
        <v>1203</v>
      </c>
      <c r="C49" s="130" t="s">
        <v>1204</v>
      </c>
      <c r="D49" s="130"/>
      <c r="E49" s="130" t="s">
        <v>127</v>
      </c>
      <c r="F49" s="130" t="s">
        <v>1205</v>
      </c>
      <c r="G49" s="130" t="s">
        <v>47</v>
      </c>
      <c r="H49" s="131" t="s">
        <v>1260</v>
      </c>
      <c r="I49" s="130" t="s">
        <v>40</v>
      </c>
      <c r="J49" s="136">
        <v>1000</v>
      </c>
      <c r="K49" s="164">
        <v>200</v>
      </c>
      <c r="L49" s="126" t="s">
        <v>120</v>
      </c>
      <c r="M49" s="126" t="s">
        <v>41</v>
      </c>
      <c r="O49">
        <f t="shared" si="0"/>
        <v>200</v>
      </c>
    </row>
    <row r="50" spans="1:19" x14ac:dyDescent="0.25">
      <c r="A50" s="128">
        <v>7</v>
      </c>
      <c r="B50" s="191" t="s">
        <v>1206</v>
      </c>
      <c r="C50" s="130" t="s">
        <v>1207</v>
      </c>
      <c r="D50" s="130"/>
      <c r="E50" s="130" t="s">
        <v>127</v>
      </c>
      <c r="F50" s="130" t="s">
        <v>1208</v>
      </c>
      <c r="G50" s="130" t="s">
        <v>58</v>
      </c>
      <c r="H50" s="131" t="s">
        <v>1261</v>
      </c>
      <c r="I50" s="130" t="s">
        <v>40</v>
      </c>
      <c r="J50" s="136">
        <v>1000</v>
      </c>
      <c r="K50" s="164">
        <v>200</v>
      </c>
      <c r="L50" s="126" t="s">
        <v>120</v>
      </c>
      <c r="M50" s="126" t="s">
        <v>41</v>
      </c>
      <c r="O50">
        <f t="shared" si="0"/>
        <v>200</v>
      </c>
    </row>
    <row r="51" spans="1:19" x14ac:dyDescent="0.25">
      <c r="A51" s="128">
        <v>7</v>
      </c>
      <c r="B51" s="191" t="s">
        <v>1211</v>
      </c>
      <c r="C51" s="130" t="s">
        <v>1210</v>
      </c>
      <c r="D51" s="130"/>
      <c r="E51" s="168" t="s">
        <v>129</v>
      </c>
      <c r="F51" s="130" t="s">
        <v>1209</v>
      </c>
      <c r="G51" s="130" t="s">
        <v>54</v>
      </c>
      <c r="H51" s="131" t="s">
        <v>1262</v>
      </c>
      <c r="I51" s="130" t="s">
        <v>40</v>
      </c>
      <c r="J51" s="136">
        <v>100</v>
      </c>
      <c r="K51" s="164">
        <v>20</v>
      </c>
      <c r="L51" s="126" t="s">
        <v>120</v>
      </c>
      <c r="M51" s="126" t="s">
        <v>41</v>
      </c>
      <c r="O51">
        <f t="shared" si="0"/>
        <v>20</v>
      </c>
    </row>
    <row r="52" spans="1:19" x14ac:dyDescent="0.25">
      <c r="A52" s="128">
        <v>7</v>
      </c>
      <c r="B52" s="191" t="s">
        <v>618</v>
      </c>
      <c r="C52" s="130" t="s">
        <v>1212</v>
      </c>
      <c r="D52" s="130"/>
      <c r="E52" s="130" t="s">
        <v>127</v>
      </c>
      <c r="F52" s="130" t="s">
        <v>601</v>
      </c>
      <c r="G52" s="130" t="s">
        <v>43</v>
      </c>
      <c r="H52" s="131"/>
      <c r="I52" s="133" t="s">
        <v>40</v>
      </c>
      <c r="J52" s="136">
        <v>300</v>
      </c>
      <c r="K52" s="164">
        <v>60</v>
      </c>
      <c r="L52" s="126" t="s">
        <v>120</v>
      </c>
      <c r="M52" s="126" t="s">
        <v>41</v>
      </c>
      <c r="O52">
        <f t="shared" si="0"/>
        <v>60</v>
      </c>
      <c r="S52" s="57"/>
    </row>
    <row r="53" spans="1:19" x14ac:dyDescent="0.25">
      <c r="A53" s="128">
        <v>7</v>
      </c>
      <c r="B53" s="191" t="s">
        <v>1214</v>
      </c>
      <c r="C53" s="130" t="s">
        <v>1213</v>
      </c>
      <c r="D53" s="130"/>
      <c r="E53" s="168" t="s">
        <v>129</v>
      </c>
      <c r="F53" s="130" t="s">
        <v>159</v>
      </c>
      <c r="G53" s="130" t="s">
        <v>47</v>
      </c>
      <c r="H53" s="131" t="s">
        <v>1263</v>
      </c>
      <c r="I53" s="130" t="s">
        <v>40</v>
      </c>
      <c r="J53" s="136">
        <v>500</v>
      </c>
      <c r="K53" s="164">
        <v>100</v>
      </c>
      <c r="L53" s="126" t="s">
        <v>120</v>
      </c>
      <c r="M53" s="126" t="s">
        <v>41</v>
      </c>
      <c r="O53">
        <f t="shared" si="0"/>
        <v>100</v>
      </c>
    </row>
    <row r="54" spans="1:19" x14ac:dyDescent="0.25">
      <c r="A54" s="128">
        <v>7</v>
      </c>
      <c r="B54" s="191" t="s">
        <v>73</v>
      </c>
      <c r="C54" s="130" t="s">
        <v>1215</v>
      </c>
      <c r="D54" s="130"/>
      <c r="E54" s="130" t="s">
        <v>127</v>
      </c>
      <c r="F54" s="130" t="s">
        <v>821</v>
      </c>
      <c r="G54" s="130" t="s">
        <v>43</v>
      </c>
      <c r="H54" s="131" t="s">
        <v>1264</v>
      </c>
      <c r="I54" s="130" t="s">
        <v>40</v>
      </c>
      <c r="J54" s="136">
        <v>300</v>
      </c>
      <c r="K54" s="164">
        <v>60</v>
      </c>
      <c r="L54" s="126" t="s">
        <v>120</v>
      </c>
      <c r="M54" s="126" t="s">
        <v>41</v>
      </c>
      <c r="O54">
        <f t="shared" si="0"/>
        <v>60</v>
      </c>
    </row>
    <row r="55" spans="1:19" x14ac:dyDescent="0.25">
      <c r="A55" s="128">
        <v>7</v>
      </c>
      <c r="B55" s="191" t="s">
        <v>330</v>
      </c>
      <c r="C55" s="130" t="s">
        <v>1216</v>
      </c>
      <c r="D55" s="130"/>
      <c r="E55" s="130" t="s">
        <v>127</v>
      </c>
      <c r="F55" s="130" t="s">
        <v>174</v>
      </c>
      <c r="G55" s="130" t="s">
        <v>57</v>
      </c>
      <c r="H55" s="131" t="s">
        <v>1265</v>
      </c>
      <c r="I55" s="130" t="s">
        <v>40</v>
      </c>
      <c r="J55" s="136">
        <v>4000</v>
      </c>
      <c r="K55" s="164">
        <v>800</v>
      </c>
      <c r="L55" s="126" t="s">
        <v>120</v>
      </c>
      <c r="M55" s="126" t="s">
        <v>41</v>
      </c>
      <c r="O55">
        <f t="shared" si="0"/>
        <v>800</v>
      </c>
    </row>
    <row r="56" spans="1:19" x14ac:dyDescent="0.25">
      <c r="A56" s="128">
        <v>7</v>
      </c>
      <c r="B56" s="191" t="s">
        <v>1217</v>
      </c>
      <c r="C56" s="130" t="s">
        <v>1218</v>
      </c>
      <c r="D56" s="130"/>
      <c r="E56" s="130" t="s">
        <v>127</v>
      </c>
      <c r="F56" s="130" t="s">
        <v>64</v>
      </c>
      <c r="G56" s="130" t="s">
        <v>57</v>
      </c>
      <c r="H56" s="131" t="s">
        <v>1266</v>
      </c>
      <c r="I56" s="130" t="s">
        <v>40</v>
      </c>
      <c r="J56" s="136">
        <v>10000</v>
      </c>
      <c r="K56" s="164">
        <v>2000</v>
      </c>
      <c r="L56" s="126" t="s">
        <v>120</v>
      </c>
      <c r="M56" s="126" t="s">
        <v>41</v>
      </c>
      <c r="O56">
        <f t="shared" si="0"/>
        <v>2000</v>
      </c>
    </row>
    <row r="57" spans="1:19" x14ac:dyDescent="0.25">
      <c r="A57" s="128">
        <v>7</v>
      </c>
      <c r="B57" s="191" t="s">
        <v>1217</v>
      </c>
      <c r="C57" s="130" t="s">
        <v>1218</v>
      </c>
      <c r="D57" s="130"/>
      <c r="E57" s="130" t="s">
        <v>127</v>
      </c>
      <c r="F57" s="130" t="s">
        <v>64</v>
      </c>
      <c r="G57" s="130" t="s">
        <v>57</v>
      </c>
      <c r="H57" s="131" t="s">
        <v>1266</v>
      </c>
      <c r="I57" s="240" t="s">
        <v>145</v>
      </c>
      <c r="J57" s="136">
        <v>200</v>
      </c>
      <c r="K57" s="164">
        <v>40</v>
      </c>
      <c r="L57" s="126" t="s">
        <v>120</v>
      </c>
      <c r="M57" s="126" t="s">
        <v>41</v>
      </c>
      <c r="O57">
        <f t="shared" si="0"/>
        <v>40</v>
      </c>
    </row>
    <row r="58" spans="1:19" x14ac:dyDescent="0.25">
      <c r="A58" s="128">
        <v>7</v>
      </c>
      <c r="B58" s="191" t="s">
        <v>874</v>
      </c>
      <c r="C58" s="130" t="s">
        <v>1012</v>
      </c>
      <c r="D58" s="130"/>
      <c r="E58" s="130" t="s">
        <v>127</v>
      </c>
      <c r="F58" s="130" t="s">
        <v>1219</v>
      </c>
      <c r="G58" s="130" t="s">
        <v>54</v>
      </c>
      <c r="H58" s="131"/>
      <c r="I58" s="133" t="s">
        <v>40</v>
      </c>
      <c r="J58" s="136">
        <v>5000</v>
      </c>
      <c r="K58" s="164">
        <v>1000</v>
      </c>
      <c r="L58" s="126" t="s">
        <v>120</v>
      </c>
      <c r="M58" s="126" t="s">
        <v>41</v>
      </c>
      <c r="O58">
        <f t="shared" si="0"/>
        <v>1000</v>
      </c>
    </row>
    <row r="59" spans="1:19" x14ac:dyDescent="0.25">
      <c r="A59" s="128">
        <v>7</v>
      </c>
      <c r="B59" s="191" t="s">
        <v>1220</v>
      </c>
      <c r="C59" s="191" t="s">
        <v>1221</v>
      </c>
      <c r="D59" s="130"/>
      <c r="E59" s="168" t="s">
        <v>129</v>
      </c>
      <c r="F59" s="130"/>
      <c r="G59" s="130" t="s">
        <v>1222</v>
      </c>
      <c r="H59" s="131" t="s">
        <v>1267</v>
      </c>
      <c r="I59" s="133" t="s">
        <v>40</v>
      </c>
      <c r="J59" s="136">
        <v>3000</v>
      </c>
      <c r="K59" s="164">
        <v>600</v>
      </c>
      <c r="L59" s="126" t="s">
        <v>120</v>
      </c>
      <c r="M59" s="126" t="s">
        <v>41</v>
      </c>
      <c r="O59">
        <f t="shared" si="0"/>
        <v>600</v>
      </c>
    </row>
    <row r="60" spans="1:19" x14ac:dyDescent="0.25">
      <c r="A60" s="128">
        <v>10</v>
      </c>
      <c r="B60" s="191" t="s">
        <v>1223</v>
      </c>
      <c r="C60" s="130" t="s">
        <v>1224</v>
      </c>
      <c r="D60" s="130"/>
      <c r="E60" s="130" t="s">
        <v>129</v>
      </c>
      <c r="F60" s="130" t="s">
        <v>1225</v>
      </c>
      <c r="G60" s="130" t="s">
        <v>61</v>
      </c>
      <c r="H60" s="131" t="s">
        <v>1268</v>
      </c>
      <c r="I60" s="133" t="s">
        <v>40</v>
      </c>
      <c r="J60" s="136">
        <v>1000</v>
      </c>
      <c r="K60" s="164">
        <v>200</v>
      </c>
      <c r="L60" s="126" t="s">
        <v>120</v>
      </c>
      <c r="M60" s="126" t="s">
        <v>41</v>
      </c>
      <c r="O60">
        <f t="shared" si="0"/>
        <v>200</v>
      </c>
    </row>
    <row r="61" spans="1:19" x14ac:dyDescent="0.25">
      <c r="A61" s="128">
        <v>10</v>
      </c>
      <c r="B61" s="191" t="s">
        <v>1223</v>
      </c>
      <c r="C61" s="130" t="s">
        <v>1224</v>
      </c>
      <c r="D61" s="130"/>
      <c r="E61" s="130" t="s">
        <v>129</v>
      </c>
      <c r="F61" s="130" t="s">
        <v>1226</v>
      </c>
      <c r="G61" s="130" t="s">
        <v>61</v>
      </c>
      <c r="H61" s="131" t="s">
        <v>1268</v>
      </c>
      <c r="I61" s="133" t="s">
        <v>40</v>
      </c>
      <c r="J61" s="136">
        <v>500</v>
      </c>
      <c r="K61" s="164" t="s">
        <v>123</v>
      </c>
      <c r="L61" s="126" t="s">
        <v>120</v>
      </c>
      <c r="M61" s="126" t="s">
        <v>41</v>
      </c>
      <c r="O61">
        <f t="shared" si="0"/>
        <v>100</v>
      </c>
      <c r="R61" s="25"/>
    </row>
    <row r="62" spans="1:19" x14ac:dyDescent="0.25">
      <c r="A62" s="128">
        <v>10</v>
      </c>
      <c r="B62" s="191" t="s">
        <v>1223</v>
      </c>
      <c r="C62" s="130" t="s">
        <v>1227</v>
      </c>
      <c r="D62" s="130"/>
      <c r="E62" s="130" t="s">
        <v>129</v>
      </c>
      <c r="F62" s="130" t="s">
        <v>1225</v>
      </c>
      <c r="G62" s="130" t="s">
        <v>61</v>
      </c>
      <c r="H62" s="131" t="s">
        <v>1269</v>
      </c>
      <c r="I62" s="130" t="s">
        <v>40</v>
      </c>
      <c r="J62" s="136">
        <v>500</v>
      </c>
      <c r="K62" s="164" t="s">
        <v>123</v>
      </c>
      <c r="L62" s="126" t="s">
        <v>120</v>
      </c>
      <c r="M62" s="126" t="s">
        <v>41</v>
      </c>
      <c r="O62">
        <f t="shared" si="0"/>
        <v>100</v>
      </c>
      <c r="R62" s="25"/>
    </row>
    <row r="63" spans="1:19" x14ac:dyDescent="0.25">
      <c r="A63" s="128">
        <v>10</v>
      </c>
      <c r="B63" s="191" t="s">
        <v>1223</v>
      </c>
      <c r="C63" s="130" t="s">
        <v>1228</v>
      </c>
      <c r="D63" s="130"/>
      <c r="E63" s="130" t="s">
        <v>127</v>
      </c>
      <c r="F63" s="130" t="s">
        <v>1225</v>
      </c>
      <c r="G63" s="130" t="s">
        <v>61</v>
      </c>
      <c r="H63" s="131" t="s">
        <v>1270</v>
      </c>
      <c r="I63" s="130" t="s">
        <v>40</v>
      </c>
      <c r="J63" s="136">
        <v>500</v>
      </c>
      <c r="K63" s="164" t="s">
        <v>123</v>
      </c>
      <c r="L63" s="126" t="s">
        <v>120</v>
      </c>
      <c r="M63" s="126" t="s">
        <v>41</v>
      </c>
      <c r="O63">
        <f t="shared" si="0"/>
        <v>100</v>
      </c>
      <c r="R63" s="25"/>
    </row>
    <row r="64" spans="1:19" x14ac:dyDescent="0.25">
      <c r="A64" s="128">
        <v>10</v>
      </c>
      <c r="B64" s="191" t="s">
        <v>1223</v>
      </c>
      <c r="C64" s="130" t="s">
        <v>962</v>
      </c>
      <c r="D64" s="130"/>
      <c r="E64" s="130" t="s">
        <v>127</v>
      </c>
      <c r="F64" s="130" t="s">
        <v>1225</v>
      </c>
      <c r="G64" s="130" t="s">
        <v>61</v>
      </c>
      <c r="H64" s="131"/>
      <c r="I64" s="130" t="s">
        <v>40</v>
      </c>
      <c r="J64" s="136">
        <v>500</v>
      </c>
      <c r="K64" s="164" t="s">
        <v>123</v>
      </c>
      <c r="L64" s="126" t="s">
        <v>120</v>
      </c>
      <c r="M64" s="126" t="s">
        <v>41</v>
      </c>
      <c r="O64">
        <f t="shared" si="0"/>
        <v>100</v>
      </c>
    </row>
    <row r="65" spans="1:18" x14ac:dyDescent="0.25">
      <c r="A65" s="128">
        <v>10</v>
      </c>
      <c r="B65" s="191" t="s">
        <v>1229</v>
      </c>
      <c r="C65" s="130" t="s">
        <v>1230</v>
      </c>
      <c r="D65" s="130"/>
      <c r="E65" s="130" t="s">
        <v>127</v>
      </c>
      <c r="F65" s="130" t="s">
        <v>672</v>
      </c>
      <c r="G65" s="130" t="s">
        <v>54</v>
      </c>
      <c r="H65" s="131" t="s">
        <v>1271</v>
      </c>
      <c r="I65" s="133" t="s">
        <v>40</v>
      </c>
      <c r="J65" s="136">
        <v>3000</v>
      </c>
      <c r="K65" s="164">
        <v>600</v>
      </c>
      <c r="L65" s="126" t="s">
        <v>120</v>
      </c>
      <c r="M65" s="126" t="s">
        <v>41</v>
      </c>
      <c r="O65">
        <f t="shared" si="0"/>
        <v>600</v>
      </c>
    </row>
    <row r="66" spans="1:18" x14ac:dyDescent="0.25">
      <c r="A66" s="128">
        <v>10</v>
      </c>
      <c r="B66" s="192" t="s">
        <v>1231</v>
      </c>
      <c r="C66" s="133" t="s">
        <v>1232</v>
      </c>
      <c r="D66" s="133"/>
      <c r="E66" s="130" t="s">
        <v>127</v>
      </c>
      <c r="F66" s="130" t="s">
        <v>134</v>
      </c>
      <c r="G66" s="130" t="s">
        <v>43</v>
      </c>
      <c r="H66" s="131"/>
      <c r="I66" s="133" t="s">
        <v>40</v>
      </c>
      <c r="J66" s="136">
        <v>500</v>
      </c>
      <c r="K66" s="164">
        <v>100</v>
      </c>
      <c r="L66" s="126" t="s">
        <v>120</v>
      </c>
      <c r="M66" s="126" t="s">
        <v>41</v>
      </c>
      <c r="O66">
        <f t="shared" si="0"/>
        <v>100</v>
      </c>
    </row>
    <row r="67" spans="1:18" x14ac:dyDescent="0.25">
      <c r="A67" s="128">
        <v>10</v>
      </c>
      <c r="B67" s="192" t="s">
        <v>1233</v>
      </c>
      <c r="C67" s="133" t="s">
        <v>1234</v>
      </c>
      <c r="D67" s="133"/>
      <c r="E67" s="130" t="s">
        <v>127</v>
      </c>
      <c r="F67" s="130"/>
      <c r="G67" s="130" t="s">
        <v>42</v>
      </c>
      <c r="H67" s="131" t="s">
        <v>1272</v>
      </c>
      <c r="I67" s="133" t="s">
        <v>40</v>
      </c>
      <c r="J67" s="136">
        <v>500</v>
      </c>
      <c r="K67" s="164">
        <v>100</v>
      </c>
      <c r="L67" s="130" t="s">
        <v>120</v>
      </c>
      <c r="M67" s="130" t="s">
        <v>41</v>
      </c>
      <c r="O67">
        <f t="shared" si="0"/>
        <v>100</v>
      </c>
    </row>
    <row r="68" spans="1:18" x14ac:dyDescent="0.25">
      <c r="A68" s="128">
        <v>10</v>
      </c>
      <c r="B68" s="192" t="s">
        <v>1235</v>
      </c>
      <c r="C68" s="133" t="s">
        <v>1236</v>
      </c>
      <c r="D68" s="133"/>
      <c r="E68" s="130" t="s">
        <v>129</v>
      </c>
      <c r="F68" s="130" t="s">
        <v>132</v>
      </c>
      <c r="G68" s="130" t="s">
        <v>54</v>
      </c>
      <c r="H68" s="131" t="s">
        <v>1273</v>
      </c>
      <c r="I68" s="130" t="s">
        <v>40</v>
      </c>
      <c r="J68" s="136">
        <v>3000</v>
      </c>
      <c r="K68" s="164">
        <v>600</v>
      </c>
      <c r="L68" s="126" t="s">
        <v>120</v>
      </c>
      <c r="M68" s="126" t="s">
        <v>41</v>
      </c>
      <c r="O68">
        <f t="shared" si="0"/>
        <v>600</v>
      </c>
    </row>
    <row r="69" spans="1:18" x14ac:dyDescent="0.25">
      <c r="A69" s="128">
        <v>10</v>
      </c>
      <c r="B69" s="192" t="s">
        <v>1237</v>
      </c>
      <c r="C69" s="133" t="s">
        <v>1238</v>
      </c>
      <c r="D69" s="133"/>
      <c r="E69" s="130" t="s">
        <v>127</v>
      </c>
      <c r="F69" s="130" t="s">
        <v>1239</v>
      </c>
      <c r="G69" s="130" t="s">
        <v>1240</v>
      </c>
      <c r="H69" s="131" t="s">
        <v>1274</v>
      </c>
      <c r="I69" s="133" t="s">
        <v>40</v>
      </c>
      <c r="J69" s="136">
        <v>400</v>
      </c>
      <c r="K69" s="164">
        <v>80</v>
      </c>
      <c r="L69" s="126" t="s">
        <v>120</v>
      </c>
      <c r="M69" s="126" t="s">
        <v>41</v>
      </c>
      <c r="O69">
        <f t="shared" si="0"/>
        <v>80</v>
      </c>
    </row>
    <row r="70" spans="1:18" x14ac:dyDescent="0.25">
      <c r="A70" s="128">
        <v>10</v>
      </c>
      <c r="B70" s="192" t="s">
        <v>1241</v>
      </c>
      <c r="C70" s="133" t="s">
        <v>1242</v>
      </c>
      <c r="D70" s="133"/>
      <c r="E70" s="130" t="s">
        <v>127</v>
      </c>
      <c r="F70" s="130"/>
      <c r="G70" s="130" t="s">
        <v>61</v>
      </c>
      <c r="H70" s="131" t="s">
        <v>1275</v>
      </c>
      <c r="I70" s="240" t="s">
        <v>145</v>
      </c>
      <c r="J70" s="136">
        <v>500</v>
      </c>
      <c r="K70" s="164">
        <v>100</v>
      </c>
      <c r="L70" s="126" t="s">
        <v>120</v>
      </c>
      <c r="M70" s="126" t="s">
        <v>41</v>
      </c>
      <c r="O70">
        <f t="shared" si="0"/>
        <v>100</v>
      </c>
    </row>
    <row r="71" spans="1:18" x14ac:dyDescent="0.25">
      <c r="A71" s="128">
        <v>10</v>
      </c>
      <c r="B71" s="192" t="s">
        <v>1243</v>
      </c>
      <c r="C71" s="133" t="s">
        <v>1244</v>
      </c>
      <c r="D71" s="133"/>
      <c r="E71" s="130" t="s">
        <v>127</v>
      </c>
      <c r="F71" s="130"/>
      <c r="G71" s="130" t="s">
        <v>42</v>
      </c>
      <c r="H71" s="131" t="s">
        <v>1276</v>
      </c>
      <c r="I71" s="133" t="s">
        <v>40</v>
      </c>
      <c r="J71" s="136">
        <v>1500</v>
      </c>
      <c r="K71" s="164">
        <v>300</v>
      </c>
      <c r="L71" s="126" t="s">
        <v>120</v>
      </c>
      <c r="M71" s="126" t="s">
        <v>41</v>
      </c>
      <c r="O71">
        <f t="shared" si="0"/>
        <v>300</v>
      </c>
    </row>
    <row r="72" spans="1:18" x14ac:dyDescent="0.25">
      <c r="A72" s="128">
        <v>10</v>
      </c>
      <c r="B72" s="192" t="s">
        <v>260</v>
      </c>
      <c r="C72" s="133" t="s">
        <v>1245</v>
      </c>
      <c r="D72" s="133"/>
      <c r="E72" s="130" t="s">
        <v>127</v>
      </c>
      <c r="F72" s="130" t="s">
        <v>142</v>
      </c>
      <c r="G72" s="130" t="s">
        <v>43</v>
      </c>
      <c r="H72" s="131" t="s">
        <v>1277</v>
      </c>
      <c r="I72" s="133" t="s">
        <v>40</v>
      </c>
      <c r="J72" s="136">
        <v>2000</v>
      </c>
      <c r="K72" s="164">
        <v>400</v>
      </c>
      <c r="L72" s="126" t="s">
        <v>120</v>
      </c>
      <c r="M72" s="126" t="s">
        <v>41</v>
      </c>
      <c r="O72">
        <f t="shared" si="0"/>
        <v>400</v>
      </c>
    </row>
    <row r="73" spans="1:18" x14ac:dyDescent="0.25">
      <c r="A73" s="128">
        <v>10</v>
      </c>
      <c r="B73" s="192" t="s">
        <v>1246</v>
      </c>
      <c r="C73" s="133" t="s">
        <v>1247</v>
      </c>
      <c r="D73" s="133"/>
      <c r="E73" s="130" t="s">
        <v>127</v>
      </c>
      <c r="F73" s="130" t="s">
        <v>1248</v>
      </c>
      <c r="G73" s="130" t="s">
        <v>56</v>
      </c>
      <c r="H73" s="131" t="s">
        <v>1278</v>
      </c>
      <c r="I73" s="130" t="s">
        <v>40</v>
      </c>
      <c r="J73" s="136">
        <v>200</v>
      </c>
      <c r="K73" s="164">
        <v>40</v>
      </c>
      <c r="L73" s="126" t="s">
        <v>120</v>
      </c>
      <c r="M73" s="126" t="s">
        <v>41</v>
      </c>
      <c r="O73">
        <f t="shared" si="0"/>
        <v>40</v>
      </c>
    </row>
    <row r="74" spans="1:18" x14ac:dyDescent="0.25">
      <c r="A74" s="142">
        <v>10</v>
      </c>
      <c r="B74" s="192" t="s">
        <v>1249</v>
      </c>
      <c r="C74" s="133" t="s">
        <v>1250</v>
      </c>
      <c r="D74" s="133"/>
      <c r="E74" s="130" t="s">
        <v>127</v>
      </c>
      <c r="F74" s="130" t="s">
        <v>565</v>
      </c>
      <c r="G74" s="130" t="s">
        <v>56</v>
      </c>
      <c r="H74" s="131" t="s">
        <v>1279</v>
      </c>
      <c r="I74" s="130" t="s">
        <v>40</v>
      </c>
      <c r="J74" s="136">
        <v>1000</v>
      </c>
      <c r="K74" s="164">
        <v>200</v>
      </c>
      <c r="L74" s="126" t="s">
        <v>120</v>
      </c>
      <c r="M74" s="126" t="s">
        <v>41</v>
      </c>
      <c r="O74">
        <f t="shared" si="0"/>
        <v>200</v>
      </c>
    </row>
    <row r="75" spans="1:18" x14ac:dyDescent="0.25">
      <c r="A75" s="142">
        <v>10</v>
      </c>
      <c r="B75" s="192" t="s">
        <v>1251</v>
      </c>
      <c r="C75" s="133" t="s">
        <v>1252</v>
      </c>
      <c r="D75" s="133"/>
      <c r="E75" s="130" t="s">
        <v>127</v>
      </c>
      <c r="F75" s="130"/>
      <c r="G75" s="130" t="s">
        <v>80</v>
      </c>
      <c r="H75" s="131" t="s">
        <v>1280</v>
      </c>
      <c r="I75" s="133" t="s">
        <v>40</v>
      </c>
      <c r="J75" s="136">
        <v>2000</v>
      </c>
      <c r="K75" s="164" t="s">
        <v>123</v>
      </c>
      <c r="L75" s="126" t="s">
        <v>120</v>
      </c>
      <c r="M75" s="126" t="s">
        <v>41</v>
      </c>
      <c r="O75">
        <f t="shared" si="0"/>
        <v>400</v>
      </c>
    </row>
    <row r="76" spans="1:18" x14ac:dyDescent="0.25">
      <c r="A76" s="142">
        <v>10</v>
      </c>
      <c r="B76" s="192" t="s">
        <v>1253</v>
      </c>
      <c r="C76" s="133" t="s">
        <v>1254</v>
      </c>
      <c r="D76" s="133"/>
      <c r="E76" s="130" t="s">
        <v>127</v>
      </c>
      <c r="F76" s="130" t="s">
        <v>1187</v>
      </c>
      <c r="G76" s="130" t="s">
        <v>50</v>
      </c>
      <c r="H76" s="131"/>
      <c r="I76" s="133" t="s">
        <v>40</v>
      </c>
      <c r="J76" s="136">
        <v>500</v>
      </c>
      <c r="K76" s="164">
        <v>100</v>
      </c>
      <c r="L76" s="126" t="s">
        <v>120</v>
      </c>
      <c r="M76" s="126" t="s">
        <v>41</v>
      </c>
      <c r="O76">
        <f t="shared" si="0"/>
        <v>100</v>
      </c>
    </row>
    <row r="77" spans="1:18" x14ac:dyDescent="0.25">
      <c r="A77" s="210">
        <v>10</v>
      </c>
      <c r="B77" s="192" t="s">
        <v>1255</v>
      </c>
      <c r="C77" s="133" t="s">
        <v>1256</v>
      </c>
      <c r="D77" s="133"/>
      <c r="E77" s="130" t="s">
        <v>127</v>
      </c>
      <c r="F77" s="130"/>
      <c r="G77" s="130" t="s">
        <v>67</v>
      </c>
      <c r="H77" s="131" t="s">
        <v>1281</v>
      </c>
      <c r="I77" s="130" t="s">
        <v>40</v>
      </c>
      <c r="J77" s="136">
        <v>1000</v>
      </c>
      <c r="K77" s="164">
        <v>200</v>
      </c>
      <c r="L77" s="126" t="s">
        <v>120</v>
      </c>
      <c r="M77" s="126" t="s">
        <v>41</v>
      </c>
      <c r="O77">
        <f t="shared" si="0"/>
        <v>200</v>
      </c>
    </row>
    <row r="78" spans="1:18" x14ac:dyDescent="0.25">
      <c r="A78" s="142">
        <v>14</v>
      </c>
      <c r="B78" s="192" t="s">
        <v>1290</v>
      </c>
      <c r="C78" s="133" t="s">
        <v>1399</v>
      </c>
      <c r="D78" s="133"/>
      <c r="E78" s="130" t="s">
        <v>127</v>
      </c>
      <c r="F78" s="130" t="s">
        <v>215</v>
      </c>
      <c r="G78" s="130" t="s">
        <v>59</v>
      </c>
      <c r="H78" s="131" t="s">
        <v>216</v>
      </c>
      <c r="I78" s="130" t="s">
        <v>40</v>
      </c>
      <c r="J78" s="136">
        <v>2000</v>
      </c>
      <c r="K78" s="164">
        <v>400</v>
      </c>
      <c r="L78" s="126" t="s">
        <v>120</v>
      </c>
      <c r="M78" s="126" t="s">
        <v>41</v>
      </c>
      <c r="O78">
        <f t="shared" si="0"/>
        <v>400</v>
      </c>
    </row>
    <row r="79" spans="1:18" x14ac:dyDescent="0.25">
      <c r="A79" s="142">
        <v>14</v>
      </c>
      <c r="B79" s="192" t="s">
        <v>1291</v>
      </c>
      <c r="C79" s="133" t="s">
        <v>1292</v>
      </c>
      <c r="D79" s="133"/>
      <c r="E79" s="130" t="s">
        <v>127</v>
      </c>
      <c r="F79" s="130" t="s">
        <v>133</v>
      </c>
      <c r="G79" s="130" t="s">
        <v>43</v>
      </c>
      <c r="H79" s="131" t="s">
        <v>1293</v>
      </c>
      <c r="I79" s="133" t="s">
        <v>40</v>
      </c>
      <c r="J79" s="136">
        <v>500</v>
      </c>
      <c r="K79" s="164">
        <v>100</v>
      </c>
      <c r="L79" s="126" t="s">
        <v>120</v>
      </c>
      <c r="M79" s="126" t="s">
        <v>41</v>
      </c>
      <c r="O79">
        <f t="shared" si="0"/>
        <v>100</v>
      </c>
    </row>
    <row r="80" spans="1:18" x14ac:dyDescent="0.25">
      <c r="A80" s="142">
        <v>14</v>
      </c>
      <c r="B80" s="192" t="s">
        <v>1249</v>
      </c>
      <c r="C80" s="133" t="s">
        <v>1250</v>
      </c>
      <c r="D80" s="133"/>
      <c r="E80" s="130" t="s">
        <v>127</v>
      </c>
      <c r="F80" s="130" t="s">
        <v>565</v>
      </c>
      <c r="G80" s="130" t="s">
        <v>56</v>
      </c>
      <c r="H80" s="131" t="s">
        <v>1279</v>
      </c>
      <c r="I80" s="133" t="s">
        <v>40</v>
      </c>
      <c r="J80" s="136">
        <v>3000</v>
      </c>
      <c r="K80" s="164">
        <v>600</v>
      </c>
      <c r="L80" s="126" t="s">
        <v>120</v>
      </c>
      <c r="M80" s="126" t="s">
        <v>41</v>
      </c>
      <c r="O80">
        <f t="shared" si="0"/>
        <v>600</v>
      </c>
      <c r="R80" s="57"/>
    </row>
    <row r="81" spans="1:19" x14ac:dyDescent="0.25">
      <c r="A81" s="142">
        <v>14</v>
      </c>
      <c r="B81" s="192" t="s">
        <v>892</v>
      </c>
      <c r="C81" s="133" t="s">
        <v>507</v>
      </c>
      <c r="D81" s="133"/>
      <c r="E81" s="130" t="s">
        <v>127</v>
      </c>
      <c r="F81" s="130" t="s">
        <v>1295</v>
      </c>
      <c r="G81" s="130" t="s">
        <v>45</v>
      </c>
      <c r="H81" s="131" t="s">
        <v>1294</v>
      </c>
      <c r="I81" s="133" t="s">
        <v>40</v>
      </c>
      <c r="J81" s="136">
        <v>1500</v>
      </c>
      <c r="K81" s="164">
        <v>300</v>
      </c>
      <c r="L81" s="126" t="s">
        <v>120</v>
      </c>
      <c r="M81" s="126" t="s">
        <v>41</v>
      </c>
      <c r="O81">
        <f t="shared" si="0"/>
        <v>300</v>
      </c>
    </row>
    <row r="82" spans="1:19" x14ac:dyDescent="0.25">
      <c r="A82" s="142">
        <v>14</v>
      </c>
      <c r="B82" s="192" t="s">
        <v>755</v>
      </c>
      <c r="C82" s="133" t="s">
        <v>179</v>
      </c>
      <c r="D82" s="133"/>
      <c r="E82" s="130" t="s">
        <v>127</v>
      </c>
      <c r="F82" s="130" t="s">
        <v>706</v>
      </c>
      <c r="G82" s="130" t="s">
        <v>45</v>
      </c>
      <c r="H82" s="131" t="s">
        <v>1296</v>
      </c>
      <c r="I82" s="242" t="s">
        <v>849</v>
      </c>
      <c r="J82" s="136">
        <v>3000</v>
      </c>
      <c r="K82" s="164">
        <v>3000</v>
      </c>
      <c r="L82" s="126" t="s">
        <v>120</v>
      </c>
      <c r="M82" s="126" t="s">
        <v>41</v>
      </c>
      <c r="O82">
        <f t="shared" si="0"/>
        <v>600</v>
      </c>
    </row>
    <row r="83" spans="1:19" x14ac:dyDescent="0.25">
      <c r="A83" s="142">
        <v>14</v>
      </c>
      <c r="B83" s="192" t="s">
        <v>1297</v>
      </c>
      <c r="C83" s="133" t="s">
        <v>1179</v>
      </c>
      <c r="D83" s="133"/>
      <c r="E83" s="130" t="s">
        <v>127</v>
      </c>
      <c r="F83" s="130" t="s">
        <v>1298</v>
      </c>
      <c r="G83" s="130" t="s">
        <v>47</v>
      </c>
      <c r="H83" s="131" t="s">
        <v>1299</v>
      </c>
      <c r="I83" s="130" t="s">
        <v>40</v>
      </c>
      <c r="J83" s="136">
        <v>1500</v>
      </c>
      <c r="K83" s="164">
        <v>300</v>
      </c>
      <c r="L83" s="126" t="s">
        <v>120</v>
      </c>
      <c r="M83" s="126" t="s">
        <v>41</v>
      </c>
      <c r="O83">
        <f t="shared" si="0"/>
        <v>300</v>
      </c>
    </row>
    <row r="84" spans="1:19" x14ac:dyDescent="0.25">
      <c r="A84" s="142">
        <v>14</v>
      </c>
      <c r="B84" s="192" t="s">
        <v>436</v>
      </c>
      <c r="C84" s="133" t="s">
        <v>1300</v>
      </c>
      <c r="D84" s="133"/>
      <c r="E84" s="168" t="s">
        <v>129</v>
      </c>
      <c r="F84" s="130" t="s">
        <v>1085</v>
      </c>
      <c r="G84" s="130" t="s">
        <v>43</v>
      </c>
      <c r="H84" s="131" t="s">
        <v>1301</v>
      </c>
      <c r="I84" s="130" t="s">
        <v>40</v>
      </c>
      <c r="J84" s="136">
        <v>1000</v>
      </c>
      <c r="K84" s="164">
        <v>200</v>
      </c>
      <c r="L84" s="126" t="s">
        <v>120</v>
      </c>
      <c r="M84" s="126" t="s">
        <v>41</v>
      </c>
      <c r="O84">
        <f t="shared" si="0"/>
        <v>200</v>
      </c>
      <c r="S84" s="57"/>
    </row>
    <row r="85" spans="1:19" x14ac:dyDescent="0.25">
      <c r="A85" s="142">
        <v>14</v>
      </c>
      <c r="B85" s="192" t="s">
        <v>1302</v>
      </c>
      <c r="C85" s="133" t="s">
        <v>1303</v>
      </c>
      <c r="D85" s="133"/>
      <c r="E85" s="130" t="s">
        <v>127</v>
      </c>
      <c r="F85" s="130" t="s">
        <v>146</v>
      </c>
      <c r="G85" s="130" t="s">
        <v>46</v>
      </c>
      <c r="H85" s="131" t="s">
        <v>1304</v>
      </c>
      <c r="I85" s="130" t="s">
        <v>40</v>
      </c>
      <c r="J85" s="136">
        <v>20000</v>
      </c>
      <c r="K85" s="164">
        <v>4000</v>
      </c>
      <c r="L85" s="126" t="s">
        <v>120</v>
      </c>
      <c r="M85" s="126" t="s">
        <v>41</v>
      </c>
      <c r="O85">
        <f t="shared" si="0"/>
        <v>4000</v>
      </c>
    </row>
    <row r="86" spans="1:19" x14ac:dyDescent="0.25">
      <c r="A86" s="142">
        <v>14</v>
      </c>
      <c r="B86" s="192" t="s">
        <v>176</v>
      </c>
      <c r="C86" s="133" t="s">
        <v>648</v>
      </c>
      <c r="D86" s="133"/>
      <c r="E86" s="130" t="s">
        <v>127</v>
      </c>
      <c r="F86" s="130" t="s">
        <v>135</v>
      </c>
      <c r="G86" s="130" t="s">
        <v>54</v>
      </c>
      <c r="H86" s="131" t="s">
        <v>1305</v>
      </c>
      <c r="I86" s="130" t="s">
        <v>40</v>
      </c>
      <c r="J86" s="136">
        <v>250</v>
      </c>
      <c r="K86" s="164">
        <v>50</v>
      </c>
      <c r="L86" s="126" t="s">
        <v>120</v>
      </c>
      <c r="M86" s="126" t="s">
        <v>41</v>
      </c>
      <c r="O86">
        <f t="shared" si="0"/>
        <v>50</v>
      </c>
    </row>
    <row r="87" spans="1:19" x14ac:dyDescent="0.25">
      <c r="A87" s="142">
        <v>14</v>
      </c>
      <c r="B87" s="192" t="s">
        <v>176</v>
      </c>
      <c r="C87" s="133" t="s">
        <v>648</v>
      </c>
      <c r="D87" s="133"/>
      <c r="E87" s="130" t="s">
        <v>127</v>
      </c>
      <c r="F87" s="130" t="s">
        <v>135</v>
      </c>
      <c r="G87" s="130" t="s">
        <v>54</v>
      </c>
      <c r="H87" s="131" t="s">
        <v>1305</v>
      </c>
      <c r="I87" s="240" t="s">
        <v>145</v>
      </c>
      <c r="J87" s="136">
        <v>250</v>
      </c>
      <c r="K87" s="164">
        <v>50</v>
      </c>
      <c r="L87" s="126" t="s">
        <v>120</v>
      </c>
      <c r="M87" s="126" t="s">
        <v>41</v>
      </c>
      <c r="O87">
        <f t="shared" si="0"/>
        <v>50</v>
      </c>
    </row>
    <row r="88" spans="1:19" x14ac:dyDescent="0.25">
      <c r="A88" s="142">
        <v>14</v>
      </c>
      <c r="B88" s="192" t="s">
        <v>1306</v>
      </c>
      <c r="C88" s="133" t="s">
        <v>431</v>
      </c>
      <c r="D88" s="133"/>
      <c r="E88" s="130" t="s">
        <v>127</v>
      </c>
      <c r="F88" s="130" t="s">
        <v>158</v>
      </c>
      <c r="G88" s="130" t="s">
        <v>42</v>
      </c>
      <c r="H88" s="131" t="s">
        <v>1307</v>
      </c>
      <c r="I88" s="130" t="s">
        <v>40</v>
      </c>
      <c r="J88" s="136">
        <v>20000</v>
      </c>
      <c r="K88" s="164">
        <v>4000</v>
      </c>
      <c r="L88" s="126" t="s">
        <v>120</v>
      </c>
      <c r="M88" s="126" t="s">
        <v>41</v>
      </c>
      <c r="O88">
        <f t="shared" si="0"/>
        <v>4000</v>
      </c>
      <c r="R88" s="57"/>
    </row>
    <row r="89" spans="1:19" x14ac:dyDescent="0.25">
      <c r="A89" s="142">
        <v>21</v>
      </c>
      <c r="B89" s="192" t="s">
        <v>1312</v>
      </c>
      <c r="C89" s="133" t="s">
        <v>1313</v>
      </c>
      <c r="D89" s="130"/>
      <c r="E89" s="130" t="s">
        <v>127</v>
      </c>
      <c r="F89" s="130"/>
      <c r="G89" s="130" t="s">
        <v>54</v>
      </c>
      <c r="H89" s="131"/>
      <c r="I89" s="133" t="s">
        <v>40</v>
      </c>
      <c r="J89" s="136">
        <v>50</v>
      </c>
      <c r="K89" s="164" t="s">
        <v>123</v>
      </c>
      <c r="L89" s="126" t="s">
        <v>120</v>
      </c>
      <c r="M89" s="126" t="s">
        <v>41</v>
      </c>
      <c r="O89">
        <f t="shared" si="0"/>
        <v>10</v>
      </c>
    </row>
    <row r="90" spans="1:19" x14ac:dyDescent="0.25">
      <c r="A90" s="142">
        <v>21</v>
      </c>
      <c r="B90" s="192" t="s">
        <v>1314</v>
      </c>
      <c r="C90" s="133" t="s">
        <v>1315</v>
      </c>
      <c r="D90" s="133"/>
      <c r="E90" s="130" t="s">
        <v>127</v>
      </c>
      <c r="F90" s="130" t="s">
        <v>364</v>
      </c>
      <c r="G90" s="130" t="s">
        <v>54</v>
      </c>
      <c r="H90" s="131" t="s">
        <v>1316</v>
      </c>
      <c r="I90" s="130" t="s">
        <v>40</v>
      </c>
      <c r="J90" s="136">
        <v>150</v>
      </c>
      <c r="K90" s="164" t="s">
        <v>123</v>
      </c>
      <c r="L90" s="126" t="s">
        <v>120</v>
      </c>
      <c r="M90" s="126" t="s">
        <v>41</v>
      </c>
      <c r="O90">
        <f t="shared" si="0"/>
        <v>30</v>
      </c>
    </row>
    <row r="91" spans="1:19" x14ac:dyDescent="0.25">
      <c r="A91" s="142">
        <v>21</v>
      </c>
      <c r="B91" s="192" t="s">
        <v>1317</v>
      </c>
      <c r="C91" s="133" t="s">
        <v>1318</v>
      </c>
      <c r="D91" s="133"/>
      <c r="E91" s="130" t="s">
        <v>127</v>
      </c>
      <c r="F91" s="130" t="s">
        <v>880</v>
      </c>
      <c r="G91" s="130" t="s">
        <v>50</v>
      </c>
      <c r="H91" s="131" t="s">
        <v>1319</v>
      </c>
      <c r="I91" s="242" t="s">
        <v>849</v>
      </c>
      <c r="J91" s="136">
        <v>2000</v>
      </c>
      <c r="K91" s="164">
        <v>2000</v>
      </c>
      <c r="L91" s="126" t="s">
        <v>120</v>
      </c>
      <c r="M91" s="126" t="s">
        <v>41</v>
      </c>
      <c r="O91">
        <f t="shared" si="0"/>
        <v>400</v>
      </c>
    </row>
    <row r="92" spans="1:19" x14ac:dyDescent="0.25">
      <c r="A92" s="142">
        <v>21</v>
      </c>
      <c r="B92" s="192" t="s">
        <v>1320</v>
      </c>
      <c r="C92" s="133" t="s">
        <v>342</v>
      </c>
      <c r="D92" s="133"/>
      <c r="E92" s="130" t="s">
        <v>127</v>
      </c>
      <c r="F92" s="130" t="s">
        <v>1321</v>
      </c>
      <c r="G92" s="130" t="s">
        <v>56</v>
      </c>
      <c r="H92" s="131" t="s">
        <v>1322</v>
      </c>
      <c r="I92" s="133" t="s">
        <v>40</v>
      </c>
      <c r="J92" s="136">
        <v>1000</v>
      </c>
      <c r="K92" s="164">
        <v>200</v>
      </c>
      <c r="L92" s="126" t="s">
        <v>120</v>
      </c>
      <c r="M92" s="126" t="s">
        <v>41</v>
      </c>
      <c r="O92">
        <f t="shared" si="0"/>
        <v>200</v>
      </c>
    </row>
    <row r="93" spans="1:19" x14ac:dyDescent="0.25">
      <c r="A93" s="142">
        <v>21</v>
      </c>
      <c r="B93" s="192" t="s">
        <v>1323</v>
      </c>
      <c r="C93" s="133" t="s">
        <v>1324</v>
      </c>
      <c r="D93" s="133"/>
      <c r="E93" s="130" t="s">
        <v>127</v>
      </c>
      <c r="F93" s="130" t="s">
        <v>1325</v>
      </c>
      <c r="G93" s="130" t="s">
        <v>47</v>
      </c>
      <c r="H93" s="131" t="s">
        <v>1326</v>
      </c>
      <c r="I93" s="133" t="s">
        <v>40</v>
      </c>
      <c r="J93" s="136">
        <v>2000</v>
      </c>
      <c r="K93" s="164">
        <v>400</v>
      </c>
      <c r="L93" s="126" t="s">
        <v>120</v>
      </c>
      <c r="M93" s="126" t="s">
        <v>41</v>
      </c>
      <c r="O93">
        <f t="shared" si="0"/>
        <v>400</v>
      </c>
    </row>
    <row r="94" spans="1:19" x14ac:dyDescent="0.25">
      <c r="A94" s="142">
        <v>21</v>
      </c>
      <c r="B94" s="192" t="s">
        <v>1327</v>
      </c>
      <c r="C94" s="133" t="s">
        <v>1328</v>
      </c>
      <c r="D94" s="133"/>
      <c r="E94" s="130" t="s">
        <v>127</v>
      </c>
      <c r="F94" s="130" t="s">
        <v>1329</v>
      </c>
      <c r="G94" s="130" t="s">
        <v>71</v>
      </c>
      <c r="H94" s="131" t="s">
        <v>1330</v>
      </c>
      <c r="I94" s="133" t="s">
        <v>40</v>
      </c>
      <c r="J94" s="136">
        <v>500</v>
      </c>
      <c r="K94" s="164" t="s">
        <v>123</v>
      </c>
      <c r="L94" s="126" t="s">
        <v>120</v>
      </c>
      <c r="M94" s="126" t="s">
        <v>41</v>
      </c>
      <c r="O94">
        <f t="shared" si="0"/>
        <v>100</v>
      </c>
    </row>
    <row r="95" spans="1:19" x14ac:dyDescent="0.25">
      <c r="A95" s="142">
        <v>21</v>
      </c>
      <c r="B95" s="192" t="s">
        <v>1331</v>
      </c>
      <c r="C95" s="133" t="s">
        <v>1332</v>
      </c>
      <c r="D95" s="133"/>
      <c r="E95" s="130" t="s">
        <v>127</v>
      </c>
      <c r="F95" s="130" t="s">
        <v>1333</v>
      </c>
      <c r="G95" s="199" t="s">
        <v>81</v>
      </c>
      <c r="H95" s="131" t="s">
        <v>1334</v>
      </c>
      <c r="I95" s="130" t="s">
        <v>40</v>
      </c>
      <c r="J95" s="136">
        <v>6100</v>
      </c>
      <c r="K95" s="164">
        <v>1220</v>
      </c>
      <c r="L95" s="126" t="s">
        <v>120</v>
      </c>
      <c r="M95" s="126" t="s">
        <v>41</v>
      </c>
      <c r="O95">
        <f t="shared" si="0"/>
        <v>1220</v>
      </c>
    </row>
    <row r="96" spans="1:19" x14ac:dyDescent="0.25">
      <c r="A96" s="142">
        <v>21</v>
      </c>
      <c r="B96" s="192" t="s">
        <v>1335</v>
      </c>
      <c r="C96" s="133" t="s">
        <v>1336</v>
      </c>
      <c r="D96" s="133"/>
      <c r="E96" s="130" t="s">
        <v>127</v>
      </c>
      <c r="F96" s="130" t="s">
        <v>1029</v>
      </c>
      <c r="G96" s="130" t="s">
        <v>45</v>
      </c>
      <c r="H96" s="131"/>
      <c r="I96" s="130" t="s">
        <v>40</v>
      </c>
      <c r="J96" s="136">
        <v>2000</v>
      </c>
      <c r="K96" s="164">
        <v>400</v>
      </c>
      <c r="L96" s="126" t="s">
        <v>120</v>
      </c>
      <c r="M96" s="126" t="s">
        <v>41</v>
      </c>
      <c r="O96">
        <f t="shared" si="0"/>
        <v>400</v>
      </c>
    </row>
    <row r="97" spans="1:18" x14ac:dyDescent="0.25">
      <c r="A97" s="142">
        <v>21</v>
      </c>
      <c r="B97" s="192" t="s">
        <v>1337</v>
      </c>
      <c r="C97" s="133" t="s">
        <v>1338</v>
      </c>
      <c r="D97" s="133"/>
      <c r="E97" s="130" t="s">
        <v>127</v>
      </c>
      <c r="F97" s="130" t="s">
        <v>926</v>
      </c>
      <c r="G97" s="130" t="s">
        <v>79</v>
      </c>
      <c r="H97" s="131" t="s">
        <v>1339</v>
      </c>
      <c r="I97" s="242" t="s">
        <v>849</v>
      </c>
      <c r="J97" s="136">
        <v>500</v>
      </c>
      <c r="K97" s="164">
        <v>500</v>
      </c>
      <c r="L97" s="126" t="s">
        <v>120</v>
      </c>
      <c r="M97" s="126" t="s">
        <v>41</v>
      </c>
      <c r="O97">
        <f t="shared" si="0"/>
        <v>100</v>
      </c>
    </row>
    <row r="98" spans="1:18" x14ac:dyDescent="0.25">
      <c r="A98" s="142">
        <v>21</v>
      </c>
      <c r="B98" s="192" t="s">
        <v>1340</v>
      </c>
      <c r="C98" s="133" t="s">
        <v>1341</v>
      </c>
      <c r="D98" s="133"/>
      <c r="E98" s="130" t="s">
        <v>127</v>
      </c>
      <c r="F98" s="130" t="s">
        <v>525</v>
      </c>
      <c r="G98" s="130" t="s">
        <v>56</v>
      </c>
      <c r="H98" s="131" t="s">
        <v>1342</v>
      </c>
      <c r="I98" s="130" t="s">
        <v>40</v>
      </c>
      <c r="J98" s="136">
        <v>400</v>
      </c>
      <c r="K98" s="164">
        <v>120</v>
      </c>
      <c r="L98" s="126" t="s">
        <v>120</v>
      </c>
      <c r="M98" s="126" t="s">
        <v>41</v>
      </c>
      <c r="O98">
        <f t="shared" si="0"/>
        <v>80</v>
      </c>
      <c r="R98" s="57"/>
    </row>
    <row r="99" spans="1:18" x14ac:dyDescent="0.25">
      <c r="A99" s="142">
        <v>21</v>
      </c>
      <c r="B99" s="192" t="s">
        <v>1343</v>
      </c>
      <c r="C99" s="133" t="s">
        <v>1344</v>
      </c>
      <c r="D99" s="133"/>
      <c r="E99" s="130" t="s">
        <v>127</v>
      </c>
      <c r="F99" s="130" t="s">
        <v>144</v>
      </c>
      <c r="G99" s="130" t="s">
        <v>43</v>
      </c>
      <c r="H99" s="131" t="s">
        <v>1345</v>
      </c>
      <c r="I99" s="133" t="s">
        <v>40</v>
      </c>
      <c r="J99" s="136">
        <v>1000</v>
      </c>
      <c r="K99" s="164">
        <v>200</v>
      </c>
      <c r="L99" s="126" t="s">
        <v>120</v>
      </c>
      <c r="M99" s="126" t="s">
        <v>41</v>
      </c>
      <c r="O99">
        <f t="shared" si="0"/>
        <v>200</v>
      </c>
    </row>
    <row r="100" spans="1:18" x14ac:dyDescent="0.25">
      <c r="A100" s="142">
        <v>21</v>
      </c>
      <c r="B100" s="192" t="s">
        <v>1346</v>
      </c>
      <c r="C100" s="133" t="s">
        <v>528</v>
      </c>
      <c r="D100" s="133"/>
      <c r="E100" s="130" t="s">
        <v>127</v>
      </c>
      <c r="F100" s="130" t="s">
        <v>1347</v>
      </c>
      <c r="G100" s="130" t="s">
        <v>64</v>
      </c>
      <c r="H100" s="131" t="s">
        <v>1348</v>
      </c>
      <c r="I100" s="242" t="s">
        <v>849</v>
      </c>
      <c r="J100" s="136">
        <v>2000</v>
      </c>
      <c r="K100" s="164">
        <v>2000</v>
      </c>
      <c r="L100" s="126" t="s">
        <v>120</v>
      </c>
      <c r="M100" s="126" t="s">
        <v>41</v>
      </c>
      <c r="O100">
        <f t="shared" si="0"/>
        <v>400</v>
      </c>
    </row>
    <row r="101" spans="1:18" x14ac:dyDescent="0.25">
      <c r="A101" s="142">
        <v>21</v>
      </c>
      <c r="B101" s="192" t="s">
        <v>1349</v>
      </c>
      <c r="C101" s="133" t="s">
        <v>1324</v>
      </c>
      <c r="D101" s="133"/>
      <c r="E101" s="130" t="s">
        <v>127</v>
      </c>
      <c r="F101" s="130" t="s">
        <v>1118</v>
      </c>
      <c r="G101" s="130" t="s">
        <v>43</v>
      </c>
      <c r="H101" s="131"/>
      <c r="I101" s="130" t="s">
        <v>40</v>
      </c>
      <c r="J101" s="136">
        <v>1500</v>
      </c>
      <c r="K101" s="164">
        <v>300</v>
      </c>
      <c r="L101" s="126" t="s">
        <v>120</v>
      </c>
      <c r="M101" s="126" t="s">
        <v>41</v>
      </c>
      <c r="O101">
        <f t="shared" si="0"/>
        <v>300</v>
      </c>
    </row>
    <row r="102" spans="1:18" x14ac:dyDescent="0.25">
      <c r="A102" s="142">
        <v>22</v>
      </c>
      <c r="B102" s="192" t="s">
        <v>1350</v>
      </c>
      <c r="C102" s="133" t="s">
        <v>709</v>
      </c>
      <c r="D102" s="133"/>
      <c r="E102" s="130" t="s">
        <v>127</v>
      </c>
      <c r="F102" s="130" t="s">
        <v>146</v>
      </c>
      <c r="G102" s="130" t="s">
        <v>46</v>
      </c>
      <c r="H102" s="131" t="s">
        <v>1351</v>
      </c>
      <c r="I102" s="130" t="s">
        <v>40</v>
      </c>
      <c r="J102" s="136">
        <v>1000</v>
      </c>
      <c r="K102" s="164">
        <v>200</v>
      </c>
      <c r="L102" s="126" t="s">
        <v>120</v>
      </c>
      <c r="M102" s="126" t="s">
        <v>41</v>
      </c>
      <c r="O102">
        <f t="shared" si="0"/>
        <v>200</v>
      </c>
    </row>
    <row r="103" spans="1:18" x14ac:dyDescent="0.25">
      <c r="A103" s="142">
        <v>22</v>
      </c>
      <c r="B103" s="192" t="s">
        <v>1352</v>
      </c>
      <c r="C103" s="133" t="s">
        <v>1353</v>
      </c>
      <c r="D103" s="133"/>
      <c r="E103" s="130" t="s">
        <v>127</v>
      </c>
      <c r="F103" s="130" t="s">
        <v>355</v>
      </c>
      <c r="G103" s="130" t="s">
        <v>69</v>
      </c>
      <c r="H103" s="131" t="s">
        <v>1354</v>
      </c>
      <c r="I103" s="133" t="s">
        <v>40</v>
      </c>
      <c r="J103" s="136">
        <v>500</v>
      </c>
      <c r="K103" s="164" t="s">
        <v>123</v>
      </c>
      <c r="L103" s="126" t="s">
        <v>120</v>
      </c>
      <c r="M103" s="126" t="s">
        <v>41</v>
      </c>
      <c r="O103">
        <f t="shared" si="0"/>
        <v>100</v>
      </c>
    </row>
    <row r="104" spans="1:18" x14ac:dyDescent="0.25">
      <c r="A104" s="142">
        <v>22</v>
      </c>
      <c r="B104" s="192" t="s">
        <v>1352</v>
      </c>
      <c r="C104" s="133" t="s">
        <v>1353</v>
      </c>
      <c r="D104" s="133"/>
      <c r="E104" s="130" t="s">
        <v>127</v>
      </c>
      <c r="F104" s="130" t="s">
        <v>355</v>
      </c>
      <c r="G104" s="130" t="s">
        <v>69</v>
      </c>
      <c r="H104" s="131" t="s">
        <v>1354</v>
      </c>
      <c r="I104" s="133" t="s">
        <v>40</v>
      </c>
      <c r="J104" s="136">
        <v>500</v>
      </c>
      <c r="K104" s="164">
        <v>100</v>
      </c>
      <c r="L104" s="126" t="s">
        <v>120</v>
      </c>
      <c r="M104" s="126" t="s">
        <v>41</v>
      </c>
      <c r="O104">
        <f t="shared" si="0"/>
        <v>100</v>
      </c>
    </row>
    <row r="105" spans="1:18" x14ac:dyDescent="0.25">
      <c r="A105" s="142">
        <v>22</v>
      </c>
      <c r="B105" s="192" t="s">
        <v>1352</v>
      </c>
      <c r="C105" s="133" t="s">
        <v>1353</v>
      </c>
      <c r="D105" s="133"/>
      <c r="E105" s="130" t="s">
        <v>127</v>
      </c>
      <c r="F105" s="130" t="s">
        <v>355</v>
      </c>
      <c r="G105" s="130" t="s">
        <v>69</v>
      </c>
      <c r="H105" s="131" t="s">
        <v>1354</v>
      </c>
      <c r="I105" s="240" t="s">
        <v>145</v>
      </c>
      <c r="J105" s="136">
        <v>500</v>
      </c>
      <c r="K105" s="164">
        <v>100</v>
      </c>
      <c r="L105" s="126" t="s">
        <v>120</v>
      </c>
      <c r="M105" s="126" t="s">
        <v>41</v>
      </c>
      <c r="O105">
        <f t="shared" si="0"/>
        <v>100</v>
      </c>
    </row>
    <row r="106" spans="1:18" x14ac:dyDescent="0.25">
      <c r="A106" s="142">
        <v>24</v>
      </c>
      <c r="B106" s="192" t="s">
        <v>1358</v>
      </c>
      <c r="C106" s="133" t="s">
        <v>1359</v>
      </c>
      <c r="D106" s="133"/>
      <c r="E106" s="130" t="s">
        <v>127</v>
      </c>
      <c r="F106" s="130" t="s">
        <v>1360</v>
      </c>
      <c r="G106" s="130" t="s">
        <v>56</v>
      </c>
      <c r="H106" s="131"/>
      <c r="I106" s="130" t="s">
        <v>40</v>
      </c>
      <c r="J106" s="136">
        <v>200</v>
      </c>
      <c r="K106" s="164">
        <v>40</v>
      </c>
      <c r="L106" s="126" t="s">
        <v>120</v>
      </c>
      <c r="M106" s="126" t="s">
        <v>41</v>
      </c>
      <c r="O106">
        <f t="shared" si="0"/>
        <v>40</v>
      </c>
    </row>
    <row r="107" spans="1:18" x14ac:dyDescent="0.25">
      <c r="A107" s="142">
        <v>24</v>
      </c>
      <c r="B107" s="192" t="s">
        <v>755</v>
      </c>
      <c r="C107" s="133" t="s">
        <v>179</v>
      </c>
      <c r="D107" s="133"/>
      <c r="E107" s="130" t="s">
        <v>127</v>
      </c>
      <c r="F107" s="130" t="s">
        <v>706</v>
      </c>
      <c r="G107" s="130" t="s">
        <v>45</v>
      </c>
      <c r="H107" s="131" t="s">
        <v>1296</v>
      </c>
      <c r="I107" s="242" t="s">
        <v>849</v>
      </c>
      <c r="J107" s="136">
        <v>2000</v>
      </c>
      <c r="K107" s="164">
        <v>2000</v>
      </c>
      <c r="L107" s="126" t="s">
        <v>120</v>
      </c>
      <c r="M107" s="126" t="s">
        <v>41</v>
      </c>
      <c r="O107">
        <f t="shared" si="0"/>
        <v>400</v>
      </c>
    </row>
    <row r="108" spans="1:18" x14ac:dyDescent="0.25">
      <c r="A108" s="142">
        <v>24</v>
      </c>
      <c r="B108" s="192" t="s">
        <v>1361</v>
      </c>
      <c r="C108" s="133" t="s">
        <v>1362</v>
      </c>
      <c r="D108" s="133"/>
      <c r="E108" s="130" t="s">
        <v>127</v>
      </c>
      <c r="F108" s="130" t="s">
        <v>649</v>
      </c>
      <c r="G108" s="130" t="s">
        <v>48</v>
      </c>
      <c r="H108" s="131"/>
      <c r="I108" s="130" t="s">
        <v>40</v>
      </c>
      <c r="J108" s="136">
        <v>100</v>
      </c>
      <c r="K108" s="164">
        <v>20</v>
      </c>
      <c r="L108" s="126" t="s">
        <v>120</v>
      </c>
      <c r="M108" s="126" t="s">
        <v>41</v>
      </c>
      <c r="O108">
        <f t="shared" si="0"/>
        <v>20</v>
      </c>
    </row>
    <row r="109" spans="1:18" x14ac:dyDescent="0.25">
      <c r="A109" s="142">
        <v>24</v>
      </c>
      <c r="B109" s="192" t="s">
        <v>357</v>
      </c>
      <c r="C109" s="133" t="s">
        <v>1363</v>
      </c>
      <c r="D109" s="133"/>
      <c r="E109" s="130" t="s">
        <v>127</v>
      </c>
      <c r="F109" s="130" t="s">
        <v>60</v>
      </c>
      <c r="G109" s="130" t="s">
        <v>69</v>
      </c>
      <c r="H109" s="131"/>
      <c r="I109" s="240" t="s">
        <v>145</v>
      </c>
      <c r="J109" s="136">
        <v>1500</v>
      </c>
      <c r="K109" s="164">
        <v>300</v>
      </c>
      <c r="L109" s="126" t="s">
        <v>120</v>
      </c>
      <c r="M109" s="126" t="s">
        <v>41</v>
      </c>
      <c r="O109">
        <f t="shared" si="0"/>
        <v>300</v>
      </c>
    </row>
    <row r="110" spans="1:18" x14ac:dyDescent="0.25">
      <c r="A110" s="142">
        <v>24</v>
      </c>
      <c r="B110" s="192" t="s">
        <v>1364</v>
      </c>
      <c r="C110" s="133" t="s">
        <v>1365</v>
      </c>
      <c r="D110" s="133"/>
      <c r="E110" s="168" t="s">
        <v>129</v>
      </c>
      <c r="F110" s="130" t="s">
        <v>565</v>
      </c>
      <c r="G110" s="130" t="s">
        <v>56</v>
      </c>
      <c r="H110" s="131" t="s">
        <v>1366</v>
      </c>
      <c r="I110" s="242" t="s">
        <v>849</v>
      </c>
      <c r="J110" s="136">
        <v>2000</v>
      </c>
      <c r="K110" s="164">
        <v>2000</v>
      </c>
      <c r="L110" s="126" t="s">
        <v>120</v>
      </c>
      <c r="M110" s="126" t="s">
        <v>41</v>
      </c>
      <c r="O110">
        <f t="shared" si="0"/>
        <v>400</v>
      </c>
    </row>
    <row r="111" spans="1:18" x14ac:dyDescent="0.25">
      <c r="A111" s="142">
        <v>24</v>
      </c>
      <c r="B111" s="192" t="s">
        <v>1367</v>
      </c>
      <c r="C111" s="133" t="s">
        <v>1155</v>
      </c>
      <c r="D111" s="133"/>
      <c r="E111" s="130" t="s">
        <v>127</v>
      </c>
      <c r="F111" s="130" t="s">
        <v>220</v>
      </c>
      <c r="G111" s="130" t="s">
        <v>54</v>
      </c>
      <c r="H111" s="131"/>
      <c r="I111" s="256" t="s">
        <v>1357</v>
      </c>
      <c r="J111" s="136">
        <v>500</v>
      </c>
      <c r="K111" s="164">
        <v>250</v>
      </c>
      <c r="L111" s="126" t="s">
        <v>120</v>
      </c>
      <c r="M111" s="126" t="s">
        <v>41</v>
      </c>
      <c r="O111">
        <f t="shared" si="0"/>
        <v>100</v>
      </c>
    </row>
    <row r="112" spans="1:18" x14ac:dyDescent="0.25">
      <c r="A112" s="142">
        <v>24</v>
      </c>
      <c r="B112" s="192" t="s">
        <v>1368</v>
      </c>
      <c r="C112" s="133" t="s">
        <v>1369</v>
      </c>
      <c r="D112" s="133"/>
      <c r="E112" s="168" t="s">
        <v>129</v>
      </c>
      <c r="F112" s="130" t="s">
        <v>562</v>
      </c>
      <c r="G112" s="130" t="s">
        <v>42</v>
      </c>
      <c r="H112" s="131" t="s">
        <v>1370</v>
      </c>
      <c r="I112" s="130" t="s">
        <v>40</v>
      </c>
      <c r="J112" s="136">
        <v>3000</v>
      </c>
      <c r="K112" s="164">
        <v>600</v>
      </c>
      <c r="L112" s="126" t="s">
        <v>120</v>
      </c>
      <c r="M112" s="126" t="s">
        <v>41</v>
      </c>
      <c r="O112">
        <f t="shared" si="0"/>
        <v>600</v>
      </c>
    </row>
    <row r="113" spans="1:15" x14ac:dyDescent="0.25">
      <c r="A113" s="142">
        <v>24</v>
      </c>
      <c r="B113" s="192" t="s">
        <v>1371</v>
      </c>
      <c r="C113" s="133" t="s">
        <v>1372</v>
      </c>
      <c r="D113" s="133"/>
      <c r="E113" s="130" t="s">
        <v>127</v>
      </c>
      <c r="F113" s="130" t="s">
        <v>1373</v>
      </c>
      <c r="G113" s="130" t="s">
        <v>54</v>
      </c>
      <c r="H113" s="131" t="s">
        <v>1374</v>
      </c>
      <c r="I113" s="240" t="s">
        <v>145</v>
      </c>
      <c r="J113" s="136">
        <v>200</v>
      </c>
      <c r="K113" s="164">
        <v>40</v>
      </c>
      <c r="L113" s="126" t="s">
        <v>120</v>
      </c>
      <c r="M113" s="126" t="s">
        <v>41</v>
      </c>
      <c r="O113">
        <f t="shared" si="0"/>
        <v>40</v>
      </c>
    </row>
    <row r="114" spans="1:15" x14ac:dyDescent="0.25">
      <c r="A114" s="210">
        <v>24</v>
      </c>
      <c r="B114" s="192" t="s">
        <v>1375</v>
      </c>
      <c r="C114" s="133" t="s">
        <v>1376</v>
      </c>
      <c r="D114" s="133"/>
      <c r="E114" s="130" t="s">
        <v>127</v>
      </c>
      <c r="F114" s="130" t="s">
        <v>1377</v>
      </c>
      <c r="G114" s="130" t="s">
        <v>57</v>
      </c>
      <c r="H114" s="131"/>
      <c r="I114" s="256" t="s">
        <v>1357</v>
      </c>
      <c r="J114" s="136">
        <v>2000</v>
      </c>
      <c r="K114" s="164">
        <v>1000</v>
      </c>
      <c r="L114" s="126" t="s">
        <v>120</v>
      </c>
      <c r="M114" s="126" t="s">
        <v>41</v>
      </c>
      <c r="O114">
        <f t="shared" si="0"/>
        <v>400</v>
      </c>
    </row>
    <row r="115" spans="1:15" x14ac:dyDescent="0.25">
      <c r="A115" s="142">
        <v>28</v>
      </c>
      <c r="B115" s="192" t="s">
        <v>1385</v>
      </c>
      <c r="C115" s="133" t="s">
        <v>1386</v>
      </c>
      <c r="D115" s="133"/>
      <c r="E115" s="130" t="s">
        <v>127</v>
      </c>
      <c r="F115" s="130" t="s">
        <v>135</v>
      </c>
      <c r="G115" s="130" t="s">
        <v>54</v>
      </c>
      <c r="H115" s="131" t="s">
        <v>1387</v>
      </c>
      <c r="I115" s="130" t="s">
        <v>40</v>
      </c>
      <c r="J115" s="136">
        <v>600</v>
      </c>
      <c r="K115" s="164">
        <v>180</v>
      </c>
      <c r="L115" s="126" t="s">
        <v>120</v>
      </c>
      <c r="M115" s="126" t="s">
        <v>41</v>
      </c>
      <c r="O115">
        <f t="shared" si="0"/>
        <v>120</v>
      </c>
    </row>
    <row r="116" spans="1:15" x14ac:dyDescent="0.25">
      <c r="A116" s="142">
        <v>28</v>
      </c>
      <c r="B116" s="192" t="s">
        <v>916</v>
      </c>
      <c r="C116" s="133" t="s">
        <v>917</v>
      </c>
      <c r="D116" s="133"/>
      <c r="E116" s="130" t="s">
        <v>127</v>
      </c>
      <c r="F116" s="130" t="s">
        <v>558</v>
      </c>
      <c r="G116" s="130" t="s">
        <v>46</v>
      </c>
      <c r="H116" s="131" t="s">
        <v>918</v>
      </c>
      <c r="I116" s="133" t="s">
        <v>40</v>
      </c>
      <c r="J116" s="136">
        <v>6000</v>
      </c>
      <c r="K116" s="164">
        <v>1200</v>
      </c>
      <c r="L116" s="126" t="s">
        <v>120</v>
      </c>
      <c r="M116" s="126" t="s">
        <v>41</v>
      </c>
      <c r="O116">
        <f t="shared" si="0"/>
        <v>1200</v>
      </c>
    </row>
    <row r="117" spans="1:15" x14ac:dyDescent="0.25">
      <c r="A117" s="142">
        <v>28</v>
      </c>
      <c r="B117" s="192" t="s">
        <v>161</v>
      </c>
      <c r="C117" s="133" t="s">
        <v>420</v>
      </c>
      <c r="D117" s="133"/>
      <c r="E117" s="130" t="s">
        <v>127</v>
      </c>
      <c r="F117" s="130" t="s">
        <v>134</v>
      </c>
      <c r="G117" s="130" t="s">
        <v>43</v>
      </c>
      <c r="H117" s="131" t="s">
        <v>421</v>
      </c>
      <c r="I117" s="133" t="s">
        <v>40</v>
      </c>
      <c r="J117" s="136">
        <v>2000</v>
      </c>
      <c r="K117" s="164">
        <v>400</v>
      </c>
      <c r="L117" s="126" t="s">
        <v>120</v>
      </c>
      <c r="M117" s="126" t="s">
        <v>41</v>
      </c>
      <c r="O117">
        <f t="shared" si="0"/>
        <v>400</v>
      </c>
    </row>
    <row r="118" spans="1:15" x14ac:dyDescent="0.25">
      <c r="A118" s="142">
        <v>28</v>
      </c>
      <c r="B118" s="192" t="s">
        <v>630</v>
      </c>
      <c r="C118" s="133" t="s">
        <v>1341</v>
      </c>
      <c r="D118" s="133"/>
      <c r="E118" s="130" t="s">
        <v>127</v>
      </c>
      <c r="F118" s="130" t="s">
        <v>1388</v>
      </c>
      <c r="G118" s="130" t="s">
        <v>69</v>
      </c>
      <c r="H118" s="131" t="s">
        <v>1389</v>
      </c>
      <c r="I118" s="133" t="s">
        <v>40</v>
      </c>
      <c r="J118" s="136">
        <v>500</v>
      </c>
      <c r="K118" s="164" t="s">
        <v>123</v>
      </c>
      <c r="L118" s="126" t="s">
        <v>120</v>
      </c>
      <c r="M118" s="126" t="s">
        <v>41</v>
      </c>
      <c r="O118">
        <f t="shared" si="0"/>
        <v>100</v>
      </c>
    </row>
    <row r="119" spans="1:15" x14ac:dyDescent="0.25">
      <c r="A119" s="142">
        <v>28</v>
      </c>
      <c r="B119" s="192" t="s">
        <v>630</v>
      </c>
      <c r="C119" s="133" t="s">
        <v>1341</v>
      </c>
      <c r="D119" s="133"/>
      <c r="E119" s="130" t="s">
        <v>127</v>
      </c>
      <c r="F119" s="130" t="s">
        <v>1388</v>
      </c>
      <c r="G119" s="130" t="s">
        <v>69</v>
      </c>
      <c r="H119" s="131" t="s">
        <v>1389</v>
      </c>
      <c r="I119" s="130" t="s">
        <v>40</v>
      </c>
      <c r="J119" s="136">
        <v>500</v>
      </c>
      <c r="K119" s="164">
        <v>100</v>
      </c>
      <c r="L119" s="126" t="s">
        <v>120</v>
      </c>
      <c r="M119" s="126" t="s">
        <v>41</v>
      </c>
      <c r="O119">
        <f t="shared" si="0"/>
        <v>100</v>
      </c>
    </row>
    <row r="120" spans="1:15" x14ac:dyDescent="0.25">
      <c r="A120" s="142">
        <v>28</v>
      </c>
      <c r="B120" s="192" t="s">
        <v>630</v>
      </c>
      <c r="C120" s="133" t="s">
        <v>1341</v>
      </c>
      <c r="D120" s="133"/>
      <c r="E120" s="130" t="s">
        <v>127</v>
      </c>
      <c r="F120" s="130" t="s">
        <v>1388</v>
      </c>
      <c r="G120" s="130" t="s">
        <v>69</v>
      </c>
      <c r="H120" s="131" t="s">
        <v>1389</v>
      </c>
      <c r="I120" s="256" t="s">
        <v>1357</v>
      </c>
      <c r="J120" s="136">
        <v>500</v>
      </c>
      <c r="K120" s="164">
        <v>250</v>
      </c>
      <c r="L120" s="126" t="s">
        <v>120</v>
      </c>
      <c r="M120" s="126" t="s">
        <v>41</v>
      </c>
      <c r="O120">
        <f t="shared" si="0"/>
        <v>100</v>
      </c>
    </row>
    <row r="121" spans="1:15" x14ac:dyDescent="0.25">
      <c r="A121" s="142">
        <v>28</v>
      </c>
      <c r="B121" s="192" t="s">
        <v>1390</v>
      </c>
      <c r="C121" s="133" t="s">
        <v>1391</v>
      </c>
      <c r="D121" s="133"/>
      <c r="E121" s="130" t="s">
        <v>127</v>
      </c>
      <c r="F121" s="130" t="s">
        <v>1392</v>
      </c>
      <c r="G121" s="130" t="s">
        <v>56</v>
      </c>
      <c r="H121" s="131" t="s">
        <v>1393</v>
      </c>
      <c r="I121" s="130" t="s">
        <v>40</v>
      </c>
      <c r="J121" s="136">
        <v>50</v>
      </c>
      <c r="K121" s="164" t="s">
        <v>123</v>
      </c>
      <c r="L121" s="126" t="s">
        <v>120</v>
      </c>
      <c r="M121" s="126" t="s">
        <v>41</v>
      </c>
      <c r="O121">
        <f t="shared" si="0"/>
        <v>10</v>
      </c>
    </row>
    <row r="122" spans="1:15" x14ac:dyDescent="0.25">
      <c r="A122" s="210">
        <v>28</v>
      </c>
      <c r="B122" s="192" t="s">
        <v>1394</v>
      </c>
      <c r="C122" s="133" t="s">
        <v>1395</v>
      </c>
      <c r="D122" s="133"/>
      <c r="E122" s="130" t="s">
        <v>127</v>
      </c>
      <c r="F122" s="130" t="s">
        <v>392</v>
      </c>
      <c r="G122" s="130" t="s">
        <v>54</v>
      </c>
      <c r="H122" s="131" t="s">
        <v>1396</v>
      </c>
      <c r="I122" s="256" t="s">
        <v>1357</v>
      </c>
      <c r="J122" s="136">
        <v>500</v>
      </c>
      <c r="K122" s="164">
        <v>250</v>
      </c>
      <c r="L122" s="126" t="s">
        <v>120</v>
      </c>
      <c r="M122" s="126" t="s">
        <v>41</v>
      </c>
      <c r="O122">
        <f t="shared" si="0"/>
        <v>100</v>
      </c>
    </row>
    <row r="123" spans="1:15" x14ac:dyDescent="0.25">
      <c r="A123" s="142"/>
      <c r="B123" s="192"/>
      <c r="C123" s="133"/>
      <c r="D123" s="133"/>
      <c r="E123" s="130"/>
      <c r="F123" s="130"/>
      <c r="G123" s="130"/>
      <c r="H123" s="131"/>
      <c r="I123" s="133"/>
      <c r="J123" s="136"/>
      <c r="K123" s="164"/>
      <c r="L123" s="126"/>
      <c r="M123" s="126"/>
      <c r="O123">
        <f t="shared" si="0"/>
        <v>0</v>
      </c>
    </row>
    <row r="124" spans="1:15" x14ac:dyDescent="0.25">
      <c r="A124" s="142"/>
      <c r="B124" s="192"/>
      <c r="C124" s="133"/>
      <c r="D124" s="133"/>
      <c r="E124" s="130"/>
      <c r="F124" s="130"/>
      <c r="G124" s="130"/>
      <c r="H124" s="131"/>
      <c r="I124" s="130"/>
      <c r="J124" s="136"/>
      <c r="K124" s="164"/>
      <c r="L124" s="126"/>
      <c r="M124" s="126"/>
      <c r="O124">
        <f t="shared" si="0"/>
        <v>0</v>
      </c>
    </row>
    <row r="125" spans="1:15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5" x14ac:dyDescent="0.25">
      <c r="A126" s="142"/>
      <c r="B126" s="192"/>
      <c r="C126" s="133"/>
      <c r="D126" s="133"/>
      <c r="E126" s="130"/>
      <c r="F126" s="130"/>
      <c r="G126" s="130"/>
      <c r="H126" s="131"/>
      <c r="I126" s="133"/>
      <c r="J126" s="136"/>
      <c r="K126" s="164"/>
      <c r="L126" s="126"/>
      <c r="M126" s="126"/>
      <c r="O126">
        <f t="shared" si="0"/>
        <v>0</v>
      </c>
    </row>
    <row r="127" spans="1:15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5" x14ac:dyDescent="0.25">
      <c r="A128" s="142"/>
      <c r="B128" s="192"/>
      <c r="C128" s="133"/>
      <c r="D128" s="133"/>
      <c r="E128" s="130"/>
      <c r="F128" s="130"/>
      <c r="G128" s="130"/>
      <c r="H128" s="131"/>
      <c r="I128" s="133"/>
      <c r="J128" s="136"/>
      <c r="K128" s="164"/>
      <c r="L128" s="126"/>
      <c r="M128" s="126"/>
      <c r="O128">
        <f t="shared" si="0"/>
        <v>0</v>
      </c>
    </row>
    <row r="129" spans="1:18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8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8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8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8" x14ac:dyDescent="0.25">
      <c r="A133" s="142"/>
      <c r="B133" s="192"/>
      <c r="C133" s="133"/>
      <c r="D133" s="133"/>
      <c r="E133" s="130"/>
      <c r="F133" s="130"/>
      <c r="G133" s="130"/>
      <c r="H133" s="131"/>
      <c r="I133" s="130"/>
      <c r="J133" s="136"/>
      <c r="K133" s="164"/>
      <c r="L133" s="126"/>
      <c r="M133" s="126"/>
      <c r="O133">
        <f t="shared" si="0"/>
        <v>0</v>
      </c>
    </row>
    <row r="134" spans="1:18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8" x14ac:dyDescent="0.25">
      <c r="A135" s="142"/>
      <c r="B135" s="192"/>
      <c r="C135" s="133"/>
      <c r="D135" s="133"/>
      <c r="E135" s="130"/>
      <c r="F135" s="130"/>
      <c r="G135" s="130"/>
      <c r="H135" s="131"/>
      <c r="I135" s="133"/>
      <c r="J135" s="136"/>
      <c r="K135" s="164"/>
      <c r="L135" s="126"/>
      <c r="M135" s="126"/>
      <c r="O135">
        <f t="shared" si="0"/>
        <v>0</v>
      </c>
    </row>
    <row r="136" spans="1:18" x14ac:dyDescent="0.25">
      <c r="A136" s="142"/>
      <c r="B136" s="192"/>
      <c r="C136" s="133"/>
      <c r="D136" s="133"/>
      <c r="E136" s="130"/>
      <c r="F136" s="130"/>
      <c r="G136" s="130"/>
      <c r="H136" s="131"/>
      <c r="I136" s="130"/>
      <c r="J136" s="136"/>
      <c r="K136" s="164"/>
      <c r="L136" s="126"/>
      <c r="M136" s="126"/>
      <c r="O136">
        <f t="shared" si="0"/>
        <v>0</v>
      </c>
    </row>
    <row r="137" spans="1:18" x14ac:dyDescent="0.25">
      <c r="A137" s="142"/>
      <c r="B137" s="192"/>
      <c r="C137" s="133"/>
      <c r="D137" s="133"/>
      <c r="E137" s="130"/>
      <c r="F137" s="130"/>
      <c r="G137" s="130"/>
      <c r="H137" s="131"/>
      <c r="I137" s="133"/>
      <c r="J137" s="136"/>
      <c r="K137" s="164"/>
      <c r="L137" s="126"/>
      <c r="M137" s="126"/>
      <c r="O137">
        <f t="shared" si="0"/>
        <v>0</v>
      </c>
    </row>
    <row r="138" spans="1:18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8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8" x14ac:dyDescent="0.25">
      <c r="A140" s="142"/>
      <c r="B140" s="192"/>
      <c r="C140" s="133"/>
      <c r="D140" s="133"/>
      <c r="E140" s="130"/>
      <c r="F140" s="130"/>
      <c r="G140" s="130"/>
      <c r="H140" s="131"/>
      <c r="I140" s="133"/>
      <c r="J140" s="136"/>
      <c r="K140" s="164"/>
      <c r="L140" s="126"/>
      <c r="M140" s="126"/>
      <c r="O140">
        <f t="shared" si="0"/>
        <v>0</v>
      </c>
    </row>
    <row r="141" spans="1:18" x14ac:dyDescent="0.25">
      <c r="A141" s="142"/>
      <c r="B141" s="192"/>
      <c r="C141" s="133"/>
      <c r="D141" s="133"/>
      <c r="E141" s="130"/>
      <c r="F141" s="130"/>
      <c r="G141" s="130"/>
      <c r="H141" s="131"/>
      <c r="I141" s="130"/>
      <c r="J141" s="136"/>
      <c r="K141" s="164"/>
      <c r="L141" s="126"/>
      <c r="M141" s="126"/>
      <c r="O141">
        <f t="shared" si="0"/>
        <v>0</v>
      </c>
    </row>
    <row r="142" spans="1:18" x14ac:dyDescent="0.25">
      <c r="A142" s="142"/>
      <c r="B142" s="192"/>
      <c r="C142" s="133"/>
      <c r="D142" s="133"/>
      <c r="E142" s="130"/>
      <c r="F142" s="130"/>
      <c r="G142" s="130"/>
      <c r="H142" s="131"/>
      <c r="I142" s="133"/>
      <c r="J142" s="136"/>
      <c r="K142" s="164"/>
      <c r="L142" s="126"/>
      <c r="M142" s="126"/>
      <c r="O142">
        <f t="shared" si="0"/>
        <v>0</v>
      </c>
      <c r="R142" s="57">
        <f>SUM(J126:J129,J132:J135,J142,J111,J90,J83:J84)</f>
        <v>3150</v>
      </c>
    </row>
    <row r="143" spans="1:18" x14ac:dyDescent="0.25">
      <c r="A143" s="142"/>
      <c r="B143" s="192"/>
      <c r="C143" s="133"/>
      <c r="D143" s="133"/>
      <c r="E143" s="130"/>
      <c r="F143" s="130"/>
      <c r="G143" s="130"/>
      <c r="H143" s="131"/>
      <c r="I143" s="133"/>
      <c r="J143" s="136"/>
      <c r="K143" s="164"/>
      <c r="L143" s="126"/>
      <c r="M143" s="126"/>
      <c r="O143">
        <f t="shared" si="0"/>
        <v>0</v>
      </c>
      <c r="R143" s="57">
        <f>SUM(J143:J146)</f>
        <v>0</v>
      </c>
    </row>
    <row r="144" spans="1:18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5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</row>
    <row r="146" spans="1:15" x14ac:dyDescent="0.25">
      <c r="A146" s="142"/>
      <c r="B146" s="192"/>
      <c r="C146" s="133"/>
      <c r="D146" s="133"/>
      <c r="E146" s="130"/>
      <c r="F146" s="130"/>
      <c r="G146" s="130"/>
      <c r="H146" s="131"/>
      <c r="I146" s="130"/>
      <c r="J146" s="136"/>
      <c r="K146" s="164"/>
      <c r="L146" s="126"/>
      <c r="M146" s="126"/>
      <c r="O146">
        <f t="shared" si="0"/>
        <v>0</v>
      </c>
    </row>
    <row r="147" spans="1:15" x14ac:dyDescent="0.25">
      <c r="A147" s="142"/>
      <c r="B147" s="192"/>
      <c r="C147" s="133"/>
      <c r="D147" s="133"/>
      <c r="E147" s="130"/>
      <c r="F147" s="130"/>
      <c r="G147" s="130"/>
      <c r="H147" s="131"/>
      <c r="I147" s="133"/>
      <c r="J147" s="136"/>
      <c r="K147" s="164"/>
      <c r="L147" s="126"/>
      <c r="M147" s="126"/>
      <c r="O147">
        <f t="shared" si="0"/>
        <v>0</v>
      </c>
    </row>
    <row r="148" spans="1:15" x14ac:dyDescent="0.25">
      <c r="A148" s="142"/>
      <c r="B148" s="192"/>
      <c r="C148" s="133"/>
      <c r="D148" s="133"/>
      <c r="E148" s="130"/>
      <c r="F148" s="130"/>
      <c r="G148" s="130"/>
      <c r="H148" s="131"/>
      <c r="I148" s="133"/>
      <c r="J148" s="136"/>
      <c r="K148" s="164"/>
      <c r="L148" s="126"/>
      <c r="M148" s="126"/>
      <c r="O148">
        <f t="shared" si="0"/>
        <v>0</v>
      </c>
    </row>
    <row r="149" spans="1:15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5" x14ac:dyDescent="0.25">
      <c r="A150" s="142"/>
      <c r="B150" s="192"/>
      <c r="C150" s="133"/>
      <c r="D150" s="133"/>
      <c r="E150" s="130"/>
      <c r="F150" s="130"/>
      <c r="G150" s="130"/>
      <c r="H150" s="131"/>
      <c r="I150" s="130"/>
      <c r="J150" s="136"/>
      <c r="K150" s="164"/>
      <c r="L150" s="126"/>
      <c r="M150" s="126"/>
      <c r="O150">
        <f t="shared" si="0"/>
        <v>0</v>
      </c>
    </row>
    <row r="151" spans="1:15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</row>
    <row r="152" spans="1:15" x14ac:dyDescent="0.25">
      <c r="A152" s="142"/>
      <c r="B152" s="192"/>
      <c r="C152" s="133"/>
      <c r="D152" s="133"/>
      <c r="E152" s="130"/>
      <c r="F152" s="130"/>
      <c r="G152" s="130"/>
      <c r="H152" s="131"/>
      <c r="I152" s="130"/>
      <c r="J152" s="136"/>
      <c r="K152" s="164"/>
      <c r="L152" s="126"/>
      <c r="M152" s="126"/>
    </row>
    <row r="153" spans="1:15" x14ac:dyDescent="0.25">
      <c r="A153" s="142"/>
      <c r="B153" s="192"/>
      <c r="C153" s="133"/>
      <c r="D153" s="133"/>
      <c r="E153" s="130"/>
      <c r="F153" s="130"/>
      <c r="G153" s="130"/>
      <c r="H153" s="131"/>
      <c r="I153" s="130"/>
      <c r="J153" s="136"/>
      <c r="K153" s="164"/>
      <c r="L153" s="126"/>
      <c r="M153" s="126"/>
    </row>
    <row r="154" spans="1:15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</row>
    <row r="155" spans="1:15" x14ac:dyDescent="0.25">
      <c r="A155" s="142"/>
      <c r="B155" s="192"/>
      <c r="C155" s="133"/>
      <c r="D155" s="133"/>
      <c r="E155" s="130"/>
      <c r="F155" s="130"/>
      <c r="G155" s="130"/>
      <c r="H155" s="131"/>
      <c r="I155" s="133"/>
      <c r="J155" s="136"/>
      <c r="K155" s="164"/>
      <c r="L155" s="126"/>
      <c r="M155" s="126"/>
    </row>
    <row r="156" spans="1:15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</row>
    <row r="157" spans="1:15" x14ac:dyDescent="0.25">
      <c r="A157" s="142"/>
      <c r="B157" s="192"/>
      <c r="C157" s="133"/>
      <c r="D157" s="133"/>
      <c r="E157" s="130"/>
      <c r="F157" s="130"/>
      <c r="G157" s="130"/>
      <c r="H157" s="131"/>
      <c r="I157" s="130"/>
      <c r="J157" s="136"/>
      <c r="K157" s="164"/>
      <c r="L157" s="126"/>
      <c r="M157" s="126"/>
    </row>
    <row r="158" spans="1:15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</row>
    <row r="159" spans="1:15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5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</row>
    <row r="161" spans="1:18" x14ac:dyDescent="0.25">
      <c r="A161" s="142"/>
      <c r="B161" s="192"/>
      <c r="C161" s="133"/>
      <c r="D161" s="133"/>
      <c r="E161" s="130"/>
      <c r="F161" s="130"/>
      <c r="G161" s="130"/>
      <c r="H161" s="131"/>
      <c r="I161" s="130"/>
      <c r="J161" s="136"/>
      <c r="K161" s="164"/>
      <c r="L161" s="126"/>
      <c r="M161" s="126"/>
    </row>
    <row r="162" spans="1:18" x14ac:dyDescent="0.25">
      <c r="A162" s="125"/>
      <c r="B162" s="193"/>
      <c r="C162" s="77"/>
      <c r="D162" s="77"/>
      <c r="E162" s="126"/>
      <c r="F162" s="126"/>
      <c r="G162" s="126"/>
      <c r="H162" s="127"/>
      <c r="I162" s="126"/>
      <c r="J162" s="134"/>
      <c r="K162" s="135"/>
      <c r="L162" s="126"/>
      <c r="M162" s="126"/>
      <c r="O162">
        <f>SUM(O12:O145)</f>
        <v>48394</v>
      </c>
    </row>
    <row r="163" spans="1:18" x14ac:dyDescent="0.25">
      <c r="A163" s="169"/>
      <c r="B163" s="190"/>
      <c r="J163" s="25"/>
      <c r="K163" s="88"/>
    </row>
    <row r="165" spans="1:18" x14ac:dyDescent="0.25">
      <c r="K165" s="90"/>
      <c r="L165" s="26"/>
    </row>
    <row r="166" spans="1:18" ht="16.5" customHeight="1" x14ac:dyDescent="0.25">
      <c r="C166" t="s">
        <v>20</v>
      </c>
      <c r="G166" t="s">
        <v>21</v>
      </c>
      <c r="K166" s="79" t="s">
        <v>103</v>
      </c>
      <c r="L166" s="94"/>
      <c r="R166" s="25"/>
    </row>
    <row r="167" spans="1:18" x14ac:dyDescent="0.25">
      <c r="K167" s="79" t="s">
        <v>104</v>
      </c>
      <c r="L167" s="94"/>
      <c r="M167" s="57"/>
    </row>
    <row r="168" spans="1:18" x14ac:dyDescent="0.25">
      <c r="K168" s="79" t="s">
        <v>119</v>
      </c>
      <c r="L168" s="95"/>
    </row>
    <row r="169" spans="1:18" x14ac:dyDescent="0.25">
      <c r="C169" s="91" t="s">
        <v>173</v>
      </c>
      <c r="D169" s="91"/>
      <c r="G169" s="391" t="s">
        <v>125</v>
      </c>
      <c r="H169" s="391"/>
      <c r="I169" s="391"/>
      <c r="J169" s="391"/>
      <c r="K169" s="79" t="s">
        <v>160</v>
      </c>
      <c r="L169" s="95"/>
    </row>
    <row r="170" spans="1:18" x14ac:dyDescent="0.25">
      <c r="C170" t="s">
        <v>153</v>
      </c>
      <c r="G170" s="392" t="s">
        <v>126</v>
      </c>
      <c r="H170" s="392"/>
      <c r="I170" s="392"/>
      <c r="J170" s="392"/>
      <c r="K170" s="79" t="s">
        <v>105</v>
      </c>
      <c r="L170" s="94"/>
    </row>
    <row r="171" spans="1:18" x14ac:dyDescent="0.25">
      <c r="K171" s="79" t="s">
        <v>106</v>
      </c>
      <c r="L171" s="95"/>
    </row>
    <row r="172" spans="1:18" x14ac:dyDescent="0.25">
      <c r="K172" s="79" t="s">
        <v>108</v>
      </c>
      <c r="L172" s="170"/>
    </row>
    <row r="173" spans="1:18" x14ac:dyDescent="0.25">
      <c r="K173" s="79" t="s">
        <v>22</v>
      </c>
      <c r="L173" s="95"/>
    </row>
    <row r="174" spans="1:18" x14ac:dyDescent="0.25">
      <c r="C174" s="27"/>
      <c r="D174" s="27"/>
      <c r="G174" s="27"/>
      <c r="H174" s="27"/>
      <c r="I174" s="27"/>
      <c r="K174" s="92" t="s">
        <v>101</v>
      </c>
      <c r="L174" s="58"/>
    </row>
    <row r="175" spans="1:18" x14ac:dyDescent="0.25">
      <c r="K175" s="92" t="s">
        <v>102</v>
      </c>
      <c r="L175" s="26"/>
    </row>
    <row r="176" spans="1:18" x14ac:dyDescent="0.25">
      <c r="K176" s="79"/>
      <c r="L176" s="26"/>
    </row>
    <row r="177" spans="11:12" x14ac:dyDescent="0.25">
      <c r="K177" s="79"/>
      <c r="L177" s="58"/>
    </row>
    <row r="178" spans="11:12" x14ac:dyDescent="0.25">
      <c r="K178" s="79"/>
      <c r="L178" s="58"/>
    </row>
    <row r="198" spans="14:14" x14ac:dyDescent="0.25">
      <c r="N198" s="25"/>
    </row>
    <row r="221" spans="14:14" x14ac:dyDescent="0.25">
      <c r="N221" s="25"/>
    </row>
    <row r="348" spans="14:14" x14ac:dyDescent="0.25">
      <c r="N348" s="25"/>
    </row>
  </sheetData>
  <mergeCells count="8">
    <mergeCell ref="G169:J169"/>
    <mergeCell ref="G170:J170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7153-BF53-4AA8-9B09-AF573273B085}">
  <sheetPr>
    <tabColor theme="5"/>
  </sheetPr>
  <dimension ref="A1:O41"/>
  <sheetViews>
    <sheetView view="pageBreakPreview" topLeftCell="A15" zoomScale="96" zoomScaleNormal="100" zoomScaleSheetLayoutView="96" workbookViewId="0">
      <selection activeCell="J16" sqref="J16:L2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850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5</v>
      </c>
      <c r="B12" s="194" t="s">
        <v>885</v>
      </c>
      <c r="C12" s="177"/>
      <c r="D12" s="176"/>
      <c r="E12" s="194" t="s">
        <v>750</v>
      </c>
      <c r="F12" s="179" t="s">
        <v>886</v>
      </c>
      <c r="G12" s="176" t="s">
        <v>887</v>
      </c>
      <c r="H12" s="191" t="s">
        <v>579</v>
      </c>
      <c r="I12" s="180">
        <v>400</v>
      </c>
      <c r="J12" s="123" t="s">
        <v>123</v>
      </c>
      <c r="K12" s="77"/>
      <c r="L12" s="117" t="s">
        <v>41</v>
      </c>
    </row>
    <row r="13" spans="1:15" ht="33.75" customHeight="1" x14ac:dyDescent="0.25">
      <c r="A13" s="213">
        <v>5</v>
      </c>
      <c r="B13" s="194" t="s">
        <v>888</v>
      </c>
      <c r="C13" s="177"/>
      <c r="D13" s="176" t="s">
        <v>889</v>
      </c>
      <c r="E13" s="176" t="s">
        <v>44</v>
      </c>
      <c r="F13" s="179" t="s">
        <v>890</v>
      </c>
      <c r="G13" s="179" t="s">
        <v>891</v>
      </c>
      <c r="H13" s="191" t="s">
        <v>579</v>
      </c>
      <c r="I13" s="198">
        <v>720</v>
      </c>
      <c r="J13" s="123" t="s">
        <v>123</v>
      </c>
      <c r="K13" s="77"/>
      <c r="L13" s="117" t="s">
        <v>41</v>
      </c>
      <c r="M13" s="105"/>
    </row>
    <row r="14" spans="1:15" ht="33.75" customHeight="1" x14ac:dyDescent="0.25">
      <c r="A14" s="239">
        <v>17</v>
      </c>
      <c r="B14" s="187" t="s">
        <v>968</v>
      </c>
      <c r="C14" s="182"/>
      <c r="D14" s="185"/>
      <c r="E14" s="187" t="s">
        <v>76</v>
      </c>
      <c r="F14" s="179" t="s">
        <v>969</v>
      </c>
      <c r="G14" s="185" t="s">
        <v>970</v>
      </c>
      <c r="H14" s="185" t="s">
        <v>40</v>
      </c>
      <c r="I14" s="186">
        <v>30000</v>
      </c>
      <c r="J14" s="216"/>
      <c r="K14" s="77"/>
      <c r="L14" s="117" t="s">
        <v>41</v>
      </c>
      <c r="M14" s="105"/>
      <c r="O14" s="57"/>
    </row>
    <row r="15" spans="1:15" ht="32.25" customHeight="1" x14ac:dyDescent="0.25">
      <c r="A15" s="239">
        <v>26</v>
      </c>
      <c r="B15" s="187" t="s">
        <v>1043</v>
      </c>
      <c r="C15" s="182"/>
      <c r="D15" s="185" t="s">
        <v>150</v>
      </c>
      <c r="E15" s="187" t="s">
        <v>48</v>
      </c>
      <c r="F15" s="179" t="s">
        <v>502</v>
      </c>
      <c r="G15" s="185" t="s">
        <v>503</v>
      </c>
      <c r="H15" s="133" t="s">
        <v>145</v>
      </c>
      <c r="I15" s="186">
        <v>15000</v>
      </c>
      <c r="J15" s="123" t="s">
        <v>123</v>
      </c>
      <c r="K15" s="77"/>
      <c r="L15" s="117" t="s">
        <v>41</v>
      </c>
      <c r="O15" s="57"/>
    </row>
    <row r="16" spans="1:15" ht="26.25" customHeight="1" x14ac:dyDescent="0.25">
      <c r="A16" s="173"/>
      <c r="B16" s="187"/>
      <c r="C16" s="182"/>
      <c r="D16" s="183"/>
      <c r="E16" s="185"/>
      <c r="F16" s="179"/>
      <c r="G16" s="185"/>
      <c r="H16" s="187"/>
      <c r="I16" s="186"/>
      <c r="J16" s="123"/>
      <c r="K16" s="77"/>
      <c r="L16" s="117"/>
      <c r="O16" s="57"/>
    </row>
    <row r="17" spans="1:15" ht="23.25" customHeight="1" x14ac:dyDescent="0.25">
      <c r="A17" s="173"/>
      <c r="B17" s="187"/>
      <c r="C17" s="182"/>
      <c r="D17" s="183"/>
      <c r="E17" s="185"/>
      <c r="F17" s="179"/>
      <c r="G17" s="185"/>
      <c r="H17" s="187"/>
      <c r="I17" s="186"/>
      <c r="J17" s="123"/>
      <c r="K17" s="77"/>
      <c r="L17" s="117"/>
      <c r="O17" s="57"/>
    </row>
    <row r="18" spans="1:15" ht="20.25" customHeight="1" x14ac:dyDescent="0.25">
      <c r="A18" s="173"/>
      <c r="B18" s="187"/>
      <c r="C18" s="182"/>
      <c r="D18" s="183"/>
      <c r="E18" s="187"/>
      <c r="F18" s="179"/>
      <c r="G18" s="185"/>
      <c r="H18" s="187"/>
      <c r="I18" s="186"/>
      <c r="J18" s="123"/>
      <c r="K18" s="77"/>
      <c r="L18" s="117"/>
      <c r="O18" s="57"/>
    </row>
    <row r="19" spans="1:15" ht="24" customHeight="1" x14ac:dyDescent="0.25">
      <c r="A19" s="173"/>
      <c r="B19" s="181"/>
      <c r="C19" s="182"/>
      <c r="D19" s="185"/>
      <c r="E19" s="185"/>
      <c r="F19" s="179"/>
      <c r="G19" s="185"/>
      <c r="H19" s="187"/>
      <c r="I19" s="198"/>
      <c r="J19" s="123"/>
      <c r="K19" s="77"/>
      <c r="L19" s="117"/>
      <c r="O19" s="57"/>
    </row>
    <row r="20" spans="1:15" ht="35.25" customHeight="1" x14ac:dyDescent="0.25">
      <c r="A20" s="173"/>
      <c r="B20" s="187"/>
      <c r="C20" s="182"/>
      <c r="D20" s="185"/>
      <c r="E20" s="185"/>
      <c r="F20" s="179"/>
      <c r="G20" s="185"/>
      <c r="H20" s="187"/>
      <c r="I20" s="198"/>
      <c r="J20" s="123"/>
      <c r="K20" s="77"/>
      <c r="L20" s="117"/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967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378</v>
      </c>
      <c r="L32" s="205">
        <f>SUM(I12:I13)</f>
        <v>1120</v>
      </c>
    </row>
    <row r="33" spans="2:12" x14ac:dyDescent="0.25">
      <c r="I33" s="26" t="s">
        <v>121</v>
      </c>
      <c r="J33" s="95"/>
      <c r="K33" s="195"/>
      <c r="L33" s="206"/>
    </row>
    <row r="34" spans="2:12" x14ac:dyDescent="0.25">
      <c r="I34" s="26" t="s">
        <v>147</v>
      </c>
      <c r="J34" s="95"/>
      <c r="K34" s="202"/>
      <c r="L34" s="205"/>
    </row>
    <row r="35" spans="2:12" x14ac:dyDescent="0.25">
      <c r="I35" s="26" t="s">
        <v>105</v>
      </c>
      <c r="J35" s="95"/>
      <c r="K35" s="202"/>
      <c r="L35" s="206"/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195"/>
      <c r="L36" s="205"/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204"/>
      <c r="L37" s="207"/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204"/>
      <c r="L38" s="207"/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46120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2795-EC5F-4C1C-8744-5C593706B3A9}">
  <sheetPr>
    <tabColor theme="5"/>
  </sheetPr>
  <dimension ref="A1:V348"/>
  <sheetViews>
    <sheetView view="pageBreakPreview" topLeftCell="A105" zoomScale="106" zoomScaleNormal="100" zoomScaleSheetLayoutView="106" workbookViewId="0">
      <selection activeCell="L115" sqref="L115:M159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22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22" ht="18" x14ac:dyDescent="0.25">
      <c r="A2" s="382" t="s">
        <v>850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22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22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>
        <v>75</v>
      </c>
    </row>
    <row r="5" spans="1:22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>
        <v>24</v>
      </c>
      <c r="R5" s="25"/>
      <c r="S5" s="25"/>
    </row>
    <row r="6" spans="1:22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22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22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22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29" t="s">
        <v>966</v>
      </c>
      <c r="T9" t="s">
        <v>127</v>
      </c>
      <c r="U9" t="s">
        <v>129</v>
      </c>
      <c r="V9" t="s">
        <v>463</v>
      </c>
    </row>
    <row r="10" spans="1:22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SUM(J12:J53,J55:J62)</f>
        <v>115300</v>
      </c>
      <c r="T10">
        <v>36</v>
      </c>
      <c r="U10">
        <v>12</v>
      </c>
      <c r="V10" t="s">
        <v>1090</v>
      </c>
    </row>
    <row r="11" spans="1:22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30" t="s">
        <v>186</v>
      </c>
      <c r="S11" s="25">
        <v>7</v>
      </c>
      <c r="T11">
        <v>1</v>
      </c>
    </row>
    <row r="12" spans="1:22" x14ac:dyDescent="0.25">
      <c r="A12" s="128">
        <v>3</v>
      </c>
      <c r="B12" s="191" t="s">
        <v>167</v>
      </c>
      <c r="C12" s="130" t="s">
        <v>851</v>
      </c>
      <c r="D12" s="130"/>
      <c r="E12" s="168" t="s">
        <v>129</v>
      </c>
      <c r="F12" s="130" t="s">
        <v>130</v>
      </c>
      <c r="G12" s="130" t="s">
        <v>43</v>
      </c>
      <c r="H12" s="131" t="s">
        <v>852</v>
      </c>
      <c r="I12" s="133" t="s">
        <v>40</v>
      </c>
      <c r="J12" s="132">
        <v>15000</v>
      </c>
      <c r="K12" s="129">
        <v>3000</v>
      </c>
      <c r="L12" s="126" t="s">
        <v>120</v>
      </c>
      <c r="M12" s="126" t="s">
        <v>41</v>
      </c>
      <c r="O12">
        <f>J12/5</f>
        <v>3000</v>
      </c>
      <c r="Q12" s="25"/>
      <c r="R12" s="229" t="s">
        <v>999</v>
      </c>
      <c r="S12" s="25"/>
    </row>
    <row r="13" spans="1:22" x14ac:dyDescent="0.25">
      <c r="A13" s="128">
        <v>3</v>
      </c>
      <c r="B13" s="191" t="s">
        <v>161</v>
      </c>
      <c r="C13" s="130" t="s">
        <v>420</v>
      </c>
      <c r="D13" s="130"/>
      <c r="E13" s="130" t="s">
        <v>127</v>
      </c>
      <c r="F13" s="130" t="s">
        <v>134</v>
      </c>
      <c r="G13" s="130" t="s">
        <v>43</v>
      </c>
      <c r="H13" s="131" t="s">
        <v>421</v>
      </c>
      <c r="I13" s="130" t="s">
        <v>40</v>
      </c>
      <c r="J13" s="132">
        <v>2000</v>
      </c>
      <c r="K13" s="129">
        <v>400</v>
      </c>
      <c r="L13" s="126" t="s">
        <v>120</v>
      </c>
      <c r="M13" s="126" t="s">
        <v>41</v>
      </c>
      <c r="O13">
        <f>J13/5</f>
        <v>400</v>
      </c>
      <c r="Q13" s="25"/>
      <c r="R13" s="204" t="s">
        <v>119</v>
      </c>
      <c r="S13" s="25">
        <f>SUM(J63:J73)</f>
        <v>17950</v>
      </c>
      <c r="T13">
        <v>9</v>
      </c>
      <c r="U13">
        <v>1</v>
      </c>
      <c r="V13" t="s">
        <v>464</v>
      </c>
    </row>
    <row r="14" spans="1:22" x14ac:dyDescent="0.25">
      <c r="A14" s="128">
        <v>3</v>
      </c>
      <c r="B14" s="191" t="s">
        <v>441</v>
      </c>
      <c r="C14" s="130" t="s">
        <v>442</v>
      </c>
      <c r="D14" s="130"/>
      <c r="E14" s="130" t="s">
        <v>127</v>
      </c>
      <c r="F14" s="130" t="s">
        <v>134</v>
      </c>
      <c r="G14" s="130" t="s">
        <v>43</v>
      </c>
      <c r="H14" s="131" t="s">
        <v>853</v>
      </c>
      <c r="I14" s="133" t="s">
        <v>40</v>
      </c>
      <c r="J14" s="132">
        <v>3000</v>
      </c>
      <c r="K14" s="129">
        <v>600</v>
      </c>
      <c r="L14" s="126" t="s">
        <v>120</v>
      </c>
      <c r="M14" s="126" t="s">
        <v>41</v>
      </c>
      <c r="O14">
        <f t="shared" ref="O14:O150" si="0">J14/5</f>
        <v>600</v>
      </c>
      <c r="Q14" s="25"/>
      <c r="R14" s="229" t="s">
        <v>1088</v>
      </c>
      <c r="S14" s="57"/>
    </row>
    <row r="15" spans="1:22" x14ac:dyDescent="0.25">
      <c r="A15" s="128">
        <v>3</v>
      </c>
      <c r="B15" s="191" t="s">
        <v>854</v>
      </c>
      <c r="C15" s="130" t="s">
        <v>855</v>
      </c>
      <c r="D15" s="130"/>
      <c r="E15" s="130" t="s">
        <v>127</v>
      </c>
      <c r="F15" s="130" t="s">
        <v>706</v>
      </c>
      <c r="G15" s="130" t="s">
        <v>45</v>
      </c>
      <c r="H15" s="131" t="s">
        <v>856</v>
      </c>
      <c r="I15" s="130" t="s">
        <v>40</v>
      </c>
      <c r="J15" s="132">
        <v>7000</v>
      </c>
      <c r="K15" s="129">
        <v>1400</v>
      </c>
      <c r="L15" s="126" t="s">
        <v>120</v>
      </c>
      <c r="M15" s="126" t="s">
        <v>41</v>
      </c>
      <c r="O15">
        <f t="shared" si="0"/>
        <v>1400</v>
      </c>
      <c r="Q15" s="25"/>
      <c r="R15" s="204" t="s">
        <v>119</v>
      </c>
      <c r="S15" s="57">
        <f>SUM(J74:J106)</f>
        <v>68850</v>
      </c>
      <c r="T15">
        <v>25</v>
      </c>
      <c r="U15">
        <v>7</v>
      </c>
      <c r="V15" t="s">
        <v>1091</v>
      </c>
    </row>
    <row r="16" spans="1:22" x14ac:dyDescent="0.25">
      <c r="A16" s="128">
        <v>3</v>
      </c>
      <c r="B16" s="191" t="s">
        <v>778</v>
      </c>
      <c r="C16" s="130" t="s">
        <v>779</v>
      </c>
      <c r="D16" s="130"/>
      <c r="E16" s="168" t="s">
        <v>129</v>
      </c>
      <c r="F16" s="130" t="s">
        <v>215</v>
      </c>
      <c r="G16" s="130" t="s">
        <v>59</v>
      </c>
      <c r="H16" s="131" t="s">
        <v>857</v>
      </c>
      <c r="I16" s="130" t="s">
        <v>40</v>
      </c>
      <c r="J16" s="132">
        <v>3000</v>
      </c>
      <c r="K16" s="129">
        <v>900</v>
      </c>
      <c r="L16" s="126" t="s">
        <v>120</v>
      </c>
      <c r="M16" s="126" t="s">
        <v>41</v>
      </c>
      <c r="O16">
        <f t="shared" si="0"/>
        <v>600</v>
      </c>
      <c r="R16" s="229" t="s">
        <v>1111</v>
      </c>
      <c r="S16" s="57"/>
    </row>
    <row r="17" spans="1:21" x14ac:dyDescent="0.25">
      <c r="A17" s="128">
        <v>3</v>
      </c>
      <c r="B17" s="191" t="s">
        <v>588</v>
      </c>
      <c r="C17" s="130" t="s">
        <v>589</v>
      </c>
      <c r="D17" s="130"/>
      <c r="E17" s="130" t="s">
        <v>127</v>
      </c>
      <c r="F17" s="130" t="s">
        <v>590</v>
      </c>
      <c r="G17" s="130" t="s">
        <v>44</v>
      </c>
      <c r="H17" s="131" t="s">
        <v>591</v>
      </c>
      <c r="I17" s="133" t="s">
        <v>40</v>
      </c>
      <c r="J17" s="132">
        <v>4000</v>
      </c>
      <c r="K17" s="129">
        <v>1200</v>
      </c>
      <c r="L17" s="126" t="s">
        <v>120</v>
      </c>
      <c r="M17" s="126" t="s">
        <v>41</v>
      </c>
      <c r="O17">
        <f t="shared" si="0"/>
        <v>800</v>
      </c>
      <c r="R17" s="204" t="s">
        <v>119</v>
      </c>
      <c r="S17" s="57">
        <f>SUM(J107:J114)</f>
        <v>15210</v>
      </c>
      <c r="T17">
        <v>4</v>
      </c>
      <c r="U17">
        <v>4</v>
      </c>
    </row>
    <row r="18" spans="1:21" x14ac:dyDescent="0.25">
      <c r="A18" s="128">
        <v>3</v>
      </c>
      <c r="B18" s="191" t="s">
        <v>858</v>
      </c>
      <c r="C18" s="130" t="s">
        <v>859</v>
      </c>
      <c r="D18" s="130"/>
      <c r="E18" s="130" t="s">
        <v>127</v>
      </c>
      <c r="F18" s="130" t="s">
        <v>860</v>
      </c>
      <c r="G18" s="130" t="s">
        <v>54</v>
      </c>
      <c r="H18" s="131"/>
      <c r="I18" s="133" t="s">
        <v>40</v>
      </c>
      <c r="J18" s="132">
        <v>100</v>
      </c>
      <c r="K18" s="129">
        <v>20</v>
      </c>
      <c r="L18" s="126" t="s">
        <v>120</v>
      </c>
      <c r="M18" s="126" t="s">
        <v>41</v>
      </c>
      <c r="O18">
        <f t="shared" si="0"/>
        <v>20</v>
      </c>
      <c r="Q18" s="57"/>
      <c r="R18" s="204"/>
      <c r="S18" s="57"/>
    </row>
    <row r="19" spans="1:21" x14ac:dyDescent="0.25">
      <c r="A19" s="128">
        <v>3</v>
      </c>
      <c r="B19" s="191" t="s">
        <v>861</v>
      </c>
      <c r="C19" s="130" t="s">
        <v>862</v>
      </c>
      <c r="D19" s="130"/>
      <c r="E19" s="130" t="s">
        <v>127</v>
      </c>
      <c r="F19" s="130" t="s">
        <v>60</v>
      </c>
      <c r="G19" s="130" t="s">
        <v>54</v>
      </c>
      <c r="H19" s="131" t="s">
        <v>863</v>
      </c>
      <c r="I19" s="133" t="s">
        <v>40</v>
      </c>
      <c r="J19" s="132">
        <v>500</v>
      </c>
      <c r="K19" s="129" t="s">
        <v>123</v>
      </c>
      <c r="L19" s="126" t="s">
        <v>120</v>
      </c>
      <c r="M19" s="126" t="s">
        <v>41</v>
      </c>
      <c r="O19">
        <f t="shared" si="0"/>
        <v>100</v>
      </c>
      <c r="R19" s="174"/>
      <c r="S19" s="25"/>
    </row>
    <row r="20" spans="1:21" x14ac:dyDescent="0.25">
      <c r="A20" s="128">
        <v>3</v>
      </c>
      <c r="B20" s="191" t="s">
        <v>861</v>
      </c>
      <c r="C20" s="130" t="s">
        <v>862</v>
      </c>
      <c r="D20" s="130"/>
      <c r="E20" s="130" t="s">
        <v>127</v>
      </c>
      <c r="F20" s="130" t="s">
        <v>60</v>
      </c>
      <c r="G20" s="130" t="s">
        <v>54</v>
      </c>
      <c r="H20" s="131" t="s">
        <v>863</v>
      </c>
      <c r="I20" s="133" t="s">
        <v>40</v>
      </c>
      <c r="J20" s="132">
        <v>500</v>
      </c>
      <c r="K20" s="129">
        <v>100</v>
      </c>
      <c r="L20" s="126" t="s">
        <v>120</v>
      </c>
      <c r="M20" s="126" t="s">
        <v>41</v>
      </c>
      <c r="O20">
        <f t="shared" si="0"/>
        <v>100</v>
      </c>
      <c r="Q20" s="25"/>
      <c r="R20" s="171"/>
      <c r="S20" s="57"/>
    </row>
    <row r="21" spans="1:21" x14ac:dyDescent="0.25">
      <c r="A21" s="128">
        <v>3</v>
      </c>
      <c r="B21" s="191" t="s">
        <v>480</v>
      </c>
      <c r="C21" s="130" t="s">
        <v>481</v>
      </c>
      <c r="D21" s="130"/>
      <c r="E21" s="130" t="s">
        <v>127</v>
      </c>
      <c r="F21" s="130" t="s">
        <v>159</v>
      </c>
      <c r="G21" s="130" t="s">
        <v>47</v>
      </c>
      <c r="H21" s="131" t="s">
        <v>864</v>
      </c>
      <c r="I21" s="130" t="s">
        <v>40</v>
      </c>
      <c r="J21" s="132">
        <v>200</v>
      </c>
      <c r="K21" s="129">
        <v>60</v>
      </c>
      <c r="L21" s="126" t="s">
        <v>120</v>
      </c>
      <c r="M21" s="126" t="s">
        <v>41</v>
      </c>
      <c r="O21">
        <f t="shared" si="0"/>
        <v>40</v>
      </c>
      <c r="R21" s="171">
        <f>SUM(J19,J28:J29,J35:J39,J47:J48,J51:J53,J57)</f>
        <v>8500</v>
      </c>
      <c r="S21" s="57"/>
    </row>
    <row r="22" spans="1:21" x14ac:dyDescent="0.25">
      <c r="A22" s="231">
        <v>3</v>
      </c>
      <c r="B22" s="191" t="s">
        <v>865</v>
      </c>
      <c r="C22" s="130" t="s">
        <v>866</v>
      </c>
      <c r="D22" s="130"/>
      <c r="E22" s="130" t="s">
        <v>127</v>
      </c>
      <c r="F22" s="130" t="s">
        <v>355</v>
      </c>
      <c r="G22" s="130" t="s">
        <v>64</v>
      </c>
      <c r="H22" s="131" t="s">
        <v>867</v>
      </c>
      <c r="I22" s="133" t="s">
        <v>40</v>
      </c>
      <c r="J22" s="132">
        <v>1000</v>
      </c>
      <c r="K22" s="129">
        <v>200</v>
      </c>
      <c r="L22" s="126" t="s">
        <v>120</v>
      </c>
      <c r="M22" s="126" t="s">
        <v>41</v>
      </c>
      <c r="O22">
        <f t="shared" si="0"/>
        <v>200</v>
      </c>
      <c r="R22" s="57">
        <f>SUM(J66,J70:J71)</f>
        <v>1150</v>
      </c>
      <c r="S22" s="25"/>
    </row>
    <row r="23" spans="1:21" x14ac:dyDescent="0.25">
      <c r="A23" s="128">
        <v>3</v>
      </c>
      <c r="B23" s="191" t="s">
        <v>868</v>
      </c>
      <c r="C23" s="130" t="s">
        <v>869</v>
      </c>
      <c r="D23" s="130"/>
      <c r="E23" s="168" t="s">
        <v>129</v>
      </c>
      <c r="F23" s="130" t="s">
        <v>706</v>
      </c>
      <c r="G23" s="130" t="s">
        <v>45</v>
      </c>
      <c r="H23" s="131"/>
      <c r="I23" s="133" t="s">
        <v>40</v>
      </c>
      <c r="J23" s="132">
        <v>1000</v>
      </c>
      <c r="K23" s="129">
        <v>200</v>
      </c>
      <c r="L23" s="126" t="s">
        <v>120</v>
      </c>
      <c r="M23" s="126" t="s">
        <v>41</v>
      </c>
      <c r="O23">
        <f t="shared" si="0"/>
        <v>200</v>
      </c>
      <c r="R23" s="241">
        <f>SUM(J98:J101)</f>
        <v>2000</v>
      </c>
      <c r="S23" s="25"/>
    </row>
    <row r="24" spans="1:21" x14ac:dyDescent="0.25">
      <c r="A24" s="128">
        <v>3</v>
      </c>
      <c r="B24" s="191" t="s">
        <v>870</v>
      </c>
      <c r="C24" s="130" t="s">
        <v>871</v>
      </c>
      <c r="D24" s="130"/>
      <c r="E24" s="168" t="s">
        <v>129</v>
      </c>
      <c r="F24" s="130" t="s">
        <v>872</v>
      </c>
      <c r="G24" s="130" t="s">
        <v>58</v>
      </c>
      <c r="H24" s="131" t="s">
        <v>873</v>
      </c>
      <c r="I24" s="133" t="s">
        <v>40</v>
      </c>
      <c r="J24" s="132">
        <v>2000</v>
      </c>
      <c r="K24" s="129">
        <v>400</v>
      </c>
      <c r="L24" s="126" t="s">
        <v>120</v>
      </c>
      <c r="M24" s="126" t="s">
        <v>41</v>
      </c>
      <c r="O24">
        <f t="shared" si="0"/>
        <v>400</v>
      </c>
      <c r="R24" s="174"/>
      <c r="S24" s="57"/>
    </row>
    <row r="25" spans="1:21" x14ac:dyDescent="0.25">
      <c r="A25" s="128">
        <v>3</v>
      </c>
      <c r="B25" s="191" t="s">
        <v>874</v>
      </c>
      <c r="C25" s="130" t="s">
        <v>200</v>
      </c>
      <c r="D25" s="130"/>
      <c r="E25" s="130" t="s">
        <v>127</v>
      </c>
      <c r="F25" s="130" t="s">
        <v>875</v>
      </c>
      <c r="G25" s="130" t="s">
        <v>49</v>
      </c>
      <c r="H25" s="131"/>
      <c r="I25" s="130" t="s">
        <v>40</v>
      </c>
      <c r="J25" s="132">
        <v>250</v>
      </c>
      <c r="K25" s="129">
        <v>50</v>
      </c>
      <c r="L25" s="126" t="s">
        <v>120</v>
      </c>
      <c r="M25" s="126" t="s">
        <v>41</v>
      </c>
      <c r="O25">
        <f t="shared" si="0"/>
        <v>50</v>
      </c>
      <c r="R25" s="171"/>
      <c r="S25" s="57"/>
    </row>
    <row r="26" spans="1:21" x14ac:dyDescent="0.25">
      <c r="A26" s="128">
        <v>3</v>
      </c>
      <c r="B26" s="191" t="s">
        <v>161</v>
      </c>
      <c r="C26" s="130" t="s">
        <v>876</v>
      </c>
      <c r="D26" s="130"/>
      <c r="E26" s="130" t="s">
        <v>127</v>
      </c>
      <c r="F26" s="130" t="s">
        <v>134</v>
      </c>
      <c r="G26" s="130" t="s">
        <v>43</v>
      </c>
      <c r="H26" s="131" t="s">
        <v>877</v>
      </c>
      <c r="I26" s="133" t="s">
        <v>40</v>
      </c>
      <c r="J26" s="132">
        <v>1500</v>
      </c>
      <c r="K26" s="129">
        <v>300</v>
      </c>
      <c r="L26" s="126" t="s">
        <v>120</v>
      </c>
      <c r="M26" s="126" t="s">
        <v>41</v>
      </c>
      <c r="O26">
        <f t="shared" si="0"/>
        <v>300</v>
      </c>
      <c r="R26" s="171"/>
      <c r="S26" s="57"/>
    </row>
    <row r="27" spans="1:21" x14ac:dyDescent="0.25">
      <c r="A27" s="128">
        <v>3</v>
      </c>
      <c r="B27" s="191" t="s">
        <v>878</v>
      </c>
      <c r="C27" s="130" t="s">
        <v>879</v>
      </c>
      <c r="D27" s="130"/>
      <c r="E27" s="130" t="s">
        <v>127</v>
      </c>
      <c r="F27" s="130" t="s">
        <v>880</v>
      </c>
      <c r="G27" s="130" t="s">
        <v>50</v>
      </c>
      <c r="H27" s="131" t="s">
        <v>881</v>
      </c>
      <c r="I27" s="130" t="s">
        <v>40</v>
      </c>
      <c r="J27" s="132">
        <v>1000</v>
      </c>
      <c r="K27" s="129">
        <v>200</v>
      </c>
      <c r="L27" s="126" t="s">
        <v>120</v>
      </c>
      <c r="M27" s="126" t="s">
        <v>41</v>
      </c>
      <c r="O27">
        <f t="shared" si="0"/>
        <v>200</v>
      </c>
      <c r="R27" s="25"/>
      <c r="S27" s="25"/>
    </row>
    <row r="28" spans="1:21" x14ac:dyDescent="0.25">
      <c r="A28" s="128">
        <v>4</v>
      </c>
      <c r="B28" s="191" t="s">
        <v>882</v>
      </c>
      <c r="C28" s="130" t="s">
        <v>180</v>
      </c>
      <c r="D28" s="130"/>
      <c r="E28" s="130" t="s">
        <v>127</v>
      </c>
      <c r="F28" s="130" t="s">
        <v>531</v>
      </c>
      <c r="G28" s="130" t="s">
        <v>61</v>
      </c>
      <c r="H28" s="131" t="s">
        <v>883</v>
      </c>
      <c r="I28" s="130" t="s">
        <v>40</v>
      </c>
      <c r="J28" s="132">
        <v>500</v>
      </c>
      <c r="K28" s="129" t="s">
        <v>123</v>
      </c>
      <c r="L28" s="126" t="s">
        <v>120</v>
      </c>
      <c r="M28" s="126" t="s">
        <v>41</v>
      </c>
      <c r="O28">
        <f t="shared" si="0"/>
        <v>100</v>
      </c>
      <c r="S28" s="57"/>
    </row>
    <row r="29" spans="1:21" x14ac:dyDescent="0.25">
      <c r="A29" s="128">
        <v>4</v>
      </c>
      <c r="B29" s="191" t="s">
        <v>882</v>
      </c>
      <c r="C29" s="130" t="s">
        <v>884</v>
      </c>
      <c r="D29" s="130"/>
      <c r="E29" s="130" t="s">
        <v>127</v>
      </c>
      <c r="F29" s="130" t="s">
        <v>531</v>
      </c>
      <c r="G29" s="130" t="s">
        <v>61</v>
      </c>
      <c r="H29" s="131" t="s">
        <v>883</v>
      </c>
      <c r="I29" s="133" t="s">
        <v>40</v>
      </c>
      <c r="J29" s="132">
        <v>500</v>
      </c>
      <c r="K29" s="129" t="s">
        <v>123</v>
      </c>
      <c r="L29" s="126" t="s">
        <v>120</v>
      </c>
      <c r="M29" s="126" t="s">
        <v>41</v>
      </c>
      <c r="O29">
        <f t="shared" si="0"/>
        <v>100</v>
      </c>
      <c r="R29" s="25"/>
      <c r="S29" s="25"/>
    </row>
    <row r="30" spans="1:21" x14ac:dyDescent="0.25">
      <c r="A30" s="128">
        <v>6</v>
      </c>
      <c r="B30" s="191" t="s">
        <v>892</v>
      </c>
      <c r="C30" s="130" t="s">
        <v>507</v>
      </c>
      <c r="D30" s="130"/>
      <c r="E30" s="130" t="s">
        <v>127</v>
      </c>
      <c r="F30" s="130"/>
      <c r="G30" s="130" t="s">
        <v>45</v>
      </c>
      <c r="H30" s="131" t="s">
        <v>893</v>
      </c>
      <c r="I30" s="130" t="s">
        <v>40</v>
      </c>
      <c r="J30" s="132">
        <v>1000</v>
      </c>
      <c r="K30" s="129">
        <v>200</v>
      </c>
      <c r="L30" s="126" t="s">
        <v>120</v>
      </c>
      <c r="M30" s="126" t="s">
        <v>41</v>
      </c>
      <c r="O30">
        <f t="shared" si="0"/>
        <v>200</v>
      </c>
      <c r="R30" s="25"/>
    </row>
    <row r="31" spans="1:21" x14ac:dyDescent="0.25">
      <c r="A31" s="128">
        <v>6</v>
      </c>
      <c r="B31" s="191" t="s">
        <v>894</v>
      </c>
      <c r="C31" s="130" t="s">
        <v>895</v>
      </c>
      <c r="D31" s="130"/>
      <c r="E31" s="130" t="s">
        <v>127</v>
      </c>
      <c r="F31" s="130" t="s">
        <v>896</v>
      </c>
      <c r="G31" s="130" t="s">
        <v>47</v>
      </c>
      <c r="H31" s="131" t="s">
        <v>897</v>
      </c>
      <c r="I31" s="133" t="s">
        <v>40</v>
      </c>
      <c r="J31" s="132">
        <v>1500</v>
      </c>
      <c r="K31" s="129">
        <v>300</v>
      </c>
      <c r="L31" s="126" t="s">
        <v>120</v>
      </c>
      <c r="M31" s="126" t="s">
        <v>41</v>
      </c>
      <c r="O31">
        <f t="shared" si="0"/>
        <v>300</v>
      </c>
      <c r="R31" s="25"/>
    </row>
    <row r="32" spans="1:21" x14ac:dyDescent="0.25">
      <c r="A32" s="231">
        <v>6</v>
      </c>
      <c r="B32" s="191" t="s">
        <v>898</v>
      </c>
      <c r="C32" s="130" t="s">
        <v>899</v>
      </c>
      <c r="D32" s="130"/>
      <c r="E32" s="168" t="s">
        <v>129</v>
      </c>
      <c r="F32" s="130" t="s">
        <v>672</v>
      </c>
      <c r="G32" s="130" t="s">
        <v>54</v>
      </c>
      <c r="H32" s="131" t="s">
        <v>900</v>
      </c>
      <c r="I32" s="130" t="s">
        <v>40</v>
      </c>
      <c r="J32" s="132">
        <v>1500</v>
      </c>
      <c r="K32" s="129">
        <v>300</v>
      </c>
      <c r="L32" s="126" t="s">
        <v>120</v>
      </c>
      <c r="M32" s="126" t="s">
        <v>41</v>
      </c>
      <c r="O32">
        <f t="shared" si="0"/>
        <v>300</v>
      </c>
    </row>
    <row r="33" spans="1:21" x14ac:dyDescent="0.25">
      <c r="A33" s="128">
        <v>6</v>
      </c>
      <c r="B33" s="191" t="s">
        <v>219</v>
      </c>
      <c r="C33" s="130" t="s">
        <v>901</v>
      </c>
      <c r="D33" s="130"/>
      <c r="E33" s="168" t="s">
        <v>129</v>
      </c>
      <c r="F33" s="130" t="s">
        <v>601</v>
      </c>
      <c r="G33" s="130" t="s">
        <v>43</v>
      </c>
      <c r="H33" s="131" t="s">
        <v>902</v>
      </c>
      <c r="I33" s="133" t="s">
        <v>40</v>
      </c>
      <c r="J33" s="132">
        <v>250</v>
      </c>
      <c r="K33" s="129">
        <v>50</v>
      </c>
      <c r="L33" s="126" t="s">
        <v>120</v>
      </c>
      <c r="M33" s="126" t="s">
        <v>41</v>
      </c>
      <c r="O33">
        <f t="shared" si="0"/>
        <v>50</v>
      </c>
    </row>
    <row r="34" spans="1:21" x14ac:dyDescent="0.25">
      <c r="A34" s="128">
        <v>6</v>
      </c>
      <c r="B34" s="191" t="s">
        <v>903</v>
      </c>
      <c r="C34" s="130" t="s">
        <v>904</v>
      </c>
      <c r="D34" s="130"/>
      <c r="E34" s="168" t="s">
        <v>129</v>
      </c>
      <c r="F34" s="130" t="s">
        <v>140</v>
      </c>
      <c r="G34" s="130" t="s">
        <v>50</v>
      </c>
      <c r="H34" s="131" t="s">
        <v>905</v>
      </c>
      <c r="I34" s="133" t="s">
        <v>40</v>
      </c>
      <c r="J34" s="132">
        <v>5000</v>
      </c>
      <c r="K34" s="129">
        <v>1000</v>
      </c>
      <c r="L34" s="126" t="s">
        <v>120</v>
      </c>
      <c r="M34" s="126" t="s">
        <v>41</v>
      </c>
      <c r="O34">
        <f t="shared" si="0"/>
        <v>1000</v>
      </c>
      <c r="R34" s="25"/>
      <c r="S34" s="25"/>
      <c r="T34" s="25"/>
      <c r="U34" s="25"/>
    </row>
    <row r="35" spans="1:21" x14ac:dyDescent="0.25">
      <c r="A35" s="128">
        <v>6</v>
      </c>
      <c r="B35" s="191" t="s">
        <v>906</v>
      </c>
      <c r="C35" s="130" t="s">
        <v>907</v>
      </c>
      <c r="D35" s="130"/>
      <c r="E35" s="130" t="s">
        <v>127</v>
      </c>
      <c r="F35" s="130" t="s">
        <v>146</v>
      </c>
      <c r="G35" s="130" t="s">
        <v>61</v>
      </c>
      <c r="H35" s="131" t="s">
        <v>908</v>
      </c>
      <c r="I35" s="133" t="s">
        <v>40</v>
      </c>
      <c r="J35" s="132">
        <v>500</v>
      </c>
      <c r="K35" s="129" t="s">
        <v>123</v>
      </c>
      <c r="L35" s="126" t="s">
        <v>120</v>
      </c>
      <c r="M35" s="126" t="s">
        <v>41</v>
      </c>
      <c r="O35">
        <f t="shared" si="0"/>
        <v>100</v>
      </c>
      <c r="R35" s="25"/>
    </row>
    <row r="36" spans="1:21" x14ac:dyDescent="0.25">
      <c r="A36" s="128">
        <v>6</v>
      </c>
      <c r="B36" s="191" t="s">
        <v>909</v>
      </c>
      <c r="C36" s="130" t="s">
        <v>528</v>
      </c>
      <c r="D36" s="130"/>
      <c r="E36" s="130" t="s">
        <v>127</v>
      </c>
      <c r="F36" s="130" t="s">
        <v>146</v>
      </c>
      <c r="G36" s="130" t="s">
        <v>61</v>
      </c>
      <c r="H36" s="131" t="s">
        <v>910</v>
      </c>
      <c r="I36" s="133" t="s">
        <v>40</v>
      </c>
      <c r="J36" s="132">
        <v>500</v>
      </c>
      <c r="K36" s="129" t="s">
        <v>123</v>
      </c>
      <c r="L36" s="126" t="s">
        <v>120</v>
      </c>
      <c r="M36" s="126" t="s">
        <v>41</v>
      </c>
      <c r="O36">
        <f t="shared" si="0"/>
        <v>100</v>
      </c>
    </row>
    <row r="37" spans="1:21" x14ac:dyDescent="0.25">
      <c r="A37" s="128">
        <v>6</v>
      </c>
      <c r="B37" s="191" t="s">
        <v>914</v>
      </c>
      <c r="C37" s="130" t="s">
        <v>1087</v>
      </c>
      <c r="D37" s="130"/>
      <c r="E37" s="130" t="s">
        <v>127</v>
      </c>
      <c r="F37" s="130" t="s">
        <v>146</v>
      </c>
      <c r="G37" s="130" t="s">
        <v>61</v>
      </c>
      <c r="H37" s="131" t="s">
        <v>910</v>
      </c>
      <c r="I37" s="133" t="s">
        <v>40</v>
      </c>
      <c r="J37" s="132">
        <v>500</v>
      </c>
      <c r="K37" s="129" t="s">
        <v>123</v>
      </c>
      <c r="L37" s="126" t="s">
        <v>120</v>
      </c>
      <c r="M37" s="126" t="s">
        <v>41</v>
      </c>
    </row>
    <row r="38" spans="1:21" x14ac:dyDescent="0.25">
      <c r="A38" s="128">
        <v>6</v>
      </c>
      <c r="B38" s="191" t="s">
        <v>911</v>
      </c>
      <c r="C38" s="130" t="s">
        <v>912</v>
      </c>
      <c r="D38" s="130"/>
      <c r="E38" s="130" t="s">
        <v>127</v>
      </c>
      <c r="F38" s="130" t="s">
        <v>146</v>
      </c>
      <c r="G38" s="130" t="s">
        <v>61</v>
      </c>
      <c r="H38" s="131" t="s">
        <v>913</v>
      </c>
      <c r="I38" s="133" t="s">
        <v>40</v>
      </c>
      <c r="J38" s="132">
        <v>500</v>
      </c>
      <c r="K38" s="129" t="s">
        <v>123</v>
      </c>
      <c r="L38" s="126" t="s">
        <v>120</v>
      </c>
      <c r="M38" s="126" t="s">
        <v>41</v>
      </c>
      <c r="O38">
        <f t="shared" si="0"/>
        <v>100</v>
      </c>
    </row>
    <row r="39" spans="1:21" x14ac:dyDescent="0.25">
      <c r="A39" s="128">
        <v>6</v>
      </c>
      <c r="B39" s="191" t="s">
        <v>914</v>
      </c>
      <c r="C39" s="130" t="s">
        <v>915</v>
      </c>
      <c r="D39" s="130"/>
      <c r="E39" s="130" t="s">
        <v>127</v>
      </c>
      <c r="F39" s="130" t="s">
        <v>146</v>
      </c>
      <c r="G39" s="130" t="s">
        <v>61</v>
      </c>
      <c r="H39" s="131" t="s">
        <v>910</v>
      </c>
      <c r="I39" s="130" t="s">
        <v>40</v>
      </c>
      <c r="J39" s="132">
        <v>500</v>
      </c>
      <c r="K39" s="129" t="s">
        <v>123</v>
      </c>
      <c r="L39" s="126" t="s">
        <v>120</v>
      </c>
      <c r="M39" s="126" t="s">
        <v>41</v>
      </c>
      <c r="O39">
        <f t="shared" si="0"/>
        <v>100</v>
      </c>
    </row>
    <row r="40" spans="1:21" x14ac:dyDescent="0.25">
      <c r="A40" s="128">
        <v>6</v>
      </c>
      <c r="B40" s="191" t="s">
        <v>916</v>
      </c>
      <c r="C40" s="130" t="s">
        <v>917</v>
      </c>
      <c r="D40" s="130"/>
      <c r="E40" s="130" t="s">
        <v>127</v>
      </c>
      <c r="F40" s="130" t="s">
        <v>558</v>
      </c>
      <c r="G40" s="130" t="s">
        <v>46</v>
      </c>
      <c r="H40" s="131" t="s">
        <v>918</v>
      </c>
      <c r="I40" s="130" t="s">
        <v>40</v>
      </c>
      <c r="J40" s="136">
        <v>200</v>
      </c>
      <c r="K40" s="164">
        <v>40</v>
      </c>
      <c r="L40" s="126" t="s">
        <v>120</v>
      </c>
      <c r="M40" s="126" t="s">
        <v>41</v>
      </c>
      <c r="O40">
        <f t="shared" si="0"/>
        <v>40</v>
      </c>
    </row>
    <row r="41" spans="1:21" x14ac:dyDescent="0.25">
      <c r="A41" s="128">
        <v>6</v>
      </c>
      <c r="B41" s="191" t="s">
        <v>919</v>
      </c>
      <c r="C41" s="130" t="s">
        <v>165</v>
      </c>
      <c r="D41" s="130"/>
      <c r="E41" s="130" t="s">
        <v>127</v>
      </c>
      <c r="F41" s="130" t="s">
        <v>569</v>
      </c>
      <c r="G41" s="130" t="s">
        <v>61</v>
      </c>
      <c r="H41" s="131" t="s">
        <v>920</v>
      </c>
      <c r="I41" s="130" t="s">
        <v>40</v>
      </c>
      <c r="J41" s="136">
        <v>2000</v>
      </c>
      <c r="K41" s="164">
        <v>400</v>
      </c>
      <c r="L41" s="126" t="s">
        <v>120</v>
      </c>
      <c r="M41" s="126" t="s">
        <v>41</v>
      </c>
      <c r="O41">
        <f t="shared" si="0"/>
        <v>400</v>
      </c>
    </row>
    <row r="42" spans="1:21" x14ac:dyDescent="0.25">
      <c r="A42" s="231">
        <v>10</v>
      </c>
      <c r="B42" s="191" t="s">
        <v>921</v>
      </c>
      <c r="C42" s="130" t="s">
        <v>922</v>
      </c>
      <c r="D42" s="130"/>
      <c r="E42" s="168" t="s">
        <v>129</v>
      </c>
      <c r="F42" s="130" t="s">
        <v>159</v>
      </c>
      <c r="G42" s="130" t="s">
        <v>47</v>
      </c>
      <c r="H42" s="131"/>
      <c r="I42" s="130" t="s">
        <v>40</v>
      </c>
      <c r="J42" s="136">
        <v>500</v>
      </c>
      <c r="K42" s="164">
        <v>100</v>
      </c>
      <c r="L42" s="126" t="s">
        <v>120</v>
      </c>
      <c r="M42" s="126" t="s">
        <v>41</v>
      </c>
      <c r="O42">
        <f t="shared" si="0"/>
        <v>100</v>
      </c>
    </row>
    <row r="43" spans="1:21" x14ac:dyDescent="0.25">
      <c r="A43" s="128">
        <v>10</v>
      </c>
      <c r="B43" s="191" t="s">
        <v>923</v>
      </c>
      <c r="C43" s="130" t="s">
        <v>924</v>
      </c>
      <c r="D43" s="130"/>
      <c r="E43" s="130" t="s">
        <v>127</v>
      </c>
      <c r="F43" s="130" t="s">
        <v>140</v>
      </c>
      <c r="G43" s="130" t="s">
        <v>49</v>
      </c>
      <c r="H43" s="131" t="s">
        <v>925</v>
      </c>
      <c r="I43" s="130" t="s">
        <v>40</v>
      </c>
      <c r="J43" s="136">
        <v>500</v>
      </c>
      <c r="K43" s="164">
        <v>100</v>
      </c>
      <c r="L43" s="126" t="s">
        <v>120</v>
      </c>
      <c r="M43" s="126" t="s">
        <v>41</v>
      </c>
      <c r="O43">
        <f t="shared" si="0"/>
        <v>100</v>
      </c>
    </row>
    <row r="44" spans="1:21" x14ac:dyDescent="0.25">
      <c r="A44" s="128">
        <v>10</v>
      </c>
      <c r="B44" s="191" t="s">
        <v>926</v>
      </c>
      <c r="C44" s="130" t="s">
        <v>927</v>
      </c>
      <c r="D44" s="130"/>
      <c r="E44" s="130" t="s">
        <v>127</v>
      </c>
      <c r="F44" s="130"/>
      <c r="G44" s="130" t="s">
        <v>49</v>
      </c>
      <c r="H44" s="131" t="s">
        <v>928</v>
      </c>
      <c r="I44" s="130" t="s">
        <v>40</v>
      </c>
      <c r="J44" s="136">
        <v>300</v>
      </c>
      <c r="K44" s="164">
        <v>60</v>
      </c>
      <c r="L44" s="126" t="s">
        <v>120</v>
      </c>
      <c r="M44" s="126" t="s">
        <v>41</v>
      </c>
      <c r="O44">
        <f t="shared" si="0"/>
        <v>60</v>
      </c>
    </row>
    <row r="45" spans="1:21" x14ac:dyDescent="0.25">
      <c r="A45" s="128">
        <v>10</v>
      </c>
      <c r="B45" s="191" t="s">
        <v>929</v>
      </c>
      <c r="C45" s="130" t="s">
        <v>930</v>
      </c>
      <c r="D45" s="130"/>
      <c r="E45" s="168" t="s">
        <v>129</v>
      </c>
      <c r="F45" s="130" t="s">
        <v>159</v>
      </c>
      <c r="G45" s="130" t="s">
        <v>54</v>
      </c>
      <c r="H45" s="131" t="s">
        <v>931</v>
      </c>
      <c r="I45" s="130" t="s">
        <v>40</v>
      </c>
      <c r="J45" s="136">
        <v>500</v>
      </c>
      <c r="K45" s="164">
        <v>100</v>
      </c>
      <c r="L45" s="126" t="s">
        <v>120</v>
      </c>
      <c r="M45" s="126" t="s">
        <v>41</v>
      </c>
      <c r="O45">
        <f t="shared" si="0"/>
        <v>100</v>
      </c>
      <c r="S45" s="25"/>
    </row>
    <row r="46" spans="1:21" x14ac:dyDescent="0.25">
      <c r="A46" s="128">
        <v>11</v>
      </c>
      <c r="B46" s="191" t="s">
        <v>932</v>
      </c>
      <c r="C46" s="130" t="s">
        <v>933</v>
      </c>
      <c r="D46" s="130"/>
      <c r="E46" s="168" t="s">
        <v>129</v>
      </c>
      <c r="F46" s="130" t="s">
        <v>146</v>
      </c>
      <c r="G46" s="130" t="s">
        <v>54</v>
      </c>
      <c r="H46" s="131" t="s">
        <v>934</v>
      </c>
      <c r="I46" s="130" t="s">
        <v>40</v>
      </c>
      <c r="J46" s="136">
        <v>3000</v>
      </c>
      <c r="K46" s="164">
        <v>600</v>
      </c>
      <c r="L46" s="126" t="s">
        <v>120</v>
      </c>
      <c r="M46" s="126" t="s">
        <v>41</v>
      </c>
      <c r="O46">
        <f t="shared" si="0"/>
        <v>600</v>
      </c>
    </row>
    <row r="47" spans="1:21" x14ac:dyDescent="0.25">
      <c r="A47" s="128">
        <v>11</v>
      </c>
      <c r="B47" s="191" t="s">
        <v>935</v>
      </c>
      <c r="C47" s="130" t="s">
        <v>936</v>
      </c>
      <c r="D47" s="130"/>
      <c r="E47" s="130" t="s">
        <v>127</v>
      </c>
      <c r="F47" s="130" t="s">
        <v>937</v>
      </c>
      <c r="G47" s="130" t="s">
        <v>61</v>
      </c>
      <c r="H47" s="131"/>
      <c r="I47" s="130" t="s">
        <v>40</v>
      </c>
      <c r="J47" s="136">
        <v>500</v>
      </c>
      <c r="K47" s="164" t="s">
        <v>123</v>
      </c>
      <c r="L47" s="126" t="s">
        <v>120</v>
      </c>
      <c r="M47" s="126" t="s">
        <v>41</v>
      </c>
      <c r="O47">
        <f t="shared" si="0"/>
        <v>100</v>
      </c>
    </row>
    <row r="48" spans="1:21" x14ac:dyDescent="0.25">
      <c r="A48" s="128">
        <v>11</v>
      </c>
      <c r="B48" s="191" t="s">
        <v>938</v>
      </c>
      <c r="C48" s="130" t="s">
        <v>342</v>
      </c>
      <c r="D48" s="130"/>
      <c r="E48" s="130" t="s">
        <v>127</v>
      </c>
      <c r="F48" s="130" t="s">
        <v>937</v>
      </c>
      <c r="G48" s="130" t="s">
        <v>61</v>
      </c>
      <c r="H48" s="131"/>
      <c r="I48" s="130" t="s">
        <v>40</v>
      </c>
      <c r="J48" s="136">
        <v>500</v>
      </c>
      <c r="K48" s="164" t="s">
        <v>123</v>
      </c>
      <c r="L48" s="126" t="s">
        <v>120</v>
      </c>
      <c r="M48" s="126" t="s">
        <v>41</v>
      </c>
      <c r="O48">
        <f t="shared" si="0"/>
        <v>100</v>
      </c>
    </row>
    <row r="49" spans="1:19" x14ac:dyDescent="0.25">
      <c r="A49" s="128">
        <v>11</v>
      </c>
      <c r="B49" s="191" t="s">
        <v>939</v>
      </c>
      <c r="C49" s="130" t="s">
        <v>753</v>
      </c>
      <c r="D49" s="130"/>
      <c r="E49" s="130" t="s">
        <v>127</v>
      </c>
      <c r="F49" s="130" t="s">
        <v>159</v>
      </c>
      <c r="G49" s="130" t="s">
        <v>47</v>
      </c>
      <c r="H49" s="131"/>
      <c r="I49" s="130" t="s">
        <v>40</v>
      </c>
      <c r="J49" s="136">
        <v>500</v>
      </c>
      <c r="K49" s="164">
        <v>100</v>
      </c>
      <c r="L49" s="126" t="s">
        <v>120</v>
      </c>
      <c r="M49" s="126" t="s">
        <v>41</v>
      </c>
      <c r="O49">
        <f t="shared" si="0"/>
        <v>100</v>
      </c>
    </row>
    <row r="50" spans="1:19" x14ac:dyDescent="0.25">
      <c r="A50" s="128">
        <v>11</v>
      </c>
      <c r="B50" s="191" t="s">
        <v>940</v>
      </c>
      <c r="C50" s="130" t="s">
        <v>941</v>
      </c>
      <c r="D50" s="130"/>
      <c r="E50" s="130" t="s">
        <v>127</v>
      </c>
      <c r="F50" s="130" t="s">
        <v>812</v>
      </c>
      <c r="G50" s="130" t="s">
        <v>47</v>
      </c>
      <c r="H50" s="131" t="s">
        <v>942</v>
      </c>
      <c r="I50" s="130" t="s">
        <v>40</v>
      </c>
      <c r="J50" s="136">
        <v>500</v>
      </c>
      <c r="K50" s="164">
        <v>100</v>
      </c>
      <c r="L50" s="126" t="s">
        <v>120</v>
      </c>
      <c r="M50" s="126" t="s">
        <v>41</v>
      </c>
      <c r="O50">
        <f t="shared" si="0"/>
        <v>100</v>
      </c>
    </row>
    <row r="51" spans="1:19" x14ac:dyDescent="0.25">
      <c r="A51" s="128">
        <v>13</v>
      </c>
      <c r="B51" s="191" t="s">
        <v>938</v>
      </c>
      <c r="C51" s="130" t="s">
        <v>943</v>
      </c>
      <c r="D51" s="130"/>
      <c r="E51" s="130" t="s">
        <v>127</v>
      </c>
      <c r="F51" s="130" t="s">
        <v>937</v>
      </c>
      <c r="G51" s="130" t="s">
        <v>61</v>
      </c>
      <c r="H51" s="131" t="s">
        <v>944</v>
      </c>
      <c r="I51" s="130" t="s">
        <v>40</v>
      </c>
      <c r="J51" s="136">
        <v>500</v>
      </c>
      <c r="K51" s="164" t="s">
        <v>123</v>
      </c>
      <c r="L51" s="126" t="s">
        <v>120</v>
      </c>
      <c r="M51" s="126" t="s">
        <v>41</v>
      </c>
      <c r="O51">
        <f t="shared" si="0"/>
        <v>100</v>
      </c>
    </row>
    <row r="52" spans="1:19" x14ac:dyDescent="0.25">
      <c r="A52" s="231">
        <v>13</v>
      </c>
      <c r="B52" s="191" t="s">
        <v>935</v>
      </c>
      <c r="C52" s="130" t="s">
        <v>945</v>
      </c>
      <c r="D52" s="130"/>
      <c r="E52" s="130" t="s">
        <v>127</v>
      </c>
      <c r="F52" s="130" t="s">
        <v>937</v>
      </c>
      <c r="G52" s="130" t="s">
        <v>61</v>
      </c>
      <c r="H52" s="131" t="s">
        <v>946</v>
      </c>
      <c r="I52" s="133" t="s">
        <v>40</v>
      </c>
      <c r="J52" s="136">
        <v>500</v>
      </c>
      <c r="K52" s="164" t="s">
        <v>123</v>
      </c>
      <c r="L52" s="126" t="s">
        <v>120</v>
      </c>
      <c r="M52" s="126" t="s">
        <v>41</v>
      </c>
      <c r="O52">
        <f t="shared" si="0"/>
        <v>100</v>
      </c>
      <c r="S52" s="57"/>
    </row>
    <row r="53" spans="1:19" x14ac:dyDescent="0.25">
      <c r="A53" s="128">
        <v>13</v>
      </c>
      <c r="B53" s="191" t="s">
        <v>947</v>
      </c>
      <c r="C53" s="130" t="s">
        <v>741</v>
      </c>
      <c r="D53" s="130"/>
      <c r="E53" s="130" t="s">
        <v>127</v>
      </c>
      <c r="F53" s="130" t="s">
        <v>937</v>
      </c>
      <c r="G53" s="130" t="s">
        <v>61</v>
      </c>
      <c r="H53" s="131" t="s">
        <v>948</v>
      </c>
      <c r="I53" s="130" t="s">
        <v>40</v>
      </c>
      <c r="J53" s="136">
        <v>500</v>
      </c>
      <c r="K53" s="164" t="s">
        <v>123</v>
      </c>
      <c r="L53" s="126" t="s">
        <v>120</v>
      </c>
      <c r="M53" s="126" t="s">
        <v>41</v>
      </c>
      <c r="O53">
        <f t="shared" si="0"/>
        <v>100</v>
      </c>
    </row>
    <row r="54" spans="1:19" x14ac:dyDescent="0.25">
      <c r="A54" s="128">
        <v>13</v>
      </c>
      <c r="B54" s="191" t="s">
        <v>351</v>
      </c>
      <c r="C54" s="130" t="s">
        <v>608</v>
      </c>
      <c r="D54" s="130"/>
      <c r="E54" s="130" t="s">
        <v>127</v>
      </c>
      <c r="F54" s="130" t="s">
        <v>949</v>
      </c>
      <c r="G54" s="130" t="s">
        <v>43</v>
      </c>
      <c r="H54" s="131"/>
      <c r="I54" s="228" t="s">
        <v>186</v>
      </c>
      <c r="J54" s="136">
        <v>7</v>
      </c>
      <c r="K54" s="164">
        <v>70</v>
      </c>
      <c r="L54" s="126" t="s">
        <v>120</v>
      </c>
      <c r="M54" s="126" t="s">
        <v>41</v>
      </c>
      <c r="O54">
        <f t="shared" si="0"/>
        <v>1.4</v>
      </c>
    </row>
    <row r="55" spans="1:19" x14ac:dyDescent="0.25">
      <c r="A55" s="128">
        <v>13</v>
      </c>
      <c r="B55" s="191" t="s">
        <v>580</v>
      </c>
      <c r="C55" s="130" t="s">
        <v>950</v>
      </c>
      <c r="D55" s="130"/>
      <c r="E55" s="130" t="s">
        <v>127</v>
      </c>
      <c r="F55" s="130" t="s">
        <v>158</v>
      </c>
      <c r="G55" s="130" t="s">
        <v>42</v>
      </c>
      <c r="H55" s="131" t="s">
        <v>581</v>
      </c>
      <c r="I55" s="130" t="s">
        <v>40</v>
      </c>
      <c r="J55" s="136">
        <v>7000</v>
      </c>
      <c r="K55" s="164">
        <v>1400</v>
      </c>
      <c r="L55" s="126" t="s">
        <v>120</v>
      </c>
      <c r="M55" s="126" t="s">
        <v>41</v>
      </c>
      <c r="O55">
        <f t="shared" si="0"/>
        <v>1400</v>
      </c>
    </row>
    <row r="56" spans="1:19" x14ac:dyDescent="0.25">
      <c r="A56" s="128">
        <v>13</v>
      </c>
      <c r="B56" s="191" t="s">
        <v>516</v>
      </c>
      <c r="C56" s="130" t="s">
        <v>517</v>
      </c>
      <c r="D56" s="130"/>
      <c r="E56" s="130" t="s">
        <v>127</v>
      </c>
      <c r="F56" s="130" t="s">
        <v>130</v>
      </c>
      <c r="G56" s="130" t="s">
        <v>43</v>
      </c>
      <c r="H56" s="131" t="s">
        <v>951</v>
      </c>
      <c r="I56" s="130" t="s">
        <v>40</v>
      </c>
      <c r="J56" s="136">
        <v>10000</v>
      </c>
      <c r="K56" s="164">
        <v>2000</v>
      </c>
      <c r="L56" s="126" t="s">
        <v>120</v>
      </c>
      <c r="M56" s="126" t="s">
        <v>41</v>
      </c>
      <c r="O56">
        <f t="shared" si="0"/>
        <v>2000</v>
      </c>
    </row>
    <row r="57" spans="1:19" x14ac:dyDescent="0.25">
      <c r="A57" s="128">
        <v>13</v>
      </c>
      <c r="B57" s="191" t="s">
        <v>952</v>
      </c>
      <c r="C57" s="130" t="s">
        <v>953</v>
      </c>
      <c r="D57" s="130"/>
      <c r="E57" s="168" t="s">
        <v>129</v>
      </c>
      <c r="F57" s="130" t="s">
        <v>954</v>
      </c>
      <c r="G57" s="130" t="s">
        <v>79</v>
      </c>
      <c r="H57" s="131" t="s">
        <v>955</v>
      </c>
      <c r="I57" s="133" t="s">
        <v>40</v>
      </c>
      <c r="J57" s="136">
        <v>2000</v>
      </c>
      <c r="K57" s="164" t="s">
        <v>123</v>
      </c>
      <c r="L57" s="126" t="s">
        <v>120</v>
      </c>
      <c r="M57" s="126" t="s">
        <v>41</v>
      </c>
      <c r="O57">
        <f t="shared" si="0"/>
        <v>400</v>
      </c>
    </row>
    <row r="58" spans="1:19" x14ac:dyDescent="0.25">
      <c r="A58" s="128">
        <v>13</v>
      </c>
      <c r="B58" s="191" t="s">
        <v>952</v>
      </c>
      <c r="C58" s="130" t="s">
        <v>953</v>
      </c>
      <c r="D58" s="130"/>
      <c r="E58" s="168" t="s">
        <v>129</v>
      </c>
      <c r="F58" s="130" t="s">
        <v>954</v>
      </c>
      <c r="G58" s="130" t="s">
        <v>79</v>
      </c>
      <c r="H58" s="131" t="s">
        <v>955</v>
      </c>
      <c r="I58" s="133" t="s">
        <v>40</v>
      </c>
      <c r="J58" s="136">
        <v>500</v>
      </c>
      <c r="K58" s="164">
        <v>100</v>
      </c>
      <c r="L58" s="126" t="s">
        <v>120</v>
      </c>
      <c r="M58" s="126" t="s">
        <v>41</v>
      </c>
      <c r="O58">
        <f t="shared" si="0"/>
        <v>100</v>
      </c>
    </row>
    <row r="59" spans="1:19" x14ac:dyDescent="0.25">
      <c r="A59" s="128">
        <v>13</v>
      </c>
      <c r="B59" s="191" t="s">
        <v>956</v>
      </c>
      <c r="C59" s="191" t="s">
        <v>957</v>
      </c>
      <c r="D59" s="130"/>
      <c r="E59" s="130" t="s">
        <v>127</v>
      </c>
      <c r="F59" s="130" t="s">
        <v>64</v>
      </c>
      <c r="G59" s="130" t="s">
        <v>57</v>
      </c>
      <c r="H59" s="131" t="s">
        <v>958</v>
      </c>
      <c r="I59" s="133" t="s">
        <v>40</v>
      </c>
      <c r="J59" s="136">
        <v>2000</v>
      </c>
      <c r="K59" s="164">
        <v>400</v>
      </c>
      <c r="L59" s="126" t="s">
        <v>120</v>
      </c>
      <c r="M59" s="126" t="s">
        <v>41</v>
      </c>
      <c r="O59">
        <f t="shared" si="0"/>
        <v>400</v>
      </c>
    </row>
    <row r="60" spans="1:19" x14ac:dyDescent="0.25">
      <c r="A60" s="128">
        <v>13</v>
      </c>
      <c r="B60" s="191" t="s">
        <v>959</v>
      </c>
      <c r="C60" s="130" t="s">
        <v>960</v>
      </c>
      <c r="D60" s="130"/>
      <c r="E60" s="168" t="s">
        <v>129</v>
      </c>
      <c r="F60" s="130" t="s">
        <v>130</v>
      </c>
      <c r="G60" s="130" t="s">
        <v>43</v>
      </c>
      <c r="H60" s="131"/>
      <c r="I60" s="133" t="s">
        <v>40</v>
      </c>
      <c r="J60" s="136">
        <v>15000</v>
      </c>
      <c r="K60" s="164">
        <v>3000</v>
      </c>
      <c r="L60" s="126" t="s">
        <v>120</v>
      </c>
      <c r="M60" s="126" t="s">
        <v>41</v>
      </c>
      <c r="O60">
        <f t="shared" si="0"/>
        <v>3000</v>
      </c>
    </row>
    <row r="61" spans="1:19" x14ac:dyDescent="0.25">
      <c r="A61" s="128">
        <v>13</v>
      </c>
      <c r="B61" s="191" t="s">
        <v>961</v>
      </c>
      <c r="C61" s="130" t="s">
        <v>962</v>
      </c>
      <c r="D61" s="130"/>
      <c r="E61" s="130" t="s">
        <v>127</v>
      </c>
      <c r="F61" s="130" t="s">
        <v>388</v>
      </c>
      <c r="G61" s="130" t="s">
        <v>42</v>
      </c>
      <c r="H61" s="131"/>
      <c r="I61" s="133" t="s">
        <v>40</v>
      </c>
      <c r="J61" s="136">
        <v>12000</v>
      </c>
      <c r="K61" s="164">
        <v>2400</v>
      </c>
      <c r="L61" s="126" t="s">
        <v>120</v>
      </c>
      <c r="M61" s="126" t="s">
        <v>41</v>
      </c>
      <c r="O61">
        <f t="shared" si="0"/>
        <v>2400</v>
      </c>
      <c r="R61" s="25"/>
    </row>
    <row r="62" spans="1:19" x14ac:dyDescent="0.25">
      <c r="A62" s="231">
        <v>14</v>
      </c>
      <c r="B62" s="191" t="s">
        <v>963</v>
      </c>
      <c r="C62" s="130" t="s">
        <v>964</v>
      </c>
      <c r="D62" s="130"/>
      <c r="E62" s="130" t="s">
        <v>127</v>
      </c>
      <c r="F62" s="130" t="s">
        <v>569</v>
      </c>
      <c r="G62" s="130" t="s">
        <v>61</v>
      </c>
      <c r="H62" s="131" t="s">
        <v>965</v>
      </c>
      <c r="I62" s="130" t="s">
        <v>40</v>
      </c>
      <c r="J62" s="136">
        <v>1500</v>
      </c>
      <c r="K62" s="164">
        <v>300</v>
      </c>
      <c r="L62" s="126" t="s">
        <v>120</v>
      </c>
      <c r="M62" s="126" t="s">
        <v>41</v>
      </c>
      <c r="O62">
        <f t="shared" si="0"/>
        <v>300</v>
      </c>
      <c r="R62" s="25"/>
    </row>
    <row r="63" spans="1:19" x14ac:dyDescent="0.25">
      <c r="A63" s="128">
        <v>17</v>
      </c>
      <c r="B63" s="191" t="s">
        <v>971</v>
      </c>
      <c r="C63" s="130" t="s">
        <v>972</v>
      </c>
      <c r="D63" s="130"/>
      <c r="E63" s="130" t="s">
        <v>127</v>
      </c>
      <c r="F63" s="130" t="s">
        <v>364</v>
      </c>
      <c r="G63" s="130" t="s">
        <v>60</v>
      </c>
      <c r="H63" s="131" t="s">
        <v>973</v>
      </c>
      <c r="I63" s="130" t="s">
        <v>40</v>
      </c>
      <c r="J63" s="136">
        <v>300</v>
      </c>
      <c r="K63" s="164">
        <v>60</v>
      </c>
      <c r="L63" s="126" t="s">
        <v>120</v>
      </c>
      <c r="M63" s="126" t="s">
        <v>41</v>
      </c>
      <c r="O63">
        <f t="shared" si="0"/>
        <v>60</v>
      </c>
      <c r="R63" s="25"/>
    </row>
    <row r="64" spans="1:19" x14ac:dyDescent="0.25">
      <c r="A64" s="128">
        <v>17</v>
      </c>
      <c r="B64" s="191" t="s">
        <v>974</v>
      </c>
      <c r="C64" s="130" t="s">
        <v>182</v>
      </c>
      <c r="D64" s="130"/>
      <c r="E64" s="130" t="s">
        <v>127</v>
      </c>
      <c r="F64" s="130" t="s">
        <v>975</v>
      </c>
      <c r="G64" s="130" t="s">
        <v>72</v>
      </c>
      <c r="H64" s="131" t="s">
        <v>976</v>
      </c>
      <c r="I64" s="130" t="s">
        <v>40</v>
      </c>
      <c r="J64" s="136">
        <v>5000</v>
      </c>
      <c r="K64" s="164">
        <v>1000</v>
      </c>
      <c r="L64" s="126" t="s">
        <v>120</v>
      </c>
      <c r="M64" s="126" t="s">
        <v>41</v>
      </c>
      <c r="O64">
        <f t="shared" si="0"/>
        <v>1000</v>
      </c>
    </row>
    <row r="65" spans="1:15" x14ac:dyDescent="0.25">
      <c r="A65" s="128">
        <v>17</v>
      </c>
      <c r="B65" s="191" t="s">
        <v>977</v>
      </c>
      <c r="C65" s="130" t="s">
        <v>978</v>
      </c>
      <c r="D65" s="130"/>
      <c r="E65" s="130" t="s">
        <v>127</v>
      </c>
      <c r="F65" s="130" t="s">
        <v>500</v>
      </c>
      <c r="G65" s="130" t="s">
        <v>42</v>
      </c>
      <c r="H65" s="131" t="s">
        <v>979</v>
      </c>
      <c r="I65" s="133" t="s">
        <v>40</v>
      </c>
      <c r="J65" s="136">
        <v>3000</v>
      </c>
      <c r="K65" s="164">
        <v>600</v>
      </c>
      <c r="L65" s="126" t="s">
        <v>120</v>
      </c>
      <c r="M65" s="126" t="s">
        <v>41</v>
      </c>
      <c r="O65">
        <f t="shared" si="0"/>
        <v>600</v>
      </c>
    </row>
    <row r="66" spans="1:15" x14ac:dyDescent="0.25">
      <c r="A66" s="128">
        <v>19</v>
      </c>
      <c r="B66" s="192" t="s">
        <v>980</v>
      </c>
      <c r="C66" s="133" t="s">
        <v>204</v>
      </c>
      <c r="D66" s="133"/>
      <c r="E66" s="130" t="s">
        <v>127</v>
      </c>
      <c r="F66" s="130" t="s">
        <v>60</v>
      </c>
      <c r="G66" s="130" t="s">
        <v>53</v>
      </c>
      <c r="H66" s="131" t="s">
        <v>249</v>
      </c>
      <c r="I66" s="133" t="s">
        <v>40</v>
      </c>
      <c r="J66" s="136">
        <v>150</v>
      </c>
      <c r="K66" s="164" t="s">
        <v>123</v>
      </c>
      <c r="L66" s="126" t="s">
        <v>120</v>
      </c>
      <c r="M66" s="126" t="s">
        <v>41</v>
      </c>
      <c r="O66">
        <f t="shared" si="0"/>
        <v>30</v>
      </c>
    </row>
    <row r="67" spans="1:15" x14ac:dyDescent="0.25">
      <c r="A67" s="128">
        <v>20</v>
      </c>
      <c r="B67" s="192" t="s">
        <v>981</v>
      </c>
      <c r="C67" s="133" t="s">
        <v>982</v>
      </c>
      <c r="D67" s="133"/>
      <c r="E67" s="168" t="s">
        <v>129</v>
      </c>
      <c r="F67" s="130" t="s">
        <v>983</v>
      </c>
      <c r="G67" s="130" t="s">
        <v>56</v>
      </c>
      <c r="H67" s="131" t="s">
        <v>984</v>
      </c>
      <c r="I67" s="133" t="s">
        <v>40</v>
      </c>
      <c r="J67" s="136">
        <v>2000</v>
      </c>
      <c r="K67" s="164">
        <v>400</v>
      </c>
      <c r="L67" s="130" t="s">
        <v>120</v>
      </c>
      <c r="M67" s="130" t="s">
        <v>41</v>
      </c>
      <c r="O67">
        <f t="shared" si="0"/>
        <v>400</v>
      </c>
    </row>
    <row r="68" spans="1:15" x14ac:dyDescent="0.25">
      <c r="A68" s="128">
        <v>20</v>
      </c>
      <c r="B68" s="192" t="s">
        <v>985</v>
      </c>
      <c r="C68" s="133" t="s">
        <v>986</v>
      </c>
      <c r="D68" s="133"/>
      <c r="E68" s="130" t="s">
        <v>127</v>
      </c>
      <c r="F68" s="130" t="s">
        <v>364</v>
      </c>
      <c r="G68" s="130" t="s">
        <v>61</v>
      </c>
      <c r="H68" s="131" t="s">
        <v>987</v>
      </c>
      <c r="I68" s="130" t="s">
        <v>40</v>
      </c>
      <c r="J68" s="136">
        <v>1000</v>
      </c>
      <c r="K68" s="164">
        <v>200</v>
      </c>
      <c r="L68" s="126" t="s">
        <v>120</v>
      </c>
      <c r="M68" s="126" t="s">
        <v>41</v>
      </c>
      <c r="O68">
        <f t="shared" si="0"/>
        <v>200</v>
      </c>
    </row>
    <row r="69" spans="1:15" x14ac:dyDescent="0.25">
      <c r="A69" s="128">
        <v>20</v>
      </c>
      <c r="B69" s="192" t="s">
        <v>988</v>
      </c>
      <c r="C69" s="133" t="s">
        <v>989</v>
      </c>
      <c r="D69" s="133"/>
      <c r="E69" s="130" t="s">
        <v>127</v>
      </c>
      <c r="F69" s="130" t="s">
        <v>937</v>
      </c>
      <c r="G69" s="130" t="s">
        <v>61</v>
      </c>
      <c r="H69" s="131" t="s">
        <v>990</v>
      </c>
      <c r="I69" s="133" t="s">
        <v>40</v>
      </c>
      <c r="J69" s="136">
        <v>1000</v>
      </c>
      <c r="K69" s="164">
        <v>200</v>
      </c>
      <c r="L69" s="126" t="s">
        <v>120</v>
      </c>
      <c r="M69" s="126" t="s">
        <v>41</v>
      </c>
      <c r="O69">
        <f t="shared" si="0"/>
        <v>200</v>
      </c>
    </row>
    <row r="70" spans="1:15" x14ac:dyDescent="0.25">
      <c r="A70" s="128">
        <v>20</v>
      </c>
      <c r="B70" s="192" t="s">
        <v>988</v>
      </c>
      <c r="C70" s="133" t="s">
        <v>989</v>
      </c>
      <c r="D70" s="133"/>
      <c r="E70" s="130" t="s">
        <v>127</v>
      </c>
      <c r="F70" s="130" t="s">
        <v>937</v>
      </c>
      <c r="G70" s="130" t="s">
        <v>61</v>
      </c>
      <c r="H70" s="131" t="s">
        <v>990</v>
      </c>
      <c r="I70" s="133" t="s">
        <v>40</v>
      </c>
      <c r="J70" s="136">
        <v>500</v>
      </c>
      <c r="K70" s="164" t="s">
        <v>123</v>
      </c>
      <c r="L70" s="126" t="s">
        <v>120</v>
      </c>
      <c r="M70" s="126" t="s">
        <v>41</v>
      </c>
      <c r="O70">
        <f t="shared" si="0"/>
        <v>100</v>
      </c>
    </row>
    <row r="71" spans="1:15" x14ac:dyDescent="0.25">
      <c r="A71" s="128">
        <v>20</v>
      </c>
      <c r="B71" s="192" t="s">
        <v>991</v>
      </c>
      <c r="C71" s="133" t="s">
        <v>165</v>
      </c>
      <c r="D71" s="133"/>
      <c r="E71" s="130" t="s">
        <v>127</v>
      </c>
      <c r="F71" s="130" t="s">
        <v>937</v>
      </c>
      <c r="G71" s="130" t="s">
        <v>61</v>
      </c>
      <c r="H71" s="131" t="s">
        <v>992</v>
      </c>
      <c r="I71" s="133" t="s">
        <v>40</v>
      </c>
      <c r="J71" s="136">
        <v>500</v>
      </c>
      <c r="K71" s="164" t="s">
        <v>123</v>
      </c>
      <c r="L71" s="126" t="s">
        <v>120</v>
      </c>
      <c r="M71" s="126" t="s">
        <v>41</v>
      </c>
      <c r="O71">
        <f t="shared" si="0"/>
        <v>100</v>
      </c>
    </row>
    <row r="72" spans="1:15" x14ac:dyDescent="0.25">
      <c r="A72" s="128">
        <v>21</v>
      </c>
      <c r="B72" s="192" t="s">
        <v>993</v>
      </c>
      <c r="C72" s="133" t="s">
        <v>994</v>
      </c>
      <c r="D72" s="133"/>
      <c r="E72" s="130" t="s">
        <v>127</v>
      </c>
      <c r="F72" s="130" t="s">
        <v>693</v>
      </c>
      <c r="G72" s="130" t="s">
        <v>49</v>
      </c>
      <c r="H72" s="131" t="s">
        <v>995</v>
      </c>
      <c r="I72" s="133" t="s">
        <v>40</v>
      </c>
      <c r="J72" s="136">
        <v>3000</v>
      </c>
      <c r="K72" s="164">
        <v>600</v>
      </c>
      <c r="L72" s="126" t="s">
        <v>120</v>
      </c>
      <c r="M72" s="126" t="s">
        <v>41</v>
      </c>
      <c r="O72">
        <f t="shared" si="0"/>
        <v>600</v>
      </c>
    </row>
    <row r="73" spans="1:15" x14ac:dyDescent="0.25">
      <c r="A73" s="231">
        <v>21</v>
      </c>
      <c r="B73" s="192" t="s">
        <v>996</v>
      </c>
      <c r="C73" s="133" t="s">
        <v>997</v>
      </c>
      <c r="D73" s="133"/>
      <c r="E73" s="130" t="s">
        <v>127</v>
      </c>
      <c r="F73" s="130" t="s">
        <v>144</v>
      </c>
      <c r="G73" s="130" t="s">
        <v>43</v>
      </c>
      <c r="H73" s="131" t="s">
        <v>998</v>
      </c>
      <c r="I73" s="130" t="s">
        <v>40</v>
      </c>
      <c r="J73" s="136">
        <v>1500</v>
      </c>
      <c r="K73" s="164">
        <v>300</v>
      </c>
      <c r="L73" s="126" t="s">
        <v>120</v>
      </c>
      <c r="M73" s="126" t="s">
        <v>41</v>
      </c>
      <c r="O73">
        <f t="shared" si="0"/>
        <v>300</v>
      </c>
    </row>
    <row r="74" spans="1:15" x14ac:dyDescent="0.25">
      <c r="A74" s="142">
        <v>25</v>
      </c>
      <c r="B74" s="192" t="s">
        <v>1002</v>
      </c>
      <c r="C74" s="133" t="s">
        <v>1003</v>
      </c>
      <c r="D74" s="133"/>
      <c r="E74" s="168" t="s">
        <v>129</v>
      </c>
      <c r="F74" s="130" t="s">
        <v>1004</v>
      </c>
      <c r="G74" s="130" t="s">
        <v>56</v>
      </c>
      <c r="H74" s="131" t="s">
        <v>1005</v>
      </c>
      <c r="I74" s="130" t="s">
        <v>40</v>
      </c>
      <c r="J74" s="136">
        <v>250</v>
      </c>
      <c r="K74" s="164">
        <v>50</v>
      </c>
      <c r="L74" s="126" t="s">
        <v>120</v>
      </c>
      <c r="M74" s="126" t="s">
        <v>41</v>
      </c>
      <c r="O74">
        <f t="shared" si="0"/>
        <v>50</v>
      </c>
    </row>
    <row r="75" spans="1:15" x14ac:dyDescent="0.25">
      <c r="A75" s="142">
        <v>25</v>
      </c>
      <c r="B75" s="192" t="s">
        <v>369</v>
      </c>
      <c r="C75" s="133" t="s">
        <v>1006</v>
      </c>
      <c r="D75" s="133"/>
      <c r="E75" s="168" t="s">
        <v>129</v>
      </c>
      <c r="F75" s="130" t="s">
        <v>1007</v>
      </c>
      <c r="G75" s="130" t="s">
        <v>48</v>
      </c>
      <c r="H75" s="131" t="s">
        <v>1008</v>
      </c>
      <c r="I75" s="133" t="s">
        <v>40</v>
      </c>
      <c r="J75" s="136">
        <v>500</v>
      </c>
      <c r="K75" s="164">
        <v>100</v>
      </c>
      <c r="L75" s="126" t="s">
        <v>120</v>
      </c>
      <c r="M75" s="126" t="s">
        <v>41</v>
      </c>
      <c r="O75">
        <f t="shared" si="0"/>
        <v>100</v>
      </c>
    </row>
    <row r="76" spans="1:15" x14ac:dyDescent="0.25">
      <c r="A76" s="142">
        <v>25</v>
      </c>
      <c r="B76" s="192" t="s">
        <v>991</v>
      </c>
      <c r="C76" s="133" t="s">
        <v>1009</v>
      </c>
      <c r="D76" s="133"/>
      <c r="E76" s="130" t="s">
        <v>127</v>
      </c>
      <c r="F76" s="130" t="s">
        <v>1010</v>
      </c>
      <c r="G76" s="130" t="s">
        <v>42</v>
      </c>
      <c r="H76" s="131"/>
      <c r="I76" s="133" t="s">
        <v>40</v>
      </c>
      <c r="J76" s="136">
        <v>300</v>
      </c>
      <c r="K76" s="164">
        <v>60</v>
      </c>
      <c r="L76" s="126" t="s">
        <v>120</v>
      </c>
      <c r="M76" s="126" t="s">
        <v>41</v>
      </c>
      <c r="O76">
        <f t="shared" si="0"/>
        <v>60</v>
      </c>
    </row>
    <row r="77" spans="1:15" x14ac:dyDescent="0.25">
      <c r="A77" s="142">
        <v>25</v>
      </c>
      <c r="B77" s="192" t="s">
        <v>1011</v>
      </c>
      <c r="C77" s="133" t="s">
        <v>1012</v>
      </c>
      <c r="D77" s="133"/>
      <c r="E77" s="130" t="s">
        <v>127</v>
      </c>
      <c r="F77" s="130" t="s">
        <v>844</v>
      </c>
      <c r="G77" s="130" t="s">
        <v>42</v>
      </c>
      <c r="H77" s="131" t="s">
        <v>1013</v>
      </c>
      <c r="I77" s="130" t="s">
        <v>40</v>
      </c>
      <c r="J77" s="136">
        <v>5000</v>
      </c>
      <c r="K77" s="164">
        <v>1000</v>
      </c>
      <c r="L77" s="126" t="s">
        <v>120</v>
      </c>
      <c r="M77" s="126" t="s">
        <v>41</v>
      </c>
      <c r="O77">
        <f t="shared" si="0"/>
        <v>1000</v>
      </c>
    </row>
    <row r="78" spans="1:15" x14ac:dyDescent="0.25">
      <c r="A78" s="142">
        <v>25</v>
      </c>
      <c r="B78" s="192" t="s">
        <v>1014</v>
      </c>
      <c r="C78" s="133" t="s">
        <v>179</v>
      </c>
      <c r="D78" s="133"/>
      <c r="E78" s="130" t="s">
        <v>127</v>
      </c>
      <c r="F78" s="130" t="s">
        <v>1015</v>
      </c>
      <c r="G78" s="130" t="s">
        <v>49</v>
      </c>
      <c r="H78" s="131" t="s">
        <v>1016</v>
      </c>
      <c r="I78" s="130" t="s">
        <v>40</v>
      </c>
      <c r="J78" s="136">
        <v>4000</v>
      </c>
      <c r="K78" s="164">
        <v>800</v>
      </c>
      <c r="L78" s="126" t="s">
        <v>120</v>
      </c>
      <c r="M78" s="126" t="s">
        <v>41</v>
      </c>
      <c r="O78">
        <f t="shared" si="0"/>
        <v>800</v>
      </c>
    </row>
    <row r="79" spans="1:15" x14ac:dyDescent="0.25">
      <c r="A79" s="142">
        <v>25</v>
      </c>
      <c r="B79" s="192" t="s">
        <v>1017</v>
      </c>
      <c r="C79" s="133" t="s">
        <v>1018</v>
      </c>
      <c r="D79" s="133"/>
      <c r="E79" s="130" t="s">
        <v>127</v>
      </c>
      <c r="F79" s="130" t="s">
        <v>749</v>
      </c>
      <c r="G79" s="130" t="s">
        <v>42</v>
      </c>
      <c r="H79" s="131" t="s">
        <v>1019</v>
      </c>
      <c r="I79" s="133" t="s">
        <v>40</v>
      </c>
      <c r="J79" s="136">
        <v>3500</v>
      </c>
      <c r="K79" s="164">
        <v>700</v>
      </c>
      <c r="L79" s="126" t="s">
        <v>120</v>
      </c>
      <c r="M79" s="126" t="s">
        <v>41</v>
      </c>
      <c r="O79">
        <f t="shared" si="0"/>
        <v>700</v>
      </c>
    </row>
    <row r="80" spans="1:15" x14ac:dyDescent="0.25">
      <c r="A80" s="142">
        <v>25</v>
      </c>
      <c r="B80" s="192" t="s">
        <v>708</v>
      </c>
      <c r="C80" s="133" t="s">
        <v>709</v>
      </c>
      <c r="D80" s="133"/>
      <c r="E80" s="130" t="s">
        <v>127</v>
      </c>
      <c r="F80" s="130" t="s">
        <v>710</v>
      </c>
      <c r="G80" s="130" t="s">
        <v>47</v>
      </c>
      <c r="H80" s="131"/>
      <c r="I80" s="133" t="s">
        <v>40</v>
      </c>
      <c r="J80" s="136">
        <v>1000</v>
      </c>
      <c r="K80" s="164">
        <v>200</v>
      </c>
      <c r="L80" s="126" t="s">
        <v>120</v>
      </c>
      <c r="M80" s="126" t="s">
        <v>41</v>
      </c>
      <c r="O80">
        <f t="shared" si="0"/>
        <v>200</v>
      </c>
    </row>
    <row r="81" spans="1:19" x14ac:dyDescent="0.25">
      <c r="A81" s="142">
        <v>25</v>
      </c>
      <c r="B81" s="192" t="s">
        <v>1082</v>
      </c>
      <c r="C81" s="133" t="s">
        <v>1083</v>
      </c>
      <c r="D81" s="133" t="s">
        <v>1084</v>
      </c>
      <c r="E81" s="130" t="s">
        <v>127</v>
      </c>
      <c r="F81" s="130" t="s">
        <v>1085</v>
      </c>
      <c r="G81" s="130" t="s">
        <v>43</v>
      </c>
      <c r="H81" s="131" t="s">
        <v>1086</v>
      </c>
      <c r="I81" s="133" t="s">
        <v>40</v>
      </c>
      <c r="J81" s="136">
        <v>2500</v>
      </c>
      <c r="K81" s="164">
        <v>500</v>
      </c>
      <c r="L81" s="126" t="s">
        <v>120</v>
      </c>
      <c r="M81" s="126" t="s">
        <v>41</v>
      </c>
      <c r="O81">
        <f t="shared" si="0"/>
        <v>500</v>
      </c>
    </row>
    <row r="82" spans="1:19" x14ac:dyDescent="0.25">
      <c r="A82" s="142">
        <v>25</v>
      </c>
      <c r="B82" s="192" t="s">
        <v>1020</v>
      </c>
      <c r="C82" s="133" t="s">
        <v>1021</v>
      </c>
      <c r="D82" s="133"/>
      <c r="E82" s="130" t="s">
        <v>127</v>
      </c>
      <c r="F82" s="130"/>
      <c r="G82" s="130" t="s">
        <v>54</v>
      </c>
      <c r="H82" s="131"/>
      <c r="I82" s="130" t="s">
        <v>40</v>
      </c>
      <c r="J82" s="136">
        <v>2500</v>
      </c>
      <c r="K82" s="164">
        <v>500</v>
      </c>
      <c r="L82" s="126" t="s">
        <v>120</v>
      </c>
      <c r="M82" s="126" t="s">
        <v>41</v>
      </c>
      <c r="O82">
        <f t="shared" si="0"/>
        <v>500</v>
      </c>
    </row>
    <row r="83" spans="1:19" x14ac:dyDescent="0.25">
      <c r="A83" s="210">
        <v>25</v>
      </c>
      <c r="B83" s="192" t="s">
        <v>1022</v>
      </c>
      <c r="C83" s="133" t="s">
        <v>1023</v>
      </c>
      <c r="D83" s="133"/>
      <c r="E83" s="130" t="s">
        <v>127</v>
      </c>
      <c r="F83" s="130" t="s">
        <v>609</v>
      </c>
      <c r="G83" s="130" t="s">
        <v>49</v>
      </c>
      <c r="H83" s="131"/>
      <c r="I83" s="130" t="s">
        <v>40</v>
      </c>
      <c r="J83" s="136">
        <v>500</v>
      </c>
      <c r="K83" s="164">
        <v>100</v>
      </c>
      <c r="L83" s="126" t="s">
        <v>120</v>
      </c>
      <c r="M83" s="126" t="s">
        <v>41</v>
      </c>
      <c r="O83">
        <f t="shared" si="0"/>
        <v>100</v>
      </c>
    </row>
    <row r="84" spans="1:19" x14ac:dyDescent="0.25">
      <c r="A84" s="142">
        <v>25</v>
      </c>
      <c r="B84" s="192" t="s">
        <v>614</v>
      </c>
      <c r="C84" s="133" t="s">
        <v>615</v>
      </c>
      <c r="D84" s="133"/>
      <c r="E84" s="130" t="s">
        <v>127</v>
      </c>
      <c r="F84" s="130" t="s">
        <v>616</v>
      </c>
      <c r="G84" s="130" t="s">
        <v>43</v>
      </c>
      <c r="H84" s="131"/>
      <c r="I84" s="130" t="s">
        <v>40</v>
      </c>
      <c r="J84" s="136">
        <v>1000</v>
      </c>
      <c r="K84" s="164">
        <v>200</v>
      </c>
      <c r="L84" s="126" t="s">
        <v>120</v>
      </c>
      <c r="M84" s="126" t="s">
        <v>41</v>
      </c>
      <c r="O84">
        <f t="shared" si="0"/>
        <v>200</v>
      </c>
      <c r="S84" s="57"/>
    </row>
    <row r="85" spans="1:19" x14ac:dyDescent="0.25">
      <c r="A85" s="142">
        <v>25</v>
      </c>
      <c r="B85" s="192" t="s">
        <v>1024</v>
      </c>
      <c r="C85" s="133" t="s">
        <v>1025</v>
      </c>
      <c r="D85" s="133"/>
      <c r="E85" s="168" t="s">
        <v>129</v>
      </c>
      <c r="F85" s="130"/>
      <c r="G85" s="130" t="s">
        <v>48</v>
      </c>
      <c r="H85" s="131" t="s">
        <v>1026</v>
      </c>
      <c r="I85" s="130" t="s">
        <v>40</v>
      </c>
      <c r="J85" s="136">
        <v>1000</v>
      </c>
      <c r="K85" s="164">
        <v>200</v>
      </c>
      <c r="L85" s="126" t="s">
        <v>120</v>
      </c>
      <c r="M85" s="126" t="s">
        <v>41</v>
      </c>
      <c r="O85">
        <f t="shared" si="0"/>
        <v>200</v>
      </c>
    </row>
    <row r="86" spans="1:19" x14ac:dyDescent="0.25">
      <c r="A86" s="142">
        <v>25</v>
      </c>
      <c r="B86" s="192" t="s">
        <v>1027</v>
      </c>
      <c r="C86" s="133" t="s">
        <v>1028</v>
      </c>
      <c r="D86" s="133"/>
      <c r="E86" s="130" t="s">
        <v>127</v>
      </c>
      <c r="F86" s="130" t="s">
        <v>1029</v>
      </c>
      <c r="G86" s="130" t="s">
        <v>45</v>
      </c>
      <c r="H86" s="131" t="s">
        <v>1030</v>
      </c>
      <c r="I86" s="130" t="s">
        <v>40</v>
      </c>
      <c r="J86" s="136">
        <v>1000</v>
      </c>
      <c r="K86" s="164">
        <v>200</v>
      </c>
      <c r="L86" s="126" t="s">
        <v>120</v>
      </c>
      <c r="M86" s="126" t="s">
        <v>41</v>
      </c>
      <c r="O86">
        <f t="shared" si="0"/>
        <v>200</v>
      </c>
    </row>
    <row r="87" spans="1:19" x14ac:dyDescent="0.25">
      <c r="A87" s="142">
        <v>25</v>
      </c>
      <c r="B87" s="192" t="s">
        <v>1031</v>
      </c>
      <c r="C87" s="133" t="s">
        <v>1032</v>
      </c>
      <c r="D87" s="133"/>
      <c r="E87" s="130" t="s">
        <v>127</v>
      </c>
      <c r="F87" s="130" t="s">
        <v>562</v>
      </c>
      <c r="G87" s="130" t="s">
        <v>42</v>
      </c>
      <c r="H87" s="131" t="s">
        <v>1033</v>
      </c>
      <c r="I87" s="133" t="s">
        <v>40</v>
      </c>
      <c r="J87" s="136">
        <v>1000</v>
      </c>
      <c r="K87" s="164">
        <v>200</v>
      </c>
      <c r="L87" s="126" t="s">
        <v>120</v>
      </c>
      <c r="M87" s="126" t="s">
        <v>41</v>
      </c>
      <c r="O87">
        <f t="shared" si="0"/>
        <v>200</v>
      </c>
    </row>
    <row r="88" spans="1:19" x14ac:dyDescent="0.25">
      <c r="A88" s="142">
        <v>25</v>
      </c>
      <c r="B88" s="192" t="s">
        <v>176</v>
      </c>
      <c r="C88" s="133" t="s">
        <v>1034</v>
      </c>
      <c r="D88" s="133"/>
      <c r="E88" s="130" t="s">
        <v>127</v>
      </c>
      <c r="F88" s="130" t="s">
        <v>1035</v>
      </c>
      <c r="G88" s="130" t="s">
        <v>42</v>
      </c>
      <c r="H88" s="131" t="s">
        <v>1036</v>
      </c>
      <c r="I88" s="130" t="s">
        <v>40</v>
      </c>
      <c r="J88" s="136">
        <v>1000</v>
      </c>
      <c r="K88" s="164">
        <v>200</v>
      </c>
      <c r="L88" s="126" t="s">
        <v>120</v>
      </c>
      <c r="M88" s="126" t="s">
        <v>41</v>
      </c>
      <c r="O88">
        <f t="shared" si="0"/>
        <v>200</v>
      </c>
    </row>
    <row r="89" spans="1:19" x14ac:dyDescent="0.25">
      <c r="A89" s="142">
        <v>25</v>
      </c>
      <c r="B89" s="192" t="s">
        <v>1037</v>
      </c>
      <c r="C89" s="133" t="s">
        <v>1038</v>
      </c>
      <c r="D89" s="130"/>
      <c r="E89" s="130" t="s">
        <v>127</v>
      </c>
      <c r="F89" s="130" t="s">
        <v>1039</v>
      </c>
      <c r="G89" s="130" t="s">
        <v>47</v>
      </c>
      <c r="H89" s="131"/>
      <c r="I89" s="133" t="s">
        <v>40</v>
      </c>
      <c r="J89" s="136">
        <v>200</v>
      </c>
      <c r="K89" s="164">
        <v>40</v>
      </c>
      <c r="L89" s="126" t="s">
        <v>120</v>
      </c>
      <c r="M89" s="126" t="s">
        <v>41</v>
      </c>
      <c r="O89">
        <f t="shared" si="0"/>
        <v>40</v>
      </c>
    </row>
    <row r="90" spans="1:19" x14ac:dyDescent="0.25">
      <c r="A90" s="142">
        <v>26</v>
      </c>
      <c r="B90" s="192" t="s">
        <v>1040</v>
      </c>
      <c r="C90" s="133" t="s">
        <v>1041</v>
      </c>
      <c r="D90" s="133"/>
      <c r="E90" s="130" t="s">
        <v>127</v>
      </c>
      <c r="F90" s="130" t="s">
        <v>565</v>
      </c>
      <c r="G90" s="130" t="s">
        <v>56</v>
      </c>
      <c r="H90" s="131" t="s">
        <v>1042</v>
      </c>
      <c r="I90" s="130" t="s">
        <v>40</v>
      </c>
      <c r="J90" s="136">
        <v>5000</v>
      </c>
      <c r="K90" s="164">
        <v>1000</v>
      </c>
      <c r="L90" s="126" t="s">
        <v>120</v>
      </c>
      <c r="M90" s="126" t="s">
        <v>41</v>
      </c>
      <c r="O90">
        <f t="shared" si="0"/>
        <v>1000</v>
      </c>
    </row>
    <row r="91" spans="1:19" x14ac:dyDescent="0.25">
      <c r="A91" s="142">
        <v>27</v>
      </c>
      <c r="B91" s="192" t="s">
        <v>447</v>
      </c>
      <c r="C91" s="133" t="s">
        <v>448</v>
      </c>
      <c r="D91" s="133"/>
      <c r="E91" s="130" t="s">
        <v>127</v>
      </c>
      <c r="F91" s="130" t="s">
        <v>449</v>
      </c>
      <c r="G91" s="130" t="s">
        <v>55</v>
      </c>
      <c r="H91" s="131" t="s">
        <v>1044</v>
      </c>
      <c r="I91" s="133" t="s">
        <v>40</v>
      </c>
      <c r="J91" s="136">
        <v>4100</v>
      </c>
      <c r="K91" s="164">
        <v>820</v>
      </c>
      <c r="L91" s="126" t="s">
        <v>120</v>
      </c>
      <c r="M91" s="126" t="s">
        <v>41</v>
      </c>
      <c r="O91">
        <f t="shared" si="0"/>
        <v>820</v>
      </c>
    </row>
    <row r="92" spans="1:19" x14ac:dyDescent="0.25">
      <c r="A92" s="142">
        <v>27</v>
      </c>
      <c r="B92" s="192" t="s">
        <v>588</v>
      </c>
      <c r="C92" s="133" t="s">
        <v>589</v>
      </c>
      <c r="D92" s="133"/>
      <c r="E92" s="168" t="s">
        <v>129</v>
      </c>
      <c r="F92" s="130" t="s">
        <v>590</v>
      </c>
      <c r="G92" s="130" t="s">
        <v>44</v>
      </c>
      <c r="H92" s="131" t="s">
        <v>591</v>
      </c>
      <c r="I92" s="133" t="s">
        <v>40</v>
      </c>
      <c r="J92" s="136">
        <v>9000</v>
      </c>
      <c r="K92" s="164">
        <v>1800</v>
      </c>
      <c r="L92" s="126" t="s">
        <v>120</v>
      </c>
      <c r="M92" s="126" t="s">
        <v>41</v>
      </c>
      <c r="O92">
        <f t="shared" si="0"/>
        <v>1800</v>
      </c>
    </row>
    <row r="93" spans="1:19" x14ac:dyDescent="0.25">
      <c r="A93" s="142">
        <v>27</v>
      </c>
      <c r="B93" s="192" t="s">
        <v>588</v>
      </c>
      <c r="C93" s="133" t="s">
        <v>589</v>
      </c>
      <c r="D93" s="133"/>
      <c r="E93" s="168" t="s">
        <v>129</v>
      </c>
      <c r="F93" s="130" t="s">
        <v>590</v>
      </c>
      <c r="G93" s="130" t="s">
        <v>44</v>
      </c>
      <c r="H93" s="131" t="s">
        <v>591</v>
      </c>
      <c r="I93" s="240" t="s">
        <v>145</v>
      </c>
      <c r="J93" s="136">
        <v>3500</v>
      </c>
      <c r="K93" s="164">
        <v>700</v>
      </c>
      <c r="L93" s="126" t="s">
        <v>120</v>
      </c>
      <c r="M93" s="126" t="s">
        <v>41</v>
      </c>
      <c r="O93">
        <f t="shared" si="0"/>
        <v>700</v>
      </c>
    </row>
    <row r="94" spans="1:19" x14ac:dyDescent="0.25">
      <c r="A94" s="210">
        <v>27</v>
      </c>
      <c r="B94" s="192" t="s">
        <v>199</v>
      </c>
      <c r="C94" s="133" t="s">
        <v>1045</v>
      </c>
      <c r="D94" s="133"/>
      <c r="E94" s="130" t="s">
        <v>127</v>
      </c>
      <c r="F94" s="130" t="s">
        <v>355</v>
      </c>
      <c r="G94" s="130" t="s">
        <v>47</v>
      </c>
      <c r="H94" s="131" t="s">
        <v>1046</v>
      </c>
      <c r="I94" s="133" t="s">
        <v>40</v>
      </c>
      <c r="J94" s="136">
        <v>10000</v>
      </c>
      <c r="K94" s="164">
        <v>2000</v>
      </c>
      <c r="L94" s="126" t="s">
        <v>120</v>
      </c>
      <c r="M94" s="126" t="s">
        <v>41</v>
      </c>
      <c r="O94">
        <f t="shared" si="0"/>
        <v>2000</v>
      </c>
    </row>
    <row r="95" spans="1:19" x14ac:dyDescent="0.25">
      <c r="A95" s="142">
        <v>27</v>
      </c>
      <c r="B95" s="192" t="s">
        <v>1047</v>
      </c>
      <c r="C95" s="133" t="s">
        <v>198</v>
      </c>
      <c r="D95" s="133"/>
      <c r="E95" s="130" t="s">
        <v>127</v>
      </c>
      <c r="F95" s="130" t="s">
        <v>1048</v>
      </c>
      <c r="G95" s="130" t="s">
        <v>47</v>
      </c>
      <c r="H95" s="131" t="s">
        <v>1049</v>
      </c>
      <c r="I95" s="130" t="s">
        <v>40</v>
      </c>
      <c r="J95" s="136">
        <v>500</v>
      </c>
      <c r="K95" s="164">
        <v>100</v>
      </c>
      <c r="L95" s="126" t="s">
        <v>120</v>
      </c>
      <c r="M95" s="126" t="s">
        <v>41</v>
      </c>
      <c r="O95">
        <f t="shared" si="0"/>
        <v>100</v>
      </c>
    </row>
    <row r="96" spans="1:19" x14ac:dyDescent="0.25">
      <c r="A96" s="142">
        <v>27</v>
      </c>
      <c r="B96" s="192" t="s">
        <v>1050</v>
      </c>
      <c r="C96" s="133" t="s">
        <v>1051</v>
      </c>
      <c r="D96" s="133"/>
      <c r="E96" s="130" t="s">
        <v>127</v>
      </c>
      <c r="F96" s="130" t="s">
        <v>1052</v>
      </c>
      <c r="G96" s="130" t="s">
        <v>74</v>
      </c>
      <c r="H96" s="131" t="s">
        <v>1053</v>
      </c>
      <c r="I96" s="130" t="s">
        <v>40</v>
      </c>
      <c r="J96" s="136">
        <v>300</v>
      </c>
      <c r="K96" s="164">
        <v>60</v>
      </c>
      <c r="L96" s="126" t="s">
        <v>120</v>
      </c>
      <c r="M96" s="126" t="s">
        <v>41</v>
      </c>
      <c r="O96">
        <f t="shared" si="0"/>
        <v>60</v>
      </c>
    </row>
    <row r="97" spans="1:18" x14ac:dyDescent="0.25">
      <c r="A97" s="142">
        <v>27</v>
      </c>
      <c r="B97" s="192" t="s">
        <v>614</v>
      </c>
      <c r="C97" s="133" t="s">
        <v>1054</v>
      </c>
      <c r="D97" s="133"/>
      <c r="E97" s="130" t="s">
        <v>127</v>
      </c>
      <c r="F97" s="130" t="s">
        <v>616</v>
      </c>
      <c r="G97" s="130" t="s">
        <v>43</v>
      </c>
      <c r="H97" s="131" t="s">
        <v>1055</v>
      </c>
      <c r="I97" s="130" t="s">
        <v>40</v>
      </c>
      <c r="J97" s="136">
        <v>1500</v>
      </c>
      <c r="K97" s="164">
        <v>300</v>
      </c>
      <c r="L97" s="126" t="s">
        <v>120</v>
      </c>
      <c r="M97" s="126" t="s">
        <v>41</v>
      </c>
      <c r="O97">
        <f t="shared" si="0"/>
        <v>300</v>
      </c>
    </row>
    <row r="98" spans="1:18" x14ac:dyDescent="0.25">
      <c r="A98" s="142">
        <v>27</v>
      </c>
      <c r="B98" s="192" t="s">
        <v>1056</v>
      </c>
      <c r="C98" s="133" t="s">
        <v>1057</v>
      </c>
      <c r="D98" s="133"/>
      <c r="E98" s="168" t="s">
        <v>129</v>
      </c>
      <c r="F98" s="130" t="s">
        <v>146</v>
      </c>
      <c r="G98" s="130" t="s">
        <v>61</v>
      </c>
      <c r="H98" s="131" t="s">
        <v>1058</v>
      </c>
      <c r="I98" s="130" t="s">
        <v>40</v>
      </c>
      <c r="J98" s="136">
        <v>500</v>
      </c>
      <c r="K98" s="164" t="s">
        <v>123</v>
      </c>
      <c r="L98" s="126" t="s">
        <v>120</v>
      </c>
      <c r="M98" s="126" t="s">
        <v>41</v>
      </c>
      <c r="O98">
        <f t="shared" si="0"/>
        <v>100</v>
      </c>
      <c r="R98" s="57">
        <f>SUM(J95:J97,J99:J110,J112:J113)</f>
        <v>25060</v>
      </c>
    </row>
    <row r="99" spans="1:18" x14ac:dyDescent="0.25">
      <c r="A99" s="142">
        <v>27</v>
      </c>
      <c r="B99" s="192" t="s">
        <v>1059</v>
      </c>
      <c r="C99" s="133" t="s">
        <v>380</v>
      </c>
      <c r="D99" s="133"/>
      <c r="E99" s="130" t="s">
        <v>127</v>
      </c>
      <c r="F99" s="130" t="s">
        <v>146</v>
      </c>
      <c r="G99" s="130" t="s">
        <v>61</v>
      </c>
      <c r="H99" s="131" t="s">
        <v>1060</v>
      </c>
      <c r="I99" s="133" t="s">
        <v>40</v>
      </c>
      <c r="J99" s="136">
        <v>500</v>
      </c>
      <c r="K99" s="164" t="s">
        <v>123</v>
      </c>
      <c r="L99" s="126" t="s">
        <v>120</v>
      </c>
      <c r="M99" s="126" t="s">
        <v>41</v>
      </c>
      <c r="O99">
        <f t="shared" si="0"/>
        <v>100</v>
      </c>
    </row>
    <row r="100" spans="1:18" x14ac:dyDescent="0.25">
      <c r="A100" s="142">
        <v>27</v>
      </c>
      <c r="B100" s="192" t="s">
        <v>1061</v>
      </c>
      <c r="C100" s="133" t="s">
        <v>1062</v>
      </c>
      <c r="D100" s="133"/>
      <c r="E100" s="168" t="s">
        <v>129</v>
      </c>
      <c r="F100" s="130" t="s">
        <v>146</v>
      </c>
      <c r="G100" s="130" t="s">
        <v>61</v>
      </c>
      <c r="H100" s="131" t="s">
        <v>1063</v>
      </c>
      <c r="I100" s="130" t="s">
        <v>40</v>
      </c>
      <c r="J100" s="136">
        <v>500</v>
      </c>
      <c r="K100" s="164" t="s">
        <v>123</v>
      </c>
      <c r="L100" s="126" t="s">
        <v>120</v>
      </c>
      <c r="M100" s="126" t="s">
        <v>41</v>
      </c>
      <c r="O100">
        <f t="shared" si="0"/>
        <v>100</v>
      </c>
    </row>
    <row r="101" spans="1:18" x14ac:dyDescent="0.25">
      <c r="A101" s="142">
        <v>27</v>
      </c>
      <c r="B101" s="192" t="s">
        <v>1056</v>
      </c>
      <c r="C101" s="133" t="s">
        <v>1064</v>
      </c>
      <c r="D101" s="133"/>
      <c r="E101" s="130" t="s">
        <v>127</v>
      </c>
      <c r="F101" s="130" t="s">
        <v>146</v>
      </c>
      <c r="G101" s="130" t="s">
        <v>61</v>
      </c>
      <c r="H101" s="131" t="s">
        <v>1065</v>
      </c>
      <c r="I101" s="130" t="s">
        <v>40</v>
      </c>
      <c r="J101" s="136">
        <v>500</v>
      </c>
      <c r="K101" s="164" t="s">
        <v>123</v>
      </c>
      <c r="L101" s="126" t="s">
        <v>120</v>
      </c>
      <c r="M101" s="126" t="s">
        <v>41</v>
      </c>
      <c r="O101">
        <f t="shared" si="0"/>
        <v>100</v>
      </c>
    </row>
    <row r="102" spans="1:18" x14ac:dyDescent="0.25">
      <c r="A102" s="142">
        <v>27</v>
      </c>
      <c r="B102" s="192" t="s">
        <v>1066</v>
      </c>
      <c r="C102" s="133" t="s">
        <v>1067</v>
      </c>
      <c r="D102" s="133"/>
      <c r="E102" s="130" t="s">
        <v>127</v>
      </c>
      <c r="F102" s="130" t="s">
        <v>146</v>
      </c>
      <c r="G102" s="130" t="s">
        <v>61</v>
      </c>
      <c r="H102" s="131" t="s">
        <v>1068</v>
      </c>
      <c r="I102" s="130" t="s">
        <v>40</v>
      </c>
      <c r="J102" s="136">
        <v>500</v>
      </c>
      <c r="K102" s="164" t="s">
        <v>123</v>
      </c>
      <c r="L102" s="126" t="s">
        <v>120</v>
      </c>
      <c r="M102" s="126" t="s">
        <v>41</v>
      </c>
      <c r="O102">
        <f t="shared" si="0"/>
        <v>100</v>
      </c>
    </row>
    <row r="103" spans="1:18" x14ac:dyDescent="0.25">
      <c r="A103" s="142">
        <v>27</v>
      </c>
      <c r="B103" s="192" t="s">
        <v>1069</v>
      </c>
      <c r="C103" s="133" t="s">
        <v>924</v>
      </c>
      <c r="D103" s="133"/>
      <c r="E103" s="130" t="s">
        <v>127</v>
      </c>
      <c r="F103" s="130" t="s">
        <v>1070</v>
      </c>
      <c r="G103" s="130" t="s">
        <v>72</v>
      </c>
      <c r="H103" s="131" t="s">
        <v>1071</v>
      </c>
      <c r="I103" s="133" t="s">
        <v>40</v>
      </c>
      <c r="J103" s="136">
        <v>2000</v>
      </c>
      <c r="K103" s="164">
        <v>400</v>
      </c>
      <c r="L103" s="126" t="s">
        <v>120</v>
      </c>
      <c r="M103" s="126" t="s">
        <v>41</v>
      </c>
      <c r="O103">
        <f t="shared" si="0"/>
        <v>400</v>
      </c>
    </row>
    <row r="104" spans="1:18" x14ac:dyDescent="0.25">
      <c r="A104" s="210">
        <v>27</v>
      </c>
      <c r="B104" s="192" t="s">
        <v>1072</v>
      </c>
      <c r="C104" s="133" t="s">
        <v>1073</v>
      </c>
      <c r="D104" s="133"/>
      <c r="E104" s="130" t="s">
        <v>127</v>
      </c>
      <c r="F104" s="130" t="s">
        <v>1074</v>
      </c>
      <c r="G104" s="130" t="s">
        <v>56</v>
      </c>
      <c r="H104" s="131" t="s">
        <v>1075</v>
      </c>
      <c r="I104" s="133" t="s">
        <v>40</v>
      </c>
      <c r="J104" s="136">
        <v>200</v>
      </c>
      <c r="K104" s="164">
        <v>40</v>
      </c>
      <c r="L104" s="126" t="s">
        <v>120</v>
      </c>
      <c r="M104" s="126" t="s">
        <v>41</v>
      </c>
      <c r="O104">
        <f t="shared" si="0"/>
        <v>40</v>
      </c>
    </row>
    <row r="105" spans="1:18" x14ac:dyDescent="0.25">
      <c r="A105" s="142">
        <v>27</v>
      </c>
      <c r="B105" s="192" t="s">
        <v>1076</v>
      </c>
      <c r="C105" s="133" t="s">
        <v>1077</v>
      </c>
      <c r="D105" s="133"/>
      <c r="E105" s="130" t="s">
        <v>127</v>
      </c>
      <c r="F105" s="130" t="s">
        <v>759</v>
      </c>
      <c r="G105" s="130" t="s">
        <v>42</v>
      </c>
      <c r="H105" s="131" t="s">
        <v>1078</v>
      </c>
      <c r="I105" s="130" t="s">
        <v>40</v>
      </c>
      <c r="J105" s="136">
        <v>2000</v>
      </c>
      <c r="K105" s="164">
        <v>400</v>
      </c>
      <c r="L105" s="126" t="s">
        <v>120</v>
      </c>
      <c r="M105" s="126" t="s">
        <v>41</v>
      </c>
      <c r="O105">
        <f t="shared" si="0"/>
        <v>400</v>
      </c>
    </row>
    <row r="106" spans="1:18" x14ac:dyDescent="0.25">
      <c r="A106" s="210">
        <v>27</v>
      </c>
      <c r="B106" s="192" t="s">
        <v>1079</v>
      </c>
      <c r="C106" s="133" t="s">
        <v>1080</v>
      </c>
      <c r="D106" s="133"/>
      <c r="E106" s="130" t="s">
        <v>127</v>
      </c>
      <c r="F106" s="130" t="s">
        <v>158</v>
      </c>
      <c r="G106" s="130" t="s">
        <v>42</v>
      </c>
      <c r="H106" s="131" t="s">
        <v>1081</v>
      </c>
      <c r="I106" s="130" t="s">
        <v>40</v>
      </c>
      <c r="J106" s="136">
        <v>3000</v>
      </c>
      <c r="K106" s="164">
        <v>600</v>
      </c>
      <c r="L106" s="126" t="s">
        <v>120</v>
      </c>
      <c r="M106" s="126" t="s">
        <v>41</v>
      </c>
      <c r="O106">
        <f t="shared" si="0"/>
        <v>600</v>
      </c>
    </row>
    <row r="107" spans="1:18" x14ac:dyDescent="0.25">
      <c r="A107" s="142">
        <v>28</v>
      </c>
      <c r="B107" s="192" t="s">
        <v>1092</v>
      </c>
      <c r="C107" s="133" t="s">
        <v>1093</v>
      </c>
      <c r="D107" s="133"/>
      <c r="E107" s="130" t="s">
        <v>127</v>
      </c>
      <c r="F107" s="130" t="s">
        <v>713</v>
      </c>
      <c r="G107" s="130" t="s">
        <v>57</v>
      </c>
      <c r="H107" s="131" t="s">
        <v>1094</v>
      </c>
      <c r="I107" s="133" t="s">
        <v>40</v>
      </c>
      <c r="J107" s="136">
        <v>3000</v>
      </c>
      <c r="K107" s="164" t="s">
        <v>123</v>
      </c>
      <c r="L107" s="126" t="s">
        <v>120</v>
      </c>
      <c r="M107" s="126" t="s">
        <v>41</v>
      </c>
      <c r="O107">
        <f t="shared" si="0"/>
        <v>600</v>
      </c>
    </row>
    <row r="108" spans="1:18" x14ac:dyDescent="0.25">
      <c r="A108" s="142">
        <v>28</v>
      </c>
      <c r="B108" s="192" t="s">
        <v>1095</v>
      </c>
      <c r="C108" s="133" t="s">
        <v>1096</v>
      </c>
      <c r="D108" s="133"/>
      <c r="E108" s="130" t="s">
        <v>127</v>
      </c>
      <c r="F108" s="130" t="s">
        <v>174</v>
      </c>
      <c r="G108" s="130" t="s">
        <v>57</v>
      </c>
      <c r="H108" s="131" t="s">
        <v>1097</v>
      </c>
      <c r="I108" s="130" t="s">
        <v>40</v>
      </c>
      <c r="J108" s="136">
        <v>2100</v>
      </c>
      <c r="K108" s="164" t="s">
        <v>123</v>
      </c>
      <c r="L108" s="126" t="s">
        <v>120</v>
      </c>
      <c r="M108" s="126" t="s">
        <v>41</v>
      </c>
      <c r="O108">
        <f t="shared" si="0"/>
        <v>420</v>
      </c>
    </row>
    <row r="109" spans="1:18" x14ac:dyDescent="0.25">
      <c r="A109" s="142">
        <v>28</v>
      </c>
      <c r="B109" s="192" t="s">
        <v>1098</v>
      </c>
      <c r="C109" s="133" t="s">
        <v>137</v>
      </c>
      <c r="D109" s="133"/>
      <c r="E109" s="168" t="s">
        <v>129</v>
      </c>
      <c r="F109" s="130" t="s">
        <v>174</v>
      </c>
      <c r="G109" s="130" t="s">
        <v>57</v>
      </c>
      <c r="H109" s="131" t="s">
        <v>1099</v>
      </c>
      <c r="I109" s="133" t="s">
        <v>40</v>
      </c>
      <c r="J109" s="136">
        <v>3600</v>
      </c>
      <c r="K109" s="164" t="s">
        <v>123</v>
      </c>
      <c r="L109" s="126" t="s">
        <v>120</v>
      </c>
      <c r="M109" s="126" t="s">
        <v>41</v>
      </c>
      <c r="O109">
        <f t="shared" si="0"/>
        <v>720</v>
      </c>
    </row>
    <row r="110" spans="1:18" x14ac:dyDescent="0.25">
      <c r="A110" s="142">
        <v>28</v>
      </c>
      <c r="B110" s="192" t="s">
        <v>1100</v>
      </c>
      <c r="C110" s="133" t="s">
        <v>1101</v>
      </c>
      <c r="D110" s="133"/>
      <c r="E110" s="168" t="s">
        <v>129</v>
      </c>
      <c r="F110" s="130" t="s">
        <v>174</v>
      </c>
      <c r="G110" s="130" t="s">
        <v>57</v>
      </c>
      <c r="H110" s="131" t="s">
        <v>1102</v>
      </c>
      <c r="I110" s="133" t="s">
        <v>40</v>
      </c>
      <c r="J110" s="136">
        <v>900</v>
      </c>
      <c r="K110" s="164" t="s">
        <v>123</v>
      </c>
      <c r="L110" s="126" t="s">
        <v>120</v>
      </c>
      <c r="M110" s="126" t="s">
        <v>41</v>
      </c>
      <c r="O110">
        <f t="shared" si="0"/>
        <v>180</v>
      </c>
    </row>
    <row r="111" spans="1:18" x14ac:dyDescent="0.25">
      <c r="A111" s="142">
        <v>28</v>
      </c>
      <c r="B111" s="192" t="s">
        <v>1103</v>
      </c>
      <c r="C111" s="133" t="s">
        <v>224</v>
      </c>
      <c r="D111" s="133"/>
      <c r="E111" s="130" t="s">
        <v>127</v>
      </c>
      <c r="F111" s="130" t="s">
        <v>64</v>
      </c>
      <c r="G111" s="130" t="s">
        <v>57</v>
      </c>
      <c r="H111" s="131" t="s">
        <v>1104</v>
      </c>
      <c r="I111" s="130" t="s">
        <v>40</v>
      </c>
      <c r="J111" s="136">
        <v>750</v>
      </c>
      <c r="K111" s="164" t="s">
        <v>123</v>
      </c>
      <c r="L111" s="126" t="s">
        <v>120</v>
      </c>
      <c r="M111" s="126" t="s">
        <v>41</v>
      </c>
      <c r="O111">
        <f t="shared" si="0"/>
        <v>150</v>
      </c>
    </row>
    <row r="112" spans="1:18" x14ac:dyDescent="0.25">
      <c r="A112" s="142">
        <v>28</v>
      </c>
      <c r="B112" s="192" t="s">
        <v>1105</v>
      </c>
      <c r="C112" s="133" t="s">
        <v>1106</v>
      </c>
      <c r="D112" s="133"/>
      <c r="E112" s="168" t="s">
        <v>129</v>
      </c>
      <c r="F112" s="130" t="s">
        <v>174</v>
      </c>
      <c r="G112" s="130" t="s">
        <v>57</v>
      </c>
      <c r="H112" s="131"/>
      <c r="I112" s="130" t="s">
        <v>40</v>
      </c>
      <c r="J112" s="136">
        <v>2700</v>
      </c>
      <c r="K112" s="164" t="s">
        <v>123</v>
      </c>
      <c r="L112" s="126" t="s">
        <v>120</v>
      </c>
      <c r="M112" s="126" t="s">
        <v>41</v>
      </c>
      <c r="O112">
        <f t="shared" si="0"/>
        <v>540</v>
      </c>
    </row>
    <row r="113" spans="1:15" x14ac:dyDescent="0.25">
      <c r="A113" s="142">
        <v>28</v>
      </c>
      <c r="B113" s="192" t="s">
        <v>1103</v>
      </c>
      <c r="C113" s="133" t="s">
        <v>1107</v>
      </c>
      <c r="D113" s="133"/>
      <c r="E113" s="130" t="s">
        <v>127</v>
      </c>
      <c r="F113" s="130" t="s">
        <v>64</v>
      </c>
      <c r="G113" s="130" t="s">
        <v>57</v>
      </c>
      <c r="H113" s="131"/>
      <c r="I113" s="133" t="s">
        <v>40</v>
      </c>
      <c r="J113" s="136">
        <v>1260</v>
      </c>
      <c r="K113" s="164" t="s">
        <v>123</v>
      </c>
      <c r="L113" s="126" t="s">
        <v>120</v>
      </c>
      <c r="M113" s="126" t="s">
        <v>41</v>
      </c>
      <c r="O113">
        <f t="shared" si="0"/>
        <v>252</v>
      </c>
    </row>
    <row r="114" spans="1:15" x14ac:dyDescent="0.25">
      <c r="A114" s="210">
        <v>28</v>
      </c>
      <c r="B114" s="192" t="s">
        <v>1108</v>
      </c>
      <c r="C114" s="133" t="s">
        <v>1109</v>
      </c>
      <c r="D114" s="133"/>
      <c r="E114" s="168" t="s">
        <v>129</v>
      </c>
      <c r="F114" s="130" t="s">
        <v>174</v>
      </c>
      <c r="G114" s="130" t="s">
        <v>57</v>
      </c>
      <c r="H114" s="131" t="s">
        <v>1110</v>
      </c>
      <c r="I114" s="133" t="s">
        <v>40</v>
      </c>
      <c r="J114" s="136">
        <v>900</v>
      </c>
      <c r="K114" s="164" t="s">
        <v>123</v>
      </c>
      <c r="L114" s="126" t="s">
        <v>120</v>
      </c>
      <c r="M114" s="126" t="s">
        <v>41</v>
      </c>
      <c r="O114">
        <f t="shared" si="0"/>
        <v>180</v>
      </c>
    </row>
    <row r="115" spans="1:15" x14ac:dyDescent="0.25">
      <c r="A115" s="142"/>
      <c r="B115" s="192"/>
      <c r="C115" s="133"/>
      <c r="D115" s="133"/>
      <c r="E115" s="130"/>
      <c r="F115" s="130"/>
      <c r="G115" s="130"/>
      <c r="H115" s="131"/>
      <c r="I115" s="130"/>
      <c r="J115" s="136"/>
      <c r="K115" s="164"/>
      <c r="L115" s="126"/>
      <c r="M115" s="126"/>
      <c r="O115">
        <f t="shared" si="0"/>
        <v>0</v>
      </c>
    </row>
    <row r="116" spans="1:15" x14ac:dyDescent="0.25">
      <c r="A116" s="142"/>
      <c r="B116" s="192"/>
      <c r="C116" s="133"/>
      <c r="D116" s="133"/>
      <c r="E116" s="130"/>
      <c r="F116" s="130"/>
      <c r="G116" s="130"/>
      <c r="H116" s="131"/>
      <c r="I116" s="133"/>
      <c r="J116" s="136"/>
      <c r="K116" s="164"/>
      <c r="L116" s="126"/>
      <c r="M116" s="126"/>
      <c r="O116">
        <f t="shared" si="0"/>
        <v>0</v>
      </c>
    </row>
    <row r="117" spans="1:15" x14ac:dyDescent="0.25">
      <c r="A117" s="142"/>
      <c r="B117" s="192"/>
      <c r="C117" s="133"/>
      <c r="D117" s="133"/>
      <c r="E117" s="130"/>
      <c r="F117" s="130"/>
      <c r="G117" s="130"/>
      <c r="H117" s="131"/>
      <c r="I117" s="133"/>
      <c r="J117" s="136"/>
      <c r="K117" s="164"/>
      <c r="L117" s="126"/>
      <c r="M117" s="126"/>
      <c r="O117">
        <f t="shared" si="0"/>
        <v>0</v>
      </c>
    </row>
    <row r="118" spans="1:15" x14ac:dyDescent="0.25">
      <c r="A118" s="142"/>
      <c r="B118" s="192"/>
      <c r="C118" s="133"/>
      <c r="D118" s="133"/>
      <c r="E118" s="130"/>
      <c r="F118" s="130"/>
      <c r="G118" s="130"/>
      <c r="H118" s="131"/>
      <c r="I118" s="133"/>
      <c r="J118" s="136"/>
      <c r="K118" s="164"/>
      <c r="L118" s="126"/>
      <c r="M118" s="126"/>
      <c r="O118">
        <f t="shared" si="0"/>
        <v>0</v>
      </c>
    </row>
    <row r="119" spans="1:15" x14ac:dyDescent="0.25">
      <c r="A119" s="142"/>
      <c r="B119" s="192"/>
      <c r="C119" s="133"/>
      <c r="D119" s="133"/>
      <c r="E119" s="130"/>
      <c r="F119" s="130"/>
      <c r="G119" s="130"/>
      <c r="H119" s="131"/>
      <c r="I119" s="130"/>
      <c r="J119" s="136"/>
      <c r="K119" s="164"/>
      <c r="L119" s="126"/>
      <c r="M119" s="126"/>
      <c r="O119">
        <f t="shared" si="0"/>
        <v>0</v>
      </c>
    </row>
    <row r="120" spans="1:15" x14ac:dyDescent="0.25">
      <c r="A120" s="142"/>
      <c r="B120" s="192"/>
      <c r="C120" s="133"/>
      <c r="D120" s="133"/>
      <c r="E120" s="130"/>
      <c r="F120" s="130"/>
      <c r="G120" s="130"/>
      <c r="H120" s="131"/>
      <c r="I120" s="133"/>
      <c r="J120" s="136"/>
      <c r="K120" s="164"/>
      <c r="L120" s="126"/>
      <c r="M120" s="126"/>
      <c r="O120">
        <f t="shared" si="0"/>
        <v>0</v>
      </c>
    </row>
    <row r="121" spans="1:15" x14ac:dyDescent="0.25">
      <c r="A121" s="142"/>
      <c r="B121" s="192"/>
      <c r="C121" s="133"/>
      <c r="D121" s="133"/>
      <c r="E121" s="130"/>
      <c r="F121" s="130"/>
      <c r="G121" s="130"/>
      <c r="H121" s="131"/>
      <c r="I121" s="130"/>
      <c r="J121" s="136"/>
      <c r="K121" s="164"/>
      <c r="L121" s="126"/>
      <c r="M121" s="126"/>
      <c r="O121">
        <f t="shared" si="0"/>
        <v>0</v>
      </c>
    </row>
    <row r="122" spans="1:15" x14ac:dyDescent="0.25">
      <c r="A122" s="142"/>
      <c r="B122" s="192"/>
      <c r="C122" s="133"/>
      <c r="D122" s="133"/>
      <c r="E122" s="130"/>
      <c r="F122" s="130"/>
      <c r="G122" s="130"/>
      <c r="H122" s="131"/>
      <c r="I122" s="133"/>
      <c r="J122" s="136"/>
      <c r="K122" s="164"/>
      <c r="L122" s="126"/>
      <c r="M122" s="126"/>
      <c r="O122">
        <f t="shared" si="0"/>
        <v>0</v>
      </c>
    </row>
    <row r="123" spans="1:15" x14ac:dyDescent="0.25">
      <c r="A123" s="142"/>
      <c r="B123" s="192"/>
      <c r="C123" s="133"/>
      <c r="D123" s="133"/>
      <c r="E123" s="130"/>
      <c r="F123" s="130"/>
      <c r="G123" s="130"/>
      <c r="H123" s="131"/>
      <c r="I123" s="133"/>
      <c r="J123" s="136"/>
      <c r="K123" s="164"/>
      <c r="L123" s="126"/>
      <c r="M123" s="126"/>
      <c r="O123">
        <f t="shared" si="0"/>
        <v>0</v>
      </c>
    </row>
    <row r="124" spans="1:15" x14ac:dyDescent="0.25">
      <c r="A124" s="142"/>
      <c r="B124" s="192"/>
      <c r="C124" s="133"/>
      <c r="D124" s="133"/>
      <c r="E124" s="130"/>
      <c r="F124" s="130"/>
      <c r="G124" s="130"/>
      <c r="H124" s="131"/>
      <c r="I124" s="130"/>
      <c r="J124" s="136"/>
      <c r="K124" s="164"/>
      <c r="L124" s="126"/>
      <c r="M124" s="126"/>
      <c r="O124">
        <f t="shared" si="0"/>
        <v>0</v>
      </c>
    </row>
    <row r="125" spans="1:15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5" x14ac:dyDescent="0.25">
      <c r="A126" s="142"/>
      <c r="B126" s="192"/>
      <c r="C126" s="133"/>
      <c r="D126" s="133"/>
      <c r="E126" s="130"/>
      <c r="F126" s="130"/>
      <c r="G126" s="130"/>
      <c r="H126" s="131"/>
      <c r="I126" s="133"/>
      <c r="J126" s="136"/>
      <c r="K126" s="164"/>
      <c r="L126" s="126"/>
      <c r="M126" s="126"/>
      <c r="O126">
        <f t="shared" si="0"/>
        <v>0</v>
      </c>
    </row>
    <row r="127" spans="1:15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5" x14ac:dyDescent="0.25">
      <c r="A128" s="142"/>
      <c r="B128" s="192"/>
      <c r="C128" s="133"/>
      <c r="D128" s="133"/>
      <c r="E128" s="130"/>
      <c r="F128" s="130"/>
      <c r="G128" s="130"/>
      <c r="H128" s="131"/>
      <c r="I128" s="133"/>
      <c r="J128" s="136"/>
      <c r="K128" s="164"/>
      <c r="L128" s="126"/>
      <c r="M128" s="126"/>
      <c r="O128">
        <f t="shared" si="0"/>
        <v>0</v>
      </c>
    </row>
    <row r="129" spans="1:18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8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8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8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8" x14ac:dyDescent="0.25">
      <c r="A133" s="142"/>
      <c r="B133" s="192"/>
      <c r="C133" s="133"/>
      <c r="D133" s="133"/>
      <c r="E133" s="130"/>
      <c r="F133" s="130"/>
      <c r="G133" s="130"/>
      <c r="H133" s="131"/>
      <c r="I133" s="130"/>
      <c r="J133" s="136"/>
      <c r="K133" s="164"/>
      <c r="L133" s="126"/>
      <c r="M133" s="126"/>
      <c r="O133">
        <f t="shared" si="0"/>
        <v>0</v>
      </c>
    </row>
    <row r="134" spans="1:18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8" x14ac:dyDescent="0.25">
      <c r="A135" s="142"/>
      <c r="B135" s="192"/>
      <c r="C135" s="133"/>
      <c r="D135" s="133"/>
      <c r="E135" s="130"/>
      <c r="F135" s="130"/>
      <c r="G135" s="130"/>
      <c r="H135" s="131"/>
      <c r="I135" s="133"/>
      <c r="J135" s="136"/>
      <c r="K135" s="164"/>
      <c r="L135" s="126"/>
      <c r="M135" s="126"/>
      <c r="O135">
        <f t="shared" si="0"/>
        <v>0</v>
      </c>
    </row>
    <row r="136" spans="1:18" x14ac:dyDescent="0.25">
      <c r="A136" s="142"/>
      <c r="B136" s="192"/>
      <c r="C136" s="133"/>
      <c r="D136" s="133"/>
      <c r="E136" s="130"/>
      <c r="F136" s="130"/>
      <c r="G136" s="130"/>
      <c r="H136" s="131"/>
      <c r="I136" s="130"/>
      <c r="J136" s="136"/>
      <c r="K136" s="164"/>
      <c r="L136" s="126"/>
      <c r="M136" s="126"/>
      <c r="O136">
        <f t="shared" si="0"/>
        <v>0</v>
      </c>
    </row>
    <row r="137" spans="1:18" x14ac:dyDescent="0.25">
      <c r="A137" s="142"/>
      <c r="B137" s="192"/>
      <c r="C137" s="133"/>
      <c r="D137" s="133"/>
      <c r="E137" s="130"/>
      <c r="F137" s="130"/>
      <c r="G137" s="130"/>
      <c r="H137" s="131"/>
      <c r="I137" s="133"/>
      <c r="J137" s="136"/>
      <c r="K137" s="164"/>
      <c r="L137" s="126"/>
      <c r="M137" s="126"/>
      <c r="O137">
        <f t="shared" si="0"/>
        <v>0</v>
      </c>
    </row>
    <row r="138" spans="1:18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8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8" x14ac:dyDescent="0.25">
      <c r="A140" s="142"/>
      <c r="B140" s="192"/>
      <c r="C140" s="133"/>
      <c r="D140" s="133"/>
      <c r="E140" s="130"/>
      <c r="F140" s="130"/>
      <c r="G140" s="130"/>
      <c r="H140" s="131"/>
      <c r="I140" s="133"/>
      <c r="J140" s="136"/>
      <c r="K140" s="164"/>
      <c r="L140" s="126"/>
      <c r="M140" s="126"/>
      <c r="O140">
        <f t="shared" si="0"/>
        <v>0</v>
      </c>
    </row>
    <row r="141" spans="1:18" x14ac:dyDescent="0.25">
      <c r="A141" s="142"/>
      <c r="B141" s="192"/>
      <c r="C141" s="133"/>
      <c r="D141" s="133"/>
      <c r="E141" s="130"/>
      <c r="F141" s="130"/>
      <c r="G141" s="130"/>
      <c r="H141" s="131"/>
      <c r="I141" s="130"/>
      <c r="J141" s="136"/>
      <c r="K141" s="164"/>
      <c r="L141" s="126"/>
      <c r="M141" s="126"/>
      <c r="O141">
        <f t="shared" si="0"/>
        <v>0</v>
      </c>
    </row>
    <row r="142" spans="1:18" x14ac:dyDescent="0.25">
      <c r="A142" s="142"/>
      <c r="B142" s="192"/>
      <c r="C142" s="133"/>
      <c r="D142" s="133"/>
      <c r="E142" s="130"/>
      <c r="F142" s="130"/>
      <c r="G142" s="130"/>
      <c r="H142" s="131"/>
      <c r="I142" s="133"/>
      <c r="J142" s="136"/>
      <c r="K142" s="164"/>
      <c r="L142" s="126"/>
      <c r="M142" s="126"/>
      <c r="O142">
        <f t="shared" si="0"/>
        <v>0</v>
      </c>
      <c r="R142" s="57">
        <f>SUM(J126:J129,J132:J135,J142,J111,J90,J83:J84)</f>
        <v>7250</v>
      </c>
    </row>
    <row r="143" spans="1:18" x14ac:dyDescent="0.25">
      <c r="A143" s="142"/>
      <c r="B143" s="192"/>
      <c r="C143" s="133"/>
      <c r="D143" s="133"/>
      <c r="E143" s="130"/>
      <c r="F143" s="130"/>
      <c r="G143" s="130"/>
      <c r="H143" s="131"/>
      <c r="I143" s="133"/>
      <c r="J143" s="136"/>
      <c r="K143" s="164"/>
      <c r="L143" s="126"/>
      <c r="M143" s="126"/>
      <c r="O143">
        <f t="shared" si="0"/>
        <v>0</v>
      </c>
      <c r="R143" s="57">
        <f>SUM(J143:J146)</f>
        <v>0</v>
      </c>
    </row>
    <row r="144" spans="1:18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5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</row>
    <row r="146" spans="1:15" x14ac:dyDescent="0.25">
      <c r="A146" s="142"/>
      <c r="B146" s="192"/>
      <c r="C146" s="133"/>
      <c r="D146" s="133"/>
      <c r="E146" s="130"/>
      <c r="F146" s="130"/>
      <c r="G146" s="130"/>
      <c r="H146" s="131"/>
      <c r="I146" s="130"/>
      <c r="J146" s="136"/>
      <c r="K146" s="164"/>
      <c r="L146" s="126"/>
      <c r="M146" s="126"/>
      <c r="O146">
        <f t="shared" si="0"/>
        <v>0</v>
      </c>
    </row>
    <row r="147" spans="1:15" x14ac:dyDescent="0.25">
      <c r="A147" s="142"/>
      <c r="B147" s="192"/>
      <c r="C147" s="133"/>
      <c r="D147" s="133"/>
      <c r="E147" s="130"/>
      <c r="F147" s="130"/>
      <c r="G147" s="130"/>
      <c r="H147" s="131"/>
      <c r="I147" s="133"/>
      <c r="J147" s="136"/>
      <c r="K147" s="164"/>
      <c r="L147" s="126"/>
      <c r="M147" s="126"/>
      <c r="O147">
        <f t="shared" si="0"/>
        <v>0</v>
      </c>
    </row>
    <row r="148" spans="1:15" x14ac:dyDescent="0.25">
      <c r="A148" s="142"/>
      <c r="B148" s="192"/>
      <c r="C148" s="133"/>
      <c r="D148" s="133"/>
      <c r="E148" s="130"/>
      <c r="F148" s="130"/>
      <c r="G148" s="130"/>
      <c r="H148" s="131"/>
      <c r="I148" s="133"/>
      <c r="J148" s="136"/>
      <c r="K148" s="164"/>
      <c r="L148" s="126"/>
      <c r="M148" s="126"/>
      <c r="O148">
        <f t="shared" si="0"/>
        <v>0</v>
      </c>
    </row>
    <row r="149" spans="1:15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  <c r="O149">
        <f t="shared" si="0"/>
        <v>0</v>
      </c>
    </row>
    <row r="150" spans="1:15" x14ac:dyDescent="0.25">
      <c r="A150" s="142"/>
      <c r="B150" s="192"/>
      <c r="C150" s="133"/>
      <c r="D150" s="133"/>
      <c r="E150" s="130"/>
      <c r="F150" s="130"/>
      <c r="G150" s="130"/>
      <c r="H150" s="131"/>
      <c r="I150" s="130"/>
      <c r="J150" s="136"/>
      <c r="K150" s="164"/>
      <c r="L150" s="126"/>
      <c r="M150" s="126"/>
      <c r="O150">
        <f t="shared" si="0"/>
        <v>0</v>
      </c>
    </row>
    <row r="151" spans="1:15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</row>
    <row r="152" spans="1:15" x14ac:dyDescent="0.25">
      <c r="A152" s="142"/>
      <c r="B152" s="192"/>
      <c r="C152" s="133"/>
      <c r="D152" s="133"/>
      <c r="E152" s="130"/>
      <c r="F152" s="130"/>
      <c r="G152" s="130"/>
      <c r="H152" s="131"/>
      <c r="I152" s="130"/>
      <c r="J152" s="136"/>
      <c r="K152" s="164"/>
      <c r="L152" s="126"/>
      <c r="M152" s="126"/>
    </row>
    <row r="153" spans="1:15" x14ac:dyDescent="0.25">
      <c r="A153" s="142"/>
      <c r="B153" s="192"/>
      <c r="C153" s="133"/>
      <c r="D153" s="133"/>
      <c r="E153" s="130"/>
      <c r="F153" s="130"/>
      <c r="G153" s="130"/>
      <c r="H153" s="131"/>
      <c r="I153" s="130"/>
      <c r="J153" s="136"/>
      <c r="K153" s="164"/>
      <c r="L153" s="126"/>
      <c r="M153" s="126"/>
    </row>
    <row r="154" spans="1:15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</row>
    <row r="155" spans="1:15" x14ac:dyDescent="0.25">
      <c r="A155" s="142"/>
      <c r="B155" s="192"/>
      <c r="C155" s="133"/>
      <c r="D155" s="133"/>
      <c r="E155" s="130"/>
      <c r="F155" s="130"/>
      <c r="G155" s="130"/>
      <c r="H155" s="131"/>
      <c r="I155" s="133"/>
      <c r="J155" s="136"/>
      <c r="K155" s="164"/>
      <c r="L155" s="126"/>
      <c r="M155" s="126"/>
    </row>
    <row r="156" spans="1:15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</row>
    <row r="157" spans="1:15" x14ac:dyDescent="0.25">
      <c r="A157" s="142"/>
      <c r="B157" s="192"/>
      <c r="C157" s="133"/>
      <c r="D157" s="133"/>
      <c r="E157" s="130"/>
      <c r="F157" s="130"/>
      <c r="G157" s="130"/>
      <c r="H157" s="131"/>
      <c r="I157" s="130"/>
      <c r="J157" s="136"/>
      <c r="K157" s="164"/>
      <c r="L157" s="126"/>
      <c r="M157" s="126"/>
    </row>
    <row r="158" spans="1:15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</row>
    <row r="159" spans="1:15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5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</row>
    <row r="161" spans="1:18" x14ac:dyDescent="0.25">
      <c r="A161" s="142"/>
      <c r="B161" s="192"/>
      <c r="C161" s="133"/>
      <c r="D161" s="133"/>
      <c r="E161" s="130"/>
      <c r="F161" s="130"/>
      <c r="G161" s="130"/>
      <c r="H161" s="131"/>
      <c r="I161" s="130"/>
      <c r="J161" s="136"/>
      <c r="K161" s="164"/>
      <c r="L161" s="126"/>
      <c r="M161" s="126"/>
    </row>
    <row r="162" spans="1:18" x14ac:dyDescent="0.25">
      <c r="A162" s="125"/>
      <c r="B162" s="193"/>
      <c r="C162" s="77"/>
      <c r="D162" s="77"/>
      <c r="E162" s="126"/>
      <c r="F162" s="126"/>
      <c r="G162" s="126"/>
      <c r="H162" s="127"/>
      <c r="I162" s="126"/>
      <c r="J162" s="134"/>
      <c r="K162" s="135"/>
      <c r="L162" s="126"/>
      <c r="M162" s="126"/>
      <c r="O162">
        <f>SUM(O12:O145)</f>
        <v>43363.4</v>
      </c>
    </row>
    <row r="163" spans="1:18" x14ac:dyDescent="0.25">
      <c r="A163" s="169"/>
      <c r="B163" s="190"/>
      <c r="J163" s="25"/>
      <c r="K163" s="88"/>
    </row>
    <row r="165" spans="1:18" x14ac:dyDescent="0.25">
      <c r="K165" s="90"/>
      <c r="L165" s="26"/>
    </row>
    <row r="166" spans="1:18" ht="16.5" customHeight="1" x14ac:dyDescent="0.25">
      <c r="C166" t="s">
        <v>20</v>
      </c>
      <c r="G166" t="s">
        <v>21</v>
      </c>
      <c r="K166" s="79" t="s">
        <v>103</v>
      </c>
      <c r="L166" s="94"/>
      <c r="R166" s="25"/>
    </row>
    <row r="167" spans="1:18" x14ac:dyDescent="0.25">
      <c r="K167" s="79" t="s">
        <v>104</v>
      </c>
      <c r="L167" s="94"/>
      <c r="M167" s="57"/>
    </row>
    <row r="168" spans="1:18" x14ac:dyDescent="0.25">
      <c r="K168" s="79" t="s">
        <v>119</v>
      </c>
      <c r="L168" s="95"/>
    </row>
    <row r="169" spans="1:18" x14ac:dyDescent="0.25">
      <c r="C169" s="91" t="s">
        <v>173</v>
      </c>
      <c r="D169" s="91"/>
      <c r="G169" s="391" t="s">
        <v>125</v>
      </c>
      <c r="H169" s="391"/>
      <c r="I169" s="391"/>
      <c r="J169" s="391"/>
      <c r="K169" s="79" t="s">
        <v>160</v>
      </c>
      <c r="L169" s="95"/>
    </row>
    <row r="170" spans="1:18" x14ac:dyDescent="0.25">
      <c r="C170" t="s">
        <v>153</v>
      </c>
      <c r="G170" s="392" t="s">
        <v>126</v>
      </c>
      <c r="H170" s="392"/>
      <c r="I170" s="392"/>
      <c r="J170" s="392"/>
      <c r="K170" s="79" t="s">
        <v>105</v>
      </c>
      <c r="L170" s="94"/>
    </row>
    <row r="171" spans="1:18" x14ac:dyDescent="0.25">
      <c r="K171" s="79" t="s">
        <v>106</v>
      </c>
      <c r="L171" s="95"/>
    </row>
    <row r="172" spans="1:18" x14ac:dyDescent="0.25">
      <c r="K172" s="79" t="s">
        <v>108</v>
      </c>
      <c r="L172" s="170"/>
    </row>
    <row r="173" spans="1:18" x14ac:dyDescent="0.25">
      <c r="K173" s="79" t="s">
        <v>22</v>
      </c>
      <c r="L173" s="95"/>
    </row>
    <row r="174" spans="1:18" x14ac:dyDescent="0.25">
      <c r="C174" s="27"/>
      <c r="D174" s="27"/>
      <c r="G174" s="27"/>
      <c r="H174" s="27"/>
      <c r="I174" s="27"/>
      <c r="K174" s="92" t="s">
        <v>101</v>
      </c>
      <c r="L174" s="58"/>
    </row>
    <row r="175" spans="1:18" x14ac:dyDescent="0.25">
      <c r="K175" s="92" t="s">
        <v>102</v>
      </c>
      <c r="L175" s="26"/>
    </row>
    <row r="176" spans="1:18" x14ac:dyDescent="0.25">
      <c r="K176" s="79"/>
      <c r="L176" s="26"/>
    </row>
    <row r="177" spans="11:12" x14ac:dyDescent="0.25">
      <c r="K177" s="79"/>
      <c r="L177" s="58"/>
    </row>
    <row r="178" spans="11:12" x14ac:dyDescent="0.25">
      <c r="K178" s="79"/>
      <c r="L178" s="58"/>
    </row>
    <row r="198" spans="14:14" x14ac:dyDescent="0.25">
      <c r="N198" s="25"/>
    </row>
    <row r="221" spans="14:14" x14ac:dyDescent="0.25">
      <c r="N221" s="25"/>
    </row>
    <row r="348" spans="14:14" x14ac:dyDescent="0.25">
      <c r="N348" s="25"/>
    </row>
  </sheetData>
  <mergeCells count="8">
    <mergeCell ref="G169:J169"/>
    <mergeCell ref="G170:J170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D24B-C503-4940-97CE-B22F96E45768}">
  <sheetPr>
    <tabColor theme="5"/>
  </sheetPr>
  <dimension ref="A1:O41"/>
  <sheetViews>
    <sheetView view="pageBreakPreview" topLeftCell="A15" zoomScale="96" zoomScaleNormal="100" zoomScaleSheetLayoutView="96" workbookViewId="0">
      <selection activeCell="J18" sqref="J18:L2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467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172">
        <v>3</v>
      </c>
      <c r="B12" s="194" t="s">
        <v>314</v>
      </c>
      <c r="C12" s="177"/>
      <c r="D12" s="176" t="s">
        <v>150</v>
      </c>
      <c r="E12" s="194" t="s">
        <v>48</v>
      </c>
      <c r="F12" s="179" t="s">
        <v>502</v>
      </c>
      <c r="G12" s="176" t="s">
        <v>503</v>
      </c>
      <c r="H12" s="176" t="s">
        <v>145</v>
      </c>
      <c r="I12" s="180">
        <v>1500</v>
      </c>
      <c r="J12" s="123" t="s">
        <v>123</v>
      </c>
      <c r="K12" s="77"/>
      <c r="L12" s="117" t="s">
        <v>41</v>
      </c>
    </row>
    <row r="13" spans="1:15" ht="23.25" customHeight="1" x14ac:dyDescent="0.25">
      <c r="A13" s="213">
        <v>3</v>
      </c>
      <c r="B13" s="194" t="s">
        <v>575</v>
      </c>
      <c r="C13" s="177"/>
      <c r="D13" s="178" t="s">
        <v>215</v>
      </c>
      <c r="E13" s="176" t="s">
        <v>576</v>
      </c>
      <c r="F13" s="179" t="s">
        <v>577</v>
      </c>
      <c r="G13" s="131" t="s">
        <v>578</v>
      </c>
      <c r="H13" s="133" t="s">
        <v>579</v>
      </c>
      <c r="I13" s="198">
        <v>20000</v>
      </c>
      <c r="J13" s="123" t="s">
        <v>123</v>
      </c>
      <c r="K13" s="77"/>
      <c r="L13" s="117" t="s">
        <v>41</v>
      </c>
      <c r="M13" s="105"/>
    </row>
    <row r="14" spans="1:15" ht="33.75" customHeight="1" x14ac:dyDescent="0.25">
      <c r="A14" s="173">
        <v>17</v>
      </c>
      <c r="B14" s="187" t="s">
        <v>657</v>
      </c>
      <c r="C14" s="182"/>
      <c r="D14" s="185"/>
      <c r="E14" s="187" t="s">
        <v>658</v>
      </c>
      <c r="F14" s="179" t="s">
        <v>659</v>
      </c>
      <c r="G14" s="185" t="s">
        <v>660</v>
      </c>
      <c r="H14" s="185" t="s">
        <v>40</v>
      </c>
      <c r="I14" s="186">
        <v>20000</v>
      </c>
      <c r="J14" s="216">
        <v>4000</v>
      </c>
      <c r="K14" s="77"/>
      <c r="L14" s="117" t="s">
        <v>41</v>
      </c>
      <c r="M14" s="105"/>
      <c r="O14" s="57"/>
    </row>
    <row r="15" spans="1:15" ht="32.25" customHeight="1" x14ac:dyDescent="0.25">
      <c r="A15" s="173">
        <v>18</v>
      </c>
      <c r="B15" s="187" t="s">
        <v>782</v>
      </c>
      <c r="C15" s="182"/>
      <c r="D15" s="185" t="s">
        <v>783</v>
      </c>
      <c r="E15" s="187" t="s">
        <v>66</v>
      </c>
      <c r="F15" s="179" t="s">
        <v>784</v>
      </c>
      <c r="G15" s="185" t="s">
        <v>785</v>
      </c>
      <c r="H15" s="133" t="s">
        <v>579</v>
      </c>
      <c r="I15" s="186">
        <v>200</v>
      </c>
      <c r="J15" s="123" t="s">
        <v>123</v>
      </c>
      <c r="K15" s="77"/>
      <c r="L15" s="117" t="s">
        <v>41</v>
      </c>
      <c r="O15" s="57"/>
    </row>
    <row r="16" spans="1:15" ht="26.25" customHeight="1" x14ac:dyDescent="0.25">
      <c r="A16" s="173">
        <v>25</v>
      </c>
      <c r="B16" s="187" t="s">
        <v>829</v>
      </c>
      <c r="C16" s="182"/>
      <c r="D16" s="183" t="s">
        <v>364</v>
      </c>
      <c r="E16" s="185" t="s">
        <v>74</v>
      </c>
      <c r="F16" s="179" t="s">
        <v>830</v>
      </c>
      <c r="G16" s="185" t="s">
        <v>831</v>
      </c>
      <c r="H16" s="187" t="s">
        <v>40</v>
      </c>
      <c r="I16" s="186">
        <v>6000</v>
      </c>
      <c r="J16" s="123" t="s">
        <v>123</v>
      </c>
      <c r="K16" s="77"/>
      <c r="L16" s="117" t="s">
        <v>41</v>
      </c>
      <c r="O16" s="57"/>
    </row>
    <row r="17" spans="1:15" ht="23.25" customHeight="1" x14ac:dyDescent="0.25">
      <c r="A17" s="173">
        <v>25</v>
      </c>
      <c r="B17" s="187" t="s">
        <v>829</v>
      </c>
      <c r="C17" s="182"/>
      <c r="D17" s="183" t="s">
        <v>364</v>
      </c>
      <c r="E17" s="185" t="s">
        <v>74</v>
      </c>
      <c r="F17" s="179" t="s">
        <v>830</v>
      </c>
      <c r="G17" s="185" t="s">
        <v>831</v>
      </c>
      <c r="H17" s="187" t="s">
        <v>40</v>
      </c>
      <c r="I17" s="186">
        <v>3000</v>
      </c>
      <c r="J17" s="123">
        <v>600</v>
      </c>
      <c r="K17" s="77"/>
      <c r="L17" s="117" t="s">
        <v>41</v>
      </c>
      <c r="O17" s="57"/>
    </row>
    <row r="18" spans="1:15" ht="20.25" customHeight="1" x14ac:dyDescent="0.25">
      <c r="A18" s="173"/>
      <c r="B18" s="187"/>
      <c r="C18" s="182"/>
      <c r="D18" s="183"/>
      <c r="E18" s="187"/>
      <c r="F18" s="179"/>
      <c r="G18" s="185"/>
      <c r="H18" s="187"/>
      <c r="I18" s="186"/>
      <c r="J18" s="123"/>
      <c r="K18" s="77"/>
      <c r="L18" s="117"/>
      <c r="O18" s="57"/>
    </row>
    <row r="19" spans="1:15" ht="24" customHeight="1" x14ac:dyDescent="0.25">
      <c r="A19" s="173"/>
      <c r="B19" s="181"/>
      <c r="C19" s="182"/>
      <c r="D19" s="185"/>
      <c r="E19" s="185"/>
      <c r="F19" s="179"/>
      <c r="G19" s="185"/>
      <c r="H19" s="187"/>
      <c r="I19" s="198"/>
      <c r="J19" s="123"/>
      <c r="K19" s="77"/>
      <c r="L19" s="117"/>
      <c r="O19" s="57"/>
    </row>
    <row r="20" spans="1:15" ht="35.25" customHeight="1" x14ac:dyDescent="0.25">
      <c r="A20" s="173"/>
      <c r="B20" s="187"/>
      <c r="C20" s="182"/>
      <c r="D20" s="185"/>
      <c r="E20" s="185"/>
      <c r="F20" s="179"/>
      <c r="G20" s="185"/>
      <c r="H20" s="187"/>
      <c r="I20" s="198"/>
      <c r="J20" s="123"/>
      <c r="K20" s="77"/>
      <c r="L20" s="117"/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655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656</v>
      </c>
      <c r="L32" s="205">
        <v>1500</v>
      </c>
    </row>
    <row r="33" spans="2:12" x14ac:dyDescent="0.25">
      <c r="I33" s="26" t="s">
        <v>121</v>
      </c>
      <c r="J33" s="95"/>
      <c r="K33" s="195" t="s">
        <v>378</v>
      </c>
      <c r="L33" s="206">
        <v>20000</v>
      </c>
    </row>
    <row r="34" spans="2:12" x14ac:dyDescent="0.25">
      <c r="I34" s="26" t="s">
        <v>147</v>
      </c>
      <c r="J34" s="95"/>
      <c r="K34" s="202" t="s">
        <v>833</v>
      </c>
      <c r="L34" s="205"/>
    </row>
    <row r="35" spans="2:12" x14ac:dyDescent="0.25">
      <c r="I35" s="26" t="s">
        <v>105</v>
      </c>
      <c r="J35" s="95"/>
      <c r="K35" s="202" t="s">
        <v>40</v>
      </c>
      <c r="L35" s="206">
        <f>SUM(I14,I16,I17)</f>
        <v>29000</v>
      </c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195" t="s">
        <v>378</v>
      </c>
      <c r="L36" s="205">
        <v>200</v>
      </c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204"/>
      <c r="L37" s="207"/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204"/>
      <c r="L38" s="207"/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50700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8049-A20C-4717-85EF-FA31C742A924}">
  <sheetPr>
    <tabColor theme="5"/>
  </sheetPr>
  <dimension ref="A1:U346"/>
  <sheetViews>
    <sheetView view="pageBreakPreview" topLeftCell="A141" zoomScale="106" zoomScaleNormal="100" zoomScaleSheetLayoutView="106" workbookViewId="0">
      <selection activeCell="L147" sqref="L147:M157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19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19" ht="18" x14ac:dyDescent="0.25">
      <c r="A2" s="382" t="s">
        <v>467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9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19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>
        <v>110</v>
      </c>
    </row>
    <row r="5" spans="1:19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>
        <v>21</v>
      </c>
      <c r="R5" s="25"/>
      <c r="S5" s="25"/>
    </row>
    <row r="6" spans="1:19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19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19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19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R9" s="215" t="s">
        <v>654</v>
      </c>
    </row>
    <row r="10" spans="1:19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04" t="s">
        <v>119</v>
      </c>
      <c r="S10" s="25">
        <f>SUM(J12:J76)</f>
        <v>138990</v>
      </c>
    </row>
    <row r="11" spans="1:19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215" t="s">
        <v>832</v>
      </c>
      <c r="S11" s="25"/>
    </row>
    <row r="12" spans="1:19" x14ac:dyDescent="0.25">
      <c r="A12" s="128">
        <v>3</v>
      </c>
      <c r="B12" s="191" t="s">
        <v>197</v>
      </c>
      <c r="C12" s="130" t="s">
        <v>468</v>
      </c>
      <c r="D12" s="130"/>
      <c r="E12" s="168" t="s">
        <v>129</v>
      </c>
      <c r="F12" s="130" t="s">
        <v>130</v>
      </c>
      <c r="G12" s="130" t="s">
        <v>43</v>
      </c>
      <c r="H12" s="131" t="s">
        <v>155</v>
      </c>
      <c r="I12" s="133" t="s">
        <v>40</v>
      </c>
      <c r="J12" s="132">
        <v>20000</v>
      </c>
      <c r="K12" s="129">
        <v>4000</v>
      </c>
      <c r="L12" s="126" t="s">
        <v>120</v>
      </c>
      <c r="M12" s="126" t="s">
        <v>41</v>
      </c>
      <c r="O12">
        <f>J12/5</f>
        <v>4000</v>
      </c>
      <c r="Q12" s="25"/>
      <c r="R12" s="204" t="s">
        <v>119</v>
      </c>
      <c r="S12" s="25">
        <f>SUM(J77:J140,J141:J144)</f>
        <v>155900</v>
      </c>
    </row>
    <row r="13" spans="1:19" x14ac:dyDescent="0.25">
      <c r="A13" s="128">
        <v>3</v>
      </c>
      <c r="B13" s="191" t="s">
        <v>469</v>
      </c>
      <c r="C13" s="130" t="s">
        <v>470</v>
      </c>
      <c r="D13" s="130"/>
      <c r="E13" s="168" t="s">
        <v>129</v>
      </c>
      <c r="F13" s="130" t="s">
        <v>346</v>
      </c>
      <c r="G13" s="130" t="s">
        <v>43</v>
      </c>
      <c r="H13" s="131" t="s">
        <v>471</v>
      </c>
      <c r="I13" s="130" t="s">
        <v>40</v>
      </c>
      <c r="J13" s="132">
        <v>3000</v>
      </c>
      <c r="K13" s="129">
        <v>900</v>
      </c>
      <c r="L13" s="126" t="s">
        <v>120</v>
      </c>
      <c r="M13" s="126" t="s">
        <v>41</v>
      </c>
      <c r="O13">
        <f>J13/5</f>
        <v>600</v>
      </c>
      <c r="Q13" s="25"/>
      <c r="R13" s="204" t="s">
        <v>849</v>
      </c>
      <c r="S13" s="25">
        <v>1900</v>
      </c>
    </row>
    <row r="14" spans="1:19" x14ac:dyDescent="0.25">
      <c r="A14" s="128">
        <v>3</v>
      </c>
      <c r="B14" s="191" t="s">
        <v>472</v>
      </c>
      <c r="C14" s="130" t="s">
        <v>473</v>
      </c>
      <c r="D14" s="130"/>
      <c r="E14" s="130" t="s">
        <v>127</v>
      </c>
      <c r="F14" s="130" t="s">
        <v>474</v>
      </c>
      <c r="G14" s="130" t="s">
        <v>56</v>
      </c>
      <c r="H14" s="131" t="s">
        <v>475</v>
      </c>
      <c r="I14" s="133" t="s">
        <v>40</v>
      </c>
      <c r="J14" s="132">
        <v>200</v>
      </c>
      <c r="K14" s="129">
        <v>40</v>
      </c>
      <c r="L14" s="126" t="s">
        <v>120</v>
      </c>
      <c r="M14" s="126" t="s">
        <v>41</v>
      </c>
      <c r="O14">
        <f t="shared" ref="O14:O148" si="0">J14/5</f>
        <v>40</v>
      </c>
      <c r="Q14" s="25"/>
      <c r="R14" s="171"/>
      <c r="S14" s="57"/>
    </row>
    <row r="15" spans="1:19" x14ac:dyDescent="0.25">
      <c r="A15" s="128">
        <v>3</v>
      </c>
      <c r="B15" s="191" t="s">
        <v>476</v>
      </c>
      <c r="C15" s="130" t="s">
        <v>477</v>
      </c>
      <c r="D15" s="130"/>
      <c r="E15" s="130" t="s">
        <v>127</v>
      </c>
      <c r="F15" s="130" t="s">
        <v>478</v>
      </c>
      <c r="G15" s="130" t="s">
        <v>43</v>
      </c>
      <c r="H15" s="131" t="s">
        <v>479</v>
      </c>
      <c r="I15" s="130" t="s">
        <v>40</v>
      </c>
      <c r="J15" s="132">
        <v>1500</v>
      </c>
      <c r="K15" s="129">
        <v>300</v>
      </c>
      <c r="L15" s="126" t="s">
        <v>120</v>
      </c>
      <c r="M15" s="126" t="s">
        <v>41</v>
      </c>
      <c r="O15">
        <f t="shared" si="0"/>
        <v>300</v>
      </c>
      <c r="Q15" s="25"/>
      <c r="R15" s="204"/>
      <c r="S15" s="57"/>
    </row>
    <row r="16" spans="1:19" x14ac:dyDescent="0.25">
      <c r="A16" s="128">
        <v>3</v>
      </c>
      <c r="B16" s="191" t="s">
        <v>480</v>
      </c>
      <c r="C16" s="130" t="s">
        <v>481</v>
      </c>
      <c r="D16" s="130"/>
      <c r="E16" s="130" t="s">
        <v>127</v>
      </c>
      <c r="F16" s="130" t="s">
        <v>159</v>
      </c>
      <c r="G16" s="130" t="s">
        <v>47</v>
      </c>
      <c r="H16" s="131"/>
      <c r="I16" s="130" t="s">
        <v>40</v>
      </c>
      <c r="J16" s="132">
        <v>500</v>
      </c>
      <c r="K16" s="129">
        <v>100</v>
      </c>
      <c r="L16" s="126" t="s">
        <v>120</v>
      </c>
      <c r="M16" s="126" t="s">
        <v>41</v>
      </c>
      <c r="O16">
        <f t="shared" si="0"/>
        <v>100</v>
      </c>
      <c r="R16" s="174"/>
      <c r="S16" s="57"/>
    </row>
    <row r="17" spans="1:19" x14ac:dyDescent="0.25">
      <c r="A17" s="128">
        <v>3</v>
      </c>
      <c r="B17" s="191" t="s">
        <v>482</v>
      </c>
      <c r="C17" s="130" t="s">
        <v>483</v>
      </c>
      <c r="D17" s="130" t="s">
        <v>484</v>
      </c>
      <c r="E17" s="130" t="s">
        <v>127</v>
      </c>
      <c r="F17" s="130" t="s">
        <v>485</v>
      </c>
      <c r="G17" s="130" t="s">
        <v>44</v>
      </c>
      <c r="H17" s="131" t="s">
        <v>486</v>
      </c>
      <c r="I17" s="133" t="s">
        <v>40</v>
      </c>
      <c r="J17" s="132">
        <v>5000</v>
      </c>
      <c r="K17" s="129" t="s">
        <v>123</v>
      </c>
      <c r="L17" s="126" t="s">
        <v>120</v>
      </c>
      <c r="M17" s="126" t="s">
        <v>41</v>
      </c>
      <c r="O17">
        <f t="shared" si="0"/>
        <v>1000</v>
      </c>
      <c r="R17" s="171"/>
      <c r="S17" s="57"/>
    </row>
    <row r="18" spans="1:19" x14ac:dyDescent="0.25">
      <c r="A18" s="128">
        <v>3</v>
      </c>
      <c r="B18" s="191" t="s">
        <v>487</v>
      </c>
      <c r="C18" s="130" t="s">
        <v>481</v>
      </c>
      <c r="D18" s="130"/>
      <c r="E18" s="130" t="s">
        <v>127</v>
      </c>
      <c r="F18" s="130" t="s">
        <v>488</v>
      </c>
      <c r="G18" s="130" t="s">
        <v>66</v>
      </c>
      <c r="H18" s="131" t="s">
        <v>489</v>
      </c>
      <c r="I18" s="133" t="s">
        <v>40</v>
      </c>
      <c r="J18" s="132">
        <v>1000</v>
      </c>
      <c r="K18" s="129">
        <v>200</v>
      </c>
      <c r="L18" s="126" t="s">
        <v>120</v>
      </c>
      <c r="M18" s="126" t="s">
        <v>41</v>
      </c>
      <c r="O18">
        <f t="shared" si="0"/>
        <v>200</v>
      </c>
      <c r="Q18" s="57"/>
      <c r="R18" s="204"/>
      <c r="S18" s="57"/>
    </row>
    <row r="19" spans="1:19" x14ac:dyDescent="0.25">
      <c r="A19" s="128">
        <v>3</v>
      </c>
      <c r="B19" s="191" t="s">
        <v>490</v>
      </c>
      <c r="C19" s="130" t="s">
        <v>491</v>
      </c>
      <c r="D19" s="130"/>
      <c r="E19" s="130" t="s">
        <v>127</v>
      </c>
      <c r="F19" s="130" t="s">
        <v>143</v>
      </c>
      <c r="G19" s="130" t="s">
        <v>44</v>
      </c>
      <c r="H19" s="131" t="s">
        <v>492</v>
      </c>
      <c r="I19" s="133" t="s">
        <v>40</v>
      </c>
      <c r="J19" s="132">
        <v>1500</v>
      </c>
      <c r="K19" s="129">
        <v>300</v>
      </c>
      <c r="L19" s="126" t="s">
        <v>120</v>
      </c>
      <c r="M19" s="126" t="s">
        <v>41</v>
      </c>
      <c r="O19">
        <f t="shared" si="0"/>
        <v>300</v>
      </c>
      <c r="R19" s="174"/>
      <c r="S19" s="25"/>
    </row>
    <row r="20" spans="1:19" x14ac:dyDescent="0.25">
      <c r="A20" s="128">
        <v>3</v>
      </c>
      <c r="B20" s="191" t="s">
        <v>493</v>
      </c>
      <c r="C20" s="130" t="s">
        <v>494</v>
      </c>
      <c r="D20" s="130"/>
      <c r="E20" s="168" t="s">
        <v>129</v>
      </c>
      <c r="F20" s="130" t="s">
        <v>364</v>
      </c>
      <c r="G20" s="130" t="s">
        <v>64</v>
      </c>
      <c r="H20" s="131" t="s">
        <v>495</v>
      </c>
      <c r="I20" s="133" t="s">
        <v>40</v>
      </c>
      <c r="J20" s="132">
        <v>2000</v>
      </c>
      <c r="K20" s="129">
        <v>400</v>
      </c>
      <c r="L20" s="126" t="s">
        <v>120</v>
      </c>
      <c r="M20" s="126" t="s">
        <v>41</v>
      </c>
      <c r="O20">
        <f t="shared" si="0"/>
        <v>400</v>
      </c>
      <c r="Q20" s="25"/>
      <c r="R20" s="171"/>
      <c r="S20" s="57"/>
    </row>
    <row r="21" spans="1:19" x14ac:dyDescent="0.25">
      <c r="A21" s="128">
        <v>3</v>
      </c>
      <c r="B21" s="191" t="s">
        <v>496</v>
      </c>
      <c r="C21" s="130" t="s">
        <v>179</v>
      </c>
      <c r="D21" s="130"/>
      <c r="E21" s="130" t="s">
        <v>127</v>
      </c>
      <c r="F21" s="130" t="s">
        <v>498</v>
      </c>
      <c r="G21" s="130" t="s">
        <v>56</v>
      </c>
      <c r="H21" s="131" t="s">
        <v>497</v>
      </c>
      <c r="I21" s="130" t="s">
        <v>40</v>
      </c>
      <c r="J21" s="132">
        <v>1500</v>
      </c>
      <c r="K21" s="129">
        <v>300</v>
      </c>
      <c r="L21" s="126" t="s">
        <v>120</v>
      </c>
      <c r="M21" s="126" t="s">
        <v>41</v>
      </c>
      <c r="O21">
        <f t="shared" si="0"/>
        <v>300</v>
      </c>
      <c r="R21" s="171"/>
      <c r="S21" s="57"/>
    </row>
    <row r="22" spans="1:19" x14ac:dyDescent="0.25">
      <c r="A22" s="128">
        <v>3</v>
      </c>
      <c r="B22" s="191" t="s">
        <v>499</v>
      </c>
      <c r="C22" s="130" t="s">
        <v>175</v>
      </c>
      <c r="D22" s="130"/>
      <c r="E22" s="130" t="s">
        <v>127</v>
      </c>
      <c r="F22" s="130" t="s">
        <v>500</v>
      </c>
      <c r="G22" s="130" t="s">
        <v>42</v>
      </c>
      <c r="H22" s="131" t="s">
        <v>501</v>
      </c>
      <c r="I22" s="133" t="s">
        <v>40</v>
      </c>
      <c r="J22" s="132">
        <v>1000</v>
      </c>
      <c r="K22" s="129">
        <v>200</v>
      </c>
      <c r="L22" s="126" t="s">
        <v>120</v>
      </c>
      <c r="M22" s="126" t="s">
        <v>41</v>
      </c>
      <c r="O22">
        <f t="shared" si="0"/>
        <v>200</v>
      </c>
      <c r="S22" s="25"/>
    </row>
    <row r="23" spans="1:19" x14ac:dyDescent="0.25">
      <c r="A23" s="128">
        <v>3</v>
      </c>
      <c r="B23" s="191" t="s">
        <v>505</v>
      </c>
      <c r="C23" s="130" t="s">
        <v>504</v>
      </c>
      <c r="D23" s="130"/>
      <c r="E23" s="130" t="s">
        <v>127</v>
      </c>
      <c r="F23" s="130" t="s">
        <v>184</v>
      </c>
      <c r="G23" s="130" t="s">
        <v>42</v>
      </c>
      <c r="H23" s="131"/>
      <c r="I23" s="133" t="s">
        <v>40</v>
      </c>
      <c r="J23" s="132">
        <v>5000</v>
      </c>
      <c r="K23" s="129">
        <v>1500</v>
      </c>
      <c r="L23" s="126" t="s">
        <v>120</v>
      </c>
      <c r="M23" s="126" t="s">
        <v>41</v>
      </c>
      <c r="O23">
        <f t="shared" si="0"/>
        <v>1000</v>
      </c>
      <c r="R23" s="171"/>
      <c r="S23" s="25"/>
    </row>
    <row r="24" spans="1:19" x14ac:dyDescent="0.25">
      <c r="A24" s="128">
        <v>3</v>
      </c>
      <c r="B24" s="191" t="s">
        <v>506</v>
      </c>
      <c r="C24" s="130" t="s">
        <v>507</v>
      </c>
      <c r="D24" s="130"/>
      <c r="E24" s="130" t="s">
        <v>127</v>
      </c>
      <c r="F24" s="130" t="s">
        <v>159</v>
      </c>
      <c r="G24" s="130" t="s">
        <v>47</v>
      </c>
      <c r="H24" s="131" t="s">
        <v>508</v>
      </c>
      <c r="I24" s="133" t="s">
        <v>40</v>
      </c>
      <c r="J24" s="132">
        <v>1000</v>
      </c>
      <c r="K24" s="129">
        <v>200</v>
      </c>
      <c r="L24" s="126" t="s">
        <v>120</v>
      </c>
      <c r="M24" s="126" t="s">
        <v>41</v>
      </c>
      <c r="O24">
        <f t="shared" si="0"/>
        <v>200</v>
      </c>
      <c r="R24" s="174"/>
      <c r="S24" s="57"/>
    </row>
    <row r="25" spans="1:19" x14ac:dyDescent="0.25">
      <c r="A25" s="128">
        <v>3</v>
      </c>
      <c r="B25" s="191" t="s">
        <v>509</v>
      </c>
      <c r="C25" s="130" t="s">
        <v>510</v>
      </c>
      <c r="D25" s="130"/>
      <c r="E25" s="130" t="s">
        <v>127</v>
      </c>
      <c r="F25" s="130" t="s">
        <v>511</v>
      </c>
      <c r="G25" s="130" t="s">
        <v>65</v>
      </c>
      <c r="H25" s="131" t="s">
        <v>512</v>
      </c>
      <c r="I25" s="130" t="s">
        <v>40</v>
      </c>
      <c r="J25" s="132">
        <v>500</v>
      </c>
      <c r="K25" s="129">
        <v>100</v>
      </c>
      <c r="L25" s="126" t="s">
        <v>120</v>
      </c>
      <c r="M25" s="126" t="s">
        <v>41</v>
      </c>
      <c r="O25">
        <f t="shared" si="0"/>
        <v>100</v>
      </c>
      <c r="R25" s="171"/>
      <c r="S25" s="57"/>
    </row>
    <row r="26" spans="1:19" x14ac:dyDescent="0.25">
      <c r="A26" s="128">
        <v>3</v>
      </c>
      <c r="B26" s="191" t="s">
        <v>513</v>
      </c>
      <c r="C26" s="130" t="s">
        <v>514</v>
      </c>
      <c r="D26" s="130"/>
      <c r="E26" s="130" t="s">
        <v>127</v>
      </c>
      <c r="F26" s="130" t="s">
        <v>364</v>
      </c>
      <c r="G26" s="130" t="s">
        <v>54</v>
      </c>
      <c r="H26" s="131" t="s">
        <v>515</v>
      </c>
      <c r="I26" s="133" t="s">
        <v>40</v>
      </c>
      <c r="J26" s="132">
        <v>15000</v>
      </c>
      <c r="K26" s="129">
        <v>3000</v>
      </c>
      <c r="L26" s="126" t="s">
        <v>120</v>
      </c>
      <c r="M26" s="126" t="s">
        <v>41</v>
      </c>
      <c r="O26">
        <f t="shared" si="0"/>
        <v>3000</v>
      </c>
      <c r="R26" s="171"/>
      <c r="S26" s="57"/>
    </row>
    <row r="27" spans="1:19" x14ac:dyDescent="0.25">
      <c r="A27" s="128">
        <v>3</v>
      </c>
      <c r="B27" s="191" t="s">
        <v>516</v>
      </c>
      <c r="C27" s="130" t="s">
        <v>517</v>
      </c>
      <c r="D27" s="130"/>
      <c r="E27" s="130" t="s">
        <v>127</v>
      </c>
      <c r="F27" s="130" t="s">
        <v>130</v>
      </c>
      <c r="G27" s="130" t="s">
        <v>43</v>
      </c>
      <c r="H27" s="131" t="s">
        <v>518</v>
      </c>
      <c r="I27" s="130" t="s">
        <v>40</v>
      </c>
      <c r="J27" s="132">
        <v>2500</v>
      </c>
      <c r="K27" s="129">
        <v>500</v>
      </c>
      <c r="L27" s="126" t="s">
        <v>120</v>
      </c>
      <c r="M27" s="126" t="s">
        <v>41</v>
      </c>
      <c r="O27">
        <f t="shared" si="0"/>
        <v>500</v>
      </c>
      <c r="R27" s="25"/>
      <c r="S27" s="25"/>
    </row>
    <row r="28" spans="1:19" x14ac:dyDescent="0.25">
      <c r="A28" s="128">
        <v>3</v>
      </c>
      <c r="B28" s="191" t="s">
        <v>519</v>
      </c>
      <c r="C28" s="130" t="s">
        <v>520</v>
      </c>
      <c r="D28" s="130"/>
      <c r="E28" s="130" t="s">
        <v>127</v>
      </c>
      <c r="F28" s="130" t="s">
        <v>521</v>
      </c>
      <c r="G28" s="130" t="s">
        <v>49</v>
      </c>
      <c r="H28" s="131" t="s">
        <v>522</v>
      </c>
      <c r="I28" s="130" t="s">
        <v>40</v>
      </c>
      <c r="J28" s="132">
        <v>100</v>
      </c>
      <c r="K28" s="129">
        <v>20</v>
      </c>
      <c r="L28" s="126" t="s">
        <v>120</v>
      </c>
      <c r="M28" s="126" t="s">
        <v>41</v>
      </c>
      <c r="O28">
        <f t="shared" si="0"/>
        <v>20</v>
      </c>
      <c r="S28" s="57"/>
    </row>
    <row r="29" spans="1:19" x14ac:dyDescent="0.25">
      <c r="A29" s="128">
        <v>3</v>
      </c>
      <c r="B29" s="191" t="s">
        <v>523</v>
      </c>
      <c r="C29" s="130" t="s">
        <v>524</v>
      </c>
      <c r="D29" s="130"/>
      <c r="E29" s="130" t="s">
        <v>127</v>
      </c>
      <c r="F29" s="130" t="s">
        <v>525</v>
      </c>
      <c r="G29" s="130" t="s">
        <v>56</v>
      </c>
      <c r="H29" s="131" t="s">
        <v>526</v>
      </c>
      <c r="I29" s="133" t="s">
        <v>40</v>
      </c>
      <c r="J29" s="132">
        <v>100</v>
      </c>
      <c r="K29" s="129">
        <v>20</v>
      </c>
      <c r="L29" s="126" t="s">
        <v>120</v>
      </c>
      <c r="M29" s="126" t="s">
        <v>41</v>
      </c>
      <c r="O29">
        <f t="shared" si="0"/>
        <v>20</v>
      </c>
      <c r="R29" s="25"/>
      <c r="S29" s="25"/>
    </row>
    <row r="30" spans="1:19" x14ac:dyDescent="0.25">
      <c r="A30" s="128">
        <v>3</v>
      </c>
      <c r="B30" s="191" t="s">
        <v>527</v>
      </c>
      <c r="C30" s="130" t="s">
        <v>528</v>
      </c>
      <c r="D30" s="130"/>
      <c r="E30" s="130" t="s">
        <v>127</v>
      </c>
      <c r="F30" s="130" t="s">
        <v>133</v>
      </c>
      <c r="G30" s="130" t="s">
        <v>43</v>
      </c>
      <c r="H30" s="131" t="s">
        <v>529</v>
      </c>
      <c r="I30" s="130" t="s">
        <v>40</v>
      </c>
      <c r="J30" s="132">
        <v>500</v>
      </c>
      <c r="K30" s="129">
        <v>100</v>
      </c>
      <c r="L30" s="126" t="s">
        <v>120</v>
      </c>
      <c r="M30" s="126" t="s">
        <v>41</v>
      </c>
      <c r="O30">
        <f t="shared" si="0"/>
        <v>100</v>
      </c>
      <c r="R30" s="25"/>
    </row>
    <row r="31" spans="1:19" x14ac:dyDescent="0.25">
      <c r="A31" s="128">
        <v>3</v>
      </c>
      <c r="B31" s="191" t="s">
        <v>183</v>
      </c>
      <c r="C31" s="130" t="s">
        <v>530</v>
      </c>
      <c r="D31" s="130"/>
      <c r="E31" s="130" t="s">
        <v>127</v>
      </c>
      <c r="F31" s="130" t="s">
        <v>531</v>
      </c>
      <c r="G31" s="130" t="s">
        <v>61</v>
      </c>
      <c r="H31" s="131" t="s">
        <v>532</v>
      </c>
      <c r="I31" s="133" t="s">
        <v>40</v>
      </c>
      <c r="J31" s="132">
        <v>500</v>
      </c>
      <c r="K31" s="129" t="s">
        <v>123</v>
      </c>
      <c r="L31" s="126" t="s">
        <v>120</v>
      </c>
      <c r="M31" s="126" t="s">
        <v>41</v>
      </c>
      <c r="O31">
        <f t="shared" si="0"/>
        <v>100</v>
      </c>
      <c r="R31" s="25"/>
    </row>
    <row r="32" spans="1:19" x14ac:dyDescent="0.25">
      <c r="A32" s="128">
        <v>3</v>
      </c>
      <c r="B32" s="191" t="s">
        <v>183</v>
      </c>
      <c r="C32" s="130" t="s">
        <v>533</v>
      </c>
      <c r="D32" s="130"/>
      <c r="E32" s="168" t="s">
        <v>129</v>
      </c>
      <c r="F32" s="130" t="s">
        <v>531</v>
      </c>
      <c r="G32" s="130" t="s">
        <v>61</v>
      </c>
      <c r="H32" s="131" t="s">
        <v>534</v>
      </c>
      <c r="I32" s="130" t="s">
        <v>40</v>
      </c>
      <c r="J32" s="132">
        <v>500</v>
      </c>
      <c r="K32" s="129" t="s">
        <v>123</v>
      </c>
      <c r="L32" s="126" t="s">
        <v>120</v>
      </c>
      <c r="M32" s="126" t="s">
        <v>41</v>
      </c>
      <c r="O32">
        <f t="shared" si="0"/>
        <v>100</v>
      </c>
    </row>
    <row r="33" spans="1:21" x14ac:dyDescent="0.25">
      <c r="A33" s="128">
        <v>3</v>
      </c>
      <c r="B33" s="191" t="s">
        <v>183</v>
      </c>
      <c r="C33" s="130" t="s">
        <v>535</v>
      </c>
      <c r="D33" s="130"/>
      <c r="E33" s="130" t="s">
        <v>127</v>
      </c>
      <c r="F33" s="130" t="s">
        <v>531</v>
      </c>
      <c r="G33" s="130" t="s">
        <v>61</v>
      </c>
      <c r="H33" s="131" t="s">
        <v>534</v>
      </c>
      <c r="I33" s="133" t="s">
        <v>40</v>
      </c>
      <c r="J33" s="132">
        <v>500</v>
      </c>
      <c r="K33" s="129" t="s">
        <v>123</v>
      </c>
      <c r="L33" s="126" t="s">
        <v>120</v>
      </c>
      <c r="M33" s="126" t="s">
        <v>41</v>
      </c>
      <c r="O33">
        <f t="shared" si="0"/>
        <v>100</v>
      </c>
    </row>
    <row r="34" spans="1:21" x14ac:dyDescent="0.25">
      <c r="A34" s="128">
        <v>3</v>
      </c>
      <c r="B34" s="191" t="s">
        <v>536</v>
      </c>
      <c r="C34" s="130" t="s">
        <v>537</v>
      </c>
      <c r="D34" s="130"/>
      <c r="E34" s="168" t="s">
        <v>129</v>
      </c>
      <c r="F34" s="130" t="s">
        <v>531</v>
      </c>
      <c r="G34" s="130" t="s">
        <v>61</v>
      </c>
      <c r="H34" s="131" t="s">
        <v>538</v>
      </c>
      <c r="I34" s="133" t="s">
        <v>40</v>
      </c>
      <c r="J34" s="132">
        <v>500</v>
      </c>
      <c r="K34" s="129" t="s">
        <v>123</v>
      </c>
      <c r="L34" s="126" t="s">
        <v>120</v>
      </c>
      <c r="M34" s="126" t="s">
        <v>41</v>
      </c>
      <c r="O34">
        <f t="shared" si="0"/>
        <v>100</v>
      </c>
      <c r="R34" s="25"/>
      <c r="S34" s="25"/>
      <c r="T34" s="25"/>
      <c r="U34" s="25"/>
    </row>
    <row r="35" spans="1:21" x14ac:dyDescent="0.25">
      <c r="A35" s="128">
        <v>3</v>
      </c>
      <c r="B35" s="191" t="s">
        <v>536</v>
      </c>
      <c r="C35" s="130" t="s">
        <v>539</v>
      </c>
      <c r="D35" s="130"/>
      <c r="E35" s="130" t="s">
        <v>127</v>
      </c>
      <c r="F35" s="130" t="s">
        <v>531</v>
      </c>
      <c r="G35" s="130" t="s">
        <v>61</v>
      </c>
      <c r="H35" s="131" t="s">
        <v>540</v>
      </c>
      <c r="I35" s="133" t="s">
        <v>40</v>
      </c>
      <c r="J35" s="132">
        <v>500</v>
      </c>
      <c r="K35" s="129" t="s">
        <v>123</v>
      </c>
      <c r="L35" s="126" t="s">
        <v>120</v>
      </c>
      <c r="M35" s="126" t="s">
        <v>41</v>
      </c>
      <c r="O35">
        <f t="shared" si="0"/>
        <v>100</v>
      </c>
      <c r="R35" s="25"/>
    </row>
    <row r="36" spans="1:21" x14ac:dyDescent="0.25">
      <c r="A36" s="128">
        <v>3</v>
      </c>
      <c r="B36" s="191" t="s">
        <v>541</v>
      </c>
      <c r="C36" s="130" t="s">
        <v>542</v>
      </c>
      <c r="D36" s="130"/>
      <c r="E36" s="168" t="s">
        <v>129</v>
      </c>
      <c r="F36" s="130" t="s">
        <v>152</v>
      </c>
      <c r="G36" s="130" t="s">
        <v>60</v>
      </c>
      <c r="H36" s="131" t="s">
        <v>543</v>
      </c>
      <c r="I36" s="133" t="s">
        <v>40</v>
      </c>
      <c r="J36" s="132">
        <v>1000</v>
      </c>
      <c r="K36" s="129">
        <v>200</v>
      </c>
      <c r="L36" s="126" t="s">
        <v>120</v>
      </c>
      <c r="M36" s="126" t="s">
        <v>41</v>
      </c>
      <c r="O36">
        <f t="shared" si="0"/>
        <v>200</v>
      </c>
    </row>
    <row r="37" spans="1:21" x14ac:dyDescent="0.25">
      <c r="A37" s="128">
        <v>3</v>
      </c>
      <c r="B37" s="191" t="s">
        <v>536</v>
      </c>
      <c r="C37" s="130" t="s">
        <v>544</v>
      </c>
      <c r="D37" s="130"/>
      <c r="E37" s="168" t="s">
        <v>129</v>
      </c>
      <c r="F37" s="130" t="s">
        <v>531</v>
      </c>
      <c r="G37" s="130" t="s">
        <v>61</v>
      </c>
      <c r="H37" s="131" t="s">
        <v>545</v>
      </c>
      <c r="I37" s="133" t="s">
        <v>40</v>
      </c>
      <c r="J37" s="132">
        <v>1000</v>
      </c>
      <c r="K37" s="129">
        <v>200</v>
      </c>
      <c r="L37" s="126" t="s">
        <v>120</v>
      </c>
      <c r="M37" s="126" t="s">
        <v>41</v>
      </c>
      <c r="O37">
        <f t="shared" si="0"/>
        <v>200</v>
      </c>
    </row>
    <row r="38" spans="1:21" x14ac:dyDescent="0.25">
      <c r="A38" s="128">
        <v>3</v>
      </c>
      <c r="B38" s="191" t="s">
        <v>536</v>
      </c>
      <c r="C38" s="130" t="s">
        <v>544</v>
      </c>
      <c r="D38" s="130"/>
      <c r="E38" s="168" t="s">
        <v>129</v>
      </c>
      <c r="F38" s="130" t="s">
        <v>531</v>
      </c>
      <c r="G38" s="130" t="s">
        <v>61</v>
      </c>
      <c r="H38" s="131" t="s">
        <v>545</v>
      </c>
      <c r="I38" s="130" t="s">
        <v>40</v>
      </c>
      <c r="J38" s="132">
        <v>500</v>
      </c>
      <c r="K38" s="129" t="s">
        <v>123</v>
      </c>
      <c r="L38" s="126" t="s">
        <v>120</v>
      </c>
      <c r="M38" s="126" t="s">
        <v>41</v>
      </c>
      <c r="O38">
        <f t="shared" si="0"/>
        <v>100</v>
      </c>
    </row>
    <row r="39" spans="1:21" x14ac:dyDescent="0.25">
      <c r="A39" s="128">
        <v>3</v>
      </c>
      <c r="B39" s="191" t="s">
        <v>546</v>
      </c>
      <c r="C39" s="130" t="s">
        <v>547</v>
      </c>
      <c r="D39" s="130"/>
      <c r="E39" s="130" t="s">
        <v>127</v>
      </c>
      <c r="F39" s="130" t="s">
        <v>531</v>
      </c>
      <c r="G39" s="130" t="s">
        <v>61</v>
      </c>
      <c r="H39" s="131" t="s">
        <v>548</v>
      </c>
      <c r="I39" s="130" t="s">
        <v>40</v>
      </c>
      <c r="J39" s="136">
        <v>500</v>
      </c>
      <c r="K39" s="164" t="s">
        <v>123</v>
      </c>
      <c r="L39" s="126" t="s">
        <v>120</v>
      </c>
      <c r="M39" s="126" t="s">
        <v>41</v>
      </c>
      <c r="O39">
        <f t="shared" si="0"/>
        <v>100</v>
      </c>
    </row>
    <row r="40" spans="1:21" x14ac:dyDescent="0.25">
      <c r="A40" s="128">
        <v>3</v>
      </c>
      <c r="B40" s="191" t="s">
        <v>546</v>
      </c>
      <c r="C40" s="130" t="s">
        <v>549</v>
      </c>
      <c r="D40" s="130"/>
      <c r="E40" s="130" t="s">
        <v>127</v>
      </c>
      <c r="F40" s="130" t="s">
        <v>531</v>
      </c>
      <c r="G40" s="130" t="s">
        <v>61</v>
      </c>
      <c r="H40" s="131" t="s">
        <v>550</v>
      </c>
      <c r="I40" s="130" t="s">
        <v>40</v>
      </c>
      <c r="J40" s="136">
        <v>500</v>
      </c>
      <c r="K40" s="164" t="s">
        <v>123</v>
      </c>
      <c r="L40" s="126" t="s">
        <v>120</v>
      </c>
      <c r="M40" s="126" t="s">
        <v>41</v>
      </c>
      <c r="O40">
        <f t="shared" si="0"/>
        <v>100</v>
      </c>
    </row>
    <row r="41" spans="1:21" x14ac:dyDescent="0.25">
      <c r="A41" s="128">
        <v>3</v>
      </c>
      <c r="B41" s="191" t="s">
        <v>366</v>
      </c>
      <c r="C41" s="130" t="s">
        <v>551</v>
      </c>
      <c r="D41" s="130"/>
      <c r="E41" s="130" t="s">
        <v>127</v>
      </c>
      <c r="F41" s="130" t="s">
        <v>280</v>
      </c>
      <c r="G41" s="130" t="s">
        <v>58</v>
      </c>
      <c r="H41" s="131" t="s">
        <v>552</v>
      </c>
      <c r="I41" s="130" t="s">
        <v>40</v>
      </c>
      <c r="J41" s="136">
        <v>2000</v>
      </c>
      <c r="K41" s="164">
        <v>400</v>
      </c>
      <c r="L41" s="126" t="s">
        <v>120</v>
      </c>
      <c r="M41" s="126" t="s">
        <v>41</v>
      </c>
      <c r="O41">
        <f t="shared" si="0"/>
        <v>400</v>
      </c>
    </row>
    <row r="42" spans="1:21" x14ac:dyDescent="0.25">
      <c r="A42" s="128">
        <v>3</v>
      </c>
      <c r="B42" s="191" t="s">
        <v>553</v>
      </c>
      <c r="C42" s="130" t="s">
        <v>554</v>
      </c>
      <c r="D42" s="130"/>
      <c r="E42" s="130" t="s">
        <v>127</v>
      </c>
      <c r="F42" s="130" t="s">
        <v>555</v>
      </c>
      <c r="G42" s="130" t="s">
        <v>57</v>
      </c>
      <c r="H42" s="131"/>
      <c r="I42" s="130" t="s">
        <v>40</v>
      </c>
      <c r="J42" s="136">
        <v>2000</v>
      </c>
      <c r="K42" s="164">
        <v>400</v>
      </c>
      <c r="L42" s="126" t="s">
        <v>120</v>
      </c>
      <c r="M42" s="126" t="s">
        <v>41</v>
      </c>
      <c r="O42">
        <f t="shared" si="0"/>
        <v>400</v>
      </c>
    </row>
    <row r="43" spans="1:21" x14ac:dyDescent="0.25">
      <c r="A43" s="128">
        <v>3</v>
      </c>
      <c r="B43" s="191" t="s">
        <v>556</v>
      </c>
      <c r="C43" s="130" t="s">
        <v>557</v>
      </c>
      <c r="D43" s="130"/>
      <c r="E43" s="130" t="s">
        <v>127</v>
      </c>
      <c r="F43" s="130" t="s">
        <v>558</v>
      </c>
      <c r="G43" s="130" t="s">
        <v>46</v>
      </c>
      <c r="H43" s="131" t="s">
        <v>559</v>
      </c>
      <c r="I43" s="130" t="s">
        <v>40</v>
      </c>
      <c r="J43" s="136">
        <v>2500</v>
      </c>
      <c r="K43" s="164">
        <v>500</v>
      </c>
      <c r="L43" s="126" t="s">
        <v>120</v>
      </c>
      <c r="M43" s="126" t="s">
        <v>41</v>
      </c>
      <c r="O43">
        <f t="shared" si="0"/>
        <v>500</v>
      </c>
    </row>
    <row r="44" spans="1:21" x14ac:dyDescent="0.25">
      <c r="A44" s="128">
        <v>3</v>
      </c>
      <c r="B44" s="191" t="s">
        <v>560</v>
      </c>
      <c r="C44" s="130" t="s">
        <v>561</v>
      </c>
      <c r="D44" s="130"/>
      <c r="E44" s="130" t="s">
        <v>127</v>
      </c>
      <c r="F44" s="130" t="s">
        <v>562</v>
      </c>
      <c r="G44" s="130" t="s">
        <v>42</v>
      </c>
      <c r="H44" s="131" t="s">
        <v>563</v>
      </c>
      <c r="I44" s="130" t="s">
        <v>40</v>
      </c>
      <c r="J44" s="136">
        <v>4000</v>
      </c>
      <c r="K44" s="164">
        <v>800</v>
      </c>
      <c r="L44" s="126" t="s">
        <v>120</v>
      </c>
      <c r="M44" s="126" t="s">
        <v>41</v>
      </c>
      <c r="O44">
        <f t="shared" si="0"/>
        <v>800</v>
      </c>
      <c r="S44" s="25"/>
    </row>
    <row r="45" spans="1:21" x14ac:dyDescent="0.25">
      <c r="A45" s="128">
        <v>3</v>
      </c>
      <c r="B45" s="191" t="s">
        <v>564</v>
      </c>
      <c r="C45" s="130" t="s">
        <v>175</v>
      </c>
      <c r="D45" s="130"/>
      <c r="E45" s="130" t="s">
        <v>127</v>
      </c>
      <c r="F45" s="130" t="s">
        <v>565</v>
      </c>
      <c r="G45" s="130" t="s">
        <v>56</v>
      </c>
      <c r="H45" s="131" t="s">
        <v>566</v>
      </c>
      <c r="I45" s="130" t="s">
        <v>40</v>
      </c>
      <c r="J45" s="136">
        <v>3500</v>
      </c>
      <c r="K45" s="164">
        <v>700</v>
      </c>
      <c r="L45" s="126" t="s">
        <v>120</v>
      </c>
      <c r="M45" s="126" t="s">
        <v>41</v>
      </c>
      <c r="O45">
        <f t="shared" si="0"/>
        <v>700</v>
      </c>
    </row>
    <row r="46" spans="1:21" x14ac:dyDescent="0.25">
      <c r="A46" s="128">
        <v>3</v>
      </c>
      <c r="B46" s="191" t="s">
        <v>567</v>
      </c>
      <c r="C46" s="130" t="s">
        <v>568</v>
      </c>
      <c r="D46" s="130"/>
      <c r="E46" s="130" t="s">
        <v>127</v>
      </c>
      <c r="F46" s="130" t="s">
        <v>569</v>
      </c>
      <c r="G46" s="130" t="s">
        <v>61</v>
      </c>
      <c r="H46" s="131" t="s">
        <v>570</v>
      </c>
      <c r="I46" s="130" t="s">
        <v>40</v>
      </c>
      <c r="J46" s="136">
        <v>200</v>
      </c>
      <c r="K46" s="164">
        <v>40</v>
      </c>
      <c r="L46" s="126" t="s">
        <v>120</v>
      </c>
      <c r="M46" s="126" t="s">
        <v>41</v>
      </c>
      <c r="O46">
        <f t="shared" si="0"/>
        <v>40</v>
      </c>
    </row>
    <row r="47" spans="1:21" x14ac:dyDescent="0.25">
      <c r="A47" s="128">
        <v>3</v>
      </c>
      <c r="B47" s="191" t="s">
        <v>571</v>
      </c>
      <c r="C47" s="130" t="s">
        <v>572</v>
      </c>
      <c r="D47" s="130"/>
      <c r="E47" s="168" t="s">
        <v>129</v>
      </c>
      <c r="F47" s="130" t="s">
        <v>573</v>
      </c>
      <c r="G47" s="130" t="s">
        <v>44</v>
      </c>
      <c r="H47" s="131" t="s">
        <v>574</v>
      </c>
      <c r="I47" s="130" t="s">
        <v>40</v>
      </c>
      <c r="J47" s="136">
        <v>3000</v>
      </c>
      <c r="K47" s="164">
        <v>600</v>
      </c>
      <c r="L47" s="126" t="s">
        <v>120</v>
      </c>
      <c r="M47" s="126" t="s">
        <v>41</v>
      </c>
      <c r="O47">
        <f t="shared" si="0"/>
        <v>600</v>
      </c>
    </row>
    <row r="48" spans="1:21" x14ac:dyDescent="0.25">
      <c r="A48" s="128">
        <v>5</v>
      </c>
      <c r="B48" s="191" t="s">
        <v>580</v>
      </c>
      <c r="C48" s="130" t="s">
        <v>175</v>
      </c>
      <c r="D48" s="130"/>
      <c r="E48" s="130" t="s">
        <v>127</v>
      </c>
      <c r="F48" s="130" t="s">
        <v>158</v>
      </c>
      <c r="G48" s="130" t="s">
        <v>42</v>
      </c>
      <c r="H48" s="131" t="s">
        <v>581</v>
      </c>
      <c r="I48" s="130" t="s">
        <v>40</v>
      </c>
      <c r="J48" s="136">
        <v>10000</v>
      </c>
      <c r="K48" s="164">
        <v>2000</v>
      </c>
      <c r="L48" s="126" t="s">
        <v>120</v>
      </c>
      <c r="M48" s="126" t="s">
        <v>41</v>
      </c>
      <c r="O48">
        <f t="shared" si="0"/>
        <v>2000</v>
      </c>
    </row>
    <row r="49" spans="1:19" x14ac:dyDescent="0.25">
      <c r="A49" s="128">
        <v>5</v>
      </c>
      <c r="B49" s="191" t="s">
        <v>582</v>
      </c>
      <c r="C49" s="130" t="s">
        <v>583</v>
      </c>
      <c r="D49" s="130"/>
      <c r="E49" s="130" t="s">
        <v>127</v>
      </c>
      <c r="F49" s="130" t="s">
        <v>584</v>
      </c>
      <c r="G49" s="130" t="s">
        <v>47</v>
      </c>
      <c r="H49" s="131" t="s">
        <v>585</v>
      </c>
      <c r="I49" s="130" t="s">
        <v>40</v>
      </c>
      <c r="J49" s="136">
        <v>1000</v>
      </c>
      <c r="K49" s="164">
        <v>200</v>
      </c>
      <c r="L49" s="126" t="s">
        <v>120</v>
      </c>
      <c r="M49" s="126" t="s">
        <v>41</v>
      </c>
      <c r="O49">
        <f t="shared" si="0"/>
        <v>200</v>
      </c>
    </row>
    <row r="50" spans="1:19" x14ac:dyDescent="0.25">
      <c r="A50" s="128">
        <v>5</v>
      </c>
      <c r="B50" s="191" t="s">
        <v>586</v>
      </c>
      <c r="C50" s="130" t="s">
        <v>587</v>
      </c>
      <c r="D50" s="130"/>
      <c r="E50" s="168" t="s">
        <v>129</v>
      </c>
      <c r="F50" s="130" t="s">
        <v>364</v>
      </c>
      <c r="G50" s="130" t="s">
        <v>45</v>
      </c>
      <c r="H50" s="131"/>
      <c r="I50" s="130" t="s">
        <v>40</v>
      </c>
      <c r="J50" s="136">
        <v>500</v>
      </c>
      <c r="K50" s="164">
        <v>100</v>
      </c>
      <c r="L50" s="126" t="s">
        <v>120</v>
      </c>
      <c r="M50" s="126" t="s">
        <v>41</v>
      </c>
      <c r="O50">
        <f t="shared" si="0"/>
        <v>100</v>
      </c>
    </row>
    <row r="51" spans="1:19" x14ac:dyDescent="0.25">
      <c r="A51" s="128">
        <v>5</v>
      </c>
      <c r="B51" s="191" t="s">
        <v>588</v>
      </c>
      <c r="C51" s="130" t="s">
        <v>589</v>
      </c>
      <c r="D51" s="130"/>
      <c r="E51" s="168" t="s">
        <v>129</v>
      </c>
      <c r="F51" s="130" t="s">
        <v>590</v>
      </c>
      <c r="G51" s="130" t="s">
        <v>44</v>
      </c>
      <c r="H51" s="131" t="s">
        <v>591</v>
      </c>
      <c r="I51" s="133" t="s">
        <v>40</v>
      </c>
      <c r="J51" s="136">
        <v>10000</v>
      </c>
      <c r="K51" s="164">
        <v>2000</v>
      </c>
      <c r="L51" s="126" t="s">
        <v>120</v>
      </c>
      <c r="M51" s="126" t="s">
        <v>41</v>
      </c>
      <c r="O51">
        <f t="shared" si="0"/>
        <v>2000</v>
      </c>
      <c r="S51" s="57"/>
    </row>
    <row r="52" spans="1:19" x14ac:dyDescent="0.25">
      <c r="A52" s="128">
        <v>5</v>
      </c>
      <c r="B52" s="191" t="s">
        <v>592</v>
      </c>
      <c r="C52" s="130" t="s">
        <v>593</v>
      </c>
      <c r="D52" s="130"/>
      <c r="E52" s="130" t="s">
        <v>127</v>
      </c>
      <c r="F52" s="130" t="s">
        <v>396</v>
      </c>
      <c r="G52" s="130" t="s">
        <v>47</v>
      </c>
      <c r="H52" s="131" t="s">
        <v>594</v>
      </c>
      <c r="I52" s="130" t="s">
        <v>40</v>
      </c>
      <c r="J52" s="136">
        <v>2000</v>
      </c>
      <c r="K52" s="164">
        <v>400</v>
      </c>
      <c r="L52" s="126" t="s">
        <v>120</v>
      </c>
      <c r="M52" s="126" t="s">
        <v>41</v>
      </c>
      <c r="O52">
        <f t="shared" si="0"/>
        <v>400</v>
      </c>
    </row>
    <row r="53" spans="1:19" x14ac:dyDescent="0.25">
      <c r="A53" s="128">
        <v>5</v>
      </c>
      <c r="B53" s="191" t="s">
        <v>595</v>
      </c>
      <c r="C53" s="130" t="s">
        <v>596</v>
      </c>
      <c r="D53" s="130"/>
      <c r="E53" s="130" t="s">
        <v>127</v>
      </c>
      <c r="F53" s="130" t="s">
        <v>565</v>
      </c>
      <c r="G53" s="130" t="s">
        <v>56</v>
      </c>
      <c r="H53" s="131" t="s">
        <v>597</v>
      </c>
      <c r="I53" s="130" t="s">
        <v>40</v>
      </c>
      <c r="J53" s="136">
        <v>3500</v>
      </c>
      <c r="K53" s="164">
        <v>700</v>
      </c>
      <c r="L53" s="126" t="s">
        <v>120</v>
      </c>
      <c r="M53" s="126" t="s">
        <v>41</v>
      </c>
      <c r="O53">
        <f t="shared" si="0"/>
        <v>700</v>
      </c>
    </row>
    <row r="54" spans="1:19" x14ac:dyDescent="0.25">
      <c r="A54" s="128">
        <v>5</v>
      </c>
      <c r="B54" s="191" t="s">
        <v>506</v>
      </c>
      <c r="C54" s="130" t="s">
        <v>598</v>
      </c>
      <c r="D54" s="130"/>
      <c r="E54" s="130" t="s">
        <v>127</v>
      </c>
      <c r="F54" s="130" t="s">
        <v>159</v>
      </c>
      <c r="G54" s="130" t="s">
        <v>47</v>
      </c>
      <c r="H54" s="131" t="s">
        <v>599</v>
      </c>
      <c r="I54" s="130" t="s">
        <v>40</v>
      </c>
      <c r="J54" s="136">
        <v>40</v>
      </c>
      <c r="K54" s="164">
        <v>12</v>
      </c>
      <c r="L54" s="126" t="s">
        <v>120</v>
      </c>
      <c r="M54" s="126" t="s">
        <v>41</v>
      </c>
      <c r="O54">
        <f t="shared" si="0"/>
        <v>8</v>
      </c>
    </row>
    <row r="55" spans="1:19" x14ac:dyDescent="0.25">
      <c r="A55" s="128">
        <v>5</v>
      </c>
      <c r="B55" s="191" t="s">
        <v>600</v>
      </c>
      <c r="C55" s="130" t="s">
        <v>436</v>
      </c>
      <c r="D55" s="130"/>
      <c r="E55" s="130" t="s">
        <v>127</v>
      </c>
      <c r="F55" s="130" t="s">
        <v>601</v>
      </c>
      <c r="G55" s="130" t="s">
        <v>43</v>
      </c>
      <c r="H55" s="131" t="s">
        <v>602</v>
      </c>
      <c r="I55" s="130" t="s">
        <v>40</v>
      </c>
      <c r="J55" s="136">
        <v>250</v>
      </c>
      <c r="K55" s="164">
        <v>50</v>
      </c>
      <c r="L55" s="126" t="s">
        <v>120</v>
      </c>
      <c r="M55" s="126" t="s">
        <v>41</v>
      </c>
      <c r="O55">
        <f t="shared" si="0"/>
        <v>50</v>
      </c>
    </row>
    <row r="56" spans="1:19" x14ac:dyDescent="0.25">
      <c r="A56" s="128">
        <v>5</v>
      </c>
      <c r="B56" s="191" t="s">
        <v>382</v>
      </c>
      <c r="C56" s="130" t="s">
        <v>603</v>
      </c>
      <c r="D56" s="130"/>
      <c r="E56" s="130" t="s">
        <v>127</v>
      </c>
      <c r="F56" s="130" t="s">
        <v>384</v>
      </c>
      <c r="G56" s="130" t="s">
        <v>48</v>
      </c>
      <c r="H56" s="131"/>
      <c r="I56" s="133" t="s">
        <v>40</v>
      </c>
      <c r="J56" s="136">
        <v>500</v>
      </c>
      <c r="K56" s="164">
        <v>100</v>
      </c>
      <c r="L56" s="126" t="s">
        <v>120</v>
      </c>
      <c r="M56" s="126" t="s">
        <v>41</v>
      </c>
      <c r="O56">
        <f t="shared" si="0"/>
        <v>100</v>
      </c>
    </row>
    <row r="57" spans="1:19" x14ac:dyDescent="0.25">
      <c r="A57" s="128">
        <v>5</v>
      </c>
      <c r="B57" s="191" t="s">
        <v>604</v>
      </c>
      <c r="C57" s="130" t="s">
        <v>605</v>
      </c>
      <c r="D57" s="130"/>
      <c r="E57" s="130" t="s">
        <v>127</v>
      </c>
      <c r="F57" s="130" t="s">
        <v>196</v>
      </c>
      <c r="G57" s="130" t="s">
        <v>49</v>
      </c>
      <c r="H57" s="131" t="s">
        <v>606</v>
      </c>
      <c r="I57" s="130" t="s">
        <v>40</v>
      </c>
      <c r="J57" s="136">
        <v>2000</v>
      </c>
      <c r="K57" s="164">
        <v>400</v>
      </c>
      <c r="L57" s="126" t="s">
        <v>120</v>
      </c>
      <c r="M57" s="126" t="s">
        <v>41</v>
      </c>
      <c r="O57">
        <f t="shared" si="0"/>
        <v>400</v>
      </c>
    </row>
    <row r="58" spans="1:19" x14ac:dyDescent="0.25">
      <c r="A58" s="128">
        <v>5</v>
      </c>
      <c r="B58" s="191" t="s">
        <v>607</v>
      </c>
      <c r="C58" s="191" t="s">
        <v>608</v>
      </c>
      <c r="D58" s="130"/>
      <c r="E58" s="130" t="s">
        <v>127</v>
      </c>
      <c r="F58" s="130" t="s">
        <v>609</v>
      </c>
      <c r="G58" s="130" t="s">
        <v>49</v>
      </c>
      <c r="H58" s="131" t="s">
        <v>610</v>
      </c>
      <c r="I58" s="133" t="s">
        <v>40</v>
      </c>
      <c r="J58" s="136">
        <v>2000</v>
      </c>
      <c r="K58" s="164">
        <v>400</v>
      </c>
      <c r="L58" s="126" t="s">
        <v>120</v>
      </c>
      <c r="M58" s="126" t="s">
        <v>41</v>
      </c>
      <c r="O58">
        <f t="shared" si="0"/>
        <v>400</v>
      </c>
    </row>
    <row r="59" spans="1:19" x14ac:dyDescent="0.25">
      <c r="A59" s="128">
        <v>10</v>
      </c>
      <c r="B59" s="191" t="s">
        <v>611</v>
      </c>
      <c r="C59" s="130" t="s">
        <v>612</v>
      </c>
      <c r="D59" s="130"/>
      <c r="E59" s="130" t="s">
        <v>127</v>
      </c>
      <c r="F59" s="130" t="s">
        <v>355</v>
      </c>
      <c r="G59" s="130" t="s">
        <v>47</v>
      </c>
      <c r="H59" s="131" t="s">
        <v>613</v>
      </c>
      <c r="I59" s="133" t="s">
        <v>40</v>
      </c>
      <c r="J59" s="136">
        <v>3000</v>
      </c>
      <c r="K59" s="164">
        <v>600</v>
      </c>
      <c r="L59" s="126" t="s">
        <v>120</v>
      </c>
      <c r="M59" s="126" t="s">
        <v>41</v>
      </c>
      <c r="O59">
        <f t="shared" si="0"/>
        <v>600</v>
      </c>
    </row>
    <row r="60" spans="1:19" x14ac:dyDescent="0.25">
      <c r="A60" s="128">
        <v>10</v>
      </c>
      <c r="B60" s="191" t="s">
        <v>614</v>
      </c>
      <c r="C60" s="130" t="s">
        <v>615</v>
      </c>
      <c r="D60" s="130"/>
      <c r="E60" s="130" t="s">
        <v>127</v>
      </c>
      <c r="F60" s="130" t="s">
        <v>616</v>
      </c>
      <c r="G60" s="130" t="s">
        <v>43</v>
      </c>
      <c r="H60" s="131" t="s">
        <v>617</v>
      </c>
      <c r="I60" s="133" t="s">
        <v>40</v>
      </c>
      <c r="J60" s="136">
        <v>3000</v>
      </c>
      <c r="K60" s="164">
        <v>600</v>
      </c>
      <c r="L60" s="126" t="s">
        <v>120</v>
      </c>
      <c r="M60" s="126" t="s">
        <v>41</v>
      </c>
      <c r="O60">
        <f t="shared" si="0"/>
        <v>600</v>
      </c>
      <c r="R60" s="25"/>
    </row>
    <row r="61" spans="1:19" x14ac:dyDescent="0.25">
      <c r="A61" s="128">
        <v>10</v>
      </c>
      <c r="B61" s="191" t="s">
        <v>618</v>
      </c>
      <c r="C61" s="130" t="s">
        <v>619</v>
      </c>
      <c r="D61" s="130"/>
      <c r="E61" s="130" t="s">
        <v>127</v>
      </c>
      <c r="F61" s="130" t="s">
        <v>601</v>
      </c>
      <c r="G61" s="130" t="s">
        <v>43</v>
      </c>
      <c r="H61" s="131" t="s">
        <v>620</v>
      </c>
      <c r="I61" s="130" t="s">
        <v>40</v>
      </c>
      <c r="J61" s="136">
        <v>300</v>
      </c>
      <c r="K61" s="164">
        <v>60</v>
      </c>
      <c r="L61" s="126" t="s">
        <v>120</v>
      </c>
      <c r="M61" s="126" t="s">
        <v>41</v>
      </c>
      <c r="O61">
        <f t="shared" si="0"/>
        <v>60</v>
      </c>
      <c r="R61" s="25"/>
    </row>
    <row r="62" spans="1:19" x14ac:dyDescent="0.25">
      <c r="A62" s="128">
        <v>10</v>
      </c>
      <c r="B62" s="191" t="s">
        <v>621</v>
      </c>
      <c r="C62" s="130" t="s">
        <v>622</v>
      </c>
      <c r="D62" s="130"/>
      <c r="E62" s="130" t="s">
        <v>127</v>
      </c>
      <c r="F62" s="130" t="s">
        <v>133</v>
      </c>
      <c r="G62" s="130" t="s">
        <v>43</v>
      </c>
      <c r="H62" s="131"/>
      <c r="I62" s="130" t="s">
        <v>40</v>
      </c>
      <c r="J62" s="136">
        <v>2000</v>
      </c>
      <c r="K62" s="164">
        <v>400</v>
      </c>
      <c r="L62" s="126" t="s">
        <v>120</v>
      </c>
      <c r="M62" s="126" t="s">
        <v>41</v>
      </c>
      <c r="O62">
        <f t="shared" si="0"/>
        <v>400</v>
      </c>
      <c r="R62" s="25"/>
    </row>
    <row r="63" spans="1:19" x14ac:dyDescent="0.25">
      <c r="A63" s="128">
        <v>10</v>
      </c>
      <c r="B63" s="191" t="s">
        <v>623</v>
      </c>
      <c r="C63" s="130" t="s">
        <v>624</v>
      </c>
      <c r="D63" s="130"/>
      <c r="E63" s="130" t="s">
        <v>127</v>
      </c>
      <c r="F63" s="130" t="s">
        <v>625</v>
      </c>
      <c r="G63" s="130" t="s">
        <v>61</v>
      </c>
      <c r="H63" s="131"/>
      <c r="I63" s="130" t="s">
        <v>40</v>
      </c>
      <c r="J63" s="136">
        <v>500</v>
      </c>
      <c r="K63" s="164" t="s">
        <v>123</v>
      </c>
      <c r="L63" s="126" t="s">
        <v>120</v>
      </c>
      <c r="M63" s="126" t="s">
        <v>41</v>
      </c>
      <c r="O63">
        <f t="shared" si="0"/>
        <v>100</v>
      </c>
    </row>
    <row r="64" spans="1:19" x14ac:dyDescent="0.25">
      <c r="A64" s="128">
        <v>10</v>
      </c>
      <c r="B64" s="191" t="s">
        <v>626</v>
      </c>
      <c r="C64" s="130" t="s">
        <v>627</v>
      </c>
      <c r="D64" s="130"/>
      <c r="E64" s="130" t="s">
        <v>127</v>
      </c>
      <c r="F64" s="130" t="s">
        <v>625</v>
      </c>
      <c r="G64" s="130" t="s">
        <v>61</v>
      </c>
      <c r="H64" s="131"/>
      <c r="I64" s="133" t="s">
        <v>40</v>
      </c>
      <c r="J64" s="136">
        <v>500</v>
      </c>
      <c r="K64" s="164" t="s">
        <v>123</v>
      </c>
      <c r="L64" s="126" t="s">
        <v>120</v>
      </c>
      <c r="M64" s="126" t="s">
        <v>41</v>
      </c>
      <c r="O64">
        <f t="shared" si="0"/>
        <v>100</v>
      </c>
    </row>
    <row r="65" spans="1:15" x14ac:dyDescent="0.25">
      <c r="A65" s="128">
        <v>10</v>
      </c>
      <c r="B65" s="192" t="s">
        <v>628</v>
      </c>
      <c r="C65" s="133" t="s">
        <v>629</v>
      </c>
      <c r="D65" s="133"/>
      <c r="E65" s="130" t="s">
        <v>127</v>
      </c>
      <c r="F65" s="130" t="s">
        <v>625</v>
      </c>
      <c r="G65" s="130" t="s">
        <v>61</v>
      </c>
      <c r="H65" s="131"/>
      <c r="I65" s="133" t="s">
        <v>40</v>
      </c>
      <c r="J65" s="136">
        <v>500</v>
      </c>
      <c r="K65" s="164" t="s">
        <v>123</v>
      </c>
      <c r="L65" s="126" t="s">
        <v>120</v>
      </c>
      <c r="M65" s="126" t="s">
        <v>41</v>
      </c>
      <c r="O65">
        <f t="shared" si="0"/>
        <v>100</v>
      </c>
    </row>
    <row r="66" spans="1:15" x14ac:dyDescent="0.25">
      <c r="A66" s="128">
        <v>10</v>
      </c>
      <c r="B66" s="192" t="s">
        <v>630</v>
      </c>
      <c r="C66" s="133" t="s">
        <v>631</v>
      </c>
      <c r="D66" s="133"/>
      <c r="E66" s="130" t="s">
        <v>127</v>
      </c>
      <c r="F66" s="130" t="s">
        <v>625</v>
      </c>
      <c r="G66" s="130" t="s">
        <v>61</v>
      </c>
      <c r="H66" s="131" t="s">
        <v>632</v>
      </c>
      <c r="I66" s="133" t="s">
        <v>40</v>
      </c>
      <c r="J66" s="136">
        <v>500</v>
      </c>
      <c r="K66" s="164" t="s">
        <v>123</v>
      </c>
      <c r="L66" s="130" t="s">
        <v>120</v>
      </c>
      <c r="M66" s="130" t="s">
        <v>41</v>
      </c>
      <c r="O66">
        <f t="shared" si="0"/>
        <v>100</v>
      </c>
    </row>
    <row r="67" spans="1:15" x14ac:dyDescent="0.25">
      <c r="A67" s="128">
        <v>10</v>
      </c>
      <c r="B67" s="192" t="s">
        <v>633</v>
      </c>
      <c r="C67" s="133" t="s">
        <v>634</v>
      </c>
      <c r="D67" s="133"/>
      <c r="E67" s="130" t="s">
        <v>127</v>
      </c>
      <c r="F67" s="130" t="s">
        <v>625</v>
      </c>
      <c r="G67" s="199" t="s">
        <v>61</v>
      </c>
      <c r="H67" s="131"/>
      <c r="I67" s="130" t="s">
        <v>40</v>
      </c>
      <c r="J67" s="136">
        <v>500</v>
      </c>
      <c r="K67" s="164" t="s">
        <v>123</v>
      </c>
      <c r="L67" s="126" t="s">
        <v>120</v>
      </c>
      <c r="M67" s="126" t="s">
        <v>41</v>
      </c>
      <c r="O67">
        <f t="shared" si="0"/>
        <v>100</v>
      </c>
    </row>
    <row r="68" spans="1:15" x14ac:dyDescent="0.25">
      <c r="A68" s="128">
        <v>10</v>
      </c>
      <c r="B68" s="192" t="s">
        <v>623</v>
      </c>
      <c r="C68" s="133" t="s">
        <v>635</v>
      </c>
      <c r="D68" s="133"/>
      <c r="E68" s="130" t="s">
        <v>127</v>
      </c>
      <c r="F68" s="130" t="s">
        <v>625</v>
      </c>
      <c r="G68" s="199" t="s">
        <v>61</v>
      </c>
      <c r="H68" s="131"/>
      <c r="I68" s="133" t="s">
        <v>40</v>
      </c>
      <c r="J68" s="136">
        <v>500</v>
      </c>
      <c r="K68" s="164" t="s">
        <v>123</v>
      </c>
      <c r="L68" s="126" t="s">
        <v>120</v>
      </c>
      <c r="M68" s="126" t="s">
        <v>41</v>
      </c>
      <c r="O68">
        <f t="shared" si="0"/>
        <v>100</v>
      </c>
    </row>
    <row r="69" spans="1:15" x14ac:dyDescent="0.25">
      <c r="A69" s="128">
        <v>10</v>
      </c>
      <c r="B69" s="192" t="s">
        <v>636</v>
      </c>
      <c r="C69" s="133" t="s">
        <v>637</v>
      </c>
      <c r="D69" s="133"/>
      <c r="E69" s="130" t="s">
        <v>127</v>
      </c>
      <c r="F69" s="130" t="s">
        <v>590</v>
      </c>
      <c r="G69" s="130" t="s">
        <v>44</v>
      </c>
      <c r="H69" s="131"/>
      <c r="I69" s="133" t="s">
        <v>40</v>
      </c>
      <c r="J69" s="136">
        <v>5000</v>
      </c>
      <c r="K69" s="164">
        <v>1000</v>
      </c>
      <c r="L69" s="126" t="s">
        <v>120</v>
      </c>
      <c r="M69" s="126" t="s">
        <v>41</v>
      </c>
      <c r="O69">
        <f t="shared" si="0"/>
        <v>1000</v>
      </c>
    </row>
    <row r="70" spans="1:15" x14ac:dyDescent="0.25">
      <c r="A70" s="128">
        <v>10</v>
      </c>
      <c r="B70" s="192" t="s">
        <v>638</v>
      </c>
      <c r="C70" s="133" t="s">
        <v>639</v>
      </c>
      <c r="D70" s="133"/>
      <c r="E70" s="130" t="s">
        <v>127</v>
      </c>
      <c r="F70" s="130" t="s">
        <v>384</v>
      </c>
      <c r="G70" s="130" t="s">
        <v>48</v>
      </c>
      <c r="H70" s="131"/>
      <c r="I70" s="133" t="s">
        <v>40</v>
      </c>
      <c r="J70" s="136">
        <v>500</v>
      </c>
      <c r="K70" s="164">
        <v>100</v>
      </c>
      <c r="L70" s="126" t="s">
        <v>120</v>
      </c>
      <c r="M70" s="126" t="s">
        <v>41</v>
      </c>
      <c r="O70">
        <f t="shared" si="0"/>
        <v>100</v>
      </c>
    </row>
    <row r="71" spans="1:15" x14ac:dyDescent="0.25">
      <c r="A71" s="128">
        <v>10</v>
      </c>
      <c r="B71" s="192" t="s">
        <v>640</v>
      </c>
      <c r="C71" s="133" t="s">
        <v>641</v>
      </c>
      <c r="D71" s="133"/>
      <c r="E71" s="168" t="s">
        <v>129</v>
      </c>
      <c r="F71" s="130" t="s">
        <v>159</v>
      </c>
      <c r="G71" s="130" t="s">
        <v>47</v>
      </c>
      <c r="H71" s="131" t="s">
        <v>642</v>
      </c>
      <c r="I71" s="133" t="s">
        <v>40</v>
      </c>
      <c r="J71" s="136">
        <v>500</v>
      </c>
      <c r="K71" s="164">
        <v>100</v>
      </c>
      <c r="L71" s="126" t="s">
        <v>120</v>
      </c>
      <c r="M71" s="126" t="s">
        <v>41</v>
      </c>
      <c r="O71">
        <f t="shared" si="0"/>
        <v>100</v>
      </c>
    </row>
    <row r="72" spans="1:15" x14ac:dyDescent="0.25">
      <c r="A72" s="128">
        <v>10</v>
      </c>
      <c r="B72" s="192" t="s">
        <v>516</v>
      </c>
      <c r="C72" s="133" t="s">
        <v>643</v>
      </c>
      <c r="D72" s="133"/>
      <c r="E72" s="130" t="s">
        <v>127</v>
      </c>
      <c r="F72" s="130" t="s">
        <v>130</v>
      </c>
      <c r="G72" s="130" t="s">
        <v>43</v>
      </c>
      <c r="H72" s="131"/>
      <c r="I72" s="130" t="s">
        <v>40</v>
      </c>
      <c r="J72" s="136">
        <v>1500</v>
      </c>
      <c r="K72" s="164">
        <v>300</v>
      </c>
      <c r="L72" s="126" t="s">
        <v>120</v>
      </c>
      <c r="M72" s="126" t="s">
        <v>41</v>
      </c>
      <c r="O72">
        <f t="shared" si="0"/>
        <v>300</v>
      </c>
    </row>
    <row r="73" spans="1:15" x14ac:dyDescent="0.25">
      <c r="A73" s="142">
        <v>10</v>
      </c>
      <c r="B73" s="192" t="s">
        <v>161</v>
      </c>
      <c r="C73" s="133" t="s">
        <v>420</v>
      </c>
      <c r="D73" s="133"/>
      <c r="E73" s="130" t="s">
        <v>127</v>
      </c>
      <c r="F73" s="130" t="s">
        <v>134</v>
      </c>
      <c r="G73" s="130" t="s">
        <v>43</v>
      </c>
      <c r="H73" s="131" t="s">
        <v>421</v>
      </c>
      <c r="I73" s="130" t="s">
        <v>40</v>
      </c>
      <c r="J73" s="136">
        <v>1500</v>
      </c>
      <c r="K73" s="164">
        <v>300</v>
      </c>
      <c r="L73" s="126" t="s">
        <v>120</v>
      </c>
      <c r="M73" s="126" t="s">
        <v>41</v>
      </c>
      <c r="O73">
        <f t="shared" si="0"/>
        <v>300</v>
      </c>
    </row>
    <row r="74" spans="1:15" x14ac:dyDescent="0.25">
      <c r="A74" s="142">
        <v>10</v>
      </c>
      <c r="B74" s="192" t="s">
        <v>644</v>
      </c>
      <c r="C74" s="133" t="s">
        <v>645</v>
      </c>
      <c r="D74" s="133"/>
      <c r="E74" s="130" t="s">
        <v>127</v>
      </c>
      <c r="F74" s="130" t="s">
        <v>646</v>
      </c>
      <c r="G74" s="130" t="s">
        <v>74</v>
      </c>
      <c r="H74" s="131"/>
      <c r="I74" s="133" t="s">
        <v>40</v>
      </c>
      <c r="J74" s="136">
        <v>500</v>
      </c>
      <c r="K74" s="164">
        <v>100</v>
      </c>
      <c r="L74" s="126" t="s">
        <v>120</v>
      </c>
      <c r="M74" s="126" t="s">
        <v>41</v>
      </c>
      <c r="O74">
        <f t="shared" si="0"/>
        <v>100</v>
      </c>
    </row>
    <row r="75" spans="1:15" x14ac:dyDescent="0.25">
      <c r="A75" s="142">
        <v>11</v>
      </c>
      <c r="B75" s="192" t="s">
        <v>647</v>
      </c>
      <c r="C75" s="133" t="s">
        <v>648</v>
      </c>
      <c r="D75" s="133"/>
      <c r="E75" s="130" t="s">
        <v>127</v>
      </c>
      <c r="F75" s="130" t="s">
        <v>649</v>
      </c>
      <c r="G75" s="130" t="s">
        <v>48</v>
      </c>
      <c r="H75" s="131" t="s">
        <v>650</v>
      </c>
      <c r="I75" s="133" t="s">
        <v>40</v>
      </c>
      <c r="J75" s="136">
        <v>700</v>
      </c>
      <c r="K75" s="164">
        <v>140</v>
      </c>
      <c r="L75" s="126" t="s">
        <v>120</v>
      </c>
      <c r="M75" s="126" t="s">
        <v>41</v>
      </c>
      <c r="O75">
        <f t="shared" si="0"/>
        <v>140</v>
      </c>
    </row>
    <row r="76" spans="1:15" x14ac:dyDescent="0.25">
      <c r="A76" s="210">
        <v>11</v>
      </c>
      <c r="B76" s="192" t="s">
        <v>651</v>
      </c>
      <c r="C76" s="133" t="s">
        <v>652</v>
      </c>
      <c r="D76" s="133"/>
      <c r="E76" s="130" t="s">
        <v>127</v>
      </c>
      <c r="F76" s="130" t="s">
        <v>384</v>
      </c>
      <c r="G76" s="130" t="s">
        <v>56</v>
      </c>
      <c r="H76" s="131" t="s">
        <v>653</v>
      </c>
      <c r="I76" s="130" t="s">
        <v>40</v>
      </c>
      <c r="J76" s="136">
        <v>600</v>
      </c>
      <c r="K76" s="164">
        <v>120</v>
      </c>
      <c r="L76" s="126" t="s">
        <v>120</v>
      </c>
      <c r="M76" s="126" t="s">
        <v>41</v>
      </c>
      <c r="O76">
        <f t="shared" si="0"/>
        <v>120</v>
      </c>
    </row>
    <row r="77" spans="1:15" x14ac:dyDescent="0.25">
      <c r="A77" s="142">
        <v>17</v>
      </c>
      <c r="B77" s="192" t="s">
        <v>661</v>
      </c>
      <c r="C77" s="133" t="s">
        <v>662</v>
      </c>
      <c r="D77" s="133"/>
      <c r="E77" s="130" t="s">
        <v>127</v>
      </c>
      <c r="F77" s="130" t="s">
        <v>146</v>
      </c>
      <c r="G77" s="130" t="s">
        <v>46</v>
      </c>
      <c r="H77" s="131" t="s">
        <v>663</v>
      </c>
      <c r="I77" s="130" t="s">
        <v>40</v>
      </c>
      <c r="J77" s="136">
        <v>15000</v>
      </c>
      <c r="K77" s="164">
        <v>3000</v>
      </c>
      <c r="L77" s="126" t="s">
        <v>120</v>
      </c>
      <c r="M77" s="126" t="s">
        <v>41</v>
      </c>
      <c r="O77">
        <f t="shared" si="0"/>
        <v>3000</v>
      </c>
    </row>
    <row r="78" spans="1:15" x14ac:dyDescent="0.25">
      <c r="A78" s="142">
        <v>17</v>
      </c>
      <c r="B78" s="192" t="s">
        <v>664</v>
      </c>
      <c r="C78" s="133" t="s">
        <v>665</v>
      </c>
      <c r="D78" s="133"/>
      <c r="E78" s="130" t="s">
        <v>127</v>
      </c>
      <c r="F78" s="130" t="s">
        <v>388</v>
      </c>
      <c r="G78" s="130" t="s">
        <v>42</v>
      </c>
      <c r="H78" s="131" t="s">
        <v>666</v>
      </c>
      <c r="I78" s="133" t="s">
        <v>40</v>
      </c>
      <c r="J78" s="136">
        <v>2500</v>
      </c>
      <c r="K78" s="164">
        <v>500</v>
      </c>
      <c r="L78" s="126" t="s">
        <v>120</v>
      </c>
      <c r="M78" s="126" t="s">
        <v>41</v>
      </c>
      <c r="O78">
        <f t="shared" si="0"/>
        <v>500</v>
      </c>
    </row>
    <row r="79" spans="1:15" x14ac:dyDescent="0.25">
      <c r="A79" s="142">
        <v>17</v>
      </c>
      <c r="B79" s="192" t="s">
        <v>667</v>
      </c>
      <c r="C79" s="133" t="s">
        <v>668</v>
      </c>
      <c r="D79" s="133"/>
      <c r="E79" s="130" t="s">
        <v>127</v>
      </c>
      <c r="F79" s="130" t="s">
        <v>57</v>
      </c>
      <c r="G79" s="130" t="s">
        <v>45</v>
      </c>
      <c r="H79" s="131" t="s">
        <v>669</v>
      </c>
      <c r="I79" s="133" t="s">
        <v>40</v>
      </c>
      <c r="J79" s="136">
        <v>500</v>
      </c>
      <c r="K79" s="164">
        <v>100</v>
      </c>
      <c r="L79" s="126" t="s">
        <v>120</v>
      </c>
      <c r="M79" s="126" t="s">
        <v>41</v>
      </c>
      <c r="O79">
        <f t="shared" si="0"/>
        <v>100</v>
      </c>
    </row>
    <row r="80" spans="1:15" x14ac:dyDescent="0.25">
      <c r="A80" s="142">
        <v>17</v>
      </c>
      <c r="B80" s="192" t="s">
        <v>670</v>
      </c>
      <c r="C80" s="133" t="s">
        <v>671</v>
      </c>
      <c r="D80" s="133"/>
      <c r="E80" s="168" t="s">
        <v>129</v>
      </c>
      <c r="F80" s="130" t="s">
        <v>672</v>
      </c>
      <c r="G80" s="130" t="s">
        <v>54</v>
      </c>
      <c r="H80" s="131" t="s">
        <v>673</v>
      </c>
      <c r="I80" s="130" t="s">
        <v>40</v>
      </c>
      <c r="J80" s="136">
        <v>6000</v>
      </c>
      <c r="K80" s="164">
        <v>1200</v>
      </c>
      <c r="L80" s="126" t="s">
        <v>120</v>
      </c>
      <c r="M80" s="126" t="s">
        <v>41</v>
      </c>
      <c r="O80">
        <f t="shared" si="0"/>
        <v>1200</v>
      </c>
    </row>
    <row r="81" spans="1:19" x14ac:dyDescent="0.25">
      <c r="A81" s="142">
        <v>17</v>
      </c>
      <c r="B81" s="192" t="s">
        <v>674</v>
      </c>
      <c r="C81" s="133" t="s">
        <v>530</v>
      </c>
      <c r="D81" s="133"/>
      <c r="E81" s="130" t="s">
        <v>127</v>
      </c>
      <c r="F81" s="130" t="s">
        <v>675</v>
      </c>
      <c r="G81" s="130" t="s">
        <v>57</v>
      </c>
      <c r="H81" s="131"/>
      <c r="I81" s="130" t="s">
        <v>40</v>
      </c>
      <c r="J81" s="136">
        <v>3000</v>
      </c>
      <c r="K81" s="164" t="s">
        <v>123</v>
      </c>
      <c r="L81" s="126" t="s">
        <v>120</v>
      </c>
      <c r="M81" s="126" t="s">
        <v>41</v>
      </c>
      <c r="O81">
        <f t="shared" si="0"/>
        <v>600</v>
      </c>
    </row>
    <row r="82" spans="1:19" x14ac:dyDescent="0.25">
      <c r="A82" s="142">
        <v>17</v>
      </c>
      <c r="B82" s="192" t="s">
        <v>676</v>
      </c>
      <c r="C82" s="133" t="s">
        <v>677</v>
      </c>
      <c r="D82" s="133"/>
      <c r="E82" s="130" t="s">
        <v>127</v>
      </c>
      <c r="F82" s="130" t="s">
        <v>678</v>
      </c>
      <c r="G82" s="130" t="s">
        <v>42</v>
      </c>
      <c r="H82" s="131"/>
      <c r="I82" s="130" t="s">
        <v>40</v>
      </c>
      <c r="J82" s="136">
        <v>350</v>
      </c>
      <c r="K82" s="164" t="s">
        <v>123</v>
      </c>
      <c r="L82" s="126" t="s">
        <v>120</v>
      </c>
      <c r="M82" s="126" t="s">
        <v>41</v>
      </c>
      <c r="O82">
        <f t="shared" si="0"/>
        <v>70</v>
      </c>
      <c r="S82" s="57"/>
    </row>
    <row r="83" spans="1:19" x14ac:dyDescent="0.25">
      <c r="A83" s="142">
        <v>17</v>
      </c>
      <c r="B83" s="192" t="s">
        <v>679</v>
      </c>
      <c r="C83" s="133" t="s">
        <v>680</v>
      </c>
      <c r="D83" s="133"/>
      <c r="E83" s="130" t="s">
        <v>127</v>
      </c>
      <c r="F83" s="130" t="s">
        <v>364</v>
      </c>
      <c r="G83" s="130" t="s">
        <v>54</v>
      </c>
      <c r="H83" s="131" t="s">
        <v>681</v>
      </c>
      <c r="I83" s="130" t="s">
        <v>40</v>
      </c>
      <c r="J83" s="136">
        <v>5000</v>
      </c>
      <c r="K83" s="164">
        <v>1000</v>
      </c>
      <c r="L83" s="126" t="s">
        <v>120</v>
      </c>
      <c r="M83" s="126" t="s">
        <v>41</v>
      </c>
      <c r="O83">
        <f t="shared" si="0"/>
        <v>1000</v>
      </c>
    </row>
    <row r="84" spans="1:19" x14ac:dyDescent="0.25">
      <c r="A84" s="142">
        <v>17</v>
      </c>
      <c r="B84" s="192" t="s">
        <v>682</v>
      </c>
      <c r="C84" s="133" t="s">
        <v>683</v>
      </c>
      <c r="D84" s="133"/>
      <c r="E84" s="130" t="s">
        <v>127</v>
      </c>
      <c r="F84" s="130"/>
      <c r="G84" s="130" t="s">
        <v>42</v>
      </c>
      <c r="H84" s="131" t="s">
        <v>684</v>
      </c>
      <c r="I84" s="130" t="s">
        <v>40</v>
      </c>
      <c r="J84" s="136">
        <v>500</v>
      </c>
      <c r="K84" s="164">
        <v>150</v>
      </c>
      <c r="L84" s="126" t="s">
        <v>120</v>
      </c>
      <c r="M84" s="126" t="s">
        <v>41</v>
      </c>
      <c r="O84">
        <f t="shared" si="0"/>
        <v>100</v>
      </c>
    </row>
    <row r="85" spans="1:19" x14ac:dyDescent="0.25">
      <c r="A85" s="142">
        <v>17</v>
      </c>
      <c r="B85" s="192" t="s">
        <v>685</v>
      </c>
      <c r="C85" s="133" t="s">
        <v>358</v>
      </c>
      <c r="D85" s="133"/>
      <c r="E85" s="130" t="s">
        <v>127</v>
      </c>
      <c r="F85" s="130" t="s">
        <v>686</v>
      </c>
      <c r="G85" s="130" t="s">
        <v>53</v>
      </c>
      <c r="H85" s="131" t="s">
        <v>687</v>
      </c>
      <c r="I85" s="133" t="s">
        <v>40</v>
      </c>
      <c r="J85" s="136">
        <v>1000</v>
      </c>
      <c r="K85" s="164">
        <v>200</v>
      </c>
      <c r="L85" s="126" t="s">
        <v>120</v>
      </c>
      <c r="M85" s="126" t="s">
        <v>41</v>
      </c>
      <c r="O85">
        <f t="shared" si="0"/>
        <v>200</v>
      </c>
    </row>
    <row r="86" spans="1:19" x14ac:dyDescent="0.25">
      <c r="A86" s="142">
        <v>17</v>
      </c>
      <c r="B86" s="192" t="s">
        <v>688</v>
      </c>
      <c r="C86" s="133" t="s">
        <v>689</v>
      </c>
      <c r="D86" s="133"/>
      <c r="E86" s="130" t="s">
        <v>127</v>
      </c>
      <c r="F86" s="130" t="s">
        <v>131</v>
      </c>
      <c r="G86" s="130" t="s">
        <v>45</v>
      </c>
      <c r="H86" s="131" t="s">
        <v>690</v>
      </c>
      <c r="I86" s="130" t="s">
        <v>40</v>
      </c>
      <c r="J86" s="136">
        <v>5000</v>
      </c>
      <c r="K86" s="164">
        <v>1500</v>
      </c>
      <c r="L86" s="126" t="s">
        <v>120</v>
      </c>
      <c r="M86" s="126" t="s">
        <v>41</v>
      </c>
      <c r="O86">
        <f t="shared" si="0"/>
        <v>1000</v>
      </c>
    </row>
    <row r="87" spans="1:19" x14ac:dyDescent="0.25">
      <c r="A87" s="142">
        <v>17</v>
      </c>
      <c r="B87" s="192" t="s">
        <v>691</v>
      </c>
      <c r="C87" s="133" t="s">
        <v>692</v>
      </c>
      <c r="D87" s="130"/>
      <c r="E87" s="168" t="s">
        <v>129</v>
      </c>
      <c r="F87" s="130" t="s">
        <v>693</v>
      </c>
      <c r="G87" s="130" t="s">
        <v>49</v>
      </c>
      <c r="H87" s="131"/>
      <c r="I87" s="133" t="s">
        <v>40</v>
      </c>
      <c r="J87" s="136">
        <v>2000</v>
      </c>
      <c r="K87" s="164">
        <v>400</v>
      </c>
      <c r="L87" s="126" t="s">
        <v>120</v>
      </c>
      <c r="M87" s="126" t="s">
        <v>41</v>
      </c>
      <c r="O87">
        <f t="shared" si="0"/>
        <v>400</v>
      </c>
    </row>
    <row r="88" spans="1:19" x14ac:dyDescent="0.25">
      <c r="A88" s="142">
        <v>17</v>
      </c>
      <c r="B88" s="192" t="s">
        <v>694</v>
      </c>
      <c r="C88" s="133" t="s">
        <v>695</v>
      </c>
      <c r="D88" s="133"/>
      <c r="E88" s="130" t="s">
        <v>127</v>
      </c>
      <c r="F88" s="130" t="s">
        <v>696</v>
      </c>
      <c r="G88" s="130" t="s">
        <v>48</v>
      </c>
      <c r="H88" s="131"/>
      <c r="I88" s="130" t="s">
        <v>40</v>
      </c>
      <c r="J88" s="136">
        <v>300</v>
      </c>
      <c r="K88" s="164" t="s">
        <v>123</v>
      </c>
      <c r="L88" s="126" t="s">
        <v>120</v>
      </c>
      <c r="M88" s="126" t="s">
        <v>41</v>
      </c>
      <c r="O88">
        <f t="shared" si="0"/>
        <v>60</v>
      </c>
    </row>
    <row r="89" spans="1:19" x14ac:dyDescent="0.25">
      <c r="A89" s="142">
        <v>17</v>
      </c>
      <c r="B89" s="192" t="s">
        <v>697</v>
      </c>
      <c r="C89" s="133" t="s">
        <v>698</v>
      </c>
      <c r="D89" s="133"/>
      <c r="E89" s="130" t="s">
        <v>127</v>
      </c>
      <c r="F89" s="130" t="s">
        <v>215</v>
      </c>
      <c r="G89" s="130" t="s">
        <v>59</v>
      </c>
      <c r="H89" s="131"/>
      <c r="I89" s="133" t="s">
        <v>40</v>
      </c>
      <c r="J89" s="136">
        <v>3000</v>
      </c>
      <c r="K89" s="164">
        <v>900</v>
      </c>
      <c r="L89" s="126" t="s">
        <v>120</v>
      </c>
      <c r="M89" s="126" t="s">
        <v>41</v>
      </c>
      <c r="O89">
        <f t="shared" si="0"/>
        <v>600</v>
      </c>
    </row>
    <row r="90" spans="1:19" x14ac:dyDescent="0.25">
      <c r="A90" s="142">
        <v>17</v>
      </c>
      <c r="B90" s="192" t="s">
        <v>699</v>
      </c>
      <c r="C90" s="133" t="s">
        <v>700</v>
      </c>
      <c r="D90" s="133"/>
      <c r="E90" s="130" t="s">
        <v>127</v>
      </c>
      <c r="F90" s="130" t="s">
        <v>215</v>
      </c>
      <c r="G90" s="130" t="s">
        <v>59</v>
      </c>
      <c r="H90" s="131" t="s">
        <v>701</v>
      </c>
      <c r="I90" s="130" t="s">
        <v>40</v>
      </c>
      <c r="J90" s="136">
        <v>3000</v>
      </c>
      <c r="K90" s="164">
        <v>900</v>
      </c>
      <c r="L90" s="126" t="s">
        <v>120</v>
      </c>
      <c r="M90" s="126" t="s">
        <v>41</v>
      </c>
      <c r="O90">
        <f t="shared" si="0"/>
        <v>600</v>
      </c>
    </row>
    <row r="91" spans="1:19" x14ac:dyDescent="0.25">
      <c r="A91" s="142">
        <v>17</v>
      </c>
      <c r="B91" s="192" t="s">
        <v>702</v>
      </c>
      <c r="C91" s="133" t="s">
        <v>549</v>
      </c>
      <c r="D91" s="133"/>
      <c r="E91" s="130" t="s">
        <v>127</v>
      </c>
      <c r="F91" s="130" t="s">
        <v>215</v>
      </c>
      <c r="G91" s="130" t="s">
        <v>59</v>
      </c>
      <c r="H91" s="131" t="s">
        <v>703</v>
      </c>
      <c r="I91" s="133" t="s">
        <v>40</v>
      </c>
      <c r="J91" s="136">
        <v>200</v>
      </c>
      <c r="K91" s="164">
        <v>60</v>
      </c>
      <c r="L91" s="126" t="s">
        <v>120</v>
      </c>
      <c r="M91" s="126" t="s">
        <v>41</v>
      </c>
      <c r="O91">
        <f t="shared" si="0"/>
        <v>40</v>
      </c>
    </row>
    <row r="92" spans="1:19" x14ac:dyDescent="0.25">
      <c r="A92" s="142">
        <v>17</v>
      </c>
      <c r="B92" s="192" t="s">
        <v>704</v>
      </c>
      <c r="C92" s="133" t="s">
        <v>705</v>
      </c>
      <c r="D92" s="133"/>
      <c r="E92" s="130" t="s">
        <v>127</v>
      </c>
      <c r="F92" s="130" t="s">
        <v>706</v>
      </c>
      <c r="G92" s="130" t="s">
        <v>45</v>
      </c>
      <c r="H92" s="131" t="s">
        <v>707</v>
      </c>
      <c r="I92" s="133" t="s">
        <v>40</v>
      </c>
      <c r="J92" s="136">
        <v>500</v>
      </c>
      <c r="K92" s="164">
        <v>100</v>
      </c>
      <c r="L92" s="126" t="s">
        <v>120</v>
      </c>
      <c r="M92" s="126" t="s">
        <v>41</v>
      </c>
      <c r="O92">
        <f t="shared" si="0"/>
        <v>100</v>
      </c>
    </row>
    <row r="93" spans="1:19" x14ac:dyDescent="0.25">
      <c r="A93" s="142">
        <v>17</v>
      </c>
      <c r="B93" s="192" t="s">
        <v>708</v>
      </c>
      <c r="C93" s="133" t="s">
        <v>709</v>
      </c>
      <c r="D93" s="133"/>
      <c r="E93" s="130" t="s">
        <v>127</v>
      </c>
      <c r="F93" s="130" t="s">
        <v>710</v>
      </c>
      <c r="G93" s="130" t="s">
        <v>47</v>
      </c>
      <c r="H93" s="131"/>
      <c r="I93" s="130" t="s">
        <v>40</v>
      </c>
      <c r="J93" s="136">
        <v>400</v>
      </c>
      <c r="K93" s="164">
        <v>120</v>
      </c>
      <c r="L93" s="126" t="s">
        <v>120</v>
      </c>
      <c r="M93" s="126" t="s">
        <v>41</v>
      </c>
      <c r="O93">
        <f t="shared" si="0"/>
        <v>80</v>
      </c>
    </row>
    <row r="94" spans="1:19" x14ac:dyDescent="0.25">
      <c r="A94" s="142">
        <v>17</v>
      </c>
      <c r="B94" s="192" t="s">
        <v>711</v>
      </c>
      <c r="C94" s="133" t="s">
        <v>712</v>
      </c>
      <c r="D94" s="133"/>
      <c r="E94" s="130" t="s">
        <v>127</v>
      </c>
      <c r="F94" s="130" t="s">
        <v>713</v>
      </c>
      <c r="G94" s="130" t="s">
        <v>64</v>
      </c>
      <c r="H94" s="131" t="s">
        <v>714</v>
      </c>
      <c r="I94" s="130" t="s">
        <v>40</v>
      </c>
      <c r="J94" s="136">
        <v>7000</v>
      </c>
      <c r="K94" s="164">
        <v>1400</v>
      </c>
      <c r="L94" s="126" t="s">
        <v>120</v>
      </c>
      <c r="M94" s="126" t="s">
        <v>41</v>
      </c>
      <c r="O94">
        <f t="shared" si="0"/>
        <v>1400</v>
      </c>
    </row>
    <row r="95" spans="1:19" x14ac:dyDescent="0.25">
      <c r="A95" s="142">
        <v>17</v>
      </c>
      <c r="B95" s="192" t="s">
        <v>715</v>
      </c>
      <c r="C95" s="133" t="s">
        <v>716</v>
      </c>
      <c r="D95" s="133"/>
      <c r="E95" s="168" t="s">
        <v>129</v>
      </c>
      <c r="F95" s="130" t="s">
        <v>215</v>
      </c>
      <c r="G95" s="130" t="s">
        <v>59</v>
      </c>
      <c r="H95" s="131" t="s">
        <v>701</v>
      </c>
      <c r="I95" s="130" t="s">
        <v>40</v>
      </c>
      <c r="J95" s="136">
        <v>2000</v>
      </c>
      <c r="K95" s="164">
        <v>400</v>
      </c>
      <c r="L95" s="126" t="s">
        <v>120</v>
      </c>
      <c r="M95" s="126" t="s">
        <v>41</v>
      </c>
      <c r="O95">
        <f t="shared" si="0"/>
        <v>400</v>
      </c>
    </row>
    <row r="96" spans="1:19" x14ac:dyDescent="0.25">
      <c r="A96" s="142">
        <v>17</v>
      </c>
      <c r="B96" s="192" t="s">
        <v>717</v>
      </c>
      <c r="C96" s="133" t="s">
        <v>718</v>
      </c>
      <c r="D96" s="133"/>
      <c r="E96" s="168" t="s">
        <v>129</v>
      </c>
      <c r="F96" s="130" t="s">
        <v>719</v>
      </c>
      <c r="G96" s="130" t="s">
        <v>59</v>
      </c>
      <c r="H96" s="131" t="s">
        <v>216</v>
      </c>
      <c r="I96" s="130" t="s">
        <v>40</v>
      </c>
      <c r="J96" s="136">
        <v>1000</v>
      </c>
      <c r="K96" s="164">
        <v>300</v>
      </c>
      <c r="L96" s="126" t="s">
        <v>120</v>
      </c>
      <c r="M96" s="126" t="s">
        <v>41</v>
      </c>
      <c r="O96">
        <f t="shared" si="0"/>
        <v>200</v>
      </c>
      <c r="R96" s="57">
        <f>SUM(J93:J95,J97:J108,J110:J111)</f>
        <v>37600</v>
      </c>
    </row>
    <row r="97" spans="1:15" x14ac:dyDescent="0.25">
      <c r="A97" s="142">
        <v>17</v>
      </c>
      <c r="B97" s="192" t="s">
        <v>720</v>
      </c>
      <c r="C97" s="133" t="s">
        <v>587</v>
      </c>
      <c r="D97" s="133"/>
      <c r="E97" s="168" t="s">
        <v>129</v>
      </c>
      <c r="F97" s="130" t="s">
        <v>215</v>
      </c>
      <c r="G97" s="130" t="s">
        <v>59</v>
      </c>
      <c r="H97" s="131" t="s">
        <v>216</v>
      </c>
      <c r="I97" s="133" t="s">
        <v>40</v>
      </c>
      <c r="J97" s="136">
        <v>1500</v>
      </c>
      <c r="K97" s="164">
        <v>450</v>
      </c>
      <c r="L97" s="126" t="s">
        <v>120</v>
      </c>
      <c r="M97" s="126" t="s">
        <v>41</v>
      </c>
      <c r="O97">
        <f t="shared" si="0"/>
        <v>300</v>
      </c>
    </row>
    <row r="98" spans="1:15" x14ac:dyDescent="0.25">
      <c r="A98" s="142">
        <v>17</v>
      </c>
      <c r="B98" s="192" t="s">
        <v>513</v>
      </c>
      <c r="C98" s="133" t="s">
        <v>169</v>
      </c>
      <c r="D98" s="133"/>
      <c r="E98" s="130" t="s">
        <v>127</v>
      </c>
      <c r="F98" s="130" t="s">
        <v>130</v>
      </c>
      <c r="G98" s="130" t="s">
        <v>43</v>
      </c>
      <c r="H98" s="131" t="s">
        <v>515</v>
      </c>
      <c r="I98" s="130" t="s">
        <v>40</v>
      </c>
      <c r="J98" s="136">
        <v>1000</v>
      </c>
      <c r="K98" s="164">
        <v>300</v>
      </c>
      <c r="L98" s="126" t="s">
        <v>120</v>
      </c>
      <c r="M98" s="126" t="s">
        <v>41</v>
      </c>
      <c r="O98">
        <f t="shared" si="0"/>
        <v>200</v>
      </c>
    </row>
    <row r="99" spans="1:15" x14ac:dyDescent="0.25">
      <c r="A99" s="142">
        <v>17</v>
      </c>
      <c r="B99" s="192" t="s">
        <v>721</v>
      </c>
      <c r="C99" s="133" t="s">
        <v>722</v>
      </c>
      <c r="D99" s="133"/>
      <c r="E99" s="130" t="s">
        <v>127</v>
      </c>
      <c r="F99" s="130"/>
      <c r="G99" s="130" t="s">
        <v>723</v>
      </c>
      <c r="H99" s="131" t="s">
        <v>724</v>
      </c>
      <c r="I99" s="130" t="s">
        <v>40</v>
      </c>
      <c r="J99" s="136">
        <v>500</v>
      </c>
      <c r="K99" s="164">
        <v>100</v>
      </c>
      <c r="L99" s="126" t="s">
        <v>120</v>
      </c>
      <c r="M99" s="126" t="s">
        <v>41</v>
      </c>
      <c r="O99">
        <f t="shared" si="0"/>
        <v>100</v>
      </c>
    </row>
    <row r="100" spans="1:15" x14ac:dyDescent="0.25">
      <c r="A100" s="142">
        <v>17</v>
      </c>
      <c r="B100" s="192" t="s">
        <v>725</v>
      </c>
      <c r="C100" s="133" t="s">
        <v>726</v>
      </c>
      <c r="D100" s="133"/>
      <c r="E100" s="130" t="s">
        <v>127</v>
      </c>
      <c r="F100" s="130" t="s">
        <v>727</v>
      </c>
      <c r="G100" s="130" t="s">
        <v>58</v>
      </c>
      <c r="H100" s="131" t="s">
        <v>728</v>
      </c>
      <c r="I100" s="130" t="s">
        <v>40</v>
      </c>
      <c r="J100" s="136">
        <v>500</v>
      </c>
      <c r="K100" s="164">
        <v>100</v>
      </c>
      <c r="L100" s="126" t="s">
        <v>120</v>
      </c>
      <c r="M100" s="126" t="s">
        <v>41</v>
      </c>
      <c r="O100">
        <f t="shared" si="0"/>
        <v>100</v>
      </c>
    </row>
    <row r="101" spans="1:15" x14ac:dyDescent="0.25">
      <c r="A101" s="142">
        <v>17</v>
      </c>
      <c r="B101" s="192" t="s">
        <v>729</v>
      </c>
      <c r="C101" s="133" t="s">
        <v>730</v>
      </c>
      <c r="D101" s="133"/>
      <c r="E101" s="130" t="s">
        <v>127</v>
      </c>
      <c r="F101" s="130" t="s">
        <v>649</v>
      </c>
      <c r="G101" s="130" t="s">
        <v>48</v>
      </c>
      <c r="H101" s="131" t="s">
        <v>731</v>
      </c>
      <c r="I101" s="133" t="s">
        <v>40</v>
      </c>
      <c r="J101" s="136">
        <v>300</v>
      </c>
      <c r="K101" s="164">
        <v>60</v>
      </c>
      <c r="L101" s="126" t="s">
        <v>120</v>
      </c>
      <c r="M101" s="126" t="s">
        <v>41</v>
      </c>
      <c r="O101">
        <f t="shared" si="0"/>
        <v>60</v>
      </c>
    </row>
    <row r="102" spans="1:15" x14ac:dyDescent="0.25">
      <c r="A102" s="142">
        <v>17</v>
      </c>
      <c r="B102" s="192" t="s">
        <v>732</v>
      </c>
      <c r="C102" s="133" t="s">
        <v>733</v>
      </c>
      <c r="D102" s="133"/>
      <c r="E102" s="130" t="s">
        <v>127</v>
      </c>
      <c r="F102" s="130" t="s">
        <v>649</v>
      </c>
      <c r="G102" s="130" t="s">
        <v>48</v>
      </c>
      <c r="H102" s="131" t="s">
        <v>734</v>
      </c>
      <c r="I102" s="133" t="s">
        <v>40</v>
      </c>
      <c r="J102" s="136">
        <v>3000</v>
      </c>
      <c r="K102" s="164">
        <v>600</v>
      </c>
      <c r="L102" s="126" t="s">
        <v>120</v>
      </c>
      <c r="M102" s="126" t="s">
        <v>41</v>
      </c>
      <c r="O102">
        <f t="shared" si="0"/>
        <v>600</v>
      </c>
    </row>
    <row r="103" spans="1:15" x14ac:dyDescent="0.25">
      <c r="A103" s="142">
        <v>17</v>
      </c>
      <c r="B103" s="192" t="s">
        <v>735</v>
      </c>
      <c r="C103" s="133" t="s">
        <v>736</v>
      </c>
      <c r="D103" s="133"/>
      <c r="E103" s="130" t="s">
        <v>127</v>
      </c>
      <c r="F103" s="130" t="s">
        <v>159</v>
      </c>
      <c r="G103" s="130" t="s">
        <v>54</v>
      </c>
      <c r="H103" s="131"/>
      <c r="I103" s="130" t="s">
        <v>40</v>
      </c>
      <c r="J103" s="136">
        <v>2000</v>
      </c>
      <c r="K103" s="164">
        <v>400</v>
      </c>
      <c r="L103" s="126" t="s">
        <v>120</v>
      </c>
      <c r="M103" s="126" t="s">
        <v>41</v>
      </c>
      <c r="O103">
        <f t="shared" si="0"/>
        <v>400</v>
      </c>
    </row>
    <row r="104" spans="1:15" x14ac:dyDescent="0.25">
      <c r="A104" s="142">
        <v>19</v>
      </c>
      <c r="B104" s="192" t="s">
        <v>213</v>
      </c>
      <c r="C104" s="133" t="s">
        <v>737</v>
      </c>
      <c r="D104" s="133"/>
      <c r="E104" s="168" t="s">
        <v>129</v>
      </c>
      <c r="F104" s="130" t="s">
        <v>562</v>
      </c>
      <c r="G104" s="130" t="s">
        <v>42</v>
      </c>
      <c r="H104" s="131" t="s">
        <v>738</v>
      </c>
      <c r="I104" s="130" t="s">
        <v>40</v>
      </c>
      <c r="J104" s="136">
        <v>1500</v>
      </c>
      <c r="K104" s="164">
        <v>450</v>
      </c>
      <c r="L104" s="126" t="s">
        <v>120</v>
      </c>
      <c r="M104" s="126" t="s">
        <v>41</v>
      </c>
      <c r="O104">
        <f t="shared" si="0"/>
        <v>300</v>
      </c>
    </row>
    <row r="105" spans="1:15" x14ac:dyDescent="0.25">
      <c r="A105" s="142">
        <v>19</v>
      </c>
      <c r="B105" s="192" t="s">
        <v>580</v>
      </c>
      <c r="C105" s="133" t="s">
        <v>175</v>
      </c>
      <c r="D105" s="133"/>
      <c r="E105" s="130" t="s">
        <v>127</v>
      </c>
      <c r="F105" s="130" t="s">
        <v>158</v>
      </c>
      <c r="G105" s="130" t="s">
        <v>42</v>
      </c>
      <c r="H105" s="131" t="s">
        <v>581</v>
      </c>
      <c r="I105" s="133" t="s">
        <v>40</v>
      </c>
      <c r="J105" s="136">
        <v>5000</v>
      </c>
      <c r="K105" s="164">
        <v>1000</v>
      </c>
      <c r="L105" s="126" t="s">
        <v>120</v>
      </c>
      <c r="M105" s="126" t="s">
        <v>41</v>
      </c>
      <c r="O105">
        <f t="shared" si="0"/>
        <v>1000</v>
      </c>
    </row>
    <row r="106" spans="1:15" x14ac:dyDescent="0.25">
      <c r="A106" s="142">
        <v>19</v>
      </c>
      <c r="B106" s="192" t="s">
        <v>661</v>
      </c>
      <c r="C106" s="133" t="s">
        <v>528</v>
      </c>
      <c r="D106" s="133"/>
      <c r="E106" s="130" t="s">
        <v>127</v>
      </c>
      <c r="F106" s="130" t="s">
        <v>558</v>
      </c>
      <c r="G106" s="130" t="s">
        <v>46</v>
      </c>
      <c r="H106" s="131" t="s">
        <v>739</v>
      </c>
      <c r="I106" s="130" t="s">
        <v>40</v>
      </c>
      <c r="J106" s="136">
        <v>8000</v>
      </c>
      <c r="K106" s="164">
        <v>1600</v>
      </c>
      <c r="L106" s="126" t="s">
        <v>120</v>
      </c>
      <c r="M106" s="126" t="s">
        <v>41</v>
      </c>
      <c r="O106">
        <f t="shared" si="0"/>
        <v>1600</v>
      </c>
    </row>
    <row r="107" spans="1:15" x14ac:dyDescent="0.25">
      <c r="A107" s="142">
        <v>19</v>
      </c>
      <c r="B107" s="192" t="s">
        <v>740</v>
      </c>
      <c r="C107" s="133" t="s">
        <v>741</v>
      </c>
      <c r="D107" s="133"/>
      <c r="E107" s="130" t="s">
        <v>127</v>
      </c>
      <c r="F107" s="130" t="s">
        <v>742</v>
      </c>
      <c r="G107" s="130" t="s">
        <v>47</v>
      </c>
      <c r="H107" s="131" t="s">
        <v>743</v>
      </c>
      <c r="I107" s="133" t="s">
        <v>40</v>
      </c>
      <c r="J107" s="136">
        <v>1000</v>
      </c>
      <c r="K107" s="164">
        <v>200</v>
      </c>
      <c r="L107" s="126" t="s">
        <v>120</v>
      </c>
      <c r="M107" s="126" t="s">
        <v>41</v>
      </c>
      <c r="O107">
        <f t="shared" si="0"/>
        <v>200</v>
      </c>
    </row>
    <row r="108" spans="1:15" x14ac:dyDescent="0.25">
      <c r="A108" s="142">
        <v>19</v>
      </c>
      <c r="B108" s="192" t="s">
        <v>744</v>
      </c>
      <c r="C108" s="133" t="s">
        <v>745</v>
      </c>
      <c r="D108" s="133"/>
      <c r="E108" s="130" t="s">
        <v>127</v>
      </c>
      <c r="F108" s="130" t="s">
        <v>132</v>
      </c>
      <c r="G108" s="130" t="s">
        <v>54</v>
      </c>
      <c r="H108" s="131" t="s">
        <v>746</v>
      </c>
      <c r="I108" s="133" t="s">
        <v>40</v>
      </c>
      <c r="J108" s="136">
        <v>3000</v>
      </c>
      <c r="K108" s="164">
        <v>600</v>
      </c>
      <c r="L108" s="126" t="s">
        <v>120</v>
      </c>
      <c r="M108" s="126" t="s">
        <v>41</v>
      </c>
      <c r="O108">
        <f t="shared" si="0"/>
        <v>600</v>
      </c>
    </row>
    <row r="109" spans="1:15" x14ac:dyDescent="0.25">
      <c r="A109" s="142">
        <v>20</v>
      </c>
      <c r="B109" s="192" t="s">
        <v>747</v>
      </c>
      <c r="C109" s="133" t="s">
        <v>748</v>
      </c>
      <c r="D109" s="133"/>
      <c r="E109" s="130" t="s">
        <v>127</v>
      </c>
      <c r="F109" s="130" t="s">
        <v>749</v>
      </c>
      <c r="G109" s="130" t="s">
        <v>750</v>
      </c>
      <c r="H109" s="131" t="s">
        <v>751</v>
      </c>
      <c r="I109" s="130" t="s">
        <v>40</v>
      </c>
      <c r="J109" s="136">
        <v>1000</v>
      </c>
      <c r="K109" s="164" t="s">
        <v>123</v>
      </c>
      <c r="L109" s="126" t="s">
        <v>120</v>
      </c>
      <c r="M109" s="126" t="s">
        <v>41</v>
      </c>
      <c r="O109">
        <f t="shared" si="0"/>
        <v>200</v>
      </c>
    </row>
    <row r="110" spans="1:15" x14ac:dyDescent="0.25">
      <c r="A110" s="142">
        <v>24</v>
      </c>
      <c r="B110" s="192" t="s">
        <v>752</v>
      </c>
      <c r="C110" s="133" t="s">
        <v>753</v>
      </c>
      <c r="D110" s="133"/>
      <c r="E110" s="130" t="s">
        <v>127</v>
      </c>
      <c r="F110" s="130"/>
      <c r="G110" s="130" t="s">
        <v>62</v>
      </c>
      <c r="H110" s="131" t="s">
        <v>754</v>
      </c>
      <c r="I110" s="130" t="s">
        <v>40</v>
      </c>
      <c r="J110" s="136">
        <v>400</v>
      </c>
      <c r="K110" s="164">
        <v>80</v>
      </c>
      <c r="L110" s="126" t="s">
        <v>120</v>
      </c>
      <c r="M110" s="126" t="s">
        <v>41</v>
      </c>
      <c r="O110">
        <f t="shared" si="0"/>
        <v>80</v>
      </c>
    </row>
    <row r="111" spans="1:15" x14ac:dyDescent="0.25">
      <c r="A111" s="142">
        <v>24</v>
      </c>
      <c r="B111" s="192" t="s">
        <v>513</v>
      </c>
      <c r="C111" s="133" t="s">
        <v>514</v>
      </c>
      <c r="D111" s="133"/>
      <c r="E111" s="130" t="s">
        <v>127</v>
      </c>
      <c r="F111" s="130" t="s">
        <v>130</v>
      </c>
      <c r="G111" s="130" t="s">
        <v>43</v>
      </c>
      <c r="H111" s="131" t="s">
        <v>515</v>
      </c>
      <c r="I111" s="133" t="s">
        <v>40</v>
      </c>
      <c r="J111" s="136">
        <v>500</v>
      </c>
      <c r="K111" s="164">
        <v>100</v>
      </c>
      <c r="L111" s="126" t="s">
        <v>120</v>
      </c>
      <c r="M111" s="126" t="s">
        <v>41</v>
      </c>
      <c r="O111">
        <f t="shared" si="0"/>
        <v>100</v>
      </c>
    </row>
    <row r="112" spans="1:15" x14ac:dyDescent="0.25">
      <c r="A112" s="142">
        <v>24</v>
      </c>
      <c r="B112" s="192" t="s">
        <v>755</v>
      </c>
      <c r="C112" s="133" t="s">
        <v>179</v>
      </c>
      <c r="D112" s="133"/>
      <c r="E112" s="130" t="s">
        <v>127</v>
      </c>
      <c r="F112" s="130" t="s">
        <v>706</v>
      </c>
      <c r="G112" s="130" t="s">
        <v>45</v>
      </c>
      <c r="H112" s="131" t="s">
        <v>756</v>
      </c>
      <c r="I112" s="133" t="s">
        <v>40</v>
      </c>
      <c r="J112" s="136">
        <v>4000</v>
      </c>
      <c r="K112" s="164">
        <v>800</v>
      </c>
      <c r="L112" s="126" t="s">
        <v>120</v>
      </c>
      <c r="M112" s="126" t="s">
        <v>41</v>
      </c>
      <c r="O112">
        <f t="shared" si="0"/>
        <v>800</v>
      </c>
    </row>
    <row r="113" spans="1:15" x14ac:dyDescent="0.25">
      <c r="A113" s="142">
        <v>24</v>
      </c>
      <c r="B113" s="192" t="s">
        <v>757</v>
      </c>
      <c r="C113" s="133" t="s">
        <v>758</v>
      </c>
      <c r="D113" s="133"/>
      <c r="E113" s="130" t="s">
        <v>127</v>
      </c>
      <c r="F113" s="130" t="s">
        <v>759</v>
      </c>
      <c r="G113" s="130" t="s">
        <v>49</v>
      </c>
      <c r="H113" s="131" t="s">
        <v>760</v>
      </c>
      <c r="I113" s="130" t="s">
        <v>40</v>
      </c>
      <c r="J113" s="136">
        <v>10000</v>
      </c>
      <c r="K113" s="164">
        <v>2000</v>
      </c>
      <c r="L113" s="126" t="s">
        <v>120</v>
      </c>
      <c r="M113" s="126" t="s">
        <v>41</v>
      </c>
      <c r="O113">
        <f t="shared" si="0"/>
        <v>2000</v>
      </c>
    </row>
    <row r="114" spans="1:15" x14ac:dyDescent="0.25">
      <c r="A114" s="142">
        <v>24</v>
      </c>
      <c r="B114" s="192" t="s">
        <v>761</v>
      </c>
      <c r="C114" s="133" t="s">
        <v>762</v>
      </c>
      <c r="D114" s="133"/>
      <c r="E114" s="130" t="s">
        <v>127</v>
      </c>
      <c r="F114" s="130" t="s">
        <v>763</v>
      </c>
      <c r="G114" s="130" t="s">
        <v>54</v>
      </c>
      <c r="H114" s="131"/>
      <c r="I114" s="133" t="s">
        <v>40</v>
      </c>
      <c r="J114" s="136">
        <v>1000</v>
      </c>
      <c r="K114" s="164">
        <v>200</v>
      </c>
      <c r="L114" s="126" t="s">
        <v>120</v>
      </c>
      <c r="M114" s="126" t="s">
        <v>41</v>
      </c>
      <c r="O114">
        <f t="shared" si="0"/>
        <v>200</v>
      </c>
    </row>
    <row r="115" spans="1:15" x14ac:dyDescent="0.25">
      <c r="A115" s="142">
        <v>24</v>
      </c>
      <c r="B115" s="192" t="s">
        <v>764</v>
      </c>
      <c r="C115" s="133" t="s">
        <v>765</v>
      </c>
      <c r="D115" s="133"/>
      <c r="E115" s="168" t="s">
        <v>129</v>
      </c>
      <c r="F115" s="130" t="s">
        <v>521</v>
      </c>
      <c r="G115" s="130" t="s">
        <v>49</v>
      </c>
      <c r="H115" s="131" t="s">
        <v>766</v>
      </c>
      <c r="I115" s="133" t="s">
        <v>40</v>
      </c>
      <c r="J115" s="136">
        <v>1000</v>
      </c>
      <c r="K115" s="164">
        <v>300</v>
      </c>
      <c r="L115" s="126" t="s">
        <v>120</v>
      </c>
      <c r="M115" s="126" t="s">
        <v>41</v>
      </c>
      <c r="O115">
        <f t="shared" si="0"/>
        <v>200</v>
      </c>
    </row>
    <row r="116" spans="1:15" x14ac:dyDescent="0.25">
      <c r="A116" s="142">
        <v>24</v>
      </c>
      <c r="B116" s="192" t="s">
        <v>192</v>
      </c>
      <c r="C116" s="133" t="s">
        <v>316</v>
      </c>
      <c r="D116" s="133"/>
      <c r="E116" s="130" t="s">
        <v>127</v>
      </c>
      <c r="F116" s="130" t="s">
        <v>133</v>
      </c>
      <c r="G116" s="130" t="s">
        <v>43</v>
      </c>
      <c r="H116" s="131" t="s">
        <v>317</v>
      </c>
      <c r="I116" s="133" t="s">
        <v>40</v>
      </c>
      <c r="J116" s="136">
        <v>300</v>
      </c>
      <c r="K116" s="164">
        <v>60</v>
      </c>
      <c r="L116" s="126" t="s">
        <v>120</v>
      </c>
      <c r="M116" s="126" t="s">
        <v>41</v>
      </c>
      <c r="O116">
        <f t="shared" si="0"/>
        <v>60</v>
      </c>
    </row>
    <row r="117" spans="1:15" x14ac:dyDescent="0.25">
      <c r="A117" s="142">
        <v>24</v>
      </c>
      <c r="B117" s="192" t="s">
        <v>767</v>
      </c>
      <c r="C117" s="133" t="s">
        <v>768</v>
      </c>
      <c r="D117" s="133"/>
      <c r="E117" s="130" t="s">
        <v>127</v>
      </c>
      <c r="F117" s="130" t="s">
        <v>769</v>
      </c>
      <c r="G117" s="130" t="s">
        <v>79</v>
      </c>
      <c r="H117" s="131" t="s">
        <v>770</v>
      </c>
      <c r="I117" s="130" t="s">
        <v>40</v>
      </c>
      <c r="J117" s="136">
        <v>2000</v>
      </c>
      <c r="K117" s="164">
        <v>400</v>
      </c>
      <c r="L117" s="126" t="s">
        <v>120</v>
      </c>
      <c r="M117" s="126" t="s">
        <v>41</v>
      </c>
      <c r="O117">
        <f t="shared" si="0"/>
        <v>400</v>
      </c>
    </row>
    <row r="118" spans="1:15" x14ac:dyDescent="0.25">
      <c r="A118" s="142">
        <v>24</v>
      </c>
      <c r="B118" s="192" t="s">
        <v>771</v>
      </c>
      <c r="C118" s="133" t="s">
        <v>772</v>
      </c>
      <c r="D118" s="133"/>
      <c r="E118" s="130" t="s">
        <v>127</v>
      </c>
      <c r="F118" s="130" t="s">
        <v>525</v>
      </c>
      <c r="G118" s="130" t="s">
        <v>56</v>
      </c>
      <c r="H118" s="131"/>
      <c r="I118" s="133" t="s">
        <v>40</v>
      </c>
      <c r="J118" s="136">
        <v>200</v>
      </c>
      <c r="K118" s="164">
        <v>40</v>
      </c>
      <c r="L118" s="126" t="s">
        <v>120</v>
      </c>
      <c r="M118" s="126" t="s">
        <v>41</v>
      </c>
      <c r="O118">
        <f t="shared" si="0"/>
        <v>40</v>
      </c>
    </row>
    <row r="119" spans="1:15" x14ac:dyDescent="0.25">
      <c r="A119" s="142">
        <v>24</v>
      </c>
      <c r="B119" s="192" t="s">
        <v>773</v>
      </c>
      <c r="C119" s="133" t="s">
        <v>753</v>
      </c>
      <c r="D119" s="133"/>
      <c r="E119" s="130" t="s">
        <v>127</v>
      </c>
      <c r="F119" s="130" t="s">
        <v>565</v>
      </c>
      <c r="G119" s="130" t="s">
        <v>42</v>
      </c>
      <c r="H119" s="131" t="s">
        <v>774</v>
      </c>
      <c r="I119" s="130" t="s">
        <v>40</v>
      </c>
      <c r="J119" s="136">
        <v>500</v>
      </c>
      <c r="K119" s="164">
        <v>100</v>
      </c>
      <c r="L119" s="126" t="s">
        <v>120</v>
      </c>
      <c r="M119" s="126" t="s">
        <v>41</v>
      </c>
      <c r="O119">
        <f t="shared" si="0"/>
        <v>100</v>
      </c>
    </row>
    <row r="120" spans="1:15" x14ac:dyDescent="0.25">
      <c r="A120" s="142">
        <v>24</v>
      </c>
      <c r="B120" s="192" t="s">
        <v>775</v>
      </c>
      <c r="C120" s="133" t="s">
        <v>342</v>
      </c>
      <c r="D120" s="133"/>
      <c r="E120" s="130" t="s">
        <v>127</v>
      </c>
      <c r="F120" s="130" t="s">
        <v>562</v>
      </c>
      <c r="G120" s="130" t="s">
        <v>42</v>
      </c>
      <c r="H120" s="131" t="s">
        <v>776</v>
      </c>
      <c r="I120" s="133" t="s">
        <v>40</v>
      </c>
      <c r="J120" s="136">
        <v>3000</v>
      </c>
      <c r="K120" s="164">
        <v>600</v>
      </c>
      <c r="L120" s="126" t="s">
        <v>120</v>
      </c>
      <c r="M120" s="126" t="s">
        <v>41</v>
      </c>
      <c r="O120">
        <f t="shared" si="0"/>
        <v>600</v>
      </c>
    </row>
    <row r="121" spans="1:15" x14ac:dyDescent="0.25">
      <c r="A121" s="142">
        <v>24</v>
      </c>
      <c r="B121" s="192" t="s">
        <v>422</v>
      </c>
      <c r="C121" s="133" t="s">
        <v>777</v>
      </c>
      <c r="D121" s="133"/>
      <c r="E121" s="130" t="s">
        <v>127</v>
      </c>
      <c r="F121" s="130" t="s">
        <v>696</v>
      </c>
      <c r="G121" s="130" t="s">
        <v>48</v>
      </c>
      <c r="H121" s="131"/>
      <c r="I121" s="133" t="s">
        <v>40</v>
      </c>
      <c r="J121" s="136">
        <v>300</v>
      </c>
      <c r="K121" s="164">
        <v>90</v>
      </c>
      <c r="L121" s="126" t="s">
        <v>120</v>
      </c>
      <c r="M121" s="126" t="s">
        <v>41</v>
      </c>
      <c r="O121">
        <f t="shared" si="0"/>
        <v>60</v>
      </c>
    </row>
    <row r="122" spans="1:15" x14ac:dyDescent="0.25">
      <c r="A122" s="142">
        <v>24</v>
      </c>
      <c r="B122" s="192" t="s">
        <v>778</v>
      </c>
      <c r="C122" s="133" t="s">
        <v>779</v>
      </c>
      <c r="D122" s="133"/>
      <c r="E122" s="168" t="s">
        <v>129</v>
      </c>
      <c r="F122" s="130" t="s">
        <v>215</v>
      </c>
      <c r="G122" s="130" t="s">
        <v>59</v>
      </c>
      <c r="H122" s="131"/>
      <c r="I122" s="130" t="s">
        <v>40</v>
      </c>
      <c r="J122" s="136">
        <v>3000</v>
      </c>
      <c r="K122" s="164">
        <v>900</v>
      </c>
      <c r="L122" s="126" t="s">
        <v>120</v>
      </c>
      <c r="M122" s="126" t="s">
        <v>41</v>
      </c>
      <c r="O122">
        <f t="shared" si="0"/>
        <v>600</v>
      </c>
    </row>
    <row r="123" spans="1:15" x14ac:dyDescent="0.25">
      <c r="A123" s="142">
        <v>24</v>
      </c>
      <c r="B123" s="192" t="s">
        <v>592</v>
      </c>
      <c r="C123" s="133" t="s">
        <v>780</v>
      </c>
      <c r="D123" s="133"/>
      <c r="E123" s="130" t="s">
        <v>127</v>
      </c>
      <c r="F123" s="130"/>
      <c r="G123" s="130" t="s">
        <v>58</v>
      </c>
      <c r="H123" s="131" t="s">
        <v>781</v>
      </c>
      <c r="I123" s="130" t="s">
        <v>40</v>
      </c>
      <c r="J123" s="136">
        <v>1000</v>
      </c>
      <c r="K123" s="164">
        <v>200</v>
      </c>
      <c r="L123" s="126" t="s">
        <v>120</v>
      </c>
      <c r="M123" s="126" t="s">
        <v>41</v>
      </c>
      <c r="O123">
        <f t="shared" si="0"/>
        <v>200</v>
      </c>
    </row>
    <row r="124" spans="1:15" x14ac:dyDescent="0.25">
      <c r="A124" s="142">
        <v>24</v>
      </c>
      <c r="B124" s="192" t="s">
        <v>786</v>
      </c>
      <c r="C124" s="133" t="s">
        <v>787</v>
      </c>
      <c r="D124" s="133"/>
      <c r="E124" s="130" t="s">
        <v>127</v>
      </c>
      <c r="F124" s="130" t="s">
        <v>184</v>
      </c>
      <c r="G124" s="130" t="s">
        <v>61</v>
      </c>
      <c r="H124" s="131" t="s">
        <v>788</v>
      </c>
      <c r="I124" s="133" t="s">
        <v>40</v>
      </c>
      <c r="J124" s="136">
        <v>500</v>
      </c>
      <c r="K124" s="164" t="s">
        <v>123</v>
      </c>
      <c r="L124" s="126" t="s">
        <v>120</v>
      </c>
      <c r="M124" s="126" t="s">
        <v>41</v>
      </c>
      <c r="O124">
        <f t="shared" si="0"/>
        <v>100</v>
      </c>
    </row>
    <row r="125" spans="1:15" x14ac:dyDescent="0.25">
      <c r="A125" s="142">
        <v>24</v>
      </c>
      <c r="B125" s="192" t="s">
        <v>789</v>
      </c>
      <c r="C125" s="133" t="s">
        <v>790</v>
      </c>
      <c r="D125" s="133"/>
      <c r="E125" s="130" t="s">
        <v>127</v>
      </c>
      <c r="F125" s="130" t="s">
        <v>184</v>
      </c>
      <c r="G125" s="130" t="s">
        <v>61</v>
      </c>
      <c r="H125" s="131" t="s">
        <v>788</v>
      </c>
      <c r="I125" s="130" t="s">
        <v>40</v>
      </c>
      <c r="J125" s="136">
        <v>500</v>
      </c>
      <c r="K125" s="164" t="s">
        <v>123</v>
      </c>
      <c r="L125" s="126" t="s">
        <v>120</v>
      </c>
      <c r="M125" s="126" t="s">
        <v>41</v>
      </c>
      <c r="O125">
        <f t="shared" si="0"/>
        <v>100</v>
      </c>
    </row>
    <row r="126" spans="1:15" x14ac:dyDescent="0.25">
      <c r="A126" s="142">
        <v>24</v>
      </c>
      <c r="B126" s="192" t="s">
        <v>791</v>
      </c>
      <c r="C126" s="133" t="s">
        <v>792</v>
      </c>
      <c r="D126" s="133"/>
      <c r="E126" s="130" t="s">
        <v>127</v>
      </c>
      <c r="F126" s="130" t="s">
        <v>184</v>
      </c>
      <c r="G126" s="130" t="s">
        <v>61</v>
      </c>
      <c r="H126" s="131" t="s">
        <v>793</v>
      </c>
      <c r="I126" s="133" t="s">
        <v>40</v>
      </c>
      <c r="J126" s="136">
        <v>500</v>
      </c>
      <c r="K126" s="164" t="s">
        <v>123</v>
      </c>
      <c r="L126" s="126" t="s">
        <v>120</v>
      </c>
      <c r="M126" s="126" t="s">
        <v>41</v>
      </c>
      <c r="O126">
        <f t="shared" si="0"/>
        <v>100</v>
      </c>
    </row>
    <row r="127" spans="1:15" x14ac:dyDescent="0.25">
      <c r="A127" s="142">
        <v>24</v>
      </c>
      <c r="B127" s="192" t="s">
        <v>794</v>
      </c>
      <c r="C127" s="133" t="s">
        <v>795</v>
      </c>
      <c r="D127" s="133"/>
      <c r="E127" s="130" t="s">
        <v>127</v>
      </c>
      <c r="F127" s="130" t="s">
        <v>184</v>
      </c>
      <c r="G127" s="130" t="s">
        <v>61</v>
      </c>
      <c r="H127" s="131" t="s">
        <v>788</v>
      </c>
      <c r="I127" s="130" t="s">
        <v>40</v>
      </c>
      <c r="J127" s="136">
        <v>500</v>
      </c>
      <c r="K127" s="164" t="s">
        <v>123</v>
      </c>
      <c r="L127" s="126" t="s">
        <v>120</v>
      </c>
      <c r="M127" s="126" t="s">
        <v>41</v>
      </c>
      <c r="O127">
        <f t="shared" si="0"/>
        <v>100</v>
      </c>
    </row>
    <row r="128" spans="1:15" x14ac:dyDescent="0.25">
      <c r="A128" s="142">
        <v>24</v>
      </c>
      <c r="B128" s="192" t="s">
        <v>796</v>
      </c>
      <c r="C128" s="133" t="s">
        <v>797</v>
      </c>
      <c r="D128" s="133"/>
      <c r="E128" s="130" t="s">
        <v>127</v>
      </c>
      <c r="F128" s="130" t="s">
        <v>57</v>
      </c>
      <c r="G128" s="130" t="s">
        <v>47</v>
      </c>
      <c r="H128" s="131" t="s">
        <v>798</v>
      </c>
      <c r="I128" s="130" t="s">
        <v>40</v>
      </c>
      <c r="J128" s="136">
        <v>200</v>
      </c>
      <c r="K128" s="164">
        <v>40</v>
      </c>
      <c r="L128" s="126" t="s">
        <v>120</v>
      </c>
      <c r="M128" s="126" t="s">
        <v>41</v>
      </c>
      <c r="O128">
        <f t="shared" si="0"/>
        <v>40</v>
      </c>
    </row>
    <row r="129" spans="1:18" x14ac:dyDescent="0.25">
      <c r="A129" s="142">
        <v>24</v>
      </c>
      <c r="B129" s="192" t="s">
        <v>799</v>
      </c>
      <c r="C129" s="133" t="s">
        <v>800</v>
      </c>
      <c r="D129" s="133"/>
      <c r="E129" s="130" t="s">
        <v>127</v>
      </c>
      <c r="F129" s="130" t="s">
        <v>625</v>
      </c>
      <c r="G129" s="130" t="s">
        <v>61</v>
      </c>
      <c r="H129" s="131" t="s">
        <v>801</v>
      </c>
      <c r="I129" s="130" t="s">
        <v>40</v>
      </c>
      <c r="J129" s="136">
        <v>500</v>
      </c>
      <c r="K129" s="164">
        <v>100</v>
      </c>
      <c r="L129" s="126" t="s">
        <v>120</v>
      </c>
      <c r="M129" s="126" t="s">
        <v>41</v>
      </c>
      <c r="O129">
        <f t="shared" si="0"/>
        <v>100</v>
      </c>
    </row>
    <row r="130" spans="1:18" x14ac:dyDescent="0.25">
      <c r="A130" s="142">
        <v>24</v>
      </c>
      <c r="B130" s="192" t="s">
        <v>799</v>
      </c>
      <c r="C130" s="133" t="s">
        <v>800</v>
      </c>
      <c r="D130" s="133"/>
      <c r="E130" s="130" t="s">
        <v>127</v>
      </c>
      <c r="F130" s="130" t="s">
        <v>625</v>
      </c>
      <c r="G130" s="130" t="s">
        <v>61</v>
      </c>
      <c r="H130" s="131" t="s">
        <v>801</v>
      </c>
      <c r="I130" s="130" t="s">
        <v>40</v>
      </c>
      <c r="J130" s="136">
        <v>500</v>
      </c>
      <c r="K130" s="164" t="s">
        <v>123</v>
      </c>
      <c r="L130" s="126" t="s">
        <v>120</v>
      </c>
      <c r="M130" s="126" t="s">
        <v>41</v>
      </c>
      <c r="O130">
        <f t="shared" si="0"/>
        <v>100</v>
      </c>
    </row>
    <row r="131" spans="1:18" x14ac:dyDescent="0.25">
      <c r="A131" s="142">
        <v>24</v>
      </c>
      <c r="B131" s="192" t="s">
        <v>802</v>
      </c>
      <c r="C131" s="133" t="s">
        <v>637</v>
      </c>
      <c r="D131" s="133"/>
      <c r="E131" s="130" t="s">
        <v>127</v>
      </c>
      <c r="F131" s="130" t="s">
        <v>625</v>
      </c>
      <c r="G131" s="130" t="s">
        <v>61</v>
      </c>
      <c r="H131" s="131"/>
      <c r="I131" s="130" t="s">
        <v>40</v>
      </c>
      <c r="J131" s="136">
        <v>500</v>
      </c>
      <c r="K131" s="164" t="s">
        <v>123</v>
      </c>
      <c r="L131" s="126" t="s">
        <v>120</v>
      </c>
      <c r="M131" s="126" t="s">
        <v>41</v>
      </c>
      <c r="O131">
        <f t="shared" si="0"/>
        <v>100</v>
      </c>
    </row>
    <row r="132" spans="1:18" x14ac:dyDescent="0.25">
      <c r="A132" s="142">
        <v>24</v>
      </c>
      <c r="B132" s="192" t="s">
        <v>802</v>
      </c>
      <c r="C132" s="133" t="s">
        <v>803</v>
      </c>
      <c r="D132" s="133"/>
      <c r="E132" s="130" t="s">
        <v>127</v>
      </c>
      <c r="F132" s="130" t="s">
        <v>625</v>
      </c>
      <c r="G132" s="130" t="s">
        <v>61</v>
      </c>
      <c r="H132" s="131" t="s">
        <v>804</v>
      </c>
      <c r="I132" s="130" t="s">
        <v>40</v>
      </c>
      <c r="J132" s="136">
        <v>500</v>
      </c>
      <c r="K132" s="164" t="s">
        <v>123</v>
      </c>
      <c r="L132" s="126" t="s">
        <v>120</v>
      </c>
      <c r="M132" s="126" t="s">
        <v>41</v>
      </c>
      <c r="O132">
        <f t="shared" si="0"/>
        <v>100</v>
      </c>
    </row>
    <row r="133" spans="1:18" x14ac:dyDescent="0.25">
      <c r="A133" s="142">
        <v>24</v>
      </c>
      <c r="B133" s="192" t="s">
        <v>802</v>
      </c>
      <c r="C133" s="133" t="s">
        <v>805</v>
      </c>
      <c r="D133" s="133"/>
      <c r="E133" s="168" t="s">
        <v>129</v>
      </c>
      <c r="F133" s="130" t="s">
        <v>625</v>
      </c>
      <c r="G133" s="130" t="s">
        <v>61</v>
      </c>
      <c r="H133" s="131" t="s">
        <v>806</v>
      </c>
      <c r="I133" s="133" t="s">
        <v>40</v>
      </c>
      <c r="J133" s="136">
        <v>500</v>
      </c>
      <c r="K133" s="164" t="s">
        <v>123</v>
      </c>
      <c r="L133" s="126" t="s">
        <v>120</v>
      </c>
      <c r="M133" s="126" t="s">
        <v>41</v>
      </c>
      <c r="O133">
        <f t="shared" si="0"/>
        <v>100</v>
      </c>
    </row>
    <row r="134" spans="1:18" x14ac:dyDescent="0.25">
      <c r="A134" s="142">
        <v>24</v>
      </c>
      <c r="B134" s="192" t="s">
        <v>807</v>
      </c>
      <c r="C134" s="133" t="s">
        <v>808</v>
      </c>
      <c r="D134" s="133"/>
      <c r="E134" s="130" t="s">
        <v>127</v>
      </c>
      <c r="F134" s="130" t="s">
        <v>150</v>
      </c>
      <c r="G134" s="130" t="s">
        <v>48</v>
      </c>
      <c r="H134" s="131" t="s">
        <v>809</v>
      </c>
      <c r="I134" s="130" t="s">
        <v>40</v>
      </c>
      <c r="J134" s="136">
        <v>1000</v>
      </c>
      <c r="K134" s="164">
        <v>200</v>
      </c>
      <c r="L134" s="126" t="s">
        <v>120</v>
      </c>
      <c r="M134" s="126" t="s">
        <v>41</v>
      </c>
      <c r="O134">
        <f t="shared" si="0"/>
        <v>200</v>
      </c>
    </row>
    <row r="135" spans="1:18" x14ac:dyDescent="0.25">
      <c r="A135" s="142">
        <v>24</v>
      </c>
      <c r="B135" s="192" t="s">
        <v>810</v>
      </c>
      <c r="C135" s="133" t="s">
        <v>811</v>
      </c>
      <c r="D135" s="133"/>
      <c r="E135" s="130" t="s">
        <v>127</v>
      </c>
      <c r="F135" s="130" t="s">
        <v>812</v>
      </c>
      <c r="G135" s="130" t="s">
        <v>47</v>
      </c>
      <c r="H135" s="131" t="s">
        <v>813</v>
      </c>
      <c r="I135" s="133" t="s">
        <v>40</v>
      </c>
      <c r="J135" s="136">
        <v>1500</v>
      </c>
      <c r="K135" s="164">
        <v>300</v>
      </c>
      <c r="L135" s="126" t="s">
        <v>120</v>
      </c>
      <c r="M135" s="126" t="s">
        <v>41</v>
      </c>
      <c r="O135">
        <f t="shared" si="0"/>
        <v>300</v>
      </c>
    </row>
    <row r="136" spans="1:18" x14ac:dyDescent="0.25">
      <c r="A136" s="142">
        <v>24</v>
      </c>
      <c r="B136" s="192" t="s">
        <v>814</v>
      </c>
      <c r="C136" s="133" t="s">
        <v>815</v>
      </c>
      <c r="D136" s="133"/>
      <c r="E136" s="130" t="s">
        <v>127</v>
      </c>
      <c r="F136" s="130" t="s">
        <v>143</v>
      </c>
      <c r="G136" s="130" t="s">
        <v>44</v>
      </c>
      <c r="H136" s="131" t="s">
        <v>816</v>
      </c>
      <c r="I136" s="133" t="s">
        <v>40</v>
      </c>
      <c r="J136" s="136">
        <v>9000</v>
      </c>
      <c r="K136" s="164">
        <v>1800</v>
      </c>
      <c r="L136" s="126" t="s">
        <v>120</v>
      </c>
      <c r="M136" s="126" t="s">
        <v>41</v>
      </c>
      <c r="O136">
        <f t="shared" si="0"/>
        <v>1800</v>
      </c>
    </row>
    <row r="137" spans="1:18" x14ac:dyDescent="0.25">
      <c r="A137" s="142">
        <v>26</v>
      </c>
      <c r="B137" s="192" t="s">
        <v>661</v>
      </c>
      <c r="C137" s="133" t="s">
        <v>817</v>
      </c>
      <c r="D137" s="133"/>
      <c r="E137" s="130" t="s">
        <v>127</v>
      </c>
      <c r="F137" s="130" t="s">
        <v>818</v>
      </c>
      <c r="G137" s="130" t="s">
        <v>44</v>
      </c>
      <c r="H137" s="131" t="s">
        <v>819</v>
      </c>
      <c r="I137" s="130" t="s">
        <v>40</v>
      </c>
      <c r="J137" s="136">
        <v>5000</v>
      </c>
      <c r="K137" s="164">
        <v>1500</v>
      </c>
      <c r="L137" s="126" t="s">
        <v>120</v>
      </c>
      <c r="M137" s="126" t="s">
        <v>41</v>
      </c>
      <c r="O137">
        <f t="shared" si="0"/>
        <v>1000</v>
      </c>
    </row>
    <row r="138" spans="1:18" x14ac:dyDescent="0.25">
      <c r="A138" s="142">
        <v>26</v>
      </c>
      <c r="B138" s="192" t="s">
        <v>810</v>
      </c>
      <c r="C138" s="133" t="s">
        <v>820</v>
      </c>
      <c r="D138" s="133"/>
      <c r="E138" s="130" t="s">
        <v>127</v>
      </c>
      <c r="F138" s="130" t="s">
        <v>821</v>
      </c>
      <c r="G138" s="130" t="s">
        <v>43</v>
      </c>
      <c r="H138" s="131" t="s">
        <v>822</v>
      </c>
      <c r="I138" s="133" t="s">
        <v>40</v>
      </c>
      <c r="J138" s="136">
        <v>2000</v>
      </c>
      <c r="K138" s="164">
        <v>400</v>
      </c>
      <c r="L138" s="126" t="s">
        <v>120</v>
      </c>
      <c r="M138" s="126" t="s">
        <v>41</v>
      </c>
      <c r="O138">
        <f t="shared" si="0"/>
        <v>400</v>
      </c>
    </row>
    <row r="139" spans="1:18" x14ac:dyDescent="0.25">
      <c r="A139" s="142">
        <v>26</v>
      </c>
      <c r="B139" s="192" t="s">
        <v>823</v>
      </c>
      <c r="C139" s="133" t="s">
        <v>824</v>
      </c>
      <c r="D139" s="133"/>
      <c r="E139" s="130" t="s">
        <v>127</v>
      </c>
      <c r="F139" s="130" t="s">
        <v>825</v>
      </c>
      <c r="G139" s="130" t="s">
        <v>43</v>
      </c>
      <c r="H139" s="131" t="s">
        <v>826</v>
      </c>
      <c r="I139" s="130" t="s">
        <v>40</v>
      </c>
      <c r="J139" s="136">
        <v>250</v>
      </c>
      <c r="K139" s="164">
        <v>75</v>
      </c>
      <c r="L139" s="126" t="s">
        <v>120</v>
      </c>
      <c r="M139" s="126" t="s">
        <v>41</v>
      </c>
      <c r="O139">
        <f t="shared" si="0"/>
        <v>50</v>
      </c>
    </row>
    <row r="140" spans="1:18" x14ac:dyDescent="0.25">
      <c r="A140" s="210">
        <v>26</v>
      </c>
      <c r="B140" s="192" t="s">
        <v>595</v>
      </c>
      <c r="C140" s="133" t="s">
        <v>827</v>
      </c>
      <c r="D140" s="133"/>
      <c r="E140" s="130" t="s">
        <v>127</v>
      </c>
      <c r="F140" s="130" t="s">
        <v>565</v>
      </c>
      <c r="G140" s="130" t="s">
        <v>56</v>
      </c>
      <c r="H140" s="131" t="s">
        <v>828</v>
      </c>
      <c r="I140" s="133" t="s">
        <v>40</v>
      </c>
      <c r="J140" s="136">
        <v>50</v>
      </c>
      <c r="K140" s="164" t="s">
        <v>123</v>
      </c>
      <c r="L140" s="126" t="s">
        <v>120</v>
      </c>
      <c r="M140" s="126" t="s">
        <v>41</v>
      </c>
      <c r="O140">
        <f t="shared" si="0"/>
        <v>10</v>
      </c>
      <c r="R140" s="57">
        <f>SUM(J124:J127,J130:J133,J140,J109,J88,J81:J82)</f>
        <v>8700</v>
      </c>
    </row>
    <row r="141" spans="1:18" x14ac:dyDescent="0.25">
      <c r="A141" s="142">
        <v>26</v>
      </c>
      <c r="B141" s="192" t="s">
        <v>834</v>
      </c>
      <c r="C141" s="133" t="s">
        <v>835</v>
      </c>
      <c r="D141" s="133"/>
      <c r="E141" s="130" t="s">
        <v>127</v>
      </c>
      <c r="F141" s="130" t="s">
        <v>836</v>
      </c>
      <c r="G141" s="130" t="s">
        <v>837</v>
      </c>
      <c r="H141" s="131" t="s">
        <v>838</v>
      </c>
      <c r="I141" s="133" t="s">
        <v>40</v>
      </c>
      <c r="J141" s="136">
        <v>250</v>
      </c>
      <c r="K141" s="164">
        <v>50</v>
      </c>
      <c r="L141" s="126" t="s">
        <v>120</v>
      </c>
      <c r="M141" s="126" t="s">
        <v>41</v>
      </c>
      <c r="O141">
        <f t="shared" si="0"/>
        <v>50</v>
      </c>
      <c r="R141" s="57">
        <f>SUM(J141:J144)</f>
        <v>18650</v>
      </c>
    </row>
    <row r="142" spans="1:18" x14ac:dyDescent="0.25">
      <c r="A142" s="142">
        <v>26</v>
      </c>
      <c r="B142" s="192" t="s">
        <v>839</v>
      </c>
      <c r="C142" s="133" t="s">
        <v>840</v>
      </c>
      <c r="D142" s="133"/>
      <c r="E142" s="168" t="s">
        <v>129</v>
      </c>
      <c r="F142" s="130" t="s">
        <v>841</v>
      </c>
      <c r="G142" s="130" t="s">
        <v>54</v>
      </c>
      <c r="H142" s="131" t="s">
        <v>842</v>
      </c>
      <c r="I142" s="130" t="s">
        <v>40</v>
      </c>
      <c r="J142" s="136">
        <v>400</v>
      </c>
      <c r="K142" s="164">
        <v>120</v>
      </c>
      <c r="L142" s="126" t="s">
        <v>120</v>
      </c>
      <c r="M142" s="126" t="s">
        <v>41</v>
      </c>
      <c r="O142">
        <f t="shared" si="0"/>
        <v>80</v>
      </c>
    </row>
    <row r="143" spans="1:18" x14ac:dyDescent="0.25">
      <c r="A143" s="142">
        <v>26</v>
      </c>
      <c r="B143" s="192" t="s">
        <v>843</v>
      </c>
      <c r="C143" s="133" t="s">
        <v>528</v>
      </c>
      <c r="D143" s="133"/>
      <c r="E143" s="130" t="s">
        <v>127</v>
      </c>
      <c r="F143" s="130" t="s">
        <v>844</v>
      </c>
      <c r="G143" s="130" t="s">
        <v>42</v>
      </c>
      <c r="H143" s="131" t="s">
        <v>845</v>
      </c>
      <c r="I143" s="133" t="s">
        <v>40</v>
      </c>
      <c r="J143" s="136">
        <v>15000</v>
      </c>
      <c r="K143" s="164">
        <v>3000</v>
      </c>
      <c r="L143" s="126" t="s">
        <v>120</v>
      </c>
      <c r="M143" s="126" t="s">
        <v>41</v>
      </c>
      <c r="O143">
        <f t="shared" si="0"/>
        <v>3000</v>
      </c>
    </row>
    <row r="144" spans="1:18" x14ac:dyDescent="0.25">
      <c r="A144" s="142">
        <v>26</v>
      </c>
      <c r="B144" s="192" t="s">
        <v>846</v>
      </c>
      <c r="C144" s="133" t="s">
        <v>847</v>
      </c>
      <c r="D144" s="133"/>
      <c r="E144" s="130" t="s">
        <v>127</v>
      </c>
      <c r="F144" s="130" t="s">
        <v>60</v>
      </c>
      <c r="G144" s="130" t="s">
        <v>84</v>
      </c>
      <c r="H144" s="131" t="s">
        <v>848</v>
      </c>
      <c r="I144" s="130" t="s">
        <v>40</v>
      </c>
      <c r="J144" s="136">
        <v>3000</v>
      </c>
      <c r="K144" s="164">
        <v>600</v>
      </c>
      <c r="L144" s="126" t="s">
        <v>120</v>
      </c>
      <c r="M144" s="126" t="s">
        <v>41</v>
      </c>
      <c r="O144">
        <f t="shared" si="0"/>
        <v>600</v>
      </c>
    </row>
    <row r="145" spans="1:15" x14ac:dyDescent="0.25">
      <c r="A145" s="142">
        <v>26</v>
      </c>
      <c r="B145" s="192" t="s">
        <v>846</v>
      </c>
      <c r="C145" s="133" t="s">
        <v>847</v>
      </c>
      <c r="D145" s="133"/>
      <c r="E145" s="130" t="s">
        <v>127</v>
      </c>
      <c r="F145" s="130" t="s">
        <v>60</v>
      </c>
      <c r="G145" s="130" t="s">
        <v>84</v>
      </c>
      <c r="H145" s="131" t="s">
        <v>848</v>
      </c>
      <c r="I145" s="227" t="s">
        <v>849</v>
      </c>
      <c r="J145" s="136">
        <v>1000</v>
      </c>
      <c r="K145" s="164">
        <v>1000</v>
      </c>
      <c r="L145" s="126" t="s">
        <v>120</v>
      </c>
      <c r="M145" s="126" t="s">
        <v>41</v>
      </c>
      <c r="O145">
        <f t="shared" si="0"/>
        <v>200</v>
      </c>
    </row>
    <row r="146" spans="1:15" x14ac:dyDescent="0.25">
      <c r="A146" s="210">
        <v>26</v>
      </c>
      <c r="B146" s="192" t="s">
        <v>846</v>
      </c>
      <c r="C146" s="133" t="s">
        <v>847</v>
      </c>
      <c r="D146" s="133"/>
      <c r="E146" s="130" t="s">
        <v>127</v>
      </c>
      <c r="F146" s="130" t="s">
        <v>60</v>
      </c>
      <c r="G146" s="130" t="s">
        <v>84</v>
      </c>
      <c r="H146" s="131" t="s">
        <v>848</v>
      </c>
      <c r="I146" s="227" t="s">
        <v>849</v>
      </c>
      <c r="J146" s="136">
        <v>900</v>
      </c>
      <c r="K146" s="164" t="s">
        <v>123</v>
      </c>
      <c r="L146" s="126" t="s">
        <v>120</v>
      </c>
      <c r="M146" s="126" t="s">
        <v>41</v>
      </c>
      <c r="O146">
        <f t="shared" si="0"/>
        <v>180</v>
      </c>
    </row>
    <row r="147" spans="1:15" x14ac:dyDescent="0.25">
      <c r="A147" s="142"/>
      <c r="B147" s="192"/>
      <c r="C147" s="133"/>
      <c r="D147" s="133"/>
      <c r="E147" s="130"/>
      <c r="F147" s="130"/>
      <c r="G147" s="130"/>
      <c r="H147" s="131"/>
      <c r="I147" s="130"/>
      <c r="J147" s="136"/>
      <c r="K147" s="164"/>
      <c r="L147" s="126"/>
      <c r="M147" s="126"/>
      <c r="O147">
        <f t="shared" si="0"/>
        <v>0</v>
      </c>
    </row>
    <row r="148" spans="1:15" x14ac:dyDescent="0.25">
      <c r="A148" s="142"/>
      <c r="B148" s="192"/>
      <c r="C148" s="133"/>
      <c r="D148" s="133"/>
      <c r="E148" s="130"/>
      <c r="F148" s="130"/>
      <c r="G148" s="130"/>
      <c r="H148" s="131"/>
      <c r="I148" s="130"/>
      <c r="J148" s="136"/>
      <c r="K148" s="164"/>
      <c r="L148" s="126"/>
      <c r="M148" s="126"/>
      <c r="O148">
        <f t="shared" si="0"/>
        <v>0</v>
      </c>
    </row>
    <row r="149" spans="1:15" x14ac:dyDescent="0.25">
      <c r="A149" s="142"/>
      <c r="B149" s="192"/>
      <c r="C149" s="133"/>
      <c r="D149" s="133"/>
      <c r="E149" s="130"/>
      <c r="F149" s="130"/>
      <c r="G149" s="130"/>
      <c r="H149" s="131"/>
      <c r="I149" s="130"/>
      <c r="J149" s="136"/>
      <c r="K149" s="164"/>
      <c r="L149" s="126"/>
      <c r="M149" s="126"/>
    </row>
    <row r="150" spans="1:15" x14ac:dyDescent="0.25">
      <c r="A150" s="142"/>
      <c r="B150" s="192"/>
      <c r="C150" s="133"/>
      <c r="D150" s="133"/>
      <c r="E150" s="130"/>
      <c r="F150" s="130"/>
      <c r="G150" s="130"/>
      <c r="H150" s="131"/>
      <c r="I150" s="130"/>
      <c r="J150" s="136"/>
      <c r="K150" s="164"/>
      <c r="L150" s="126"/>
      <c r="M150" s="126"/>
    </row>
    <row r="151" spans="1:15" x14ac:dyDescent="0.25">
      <c r="A151" s="142"/>
      <c r="B151" s="192"/>
      <c r="C151" s="133"/>
      <c r="D151" s="133"/>
      <c r="E151" s="130"/>
      <c r="F151" s="130"/>
      <c r="G151" s="130"/>
      <c r="H151" s="131"/>
      <c r="I151" s="130"/>
      <c r="J151" s="136"/>
      <c r="K151" s="164"/>
      <c r="L151" s="126"/>
      <c r="M151" s="126"/>
    </row>
    <row r="152" spans="1:15" x14ac:dyDescent="0.25">
      <c r="A152" s="142"/>
      <c r="B152" s="192"/>
      <c r="C152" s="133"/>
      <c r="D152" s="133"/>
      <c r="E152" s="130"/>
      <c r="F152" s="130"/>
      <c r="G152" s="130"/>
      <c r="H152" s="131"/>
      <c r="I152" s="130"/>
      <c r="J152" s="136"/>
      <c r="K152" s="164"/>
      <c r="L152" s="126"/>
      <c r="M152" s="126"/>
    </row>
    <row r="153" spans="1:15" x14ac:dyDescent="0.25">
      <c r="A153" s="142"/>
      <c r="B153" s="192"/>
      <c r="C153" s="133"/>
      <c r="D153" s="133"/>
      <c r="E153" s="130"/>
      <c r="F153" s="130"/>
      <c r="G153" s="130"/>
      <c r="H153" s="131"/>
      <c r="I153" s="133"/>
      <c r="J153" s="136"/>
      <c r="K153" s="164"/>
      <c r="L153" s="126"/>
      <c r="M153" s="126"/>
    </row>
    <row r="154" spans="1:15" x14ac:dyDescent="0.25">
      <c r="A154" s="142"/>
      <c r="B154" s="192"/>
      <c r="C154" s="133"/>
      <c r="D154" s="133"/>
      <c r="E154" s="130"/>
      <c r="F154" s="130"/>
      <c r="G154" s="130"/>
      <c r="H154" s="131"/>
      <c r="I154" s="130"/>
      <c r="J154" s="136"/>
      <c r="K154" s="164"/>
      <c r="L154" s="126"/>
      <c r="M154" s="126"/>
    </row>
    <row r="155" spans="1:15" x14ac:dyDescent="0.25">
      <c r="A155" s="142"/>
      <c r="B155" s="192"/>
      <c r="C155" s="133"/>
      <c r="D155" s="133"/>
      <c r="E155" s="130"/>
      <c r="F155" s="130"/>
      <c r="G155" s="130"/>
      <c r="H155" s="131"/>
      <c r="I155" s="130"/>
      <c r="J155" s="136"/>
      <c r="K155" s="164"/>
      <c r="L155" s="126"/>
      <c r="M155" s="126"/>
    </row>
    <row r="156" spans="1:15" x14ac:dyDescent="0.25">
      <c r="A156" s="142"/>
      <c r="B156" s="192"/>
      <c r="C156" s="133"/>
      <c r="D156" s="133"/>
      <c r="E156" s="130"/>
      <c r="F156" s="130"/>
      <c r="G156" s="130"/>
      <c r="H156" s="131"/>
      <c r="I156" s="133"/>
      <c r="J156" s="136"/>
      <c r="K156" s="164"/>
      <c r="L156" s="126"/>
      <c r="M156" s="126"/>
    </row>
    <row r="157" spans="1:15" x14ac:dyDescent="0.25">
      <c r="A157" s="142"/>
      <c r="B157" s="192"/>
      <c r="C157" s="133"/>
      <c r="D157" s="133"/>
      <c r="E157" s="130"/>
      <c r="F157" s="130"/>
      <c r="G157" s="130"/>
      <c r="H157" s="131"/>
      <c r="I157" s="130"/>
      <c r="J157" s="136"/>
      <c r="K157" s="164"/>
      <c r="L157" s="126"/>
      <c r="M157" s="126"/>
    </row>
    <row r="158" spans="1:15" x14ac:dyDescent="0.25">
      <c r="A158" s="142"/>
      <c r="B158" s="192"/>
      <c r="C158" s="133"/>
      <c r="D158" s="133"/>
      <c r="E158" s="130"/>
      <c r="F158" s="130"/>
      <c r="G158" s="130"/>
      <c r="H158" s="131"/>
      <c r="I158" s="130"/>
      <c r="J158" s="136"/>
      <c r="K158" s="164"/>
      <c r="L158" s="126"/>
      <c r="M158" s="126"/>
    </row>
    <row r="159" spans="1:15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5" x14ac:dyDescent="0.25">
      <c r="A160" s="125"/>
      <c r="B160" s="193"/>
      <c r="C160" s="77"/>
      <c r="D160" s="77"/>
      <c r="E160" s="126"/>
      <c r="F160" s="126"/>
      <c r="G160" s="126"/>
      <c r="H160" s="127"/>
      <c r="I160" s="126"/>
      <c r="J160" s="134"/>
      <c r="K160" s="135"/>
      <c r="L160" s="126"/>
      <c r="M160" s="126"/>
      <c r="O160">
        <f>SUM(O12:O143)</f>
        <v>58378</v>
      </c>
    </row>
    <row r="161" spans="1:18" x14ac:dyDescent="0.25">
      <c r="A161" s="169"/>
      <c r="B161" s="190"/>
      <c r="J161" s="25"/>
      <c r="K161" s="88"/>
    </row>
    <row r="163" spans="1:18" x14ac:dyDescent="0.25">
      <c r="K163" s="90"/>
      <c r="L163" s="26"/>
    </row>
    <row r="164" spans="1:18" ht="16.5" customHeight="1" x14ac:dyDescent="0.25">
      <c r="C164" t="s">
        <v>20</v>
      </c>
      <c r="G164" t="s">
        <v>21</v>
      </c>
      <c r="K164" s="79" t="s">
        <v>103</v>
      </c>
      <c r="L164" s="94"/>
      <c r="R164" s="25"/>
    </row>
    <row r="165" spans="1:18" x14ac:dyDescent="0.25">
      <c r="K165" s="79" t="s">
        <v>104</v>
      </c>
      <c r="L165" s="94"/>
      <c r="M165" s="57"/>
    </row>
    <row r="166" spans="1:18" x14ac:dyDescent="0.25">
      <c r="K166" s="79" t="s">
        <v>119</v>
      </c>
      <c r="L166" s="95"/>
    </row>
    <row r="167" spans="1:18" x14ac:dyDescent="0.25">
      <c r="C167" s="91" t="s">
        <v>173</v>
      </c>
      <c r="D167" s="91"/>
      <c r="G167" s="391" t="s">
        <v>125</v>
      </c>
      <c r="H167" s="391"/>
      <c r="I167" s="391"/>
      <c r="J167" s="391"/>
      <c r="K167" s="79" t="s">
        <v>160</v>
      </c>
      <c r="L167" s="95"/>
    </row>
    <row r="168" spans="1:18" x14ac:dyDescent="0.25">
      <c r="C168" t="s">
        <v>153</v>
      </c>
      <c r="G168" s="392" t="s">
        <v>126</v>
      </c>
      <c r="H168" s="392"/>
      <c r="I168" s="392"/>
      <c r="J168" s="392"/>
      <c r="K168" s="79" t="s">
        <v>105</v>
      </c>
      <c r="L168" s="94"/>
    </row>
    <row r="169" spans="1:18" x14ac:dyDescent="0.25">
      <c r="K169" s="79" t="s">
        <v>106</v>
      </c>
      <c r="L169" s="95"/>
    </row>
    <row r="170" spans="1:18" x14ac:dyDescent="0.25">
      <c r="K170" s="79" t="s">
        <v>108</v>
      </c>
      <c r="L170" s="170"/>
    </row>
    <row r="171" spans="1:18" x14ac:dyDescent="0.25">
      <c r="K171" s="79" t="s">
        <v>22</v>
      </c>
      <c r="L171" s="95"/>
    </row>
    <row r="172" spans="1:18" x14ac:dyDescent="0.25">
      <c r="C172" s="27"/>
      <c r="D172" s="27"/>
      <c r="G172" s="27"/>
      <c r="H172" s="27"/>
      <c r="I172" s="27"/>
      <c r="K172" s="92" t="s">
        <v>101</v>
      </c>
      <c r="L172" s="58"/>
    </row>
    <row r="173" spans="1:18" x14ac:dyDescent="0.25">
      <c r="K173" s="92" t="s">
        <v>102</v>
      </c>
      <c r="L173" s="26"/>
    </row>
    <row r="174" spans="1:18" x14ac:dyDescent="0.25">
      <c r="K174" s="79"/>
      <c r="L174" s="26"/>
    </row>
    <row r="175" spans="1:18" x14ac:dyDescent="0.25">
      <c r="K175" s="79"/>
      <c r="L175" s="58"/>
    </row>
    <row r="176" spans="1:18" x14ac:dyDescent="0.25">
      <c r="K176" s="79"/>
      <c r="L176" s="58"/>
    </row>
    <row r="196" spans="14:14" x14ac:dyDescent="0.25">
      <c r="N196" s="25"/>
    </row>
    <row r="219" spans="14:14" x14ac:dyDescent="0.25">
      <c r="N219" s="25"/>
    </row>
    <row r="346" spans="14:14" x14ac:dyDescent="0.25">
      <c r="N346" s="25"/>
    </row>
  </sheetData>
  <mergeCells count="8">
    <mergeCell ref="G167:J167"/>
    <mergeCell ref="G168:J168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AFC4-1D9D-47FE-BA4B-B2F5EAAD3BAB}">
  <sheetPr>
    <tabColor theme="5"/>
  </sheetPr>
  <dimension ref="A1:O41"/>
  <sheetViews>
    <sheetView view="pageBreakPreview" topLeftCell="A15" zoomScale="96" zoomScaleNormal="100" zoomScaleSheetLayoutView="96" workbookViewId="0">
      <selection activeCell="J15" sqref="J15:L27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5" ht="18" x14ac:dyDescent="0.25">
      <c r="A2" s="382" t="s">
        <v>232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5" x14ac:dyDescent="0.25">
      <c r="A3" s="148"/>
      <c r="B3" s="1"/>
      <c r="C3" s="28"/>
      <c r="D3" s="1"/>
      <c r="E3" s="1"/>
      <c r="G3" s="1"/>
      <c r="H3" s="28"/>
      <c r="I3" s="25"/>
      <c r="J3" s="29"/>
      <c r="K3" s="384" t="s">
        <v>154</v>
      </c>
      <c r="L3" s="385"/>
    </row>
    <row r="4" spans="1:15" x14ac:dyDescent="0.25">
      <c r="A4" s="148"/>
      <c r="B4" s="1"/>
      <c r="C4" s="28"/>
      <c r="D4" s="1"/>
      <c r="E4" s="1"/>
      <c r="G4" s="1"/>
      <c r="H4" s="28"/>
      <c r="I4" s="25"/>
      <c r="J4" s="29"/>
      <c r="K4" s="31" t="s">
        <v>36</v>
      </c>
      <c r="L4" s="96"/>
    </row>
    <row r="5" spans="1:15" x14ac:dyDescent="0.25">
      <c r="A5" s="148"/>
      <c r="B5" s="1"/>
      <c r="C5" s="28"/>
      <c r="D5" s="1"/>
      <c r="E5" s="1"/>
      <c r="G5" s="1"/>
      <c r="H5" s="28"/>
      <c r="I5" s="25"/>
      <c r="J5" s="29"/>
      <c r="K5" s="31" t="s">
        <v>37</v>
      </c>
      <c r="L5" s="96"/>
    </row>
    <row r="6" spans="1:15" ht="18" x14ac:dyDescent="0.25">
      <c r="A6" s="386" t="s">
        <v>110</v>
      </c>
      <c r="B6" s="386"/>
      <c r="C6" s="32"/>
      <c r="D6" s="1"/>
      <c r="E6" s="4"/>
      <c r="F6" s="2"/>
      <c r="G6" s="1"/>
      <c r="H6" s="28"/>
      <c r="I6" s="25"/>
      <c r="J6" s="29"/>
      <c r="K6" s="5" t="s">
        <v>38</v>
      </c>
      <c r="L6" s="33"/>
    </row>
    <row r="7" spans="1:15" x14ac:dyDescent="0.25">
      <c r="A7" s="6"/>
      <c r="B7" s="7"/>
      <c r="C7" s="34" t="s">
        <v>23</v>
      </c>
      <c r="D7" s="8"/>
      <c r="E7" s="8"/>
      <c r="F7" s="35" t="s">
        <v>24</v>
      </c>
      <c r="G7" s="34" t="s">
        <v>25</v>
      </c>
      <c r="H7" s="387" t="s">
        <v>26</v>
      </c>
      <c r="I7" s="388"/>
      <c r="J7" s="36"/>
      <c r="K7" s="389" t="s">
        <v>2</v>
      </c>
      <c r="L7" s="390"/>
    </row>
    <row r="8" spans="1:15" x14ac:dyDescent="0.25">
      <c r="A8" s="379" t="s">
        <v>27</v>
      </c>
      <c r="B8" s="380"/>
      <c r="C8" s="35" t="s">
        <v>28</v>
      </c>
      <c r="D8" s="203" t="s">
        <v>5</v>
      </c>
      <c r="E8" s="9" t="s">
        <v>6</v>
      </c>
      <c r="F8" s="35" t="s">
        <v>29</v>
      </c>
      <c r="G8" s="37" t="s">
        <v>30</v>
      </c>
      <c r="H8" s="38"/>
      <c r="I8" s="39" t="s">
        <v>8</v>
      </c>
      <c r="J8" s="12" t="s">
        <v>9</v>
      </c>
      <c r="K8" s="13"/>
      <c r="L8" s="30"/>
    </row>
    <row r="9" spans="1:15" x14ac:dyDescent="0.25">
      <c r="A9" s="85"/>
      <c r="B9" s="14"/>
      <c r="C9" s="35" t="s">
        <v>31</v>
      </c>
      <c r="D9" s="15"/>
      <c r="E9" s="14"/>
      <c r="F9" s="35" t="s">
        <v>32</v>
      </c>
      <c r="G9" s="37" t="s">
        <v>33</v>
      </c>
      <c r="H9" s="40" t="s">
        <v>11</v>
      </c>
      <c r="I9" s="39" t="s">
        <v>12</v>
      </c>
      <c r="J9" s="41"/>
      <c r="K9" s="203" t="s">
        <v>13</v>
      </c>
      <c r="L9" s="203" t="s">
        <v>14</v>
      </c>
    </row>
    <row r="10" spans="1:15" x14ac:dyDescent="0.25">
      <c r="A10" s="18"/>
      <c r="B10" s="19"/>
      <c r="C10" s="42"/>
      <c r="D10" s="20"/>
      <c r="E10" s="20"/>
      <c r="F10" s="43" t="s">
        <v>34</v>
      </c>
      <c r="G10" s="22"/>
      <c r="H10" s="44"/>
      <c r="I10" s="45" t="s">
        <v>35</v>
      </c>
      <c r="J10" s="46"/>
      <c r="K10" s="21"/>
      <c r="L10" s="22" t="s">
        <v>16</v>
      </c>
    </row>
    <row r="11" spans="1:15" x14ac:dyDescent="0.25">
      <c r="A11" s="47" t="s">
        <v>17</v>
      </c>
      <c r="B11" s="48"/>
      <c r="C11" s="49"/>
      <c r="D11" s="48"/>
      <c r="E11" s="48"/>
      <c r="F11" s="23"/>
      <c r="G11" s="48"/>
      <c r="H11" s="49"/>
      <c r="I11" s="24"/>
      <c r="J11" s="50"/>
      <c r="K11" s="23"/>
      <c r="L11" s="23"/>
    </row>
    <row r="12" spans="1:15" ht="31.5" customHeight="1" x14ac:dyDescent="0.25">
      <c r="A12" s="213">
        <v>7</v>
      </c>
      <c r="B12" s="194" t="s">
        <v>314</v>
      </c>
      <c r="C12" s="177"/>
      <c r="D12" s="176" t="s">
        <v>150</v>
      </c>
      <c r="E12" s="194" t="s">
        <v>48</v>
      </c>
      <c r="F12" s="179"/>
      <c r="G12" s="176" t="s">
        <v>315</v>
      </c>
      <c r="H12" s="176" t="s">
        <v>145</v>
      </c>
      <c r="I12" s="180">
        <v>6000</v>
      </c>
      <c r="J12" s="123" t="s">
        <v>123</v>
      </c>
      <c r="K12" s="77"/>
      <c r="L12" s="117" t="s">
        <v>41</v>
      </c>
    </row>
    <row r="13" spans="1:15" ht="23.25" customHeight="1" x14ac:dyDescent="0.25">
      <c r="A13" s="172">
        <v>17</v>
      </c>
      <c r="B13" s="194" t="s">
        <v>399</v>
      </c>
      <c r="C13" s="177"/>
      <c r="D13" s="178"/>
      <c r="E13" s="176" t="s">
        <v>56</v>
      </c>
      <c r="F13" s="179" t="s">
        <v>401</v>
      </c>
      <c r="G13" s="131" t="s">
        <v>400</v>
      </c>
      <c r="H13" s="133" t="s">
        <v>40</v>
      </c>
      <c r="I13" s="198">
        <v>5000</v>
      </c>
      <c r="J13" s="123" t="s">
        <v>123</v>
      </c>
      <c r="K13" s="77"/>
      <c r="L13" s="117" t="s">
        <v>41</v>
      </c>
      <c r="M13" s="105"/>
    </row>
    <row r="14" spans="1:15" ht="33.75" customHeight="1" x14ac:dyDescent="0.25">
      <c r="A14" s="173">
        <v>28</v>
      </c>
      <c r="B14" s="187" t="s">
        <v>451</v>
      </c>
      <c r="C14" s="182"/>
      <c r="D14" s="185" t="s">
        <v>452</v>
      </c>
      <c r="E14" s="187" t="s">
        <v>69</v>
      </c>
      <c r="F14" s="179" t="s">
        <v>453</v>
      </c>
      <c r="G14" s="185" t="s">
        <v>454</v>
      </c>
      <c r="H14" s="185" t="s">
        <v>40</v>
      </c>
      <c r="I14" s="186">
        <v>10000</v>
      </c>
      <c r="J14" s="123" t="s">
        <v>123</v>
      </c>
      <c r="K14" s="77"/>
      <c r="L14" s="117" t="s">
        <v>41</v>
      </c>
      <c r="M14" s="105"/>
      <c r="O14" s="57"/>
    </row>
    <row r="15" spans="1:15" ht="32.25" customHeight="1" x14ac:dyDescent="0.25">
      <c r="A15" s="173"/>
      <c r="B15" s="187"/>
      <c r="C15" s="182"/>
      <c r="D15" s="185"/>
      <c r="E15" s="187"/>
      <c r="F15" s="179"/>
      <c r="G15" s="185"/>
      <c r="H15" s="187"/>
      <c r="I15" s="186"/>
      <c r="J15" s="123"/>
      <c r="K15" s="77"/>
      <c r="L15" s="117"/>
      <c r="O15" s="57"/>
    </row>
    <row r="16" spans="1:15" ht="26.25" customHeight="1" x14ac:dyDescent="0.25">
      <c r="A16" s="173"/>
      <c r="B16" s="187"/>
      <c r="C16" s="182"/>
      <c r="D16" s="183"/>
      <c r="E16" s="185"/>
      <c r="F16" s="179"/>
      <c r="G16" s="185"/>
      <c r="H16" s="187"/>
      <c r="I16" s="186"/>
      <c r="J16" s="123"/>
      <c r="K16" s="77"/>
      <c r="L16" s="117"/>
      <c r="O16" s="57"/>
    </row>
    <row r="17" spans="1:15" ht="23.25" customHeight="1" x14ac:dyDescent="0.25">
      <c r="A17" s="173"/>
      <c r="B17" s="187"/>
      <c r="C17" s="182"/>
      <c r="D17" s="183"/>
      <c r="E17" s="185"/>
      <c r="F17" s="179"/>
      <c r="G17" s="185"/>
      <c r="H17" s="191"/>
      <c r="I17" s="186"/>
      <c r="J17" s="123"/>
      <c r="K17" s="77"/>
      <c r="L17" s="117"/>
      <c r="O17" s="57"/>
    </row>
    <row r="18" spans="1:15" ht="20.25" customHeight="1" x14ac:dyDescent="0.25">
      <c r="A18" s="173"/>
      <c r="B18" s="187"/>
      <c r="C18" s="182"/>
      <c r="D18" s="183"/>
      <c r="E18" s="187"/>
      <c r="F18" s="179"/>
      <c r="G18" s="185"/>
      <c r="H18" s="187"/>
      <c r="I18" s="186"/>
      <c r="J18" s="123"/>
      <c r="K18" s="77"/>
      <c r="L18" s="117"/>
      <c r="O18" s="57"/>
    </row>
    <row r="19" spans="1:15" ht="24" customHeight="1" x14ac:dyDescent="0.25">
      <c r="A19" s="173"/>
      <c r="B19" s="181"/>
      <c r="C19" s="182"/>
      <c r="D19" s="185"/>
      <c r="E19" s="185"/>
      <c r="F19" s="179"/>
      <c r="G19" s="185"/>
      <c r="H19" s="187"/>
      <c r="I19" s="198"/>
      <c r="J19" s="123"/>
      <c r="K19" s="77"/>
      <c r="L19" s="117"/>
      <c r="O19" s="57"/>
    </row>
    <row r="20" spans="1:15" ht="35.25" customHeight="1" x14ac:dyDescent="0.25">
      <c r="A20" s="173"/>
      <c r="B20" s="187"/>
      <c r="C20" s="182"/>
      <c r="D20" s="185"/>
      <c r="E20" s="185"/>
      <c r="F20" s="179"/>
      <c r="G20" s="185"/>
      <c r="H20" s="187"/>
      <c r="I20" s="198"/>
      <c r="J20" s="123"/>
      <c r="K20" s="77"/>
      <c r="L20" s="117"/>
      <c r="O20" s="57"/>
    </row>
    <row r="21" spans="1:15" ht="42" customHeight="1" x14ac:dyDescent="0.25">
      <c r="A21" s="173"/>
      <c r="B21" s="181"/>
      <c r="C21" s="182"/>
      <c r="D21" s="183"/>
      <c r="E21" s="183"/>
      <c r="F21" s="179"/>
      <c r="G21" s="185"/>
      <c r="H21" s="187"/>
      <c r="I21" s="186"/>
      <c r="J21" s="123"/>
      <c r="K21" s="77"/>
      <c r="L21" s="117"/>
      <c r="O21" s="57"/>
    </row>
    <row r="22" spans="1:15" ht="33" customHeight="1" x14ac:dyDescent="0.25">
      <c r="A22" s="173"/>
      <c r="B22" s="181"/>
      <c r="C22" s="182"/>
      <c r="D22" s="183"/>
      <c r="E22" s="183"/>
      <c r="F22" s="184"/>
      <c r="G22" s="185"/>
      <c r="H22" s="191"/>
      <c r="I22" s="186"/>
      <c r="J22" s="123"/>
      <c r="K22" s="77"/>
      <c r="L22" s="117"/>
      <c r="O22" s="57"/>
    </row>
    <row r="23" spans="1:15" ht="18" customHeight="1" x14ac:dyDescent="0.25">
      <c r="A23" s="173"/>
      <c r="B23" s="181"/>
      <c r="C23" s="182"/>
      <c r="D23" s="183"/>
      <c r="E23" s="183"/>
      <c r="F23" s="184"/>
      <c r="G23" s="183"/>
      <c r="H23" s="187"/>
      <c r="I23" s="186"/>
      <c r="J23" s="123"/>
      <c r="K23" s="77"/>
      <c r="L23" s="117"/>
      <c r="O23" s="57"/>
    </row>
    <row r="24" spans="1:15" ht="16.5" customHeight="1" x14ac:dyDescent="0.25">
      <c r="A24" s="196"/>
      <c r="B24" s="197"/>
      <c r="C24" s="133"/>
      <c r="D24" s="133"/>
      <c r="E24" s="133"/>
      <c r="F24" s="179"/>
      <c r="G24" s="185"/>
      <c r="H24" s="187"/>
      <c r="I24" s="186"/>
      <c r="J24" s="123"/>
      <c r="K24" s="77"/>
      <c r="L24" s="117"/>
      <c r="O24" s="57"/>
    </row>
    <row r="25" spans="1:15" ht="16.5" customHeight="1" x14ac:dyDescent="0.25">
      <c r="A25" s="196"/>
      <c r="B25" s="197"/>
      <c r="C25" s="133"/>
      <c r="D25" s="133"/>
      <c r="E25" s="133"/>
      <c r="F25" s="179"/>
      <c r="G25" s="185"/>
      <c r="H25" s="187"/>
      <c r="I25" s="186"/>
      <c r="J25" s="123"/>
      <c r="K25" s="77"/>
      <c r="L25" s="117"/>
      <c r="O25" s="57"/>
    </row>
    <row r="26" spans="1:15" ht="16.5" customHeight="1" x14ac:dyDescent="0.25">
      <c r="A26" s="196"/>
      <c r="B26" s="197"/>
      <c r="C26" s="133"/>
      <c r="D26" s="133"/>
      <c r="E26" s="133"/>
      <c r="F26" s="179"/>
      <c r="G26" s="185"/>
      <c r="H26" s="187"/>
      <c r="I26" s="186"/>
      <c r="J26" s="123"/>
      <c r="K26" s="77"/>
      <c r="L26" s="117"/>
      <c r="O26" s="57"/>
    </row>
    <row r="27" spans="1:15" ht="16.5" customHeight="1" x14ac:dyDescent="0.25">
      <c r="A27" s="196"/>
      <c r="B27" s="197"/>
      <c r="C27" s="133"/>
      <c r="D27" s="133"/>
      <c r="E27" s="133"/>
      <c r="F27" s="179"/>
      <c r="G27" s="133"/>
      <c r="H27" s="187"/>
      <c r="I27" s="186"/>
      <c r="J27" s="123"/>
      <c r="K27" s="77"/>
      <c r="L27" s="117"/>
      <c r="O27" s="57"/>
    </row>
    <row r="28" spans="1:15" x14ac:dyDescent="0.25">
      <c r="A28" s="137"/>
      <c r="B28" s="77"/>
      <c r="C28" s="122"/>
      <c r="D28" s="77"/>
      <c r="E28" s="77"/>
      <c r="F28" s="138"/>
      <c r="G28" s="77"/>
      <c r="H28" s="104"/>
      <c r="I28" s="124"/>
      <c r="J28" s="122"/>
      <c r="K28" s="77"/>
      <c r="L28" s="77"/>
      <c r="O28" s="57"/>
    </row>
    <row r="29" spans="1:15" x14ac:dyDescent="0.25">
      <c r="I29" s="26"/>
      <c r="J29" s="26"/>
    </row>
    <row r="30" spans="1:15" x14ac:dyDescent="0.25">
      <c r="F30" s="25"/>
      <c r="I30" s="51" t="s">
        <v>19</v>
      </c>
      <c r="J30" s="26"/>
      <c r="K30" s="175"/>
      <c r="L30" s="25"/>
    </row>
    <row r="31" spans="1:15" x14ac:dyDescent="0.25">
      <c r="I31" s="26" t="s">
        <v>103</v>
      </c>
      <c r="J31" s="26"/>
      <c r="K31" s="195" t="s">
        <v>459</v>
      </c>
      <c r="L31" s="165"/>
    </row>
    <row r="32" spans="1:15" x14ac:dyDescent="0.25">
      <c r="B32" t="s">
        <v>20</v>
      </c>
      <c r="E32" t="s">
        <v>21</v>
      </c>
      <c r="I32" s="26" t="s">
        <v>104</v>
      </c>
      <c r="J32" s="95"/>
      <c r="K32" s="202" t="s">
        <v>119</v>
      </c>
      <c r="L32" s="205">
        <v>6000</v>
      </c>
    </row>
    <row r="33" spans="2:12" x14ac:dyDescent="0.25">
      <c r="I33" s="26" t="s">
        <v>121</v>
      </c>
      <c r="J33" s="95"/>
      <c r="K33" s="195" t="s">
        <v>460</v>
      </c>
      <c r="L33" s="206"/>
    </row>
    <row r="34" spans="2:12" x14ac:dyDescent="0.25">
      <c r="I34" s="26" t="s">
        <v>147</v>
      </c>
      <c r="J34" s="95"/>
      <c r="K34" s="202" t="s">
        <v>119</v>
      </c>
      <c r="L34" s="205">
        <v>15000</v>
      </c>
    </row>
    <row r="35" spans="2:12" x14ac:dyDescent="0.25">
      <c r="I35" s="26" t="s">
        <v>105</v>
      </c>
      <c r="J35" s="95"/>
      <c r="K35" s="202"/>
      <c r="L35" s="206"/>
    </row>
    <row r="36" spans="2:12" x14ac:dyDescent="0.25">
      <c r="B36" s="27"/>
      <c r="E36" s="147"/>
      <c r="F36" s="147"/>
      <c r="G36" s="147"/>
      <c r="H36" s="147"/>
      <c r="I36" s="26" t="s">
        <v>107</v>
      </c>
      <c r="J36" s="95"/>
      <c r="K36" s="202"/>
      <c r="L36" s="205"/>
    </row>
    <row r="37" spans="2:12" x14ac:dyDescent="0.25">
      <c r="B37" s="162" t="s">
        <v>173</v>
      </c>
      <c r="C37" s="162"/>
      <c r="D37" s="162"/>
      <c r="E37" s="163" t="s">
        <v>125</v>
      </c>
      <c r="F37" s="148"/>
      <c r="G37" s="148"/>
      <c r="H37" s="148"/>
      <c r="I37" s="26" t="s">
        <v>108</v>
      </c>
      <c r="J37" s="94"/>
      <c r="K37" s="204"/>
      <c r="L37" s="207"/>
    </row>
    <row r="38" spans="2:12" x14ac:dyDescent="0.25">
      <c r="B38" t="s">
        <v>172</v>
      </c>
      <c r="E38" t="s">
        <v>126</v>
      </c>
      <c r="I38" s="26" t="s">
        <v>22</v>
      </c>
      <c r="J38" s="97"/>
      <c r="K38" s="204"/>
      <c r="L38" s="207"/>
    </row>
    <row r="39" spans="2:12" x14ac:dyDescent="0.25">
      <c r="I39" s="3" t="s">
        <v>109</v>
      </c>
      <c r="J39" s="95"/>
      <c r="K39" s="202"/>
      <c r="L39" s="208"/>
    </row>
    <row r="40" spans="2:12" x14ac:dyDescent="0.25">
      <c r="I40" s="3" t="s">
        <v>87</v>
      </c>
      <c r="J40" s="95"/>
      <c r="K40" s="202"/>
      <c r="L40" s="208"/>
    </row>
    <row r="41" spans="2:12" x14ac:dyDescent="0.25">
      <c r="G41" s="25">
        <f>SUM(I12:I27)</f>
        <v>21000</v>
      </c>
      <c r="L41" s="25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4EB9-61E3-4476-9872-830E433E59FB}">
  <sheetPr>
    <tabColor theme="5"/>
  </sheetPr>
  <dimension ref="A1:V390"/>
  <sheetViews>
    <sheetView tabSelected="1" view="pageBreakPreview" topLeftCell="C122" zoomScale="106" zoomScaleNormal="100" zoomScaleSheetLayoutView="106" workbookViewId="0">
      <selection activeCell="M105" sqref="M105"/>
    </sheetView>
  </sheetViews>
  <sheetFormatPr defaultRowHeight="15" x14ac:dyDescent="0.25"/>
  <cols>
    <col min="1" max="1" width="4.7109375" style="148" customWidth="1"/>
    <col min="2" max="2" width="15" style="148" customWidth="1"/>
    <col min="3" max="3" width="18" customWidth="1"/>
    <col min="4" max="4" width="5.28515625" customWidth="1"/>
    <col min="5" max="5" width="7.85546875" customWidth="1"/>
    <col min="6" max="6" width="17.7109375" customWidth="1"/>
    <col min="7" max="7" width="14.5703125" customWidth="1"/>
    <col min="8" max="8" width="14.28515625" customWidth="1"/>
    <col min="9" max="9" width="14" customWidth="1"/>
    <col min="10" max="10" width="16.42578125" customWidth="1"/>
    <col min="11" max="11" width="16.85546875" style="89" customWidth="1"/>
    <col min="12" max="12" width="9.5703125" customWidth="1"/>
    <col min="13" max="13" width="17.85546875" customWidth="1"/>
    <col min="17" max="17" width="4.5703125" customWidth="1"/>
    <col min="18" max="18" width="14.28515625" customWidth="1"/>
    <col min="19" max="19" width="12.42578125" customWidth="1"/>
  </cols>
  <sheetData>
    <row r="1" spans="1:22" ht="23.25" x14ac:dyDescent="0.35">
      <c r="A1" s="381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</row>
    <row r="2" spans="1:22" ht="18" x14ac:dyDescent="0.25">
      <c r="A2" s="382" t="s">
        <v>232</v>
      </c>
      <c r="B2" s="382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22" x14ac:dyDescent="0.25">
      <c r="C3" s="1"/>
      <c r="D3" s="1"/>
      <c r="E3" s="3"/>
      <c r="F3" s="1"/>
      <c r="G3" s="1"/>
      <c r="I3" s="3"/>
      <c r="J3" s="66"/>
      <c r="K3" s="79"/>
      <c r="L3" s="80" t="s">
        <v>188</v>
      </c>
      <c r="M3" s="81"/>
      <c r="R3" s="25"/>
      <c r="S3" s="25"/>
    </row>
    <row r="4" spans="1:22" x14ac:dyDescent="0.25">
      <c r="C4" s="1"/>
      <c r="D4" s="1"/>
      <c r="E4" s="3"/>
      <c r="F4" s="1"/>
      <c r="G4" s="1"/>
      <c r="I4" s="3"/>
      <c r="J4" s="66"/>
      <c r="K4" s="82"/>
      <c r="L4" s="75" t="s">
        <v>89</v>
      </c>
      <c r="M4" s="93">
        <v>73</v>
      </c>
    </row>
    <row r="5" spans="1:22" x14ac:dyDescent="0.25">
      <c r="C5" s="1"/>
      <c r="D5" s="1"/>
      <c r="E5" s="3"/>
      <c r="F5" s="1"/>
      <c r="G5" s="1"/>
      <c r="I5" s="3"/>
      <c r="J5" s="66"/>
      <c r="K5" s="82"/>
      <c r="L5" s="75" t="s">
        <v>91</v>
      </c>
      <c r="M5" s="93">
        <v>19</v>
      </c>
      <c r="R5" s="25"/>
      <c r="S5" s="25"/>
    </row>
    <row r="6" spans="1:22" x14ac:dyDescent="0.25">
      <c r="A6" s="393" t="s">
        <v>111</v>
      </c>
      <c r="B6" s="393"/>
      <c r="C6" s="393"/>
      <c r="D6" s="200"/>
      <c r="E6" s="3"/>
      <c r="F6" s="1"/>
      <c r="G6" s="4"/>
      <c r="I6" s="3"/>
      <c r="J6" s="66"/>
      <c r="K6" s="79"/>
      <c r="L6" s="78" t="s">
        <v>170</v>
      </c>
      <c r="M6" s="83"/>
      <c r="S6" s="25"/>
    </row>
    <row r="7" spans="1:22" x14ac:dyDescent="0.25">
      <c r="A7" s="6"/>
      <c r="B7" s="188"/>
      <c r="C7" s="201"/>
      <c r="D7" s="7"/>
      <c r="E7" s="63"/>
      <c r="F7" s="8"/>
      <c r="G7" s="8"/>
      <c r="H7" s="387" t="s">
        <v>1</v>
      </c>
      <c r="I7" s="394"/>
      <c r="J7" s="388"/>
      <c r="K7" s="84"/>
      <c r="L7" s="389" t="s">
        <v>2</v>
      </c>
      <c r="M7" s="390"/>
      <c r="R7" s="25"/>
      <c r="S7" s="25"/>
    </row>
    <row r="8" spans="1:22" x14ac:dyDescent="0.25">
      <c r="A8" s="395" t="s">
        <v>3</v>
      </c>
      <c r="B8" s="396"/>
      <c r="C8" s="396"/>
      <c r="D8" s="397"/>
      <c r="E8" s="17" t="s">
        <v>4</v>
      </c>
      <c r="F8" s="203" t="s">
        <v>5</v>
      </c>
      <c r="G8" s="9" t="s">
        <v>6</v>
      </c>
      <c r="H8" s="10" t="s">
        <v>7</v>
      </c>
      <c r="I8" s="64"/>
      <c r="J8" s="11" t="s">
        <v>8</v>
      </c>
      <c r="K8" s="59" t="s">
        <v>9</v>
      </c>
      <c r="L8" s="76"/>
      <c r="M8" s="13"/>
      <c r="S8" s="25"/>
    </row>
    <row r="9" spans="1:22" x14ac:dyDescent="0.25">
      <c r="A9" s="85"/>
      <c r="C9" s="1"/>
      <c r="D9" s="14"/>
      <c r="E9" s="64"/>
      <c r="F9" s="15"/>
      <c r="G9" s="14"/>
      <c r="H9" s="16" t="s">
        <v>10</v>
      </c>
      <c r="I9" s="17" t="s">
        <v>11</v>
      </c>
      <c r="J9" s="11" t="s">
        <v>12</v>
      </c>
      <c r="K9" s="86"/>
      <c r="L9" s="203" t="s">
        <v>13</v>
      </c>
      <c r="M9" s="203" t="s">
        <v>14</v>
      </c>
      <c r="T9" t="s">
        <v>461</v>
      </c>
      <c r="U9" t="s">
        <v>462</v>
      </c>
      <c r="V9" t="s">
        <v>463</v>
      </c>
    </row>
    <row r="10" spans="1:22" x14ac:dyDescent="0.25">
      <c r="A10" s="18"/>
      <c r="B10" s="189"/>
      <c r="C10" s="4"/>
      <c r="D10" s="19"/>
      <c r="E10" s="65"/>
      <c r="F10" s="20"/>
      <c r="G10" s="20"/>
      <c r="H10" s="21"/>
      <c r="I10" s="67"/>
      <c r="J10" s="68" t="s">
        <v>15</v>
      </c>
      <c r="K10" s="87"/>
      <c r="L10" s="21"/>
      <c r="M10" s="22" t="s">
        <v>16</v>
      </c>
      <c r="R10" s="212" t="s">
        <v>373</v>
      </c>
    </row>
    <row r="11" spans="1:22" x14ac:dyDescent="0.25">
      <c r="A11" s="47" t="s">
        <v>17</v>
      </c>
      <c r="B11" s="47"/>
      <c r="C11" s="23"/>
      <c r="D11" s="23"/>
      <c r="E11" s="23"/>
      <c r="F11" s="23"/>
      <c r="G11" s="23"/>
      <c r="H11" s="23"/>
      <c r="I11" s="23"/>
      <c r="J11" s="23"/>
      <c r="K11" s="60"/>
      <c r="L11" s="23"/>
      <c r="M11" s="23"/>
      <c r="R11" s="171" t="s">
        <v>119</v>
      </c>
      <c r="S11" s="25">
        <f>SUM(J12:J19,J21:J77)</f>
        <v>167650</v>
      </c>
      <c r="T11">
        <v>48</v>
      </c>
      <c r="U11">
        <v>17</v>
      </c>
      <c r="V11" t="s">
        <v>464</v>
      </c>
    </row>
    <row r="12" spans="1:22" x14ac:dyDescent="0.25">
      <c r="A12" s="128">
        <v>2</v>
      </c>
      <c r="B12" s="191" t="s">
        <v>233</v>
      </c>
      <c r="C12" s="130" t="s">
        <v>169</v>
      </c>
      <c r="D12" s="130"/>
      <c r="E12" s="130" t="s">
        <v>127</v>
      </c>
      <c r="F12" s="130" t="s">
        <v>135</v>
      </c>
      <c r="G12" s="130" t="s">
        <v>54</v>
      </c>
      <c r="H12" s="131" t="s">
        <v>157</v>
      </c>
      <c r="I12" s="133" t="s">
        <v>40</v>
      </c>
      <c r="J12" s="132">
        <v>4500</v>
      </c>
      <c r="K12" s="129">
        <v>900</v>
      </c>
      <c r="L12" s="126" t="s">
        <v>120</v>
      </c>
      <c r="M12" s="126" t="s">
        <v>41</v>
      </c>
      <c r="O12">
        <f>J12/5</f>
        <v>900</v>
      </c>
      <c r="Q12" s="25"/>
      <c r="R12" s="204" t="s">
        <v>186</v>
      </c>
      <c r="S12" s="25">
        <v>10</v>
      </c>
      <c r="T12">
        <v>1</v>
      </c>
    </row>
    <row r="13" spans="1:22" x14ac:dyDescent="0.25">
      <c r="A13" s="128">
        <v>2</v>
      </c>
      <c r="B13" s="191" t="s">
        <v>213</v>
      </c>
      <c r="C13" s="130" t="s">
        <v>218</v>
      </c>
      <c r="D13" s="130"/>
      <c r="E13" s="168" t="s">
        <v>129</v>
      </c>
      <c r="F13" s="130" t="s">
        <v>220</v>
      </c>
      <c r="G13" s="130" t="s">
        <v>54</v>
      </c>
      <c r="H13" s="131" t="s">
        <v>234</v>
      </c>
      <c r="I13" s="130" t="s">
        <v>40</v>
      </c>
      <c r="J13" s="132">
        <v>3000</v>
      </c>
      <c r="K13" s="129">
        <v>600</v>
      </c>
      <c r="L13" s="126" t="s">
        <v>120</v>
      </c>
      <c r="M13" s="126" t="s">
        <v>41</v>
      </c>
      <c r="O13">
        <f>J13/5</f>
        <v>600</v>
      </c>
      <c r="Q13" s="25"/>
      <c r="R13" s="212" t="s">
        <v>458</v>
      </c>
      <c r="S13" s="25"/>
    </row>
    <row r="14" spans="1:22" x14ac:dyDescent="0.25">
      <c r="A14" s="128">
        <v>2</v>
      </c>
      <c r="B14" s="191" t="s">
        <v>235</v>
      </c>
      <c r="C14" s="130" t="s">
        <v>236</v>
      </c>
      <c r="D14" s="130"/>
      <c r="E14" s="168" t="s">
        <v>129</v>
      </c>
      <c r="F14" s="130" t="s">
        <v>237</v>
      </c>
      <c r="G14" s="130" t="s">
        <v>50</v>
      </c>
      <c r="H14" s="131" t="s">
        <v>238</v>
      </c>
      <c r="I14" s="133" t="s">
        <v>40</v>
      </c>
      <c r="J14" s="132">
        <v>8500</v>
      </c>
      <c r="K14" s="129">
        <v>1700</v>
      </c>
      <c r="L14" s="126" t="s">
        <v>120</v>
      </c>
      <c r="M14" s="126" t="s">
        <v>41</v>
      </c>
      <c r="O14">
        <f t="shared" ref="O14:O151" si="0">J14/5</f>
        <v>1700</v>
      </c>
      <c r="Q14" s="25"/>
      <c r="R14" s="171" t="s">
        <v>119</v>
      </c>
      <c r="S14" s="57">
        <f>SUM(J79:J103)</f>
        <v>41650</v>
      </c>
      <c r="T14">
        <v>23</v>
      </c>
      <c r="U14">
        <v>2</v>
      </c>
      <c r="V14" t="s">
        <v>465</v>
      </c>
    </row>
    <row r="15" spans="1:22" x14ac:dyDescent="0.25">
      <c r="A15" s="128">
        <v>2</v>
      </c>
      <c r="B15" s="191" t="s">
        <v>226</v>
      </c>
      <c r="C15" s="130" t="s">
        <v>239</v>
      </c>
      <c r="D15" s="130"/>
      <c r="E15" s="130" t="s">
        <v>127</v>
      </c>
      <c r="F15" s="130" t="s">
        <v>240</v>
      </c>
      <c r="G15" s="130" t="s">
        <v>58</v>
      </c>
      <c r="H15" s="131" t="s">
        <v>241</v>
      </c>
      <c r="I15" s="130" t="s">
        <v>40</v>
      </c>
      <c r="J15" s="132">
        <v>3000</v>
      </c>
      <c r="K15" s="129">
        <v>600</v>
      </c>
      <c r="L15" s="126" t="s">
        <v>120</v>
      </c>
      <c r="M15" s="126" t="s">
        <v>41</v>
      </c>
      <c r="O15">
        <f t="shared" si="0"/>
        <v>600</v>
      </c>
      <c r="Q15" s="25"/>
      <c r="R15" s="204" t="s">
        <v>378</v>
      </c>
      <c r="S15" s="57">
        <v>270</v>
      </c>
      <c r="T15">
        <v>1</v>
      </c>
    </row>
    <row r="16" spans="1:22" x14ac:dyDescent="0.25">
      <c r="A16" s="128">
        <v>2</v>
      </c>
      <c r="B16" s="191" t="s">
        <v>191</v>
      </c>
      <c r="C16" s="130" t="s">
        <v>242</v>
      </c>
      <c r="D16" s="130"/>
      <c r="E16" s="130" t="s">
        <v>127</v>
      </c>
      <c r="F16" s="130" t="s">
        <v>184</v>
      </c>
      <c r="G16" s="130" t="s">
        <v>42</v>
      </c>
      <c r="H16" s="131" t="s">
        <v>243</v>
      </c>
      <c r="I16" s="130" t="s">
        <v>40</v>
      </c>
      <c r="J16" s="132">
        <v>750</v>
      </c>
      <c r="K16" s="129">
        <v>150</v>
      </c>
      <c r="L16" s="126" t="s">
        <v>120</v>
      </c>
      <c r="M16" s="126" t="s">
        <v>41</v>
      </c>
      <c r="O16">
        <f t="shared" si="0"/>
        <v>150</v>
      </c>
      <c r="R16" s="174"/>
      <c r="S16" s="57"/>
    </row>
    <row r="17" spans="1:19" x14ac:dyDescent="0.25">
      <c r="A17" s="128">
        <v>2</v>
      </c>
      <c r="B17" s="191" t="s">
        <v>244</v>
      </c>
      <c r="C17" s="130" t="s">
        <v>164</v>
      </c>
      <c r="D17" s="130"/>
      <c r="E17" s="130" t="s">
        <v>127</v>
      </c>
      <c r="F17" s="130" t="s">
        <v>220</v>
      </c>
      <c r="G17" s="130" t="s">
        <v>54</v>
      </c>
      <c r="H17" s="131" t="s">
        <v>245</v>
      </c>
      <c r="I17" s="133" t="s">
        <v>40</v>
      </c>
      <c r="J17" s="132">
        <v>1000</v>
      </c>
      <c r="K17" s="129">
        <v>200</v>
      </c>
      <c r="L17" s="126" t="s">
        <v>120</v>
      </c>
      <c r="M17" s="126" t="s">
        <v>41</v>
      </c>
      <c r="O17">
        <f t="shared" si="0"/>
        <v>200</v>
      </c>
      <c r="R17" s="171"/>
      <c r="S17" s="57"/>
    </row>
    <row r="18" spans="1:19" x14ac:dyDescent="0.25">
      <c r="A18" s="128">
        <v>2</v>
      </c>
      <c r="B18" s="191" t="s">
        <v>246</v>
      </c>
      <c r="C18" s="130" t="s">
        <v>224</v>
      </c>
      <c r="D18" s="130"/>
      <c r="E18" s="130" t="s">
        <v>127</v>
      </c>
      <c r="F18" s="130" t="s">
        <v>136</v>
      </c>
      <c r="G18" s="130" t="s">
        <v>61</v>
      </c>
      <c r="H18" s="131" t="s">
        <v>247</v>
      </c>
      <c r="I18" s="133" t="s">
        <v>40</v>
      </c>
      <c r="J18" s="132">
        <v>500</v>
      </c>
      <c r="K18" s="129">
        <v>100</v>
      </c>
      <c r="L18" s="126" t="s">
        <v>120</v>
      </c>
      <c r="M18" s="126" t="s">
        <v>41</v>
      </c>
      <c r="O18">
        <f t="shared" si="0"/>
        <v>100</v>
      </c>
      <c r="Q18" s="57"/>
      <c r="R18" s="204"/>
      <c r="S18" s="57"/>
    </row>
    <row r="19" spans="1:19" x14ac:dyDescent="0.25">
      <c r="A19" s="128">
        <v>2</v>
      </c>
      <c r="B19" s="191" t="s">
        <v>248</v>
      </c>
      <c r="C19" s="130" t="s">
        <v>231</v>
      </c>
      <c r="D19" s="130"/>
      <c r="E19" s="130" t="s">
        <v>127</v>
      </c>
      <c r="F19" s="130" t="s">
        <v>215</v>
      </c>
      <c r="G19" s="130" t="s">
        <v>59</v>
      </c>
      <c r="H19" s="131" t="s">
        <v>216</v>
      </c>
      <c r="I19" s="133" t="s">
        <v>40</v>
      </c>
      <c r="J19" s="132">
        <v>2500</v>
      </c>
      <c r="K19" s="129">
        <v>500</v>
      </c>
      <c r="L19" s="126" t="s">
        <v>120</v>
      </c>
      <c r="M19" s="126" t="s">
        <v>41</v>
      </c>
      <c r="O19">
        <f t="shared" si="0"/>
        <v>500</v>
      </c>
      <c r="R19" s="174"/>
      <c r="S19" s="25"/>
    </row>
    <row r="20" spans="1:19" x14ac:dyDescent="0.25">
      <c r="A20" s="128">
        <v>2</v>
      </c>
      <c r="B20" s="191" t="s">
        <v>250</v>
      </c>
      <c r="C20" s="130" t="s">
        <v>204</v>
      </c>
      <c r="D20" s="130"/>
      <c r="E20" s="130" t="s">
        <v>127</v>
      </c>
      <c r="F20" s="130" t="s">
        <v>60</v>
      </c>
      <c r="G20" s="130" t="s">
        <v>53</v>
      </c>
      <c r="H20" s="131" t="s">
        <v>249</v>
      </c>
      <c r="I20" s="209" t="s">
        <v>186</v>
      </c>
      <c r="J20" s="132">
        <v>10</v>
      </c>
      <c r="K20" s="129" t="s">
        <v>123</v>
      </c>
      <c r="L20" s="126" t="s">
        <v>120</v>
      </c>
      <c r="M20" s="126" t="s">
        <v>41</v>
      </c>
      <c r="O20">
        <f t="shared" si="0"/>
        <v>2</v>
      </c>
      <c r="Q20" s="25"/>
      <c r="R20" s="171"/>
      <c r="S20" s="57"/>
    </row>
    <row r="21" spans="1:19" x14ac:dyDescent="0.25">
      <c r="A21" s="128">
        <v>2</v>
      </c>
      <c r="B21" s="191" t="s">
        <v>251</v>
      </c>
      <c r="C21" s="130" t="s">
        <v>187</v>
      </c>
      <c r="D21" s="130"/>
      <c r="E21" s="130" t="s">
        <v>127</v>
      </c>
      <c r="F21" s="130" t="s">
        <v>178</v>
      </c>
      <c r="G21" s="130" t="s">
        <v>49</v>
      </c>
      <c r="H21" s="131" t="s">
        <v>252</v>
      </c>
      <c r="I21" s="130" t="s">
        <v>40</v>
      </c>
      <c r="J21" s="132">
        <v>2000</v>
      </c>
      <c r="K21" s="129">
        <v>400</v>
      </c>
      <c r="L21" s="126" t="s">
        <v>120</v>
      </c>
      <c r="M21" s="126" t="s">
        <v>41</v>
      </c>
      <c r="O21">
        <f t="shared" si="0"/>
        <v>400</v>
      </c>
      <c r="R21" s="171"/>
      <c r="S21" s="57"/>
    </row>
    <row r="22" spans="1:19" x14ac:dyDescent="0.25">
      <c r="A22" s="128">
        <v>2</v>
      </c>
      <c r="B22" s="191" t="s">
        <v>176</v>
      </c>
      <c r="C22" s="130" t="s">
        <v>254</v>
      </c>
      <c r="D22" s="130"/>
      <c r="E22" s="168" t="s">
        <v>129</v>
      </c>
      <c r="F22" s="130" t="s">
        <v>130</v>
      </c>
      <c r="G22" s="130" t="s">
        <v>43</v>
      </c>
      <c r="H22" s="131" t="s">
        <v>253</v>
      </c>
      <c r="I22" s="133" t="s">
        <v>40</v>
      </c>
      <c r="J22" s="132">
        <v>15000</v>
      </c>
      <c r="K22" s="129">
        <v>3000</v>
      </c>
      <c r="L22" s="126" t="s">
        <v>120</v>
      </c>
      <c r="M22" s="126" t="s">
        <v>41</v>
      </c>
      <c r="O22">
        <f t="shared" si="0"/>
        <v>3000</v>
      </c>
      <c r="S22" s="25"/>
    </row>
    <row r="23" spans="1:19" x14ac:dyDescent="0.25">
      <c r="A23" s="128">
        <v>2</v>
      </c>
      <c r="B23" s="191" t="s">
        <v>221</v>
      </c>
      <c r="C23" s="130" t="s">
        <v>217</v>
      </c>
      <c r="D23" s="130"/>
      <c r="E23" s="130" t="s">
        <v>127</v>
      </c>
      <c r="F23" s="130" t="s">
        <v>166</v>
      </c>
      <c r="G23" s="130" t="s">
        <v>73</v>
      </c>
      <c r="H23" s="131" t="s">
        <v>222</v>
      </c>
      <c r="I23" s="133" t="s">
        <v>40</v>
      </c>
      <c r="J23" s="132">
        <v>2000</v>
      </c>
      <c r="K23" s="129">
        <v>400</v>
      </c>
      <c r="L23" s="126" t="s">
        <v>120</v>
      </c>
      <c r="M23" s="126" t="s">
        <v>41</v>
      </c>
      <c r="O23">
        <f t="shared" si="0"/>
        <v>400</v>
      </c>
      <c r="R23" s="171"/>
      <c r="S23" s="25"/>
    </row>
    <row r="24" spans="1:19" x14ac:dyDescent="0.25">
      <c r="A24" s="128">
        <v>2</v>
      </c>
      <c r="B24" s="191" t="s">
        <v>256</v>
      </c>
      <c r="C24" s="130" t="s">
        <v>223</v>
      </c>
      <c r="D24" s="130"/>
      <c r="E24" s="168" t="s">
        <v>129</v>
      </c>
      <c r="F24" s="130" t="s">
        <v>178</v>
      </c>
      <c r="G24" s="130" t="s">
        <v>49</v>
      </c>
      <c r="H24" s="131" t="s">
        <v>255</v>
      </c>
      <c r="I24" s="133" t="s">
        <v>40</v>
      </c>
      <c r="J24" s="132">
        <v>1500</v>
      </c>
      <c r="K24" s="129">
        <v>300</v>
      </c>
      <c r="L24" s="126" t="s">
        <v>120</v>
      </c>
      <c r="M24" s="126" t="s">
        <v>41</v>
      </c>
      <c r="O24">
        <f t="shared" si="0"/>
        <v>300</v>
      </c>
      <c r="R24" s="174"/>
      <c r="S24" s="57"/>
    </row>
    <row r="25" spans="1:19" x14ac:dyDescent="0.25">
      <c r="A25" s="128">
        <v>2</v>
      </c>
      <c r="B25" s="191" t="s">
        <v>257</v>
      </c>
      <c r="C25" s="130" t="s">
        <v>165</v>
      </c>
      <c r="D25" s="130"/>
      <c r="E25" s="130" t="s">
        <v>127</v>
      </c>
      <c r="F25" s="130" t="s">
        <v>196</v>
      </c>
      <c r="G25" s="130" t="s">
        <v>49</v>
      </c>
      <c r="H25" s="131" t="s">
        <v>258</v>
      </c>
      <c r="I25" s="130" t="s">
        <v>40</v>
      </c>
      <c r="J25" s="132">
        <v>400</v>
      </c>
      <c r="K25" s="129">
        <v>80</v>
      </c>
      <c r="L25" s="126" t="s">
        <v>120</v>
      </c>
      <c r="M25" s="126" t="s">
        <v>41</v>
      </c>
      <c r="O25">
        <f t="shared" si="0"/>
        <v>80</v>
      </c>
      <c r="R25" s="171"/>
      <c r="S25" s="57"/>
    </row>
    <row r="26" spans="1:19" x14ac:dyDescent="0.25">
      <c r="A26" s="128">
        <v>2</v>
      </c>
      <c r="B26" s="191" t="s">
        <v>167</v>
      </c>
      <c r="C26" s="130" t="s">
        <v>193</v>
      </c>
      <c r="D26" s="130"/>
      <c r="E26" s="168" t="s">
        <v>129</v>
      </c>
      <c r="F26" s="130" t="s">
        <v>259</v>
      </c>
      <c r="G26" s="130" t="s">
        <v>42</v>
      </c>
      <c r="H26" s="131" t="s">
        <v>194</v>
      </c>
      <c r="I26" s="133" t="s">
        <v>40</v>
      </c>
      <c r="J26" s="132">
        <v>2500</v>
      </c>
      <c r="K26" s="129">
        <v>500</v>
      </c>
      <c r="L26" s="126" t="s">
        <v>120</v>
      </c>
      <c r="M26" s="126" t="s">
        <v>41</v>
      </c>
      <c r="O26">
        <f t="shared" si="0"/>
        <v>500</v>
      </c>
      <c r="R26" s="171"/>
      <c r="S26" s="57"/>
    </row>
    <row r="27" spans="1:19" x14ac:dyDescent="0.25">
      <c r="A27" s="128">
        <v>2</v>
      </c>
      <c r="B27" s="191" t="s">
        <v>260</v>
      </c>
      <c r="C27" s="130" t="s">
        <v>261</v>
      </c>
      <c r="D27" s="130"/>
      <c r="E27" s="130" t="s">
        <v>127</v>
      </c>
      <c r="F27" s="130" t="s">
        <v>142</v>
      </c>
      <c r="G27" s="130" t="s">
        <v>43</v>
      </c>
      <c r="H27" s="131" t="s">
        <v>262</v>
      </c>
      <c r="I27" s="130" t="s">
        <v>40</v>
      </c>
      <c r="J27" s="132">
        <v>5400</v>
      </c>
      <c r="K27" s="129">
        <v>1080</v>
      </c>
      <c r="L27" s="126" t="s">
        <v>120</v>
      </c>
      <c r="M27" s="126" t="s">
        <v>41</v>
      </c>
      <c r="O27">
        <f t="shared" si="0"/>
        <v>1080</v>
      </c>
      <c r="R27" s="25"/>
      <c r="S27" s="25"/>
    </row>
    <row r="28" spans="1:19" x14ac:dyDescent="0.25">
      <c r="A28" s="128">
        <v>2</v>
      </c>
      <c r="B28" s="191" t="s">
        <v>211</v>
      </c>
      <c r="C28" s="130" t="s">
        <v>168</v>
      </c>
      <c r="D28" s="130"/>
      <c r="E28" s="130" t="s">
        <v>127</v>
      </c>
      <c r="F28" s="130" t="s">
        <v>148</v>
      </c>
      <c r="G28" s="130" t="s">
        <v>42</v>
      </c>
      <c r="H28" s="131" t="s">
        <v>212</v>
      </c>
      <c r="I28" s="130" t="s">
        <v>40</v>
      </c>
      <c r="J28" s="132">
        <v>2000</v>
      </c>
      <c r="K28" s="129">
        <v>400</v>
      </c>
      <c r="L28" s="126" t="s">
        <v>120</v>
      </c>
      <c r="M28" s="126" t="s">
        <v>41</v>
      </c>
      <c r="O28">
        <f t="shared" si="0"/>
        <v>400</v>
      </c>
      <c r="S28" s="57"/>
    </row>
    <row r="29" spans="1:19" x14ac:dyDescent="0.25">
      <c r="A29" s="128">
        <v>2</v>
      </c>
      <c r="B29" s="191" t="s">
        <v>263</v>
      </c>
      <c r="C29" s="130" t="s">
        <v>182</v>
      </c>
      <c r="D29" s="130"/>
      <c r="E29" s="130" t="s">
        <v>127</v>
      </c>
      <c r="F29" s="130" t="s">
        <v>149</v>
      </c>
      <c r="G29" s="130" t="s">
        <v>47</v>
      </c>
      <c r="H29" s="131"/>
      <c r="I29" s="133" t="s">
        <v>40</v>
      </c>
      <c r="J29" s="132">
        <v>2000</v>
      </c>
      <c r="K29" s="129">
        <v>400</v>
      </c>
      <c r="L29" s="126" t="s">
        <v>120</v>
      </c>
      <c r="M29" s="126" t="s">
        <v>41</v>
      </c>
      <c r="O29">
        <f t="shared" si="0"/>
        <v>400</v>
      </c>
      <c r="R29" s="25"/>
      <c r="S29" s="25"/>
    </row>
    <row r="30" spans="1:19" x14ac:dyDescent="0.25">
      <c r="A30" s="128">
        <v>2</v>
      </c>
      <c r="B30" s="191" t="s">
        <v>264</v>
      </c>
      <c r="C30" s="130" t="s">
        <v>168</v>
      </c>
      <c r="D30" s="130"/>
      <c r="E30" s="130" t="s">
        <v>127</v>
      </c>
      <c r="F30" s="130" t="s">
        <v>138</v>
      </c>
      <c r="G30" s="130" t="s">
        <v>42</v>
      </c>
      <c r="H30" s="131" t="s">
        <v>265</v>
      </c>
      <c r="I30" s="130" t="s">
        <v>40</v>
      </c>
      <c r="J30" s="132">
        <v>1000</v>
      </c>
      <c r="K30" s="129">
        <v>200</v>
      </c>
      <c r="L30" s="126" t="s">
        <v>120</v>
      </c>
      <c r="M30" s="126" t="s">
        <v>41</v>
      </c>
      <c r="O30">
        <f t="shared" si="0"/>
        <v>200</v>
      </c>
      <c r="R30" s="25"/>
    </row>
    <row r="31" spans="1:19" x14ac:dyDescent="0.25">
      <c r="A31" s="128">
        <v>2</v>
      </c>
      <c r="B31" s="191" t="s">
        <v>202</v>
      </c>
      <c r="C31" s="130" t="s">
        <v>266</v>
      </c>
      <c r="D31" s="130"/>
      <c r="E31" s="168" t="s">
        <v>129</v>
      </c>
      <c r="F31" s="130" t="s">
        <v>267</v>
      </c>
      <c r="G31" s="130" t="s">
        <v>79</v>
      </c>
      <c r="H31" s="131" t="s">
        <v>268</v>
      </c>
      <c r="I31" s="133" t="s">
        <v>40</v>
      </c>
      <c r="J31" s="132">
        <v>500</v>
      </c>
      <c r="K31" s="129">
        <v>100</v>
      </c>
      <c r="L31" s="126" t="s">
        <v>120</v>
      </c>
      <c r="M31" s="126" t="s">
        <v>41</v>
      </c>
      <c r="O31">
        <f t="shared" si="0"/>
        <v>100</v>
      </c>
      <c r="R31" s="25"/>
    </row>
    <row r="32" spans="1:19" x14ac:dyDescent="0.25">
      <c r="A32" s="128">
        <v>2</v>
      </c>
      <c r="B32" s="191" t="s">
        <v>230</v>
      </c>
      <c r="C32" s="130" t="s">
        <v>269</v>
      </c>
      <c r="D32" s="130"/>
      <c r="E32" s="130" t="s">
        <v>127</v>
      </c>
      <c r="F32" s="130" t="s">
        <v>195</v>
      </c>
      <c r="G32" s="130" t="s">
        <v>43</v>
      </c>
      <c r="H32" s="131" t="s">
        <v>270</v>
      </c>
      <c r="I32" s="130" t="s">
        <v>40</v>
      </c>
      <c r="J32" s="132">
        <v>3000</v>
      </c>
      <c r="K32" s="129">
        <v>600</v>
      </c>
      <c r="L32" s="126" t="s">
        <v>120</v>
      </c>
      <c r="M32" s="126" t="s">
        <v>41</v>
      </c>
      <c r="O32">
        <f t="shared" si="0"/>
        <v>600</v>
      </c>
    </row>
    <row r="33" spans="1:21" x14ac:dyDescent="0.25">
      <c r="A33" s="128">
        <v>2</v>
      </c>
      <c r="B33" s="191" t="s">
        <v>189</v>
      </c>
      <c r="C33" s="130" t="s">
        <v>190</v>
      </c>
      <c r="D33" s="130"/>
      <c r="E33" s="168" t="s">
        <v>129</v>
      </c>
      <c r="F33" s="130" t="s">
        <v>152</v>
      </c>
      <c r="G33" s="130" t="s">
        <v>60</v>
      </c>
      <c r="H33" s="131" t="s">
        <v>271</v>
      </c>
      <c r="I33" s="133" t="s">
        <v>40</v>
      </c>
      <c r="J33" s="132">
        <v>3000</v>
      </c>
      <c r="K33" s="129">
        <v>600</v>
      </c>
      <c r="L33" s="126" t="s">
        <v>120</v>
      </c>
      <c r="M33" s="126" t="s">
        <v>41</v>
      </c>
      <c r="O33">
        <f t="shared" si="0"/>
        <v>600</v>
      </c>
    </row>
    <row r="34" spans="1:21" x14ac:dyDescent="0.25">
      <c r="A34" s="128">
        <v>2</v>
      </c>
      <c r="B34" s="191" t="s">
        <v>161</v>
      </c>
      <c r="C34" s="130" t="s">
        <v>272</v>
      </c>
      <c r="D34" s="130"/>
      <c r="E34" s="168" t="s">
        <v>129</v>
      </c>
      <c r="F34" s="130" t="s">
        <v>134</v>
      </c>
      <c r="G34" s="130" t="s">
        <v>43</v>
      </c>
      <c r="H34" s="131" t="s">
        <v>225</v>
      </c>
      <c r="I34" s="133" t="s">
        <v>40</v>
      </c>
      <c r="J34" s="132">
        <v>2500</v>
      </c>
      <c r="K34" s="129">
        <v>500</v>
      </c>
      <c r="L34" s="126" t="s">
        <v>120</v>
      </c>
      <c r="M34" s="126" t="s">
        <v>41</v>
      </c>
      <c r="O34">
        <f t="shared" si="0"/>
        <v>500</v>
      </c>
      <c r="R34" s="25"/>
      <c r="S34" s="25"/>
      <c r="T34" s="25"/>
      <c r="U34" s="25"/>
    </row>
    <row r="35" spans="1:21" x14ac:dyDescent="0.25">
      <c r="A35" s="128">
        <v>2</v>
      </c>
      <c r="B35" s="191" t="s">
        <v>273</v>
      </c>
      <c r="C35" s="130" t="s">
        <v>274</v>
      </c>
      <c r="D35" s="130"/>
      <c r="E35" s="130" t="s">
        <v>127</v>
      </c>
      <c r="F35" s="130" t="s">
        <v>128</v>
      </c>
      <c r="G35" s="130" t="s">
        <v>54</v>
      </c>
      <c r="H35" s="131" t="s">
        <v>275</v>
      </c>
      <c r="I35" s="133" t="s">
        <v>40</v>
      </c>
      <c r="J35" s="132">
        <v>400</v>
      </c>
      <c r="K35" s="129">
        <v>80</v>
      </c>
      <c r="L35" s="126" t="s">
        <v>120</v>
      </c>
      <c r="M35" s="126" t="s">
        <v>41</v>
      </c>
      <c r="O35">
        <f t="shared" si="0"/>
        <v>80</v>
      </c>
      <c r="R35" s="25"/>
    </row>
    <row r="36" spans="1:21" x14ac:dyDescent="0.25">
      <c r="A36" s="128">
        <v>2</v>
      </c>
      <c r="B36" s="191" t="s">
        <v>276</v>
      </c>
      <c r="C36" s="130" t="s">
        <v>277</v>
      </c>
      <c r="D36" s="130"/>
      <c r="E36" s="168" t="s">
        <v>129</v>
      </c>
      <c r="F36" s="130" t="s">
        <v>132</v>
      </c>
      <c r="G36" s="130" t="s">
        <v>54</v>
      </c>
      <c r="H36" s="131" t="s">
        <v>278</v>
      </c>
      <c r="I36" s="133" t="s">
        <v>40</v>
      </c>
      <c r="J36" s="132">
        <v>500</v>
      </c>
      <c r="K36" s="129">
        <v>100</v>
      </c>
      <c r="L36" s="126" t="s">
        <v>120</v>
      </c>
      <c r="M36" s="126" t="s">
        <v>41</v>
      </c>
      <c r="O36">
        <f t="shared" si="0"/>
        <v>100</v>
      </c>
    </row>
    <row r="37" spans="1:21" x14ac:dyDescent="0.25">
      <c r="A37" s="128">
        <v>2</v>
      </c>
      <c r="B37" s="191" t="s">
        <v>210</v>
      </c>
      <c r="C37" s="130" t="s">
        <v>279</v>
      </c>
      <c r="D37" s="130"/>
      <c r="E37" s="130" t="s">
        <v>127</v>
      </c>
      <c r="F37" s="130" t="s">
        <v>140</v>
      </c>
      <c r="G37" s="130" t="s">
        <v>49</v>
      </c>
      <c r="H37" s="131"/>
      <c r="I37" s="133" t="s">
        <v>40</v>
      </c>
      <c r="J37" s="132">
        <v>1000</v>
      </c>
      <c r="K37" s="129">
        <v>200</v>
      </c>
      <c r="L37" s="126" t="s">
        <v>120</v>
      </c>
      <c r="M37" s="126" t="s">
        <v>41</v>
      </c>
      <c r="O37">
        <f t="shared" si="0"/>
        <v>200</v>
      </c>
    </row>
    <row r="38" spans="1:21" x14ac:dyDescent="0.25">
      <c r="A38" s="128">
        <v>2</v>
      </c>
      <c r="B38" s="191" t="s">
        <v>181</v>
      </c>
      <c r="C38" s="130" t="s">
        <v>228</v>
      </c>
      <c r="D38" s="130"/>
      <c r="E38" s="168" t="s">
        <v>129</v>
      </c>
      <c r="F38" s="130" t="s">
        <v>280</v>
      </c>
      <c r="G38" s="130" t="s">
        <v>58</v>
      </c>
      <c r="H38" s="131" t="s">
        <v>282</v>
      </c>
      <c r="I38" s="130" t="s">
        <v>40</v>
      </c>
      <c r="J38" s="132">
        <v>500</v>
      </c>
      <c r="K38" s="129">
        <v>100</v>
      </c>
      <c r="L38" s="126" t="s">
        <v>120</v>
      </c>
      <c r="M38" s="126" t="s">
        <v>41</v>
      </c>
      <c r="O38">
        <f t="shared" si="0"/>
        <v>100</v>
      </c>
    </row>
    <row r="39" spans="1:21" x14ac:dyDescent="0.25">
      <c r="A39" s="128">
        <v>2</v>
      </c>
      <c r="B39" s="191" t="s">
        <v>185</v>
      </c>
      <c r="C39" s="130" t="s">
        <v>179</v>
      </c>
      <c r="D39" s="130"/>
      <c r="E39" s="130" t="s">
        <v>127</v>
      </c>
      <c r="F39" s="130" t="s">
        <v>156</v>
      </c>
      <c r="G39" s="130" t="s">
        <v>54</v>
      </c>
      <c r="H39" s="131" t="s">
        <v>281</v>
      </c>
      <c r="I39" s="130" t="s">
        <v>40</v>
      </c>
      <c r="J39" s="136">
        <v>1000</v>
      </c>
      <c r="K39" s="164">
        <v>200</v>
      </c>
      <c r="L39" s="126" t="s">
        <v>120</v>
      </c>
      <c r="M39" s="126" t="s">
        <v>41</v>
      </c>
      <c r="O39">
        <f t="shared" si="0"/>
        <v>200</v>
      </c>
    </row>
    <row r="40" spans="1:21" x14ac:dyDescent="0.25">
      <c r="A40" s="128">
        <v>2</v>
      </c>
      <c r="B40" s="191" t="s">
        <v>286</v>
      </c>
      <c r="C40" s="130" t="s">
        <v>285</v>
      </c>
      <c r="D40" s="130"/>
      <c r="E40" s="130" t="s">
        <v>127</v>
      </c>
      <c r="F40" s="130" t="s">
        <v>284</v>
      </c>
      <c r="G40" s="130" t="s">
        <v>58</v>
      </c>
      <c r="H40" s="131" t="s">
        <v>283</v>
      </c>
      <c r="I40" s="130" t="s">
        <v>40</v>
      </c>
      <c r="J40" s="136">
        <v>500</v>
      </c>
      <c r="K40" s="164">
        <v>100</v>
      </c>
      <c r="L40" s="126" t="s">
        <v>120</v>
      </c>
      <c r="M40" s="126" t="s">
        <v>41</v>
      </c>
      <c r="O40">
        <f t="shared" si="0"/>
        <v>100</v>
      </c>
    </row>
    <row r="41" spans="1:21" x14ac:dyDescent="0.25">
      <c r="A41" s="128">
        <v>6</v>
      </c>
      <c r="B41" s="191" t="s">
        <v>219</v>
      </c>
      <c r="C41" s="130" t="s">
        <v>229</v>
      </c>
      <c r="D41" s="130"/>
      <c r="E41" s="130" t="s">
        <v>127</v>
      </c>
      <c r="F41" s="130" t="s">
        <v>64</v>
      </c>
      <c r="G41" s="130" t="s">
        <v>57</v>
      </c>
      <c r="H41" s="131" t="s">
        <v>287</v>
      </c>
      <c r="I41" s="130" t="s">
        <v>40</v>
      </c>
      <c r="J41" s="136">
        <v>10000</v>
      </c>
      <c r="K41" s="164">
        <v>2000</v>
      </c>
      <c r="L41" s="126" t="s">
        <v>120</v>
      </c>
      <c r="M41" s="126" t="s">
        <v>41</v>
      </c>
      <c r="O41">
        <f t="shared" si="0"/>
        <v>2000</v>
      </c>
    </row>
    <row r="42" spans="1:21" x14ac:dyDescent="0.25">
      <c r="A42" s="128">
        <v>6</v>
      </c>
      <c r="B42" s="191" t="s">
        <v>288</v>
      </c>
      <c r="C42" s="130" t="s">
        <v>162</v>
      </c>
      <c r="D42" s="130"/>
      <c r="E42" s="168" t="s">
        <v>129</v>
      </c>
      <c r="F42" s="130" t="s">
        <v>215</v>
      </c>
      <c r="G42" s="130" t="s">
        <v>59</v>
      </c>
      <c r="H42" s="131" t="s">
        <v>216</v>
      </c>
      <c r="I42" s="130" t="s">
        <v>40</v>
      </c>
      <c r="J42" s="136">
        <v>3000</v>
      </c>
      <c r="K42" s="164">
        <v>600</v>
      </c>
      <c r="L42" s="126" t="s">
        <v>120</v>
      </c>
      <c r="M42" s="126" t="s">
        <v>41</v>
      </c>
      <c r="O42">
        <f t="shared" si="0"/>
        <v>600</v>
      </c>
    </row>
    <row r="43" spans="1:21" x14ac:dyDescent="0.25">
      <c r="A43" s="128">
        <v>6</v>
      </c>
      <c r="B43" s="191" t="s">
        <v>197</v>
      </c>
      <c r="C43" s="130" t="s">
        <v>201</v>
      </c>
      <c r="D43" s="130"/>
      <c r="E43" s="168" t="s">
        <v>129</v>
      </c>
      <c r="F43" s="130" t="s">
        <v>130</v>
      </c>
      <c r="G43" s="130" t="s">
        <v>43</v>
      </c>
      <c r="H43" s="131" t="s">
        <v>155</v>
      </c>
      <c r="I43" s="130" t="s">
        <v>40</v>
      </c>
      <c r="J43" s="136">
        <v>20000</v>
      </c>
      <c r="K43" s="164">
        <v>40000</v>
      </c>
      <c r="L43" s="126" t="s">
        <v>120</v>
      </c>
      <c r="M43" s="126" t="s">
        <v>41</v>
      </c>
      <c r="O43">
        <f t="shared" si="0"/>
        <v>4000</v>
      </c>
    </row>
    <row r="44" spans="1:21" x14ac:dyDescent="0.25">
      <c r="A44" s="128">
        <v>6</v>
      </c>
      <c r="B44" s="191" t="s">
        <v>289</v>
      </c>
      <c r="C44" s="130" t="s">
        <v>290</v>
      </c>
      <c r="D44" s="130"/>
      <c r="E44" s="130" t="s">
        <v>127</v>
      </c>
      <c r="F44" s="130" t="s">
        <v>151</v>
      </c>
      <c r="G44" s="130" t="s">
        <v>42</v>
      </c>
      <c r="H44" s="131" t="s">
        <v>291</v>
      </c>
      <c r="I44" s="130" t="s">
        <v>40</v>
      </c>
      <c r="J44" s="136">
        <v>2000</v>
      </c>
      <c r="K44" s="164">
        <v>4000</v>
      </c>
      <c r="L44" s="126" t="s">
        <v>120</v>
      </c>
      <c r="M44" s="126" t="s">
        <v>41</v>
      </c>
      <c r="O44">
        <f t="shared" si="0"/>
        <v>400</v>
      </c>
      <c r="S44" s="25"/>
    </row>
    <row r="45" spans="1:21" x14ac:dyDescent="0.25">
      <c r="A45" s="128">
        <v>6</v>
      </c>
      <c r="B45" s="191" t="s">
        <v>292</v>
      </c>
      <c r="C45" s="130" t="s">
        <v>293</v>
      </c>
      <c r="D45" s="130"/>
      <c r="E45" s="130" t="s">
        <v>127</v>
      </c>
      <c r="F45" s="130" t="s">
        <v>143</v>
      </c>
      <c r="G45" s="130" t="s">
        <v>44</v>
      </c>
      <c r="H45" s="131" t="s">
        <v>294</v>
      </c>
      <c r="I45" s="130" t="s">
        <v>40</v>
      </c>
      <c r="J45" s="136">
        <v>4000</v>
      </c>
      <c r="K45" s="164">
        <v>800</v>
      </c>
      <c r="L45" s="126" t="s">
        <v>120</v>
      </c>
      <c r="M45" s="126" t="s">
        <v>41</v>
      </c>
      <c r="O45">
        <f t="shared" si="0"/>
        <v>800</v>
      </c>
    </row>
    <row r="46" spans="1:21" x14ac:dyDescent="0.25">
      <c r="A46" s="128">
        <v>6</v>
      </c>
      <c r="B46" s="191" t="s">
        <v>295</v>
      </c>
      <c r="C46" s="130" t="s">
        <v>296</v>
      </c>
      <c r="D46" s="130"/>
      <c r="E46" s="168" t="s">
        <v>129</v>
      </c>
      <c r="F46" s="130" t="s">
        <v>139</v>
      </c>
      <c r="G46" s="130" t="s">
        <v>42</v>
      </c>
      <c r="H46" s="131" t="s">
        <v>297</v>
      </c>
      <c r="I46" s="130" t="s">
        <v>40</v>
      </c>
      <c r="J46" s="136">
        <v>300</v>
      </c>
      <c r="K46" s="164">
        <v>60</v>
      </c>
      <c r="L46" s="126" t="s">
        <v>120</v>
      </c>
      <c r="M46" s="126" t="s">
        <v>41</v>
      </c>
      <c r="O46">
        <f t="shared" si="0"/>
        <v>60</v>
      </c>
    </row>
    <row r="47" spans="1:21" x14ac:dyDescent="0.25">
      <c r="A47" s="128">
        <v>6</v>
      </c>
      <c r="B47" s="191" t="s">
        <v>298</v>
      </c>
      <c r="C47" s="130" t="s">
        <v>175</v>
      </c>
      <c r="D47" s="130"/>
      <c r="E47" s="130" t="s">
        <v>127</v>
      </c>
      <c r="F47" s="130" t="s">
        <v>159</v>
      </c>
      <c r="G47" s="130" t="s">
        <v>47</v>
      </c>
      <c r="H47" s="131" t="s">
        <v>299</v>
      </c>
      <c r="I47" s="130" t="s">
        <v>40</v>
      </c>
      <c r="J47" s="136">
        <v>1000</v>
      </c>
      <c r="K47" s="164">
        <v>200</v>
      </c>
      <c r="L47" s="126" t="s">
        <v>120</v>
      </c>
      <c r="M47" s="126" t="s">
        <v>41</v>
      </c>
      <c r="O47">
        <f t="shared" si="0"/>
        <v>200</v>
      </c>
    </row>
    <row r="48" spans="1:21" x14ac:dyDescent="0.25">
      <c r="A48" s="128">
        <v>6</v>
      </c>
      <c r="B48" s="191" t="s">
        <v>466</v>
      </c>
      <c r="C48" s="130" t="s">
        <v>198</v>
      </c>
      <c r="D48" s="130"/>
      <c r="E48" s="130" t="s">
        <v>127</v>
      </c>
      <c r="F48" s="130" t="s">
        <v>144</v>
      </c>
      <c r="G48" s="130" t="s">
        <v>43</v>
      </c>
      <c r="H48" s="131" t="s">
        <v>300</v>
      </c>
      <c r="I48" s="130" t="s">
        <v>40</v>
      </c>
      <c r="J48" s="136">
        <v>1500</v>
      </c>
      <c r="K48" s="164">
        <v>300</v>
      </c>
      <c r="L48" s="126" t="s">
        <v>120</v>
      </c>
      <c r="M48" s="126" t="s">
        <v>41</v>
      </c>
      <c r="O48">
        <f t="shared" si="0"/>
        <v>300</v>
      </c>
    </row>
    <row r="49" spans="1:19" x14ac:dyDescent="0.25">
      <c r="A49" s="128">
        <v>6</v>
      </c>
      <c r="B49" s="191" t="s">
        <v>301</v>
      </c>
      <c r="C49" s="130" t="s">
        <v>302</v>
      </c>
      <c r="D49" s="130"/>
      <c r="E49" s="168" t="s">
        <v>129</v>
      </c>
      <c r="F49" s="130" t="s">
        <v>177</v>
      </c>
      <c r="G49" s="130" t="s">
        <v>48</v>
      </c>
      <c r="H49" s="131" t="s">
        <v>303</v>
      </c>
      <c r="I49" s="130" t="s">
        <v>40</v>
      </c>
      <c r="J49" s="136">
        <v>500</v>
      </c>
      <c r="K49" s="164">
        <v>100</v>
      </c>
      <c r="L49" s="126" t="s">
        <v>120</v>
      </c>
      <c r="M49" s="126" t="s">
        <v>41</v>
      </c>
      <c r="O49">
        <f t="shared" si="0"/>
        <v>100</v>
      </c>
    </row>
    <row r="50" spans="1:19" x14ac:dyDescent="0.25">
      <c r="A50" s="128">
        <v>6</v>
      </c>
      <c r="B50" s="191" t="s">
        <v>171</v>
      </c>
      <c r="C50" s="130" t="s">
        <v>304</v>
      </c>
      <c r="D50" s="130" t="s">
        <v>305</v>
      </c>
      <c r="E50" s="130" t="s">
        <v>127</v>
      </c>
      <c r="F50" s="130"/>
      <c r="G50" s="130" t="s">
        <v>45</v>
      </c>
      <c r="H50" s="131" t="s">
        <v>306</v>
      </c>
      <c r="I50" s="130" t="s">
        <v>40</v>
      </c>
      <c r="J50" s="136">
        <v>5000</v>
      </c>
      <c r="K50" s="164">
        <v>1000</v>
      </c>
      <c r="L50" s="126" t="s">
        <v>120</v>
      </c>
      <c r="M50" s="126" t="s">
        <v>41</v>
      </c>
      <c r="O50">
        <f t="shared" si="0"/>
        <v>1000</v>
      </c>
    </row>
    <row r="51" spans="1:19" x14ac:dyDescent="0.25">
      <c r="A51" s="128">
        <v>6</v>
      </c>
      <c r="B51" s="191" t="s">
        <v>214</v>
      </c>
      <c r="C51" s="130" t="s">
        <v>180</v>
      </c>
      <c r="D51" s="130"/>
      <c r="E51" s="130" t="s">
        <v>127</v>
      </c>
      <c r="F51" s="130" t="s">
        <v>307</v>
      </c>
      <c r="G51" s="130" t="s">
        <v>49</v>
      </c>
      <c r="H51" s="131" t="s">
        <v>308</v>
      </c>
      <c r="I51" s="133" t="s">
        <v>40</v>
      </c>
      <c r="J51" s="136">
        <v>1000</v>
      </c>
      <c r="K51" s="164">
        <v>200</v>
      </c>
      <c r="L51" s="126" t="s">
        <v>120</v>
      </c>
      <c r="M51" s="126" t="s">
        <v>41</v>
      </c>
      <c r="O51">
        <f t="shared" si="0"/>
        <v>200</v>
      </c>
      <c r="S51" s="57"/>
    </row>
    <row r="52" spans="1:19" x14ac:dyDescent="0.25">
      <c r="A52" s="128">
        <v>7</v>
      </c>
      <c r="B52" s="191" t="s">
        <v>208</v>
      </c>
      <c r="C52" s="130" t="s">
        <v>209</v>
      </c>
      <c r="D52" s="130"/>
      <c r="E52" s="130" t="s">
        <v>127</v>
      </c>
      <c r="F52" s="130" t="s">
        <v>158</v>
      </c>
      <c r="G52" s="130" t="s">
        <v>42</v>
      </c>
      <c r="H52" s="131" t="s">
        <v>309</v>
      </c>
      <c r="I52" s="130" t="s">
        <v>40</v>
      </c>
      <c r="J52" s="136">
        <v>8000</v>
      </c>
      <c r="K52" s="164">
        <v>1600</v>
      </c>
      <c r="L52" s="126" t="s">
        <v>120</v>
      </c>
      <c r="M52" s="126" t="s">
        <v>41</v>
      </c>
      <c r="O52">
        <f t="shared" si="0"/>
        <v>1600</v>
      </c>
    </row>
    <row r="53" spans="1:19" x14ac:dyDescent="0.25">
      <c r="A53" s="128">
        <v>7</v>
      </c>
      <c r="B53" s="191" t="s">
        <v>163</v>
      </c>
      <c r="C53" s="130" t="s">
        <v>310</v>
      </c>
      <c r="D53" s="130"/>
      <c r="E53" s="130" t="s">
        <v>127</v>
      </c>
      <c r="F53" s="130" t="s">
        <v>311</v>
      </c>
      <c r="G53" s="130" t="s">
        <v>42</v>
      </c>
      <c r="H53" s="131"/>
      <c r="I53" s="130" t="s">
        <v>40</v>
      </c>
      <c r="J53" s="136">
        <v>2500</v>
      </c>
      <c r="K53" s="164">
        <v>500</v>
      </c>
      <c r="L53" s="126" t="s">
        <v>120</v>
      </c>
      <c r="M53" s="126" t="s">
        <v>41</v>
      </c>
      <c r="O53">
        <f t="shared" si="0"/>
        <v>500</v>
      </c>
    </row>
    <row r="54" spans="1:19" x14ac:dyDescent="0.25">
      <c r="A54" s="128">
        <v>7</v>
      </c>
      <c r="B54" s="191" t="s">
        <v>161</v>
      </c>
      <c r="C54" s="130" t="s">
        <v>312</v>
      </c>
      <c r="D54" s="130"/>
      <c r="E54" s="168" t="s">
        <v>129</v>
      </c>
      <c r="F54" s="130" t="s">
        <v>134</v>
      </c>
      <c r="G54" s="130" t="s">
        <v>43</v>
      </c>
      <c r="H54" s="131" t="s">
        <v>313</v>
      </c>
      <c r="I54" s="130" t="s">
        <v>40</v>
      </c>
      <c r="J54" s="136">
        <v>2500</v>
      </c>
      <c r="K54" s="164">
        <v>500</v>
      </c>
      <c r="L54" s="126" t="s">
        <v>120</v>
      </c>
      <c r="M54" s="126" t="s">
        <v>41</v>
      </c>
      <c r="O54">
        <f t="shared" si="0"/>
        <v>500</v>
      </c>
    </row>
    <row r="55" spans="1:19" x14ac:dyDescent="0.25">
      <c r="A55" s="128">
        <v>9</v>
      </c>
      <c r="B55" s="191" t="s">
        <v>192</v>
      </c>
      <c r="C55" s="130" t="s">
        <v>316</v>
      </c>
      <c r="D55" s="130"/>
      <c r="E55" s="130" t="s">
        <v>127</v>
      </c>
      <c r="F55" s="130" t="s">
        <v>133</v>
      </c>
      <c r="G55" s="130" t="s">
        <v>43</v>
      </c>
      <c r="H55" s="131" t="s">
        <v>317</v>
      </c>
      <c r="I55" s="130" t="s">
        <v>40</v>
      </c>
      <c r="J55" s="136">
        <v>300</v>
      </c>
      <c r="K55" s="164">
        <v>60</v>
      </c>
      <c r="L55" s="126" t="s">
        <v>120</v>
      </c>
      <c r="M55" s="126" t="s">
        <v>41</v>
      </c>
      <c r="O55">
        <f t="shared" si="0"/>
        <v>60</v>
      </c>
    </row>
    <row r="56" spans="1:19" x14ac:dyDescent="0.25">
      <c r="A56" s="128">
        <v>9</v>
      </c>
      <c r="B56" s="191" t="s">
        <v>318</v>
      </c>
      <c r="C56" s="130" t="s">
        <v>319</v>
      </c>
      <c r="D56" s="130"/>
      <c r="E56" s="130" t="s">
        <v>127</v>
      </c>
      <c r="F56" s="130" t="s">
        <v>203</v>
      </c>
      <c r="G56" s="130" t="s">
        <v>58</v>
      </c>
      <c r="H56" s="131" t="s">
        <v>320</v>
      </c>
      <c r="I56" s="133" t="s">
        <v>40</v>
      </c>
      <c r="J56" s="136">
        <v>200</v>
      </c>
      <c r="K56" s="164">
        <v>40</v>
      </c>
      <c r="L56" s="126" t="s">
        <v>120</v>
      </c>
      <c r="M56" s="126" t="s">
        <v>41</v>
      </c>
      <c r="O56">
        <f t="shared" si="0"/>
        <v>40</v>
      </c>
    </row>
    <row r="57" spans="1:19" x14ac:dyDescent="0.25">
      <c r="A57" s="128">
        <v>9</v>
      </c>
      <c r="B57" s="191" t="s">
        <v>321</v>
      </c>
      <c r="C57" s="130" t="s">
        <v>322</v>
      </c>
      <c r="D57" s="130"/>
      <c r="E57" s="130" t="s">
        <v>127</v>
      </c>
      <c r="F57" s="130" t="s">
        <v>151</v>
      </c>
      <c r="G57" s="130" t="s">
        <v>42</v>
      </c>
      <c r="H57" s="131" t="s">
        <v>323</v>
      </c>
      <c r="I57" s="130" t="s">
        <v>40</v>
      </c>
      <c r="J57" s="136">
        <v>1000</v>
      </c>
      <c r="K57" s="164">
        <v>200</v>
      </c>
      <c r="L57" s="126" t="s">
        <v>120</v>
      </c>
      <c r="M57" s="126" t="s">
        <v>41</v>
      </c>
      <c r="O57">
        <f t="shared" si="0"/>
        <v>200</v>
      </c>
    </row>
    <row r="58" spans="1:19" x14ac:dyDescent="0.25">
      <c r="A58" s="128">
        <v>9</v>
      </c>
      <c r="B58" s="191" t="s">
        <v>324</v>
      </c>
      <c r="C58" s="191" t="s">
        <v>200</v>
      </c>
      <c r="D58" s="130"/>
      <c r="E58" s="130" t="s">
        <v>127</v>
      </c>
      <c r="F58" s="130" t="s">
        <v>137</v>
      </c>
      <c r="G58" s="130" t="s">
        <v>45</v>
      </c>
      <c r="H58" s="131" t="s">
        <v>325</v>
      </c>
      <c r="I58" s="133" t="s">
        <v>40</v>
      </c>
      <c r="J58" s="136">
        <v>200</v>
      </c>
      <c r="K58" s="164">
        <v>40</v>
      </c>
      <c r="L58" s="126" t="s">
        <v>120</v>
      </c>
      <c r="M58" s="126" t="s">
        <v>41</v>
      </c>
      <c r="O58">
        <f t="shared" si="0"/>
        <v>40</v>
      </c>
    </row>
    <row r="59" spans="1:19" x14ac:dyDescent="0.25">
      <c r="A59" s="128">
        <v>9</v>
      </c>
      <c r="B59" s="191" t="s">
        <v>181</v>
      </c>
      <c r="C59" s="130" t="s">
        <v>326</v>
      </c>
      <c r="D59" s="130"/>
      <c r="E59" s="130" t="s">
        <v>127</v>
      </c>
      <c r="F59" s="130"/>
      <c r="G59" s="130" t="s">
        <v>55</v>
      </c>
      <c r="H59" s="131"/>
      <c r="I59" s="133" t="s">
        <v>40</v>
      </c>
      <c r="J59" s="136">
        <v>3000</v>
      </c>
      <c r="K59" s="164">
        <v>600</v>
      </c>
      <c r="L59" s="126" t="s">
        <v>120</v>
      </c>
      <c r="M59" s="126" t="s">
        <v>41</v>
      </c>
      <c r="O59">
        <f t="shared" si="0"/>
        <v>600</v>
      </c>
    </row>
    <row r="60" spans="1:19" x14ac:dyDescent="0.25">
      <c r="A60" s="128">
        <v>9</v>
      </c>
      <c r="B60" s="191" t="s">
        <v>327</v>
      </c>
      <c r="C60" s="130" t="s">
        <v>328</v>
      </c>
      <c r="D60" s="130"/>
      <c r="E60" s="130" t="s">
        <v>127</v>
      </c>
      <c r="F60" s="130" t="s">
        <v>174</v>
      </c>
      <c r="G60" s="130" t="s">
        <v>57</v>
      </c>
      <c r="H60" s="131" t="s">
        <v>329</v>
      </c>
      <c r="I60" s="133" t="s">
        <v>40</v>
      </c>
      <c r="J60" s="136">
        <v>300</v>
      </c>
      <c r="K60" s="164">
        <v>60</v>
      </c>
      <c r="L60" s="126" t="s">
        <v>120</v>
      </c>
      <c r="M60" s="126" t="s">
        <v>41</v>
      </c>
      <c r="O60">
        <f t="shared" si="0"/>
        <v>60</v>
      </c>
      <c r="R60" s="25"/>
    </row>
    <row r="61" spans="1:19" x14ac:dyDescent="0.25">
      <c r="A61" s="128">
        <v>9</v>
      </c>
      <c r="B61" s="191" t="s">
        <v>330</v>
      </c>
      <c r="C61" s="130" t="s">
        <v>331</v>
      </c>
      <c r="D61" s="130"/>
      <c r="E61" s="130" t="s">
        <v>127</v>
      </c>
      <c r="F61" s="130" t="s">
        <v>146</v>
      </c>
      <c r="G61" s="130" t="s">
        <v>57</v>
      </c>
      <c r="H61" s="131" t="s">
        <v>332</v>
      </c>
      <c r="I61" s="130" t="s">
        <v>40</v>
      </c>
      <c r="J61" s="136">
        <v>2000</v>
      </c>
      <c r="K61" s="164">
        <v>400</v>
      </c>
      <c r="L61" s="126" t="s">
        <v>120</v>
      </c>
      <c r="M61" s="126" t="s">
        <v>41</v>
      </c>
      <c r="O61">
        <f t="shared" si="0"/>
        <v>400</v>
      </c>
      <c r="R61" s="25"/>
    </row>
    <row r="62" spans="1:19" x14ac:dyDescent="0.25">
      <c r="A62" s="128">
        <v>9</v>
      </c>
      <c r="B62" s="191" t="s">
        <v>227</v>
      </c>
      <c r="C62" s="130" t="s">
        <v>333</v>
      </c>
      <c r="D62" s="130"/>
      <c r="E62" s="168" t="s">
        <v>129</v>
      </c>
      <c r="F62" s="130" t="s">
        <v>137</v>
      </c>
      <c r="G62" s="130" t="s">
        <v>45</v>
      </c>
      <c r="H62" s="131" t="s">
        <v>334</v>
      </c>
      <c r="I62" s="130" t="s">
        <v>40</v>
      </c>
      <c r="J62" s="136">
        <v>1500</v>
      </c>
      <c r="K62" s="164">
        <v>300</v>
      </c>
      <c r="L62" s="126" t="s">
        <v>120</v>
      </c>
      <c r="M62" s="126" t="s">
        <v>41</v>
      </c>
      <c r="O62">
        <f t="shared" si="0"/>
        <v>300</v>
      </c>
      <c r="R62" s="25"/>
    </row>
    <row r="63" spans="1:19" x14ac:dyDescent="0.25">
      <c r="A63" s="128">
        <v>9</v>
      </c>
      <c r="B63" s="191" t="s">
        <v>335</v>
      </c>
      <c r="C63" s="130" t="s">
        <v>336</v>
      </c>
      <c r="D63" s="130"/>
      <c r="E63" s="130" t="s">
        <v>127</v>
      </c>
      <c r="F63" s="130" t="s">
        <v>144</v>
      </c>
      <c r="G63" s="130" t="s">
        <v>43</v>
      </c>
      <c r="H63" s="131" t="s">
        <v>337</v>
      </c>
      <c r="I63" s="130" t="s">
        <v>40</v>
      </c>
      <c r="J63" s="136">
        <v>2000</v>
      </c>
      <c r="K63" s="164">
        <v>400</v>
      </c>
      <c r="L63" s="126" t="s">
        <v>120</v>
      </c>
      <c r="M63" s="126" t="s">
        <v>41</v>
      </c>
      <c r="O63">
        <f t="shared" si="0"/>
        <v>400</v>
      </c>
    </row>
    <row r="64" spans="1:19" x14ac:dyDescent="0.25">
      <c r="A64" s="128">
        <v>9</v>
      </c>
      <c r="B64" s="191" t="s">
        <v>338</v>
      </c>
      <c r="C64" s="130" t="s">
        <v>224</v>
      </c>
      <c r="D64" s="130"/>
      <c r="E64" s="130" t="s">
        <v>127</v>
      </c>
      <c r="F64" s="130" t="s">
        <v>237</v>
      </c>
      <c r="G64" s="130" t="s">
        <v>57</v>
      </c>
      <c r="H64" s="131" t="s">
        <v>337</v>
      </c>
      <c r="I64" s="133" t="s">
        <v>40</v>
      </c>
      <c r="J64" s="136">
        <v>1500</v>
      </c>
      <c r="K64" s="164">
        <v>300</v>
      </c>
      <c r="L64" s="126" t="s">
        <v>120</v>
      </c>
      <c r="M64" s="126" t="s">
        <v>41</v>
      </c>
      <c r="O64">
        <f t="shared" si="0"/>
        <v>300</v>
      </c>
    </row>
    <row r="65" spans="1:15" x14ac:dyDescent="0.25">
      <c r="A65" s="128">
        <v>9</v>
      </c>
      <c r="B65" s="192" t="s">
        <v>46</v>
      </c>
      <c r="C65" s="133" t="s">
        <v>180</v>
      </c>
      <c r="D65" s="133" t="s">
        <v>305</v>
      </c>
      <c r="E65" s="130" t="s">
        <v>127</v>
      </c>
      <c r="F65" s="130" t="s">
        <v>131</v>
      </c>
      <c r="G65" s="130" t="s">
        <v>45</v>
      </c>
      <c r="H65" s="131" t="s">
        <v>339</v>
      </c>
      <c r="I65" s="133" t="s">
        <v>40</v>
      </c>
      <c r="J65" s="136">
        <v>700</v>
      </c>
      <c r="K65" s="164">
        <v>140</v>
      </c>
      <c r="L65" s="126" t="s">
        <v>120</v>
      </c>
      <c r="M65" s="126" t="s">
        <v>41</v>
      </c>
      <c r="O65">
        <f t="shared" si="0"/>
        <v>140</v>
      </c>
    </row>
    <row r="66" spans="1:15" x14ac:dyDescent="0.25">
      <c r="A66" s="128">
        <v>9</v>
      </c>
      <c r="B66" s="192" t="s">
        <v>205</v>
      </c>
      <c r="C66" s="133" t="s">
        <v>206</v>
      </c>
      <c r="D66" s="133"/>
      <c r="E66" s="130" t="s">
        <v>127</v>
      </c>
      <c r="F66" s="130" t="s">
        <v>141</v>
      </c>
      <c r="G66" s="130" t="s">
        <v>42</v>
      </c>
      <c r="H66" s="131" t="s">
        <v>207</v>
      </c>
      <c r="I66" s="133" t="s">
        <v>40</v>
      </c>
      <c r="J66" s="136">
        <v>2000</v>
      </c>
      <c r="K66" s="164">
        <v>400</v>
      </c>
      <c r="L66" s="130" t="s">
        <v>120</v>
      </c>
      <c r="M66" s="130" t="s">
        <v>41</v>
      </c>
      <c r="O66">
        <f t="shared" si="0"/>
        <v>400</v>
      </c>
    </row>
    <row r="67" spans="1:15" x14ac:dyDescent="0.25">
      <c r="A67" s="128">
        <v>9</v>
      </c>
      <c r="B67" s="192" t="s">
        <v>183</v>
      </c>
      <c r="C67" s="133" t="s">
        <v>340</v>
      </c>
      <c r="D67" s="133"/>
      <c r="E67" s="130" t="s">
        <v>127</v>
      </c>
      <c r="F67" s="130" t="s">
        <v>199</v>
      </c>
      <c r="G67" s="199" t="s">
        <v>64</v>
      </c>
      <c r="H67" s="131"/>
      <c r="I67" s="130" t="s">
        <v>40</v>
      </c>
      <c r="J67" s="136">
        <v>1000</v>
      </c>
      <c r="K67" s="164" t="s">
        <v>123</v>
      </c>
      <c r="L67" s="126" t="s">
        <v>120</v>
      </c>
      <c r="M67" s="126" t="s">
        <v>41</v>
      </c>
      <c r="O67">
        <f t="shared" si="0"/>
        <v>200</v>
      </c>
    </row>
    <row r="68" spans="1:15" x14ac:dyDescent="0.25">
      <c r="A68" s="128">
        <v>9</v>
      </c>
      <c r="B68" s="192" t="s">
        <v>341</v>
      </c>
      <c r="C68" s="133" t="s">
        <v>342</v>
      </c>
      <c r="D68" s="133"/>
      <c r="E68" s="130" t="s">
        <v>127</v>
      </c>
      <c r="F68" s="130" t="s">
        <v>259</v>
      </c>
      <c r="G68" s="130" t="s">
        <v>42</v>
      </c>
      <c r="H68" s="131" t="s">
        <v>343</v>
      </c>
      <c r="I68" s="133" t="s">
        <v>40</v>
      </c>
      <c r="J68" s="136">
        <v>1500</v>
      </c>
      <c r="K68" s="164">
        <v>300</v>
      </c>
      <c r="L68" s="126" t="s">
        <v>120</v>
      </c>
      <c r="M68" s="126" t="s">
        <v>41</v>
      </c>
      <c r="O68">
        <f t="shared" si="0"/>
        <v>300</v>
      </c>
    </row>
    <row r="69" spans="1:15" x14ac:dyDescent="0.25">
      <c r="A69" s="128">
        <v>9</v>
      </c>
      <c r="B69" s="192" t="s">
        <v>344</v>
      </c>
      <c r="C69" s="133" t="s">
        <v>345</v>
      </c>
      <c r="D69" s="133"/>
      <c r="E69" s="130" t="s">
        <v>127</v>
      </c>
      <c r="F69" s="130" t="s">
        <v>346</v>
      </c>
      <c r="G69" s="130" t="s">
        <v>46</v>
      </c>
      <c r="H69" s="131" t="s">
        <v>347</v>
      </c>
      <c r="I69" s="133" t="s">
        <v>40</v>
      </c>
      <c r="J69" s="136">
        <v>2000</v>
      </c>
      <c r="K69" s="164">
        <v>400</v>
      </c>
      <c r="L69" s="126" t="s">
        <v>120</v>
      </c>
      <c r="M69" s="126" t="s">
        <v>41</v>
      </c>
      <c r="O69">
        <f t="shared" si="0"/>
        <v>400</v>
      </c>
    </row>
    <row r="70" spans="1:15" x14ac:dyDescent="0.25">
      <c r="A70" s="128">
        <v>9</v>
      </c>
      <c r="B70" s="192" t="s">
        <v>348</v>
      </c>
      <c r="C70" s="133" t="s">
        <v>349</v>
      </c>
      <c r="D70" s="133"/>
      <c r="E70" s="130" t="s">
        <v>127</v>
      </c>
      <c r="F70" s="130" t="s">
        <v>350</v>
      </c>
      <c r="G70" s="130" t="s">
        <v>46</v>
      </c>
      <c r="H70" s="131" t="s">
        <v>347</v>
      </c>
      <c r="I70" s="133" t="s">
        <v>40</v>
      </c>
      <c r="J70" s="136">
        <v>3000</v>
      </c>
      <c r="K70" s="164">
        <v>600</v>
      </c>
      <c r="L70" s="126" t="s">
        <v>120</v>
      </c>
      <c r="M70" s="126" t="s">
        <v>41</v>
      </c>
      <c r="O70">
        <f t="shared" si="0"/>
        <v>600</v>
      </c>
    </row>
    <row r="71" spans="1:15" x14ac:dyDescent="0.25">
      <c r="A71" s="128">
        <v>9</v>
      </c>
      <c r="B71" s="192" t="s">
        <v>351</v>
      </c>
      <c r="C71" s="133" t="s">
        <v>352</v>
      </c>
      <c r="D71" s="133"/>
      <c r="E71" s="130" t="s">
        <v>127</v>
      </c>
      <c r="F71" s="130" t="s">
        <v>57</v>
      </c>
      <c r="G71" s="130" t="s">
        <v>45</v>
      </c>
      <c r="H71" s="131"/>
      <c r="I71" s="133" t="s">
        <v>40</v>
      </c>
      <c r="J71" s="136">
        <v>2000</v>
      </c>
      <c r="K71" s="164">
        <v>400</v>
      </c>
      <c r="L71" s="126" t="s">
        <v>120</v>
      </c>
      <c r="M71" s="126" t="s">
        <v>41</v>
      </c>
      <c r="O71">
        <f t="shared" si="0"/>
        <v>400</v>
      </c>
    </row>
    <row r="72" spans="1:15" x14ac:dyDescent="0.25">
      <c r="A72" s="128">
        <v>9</v>
      </c>
      <c r="B72" s="192" t="s">
        <v>353</v>
      </c>
      <c r="C72" s="133" t="s">
        <v>354</v>
      </c>
      <c r="D72" s="133"/>
      <c r="E72" s="130" t="s">
        <v>127</v>
      </c>
      <c r="F72" s="130" t="s">
        <v>355</v>
      </c>
      <c r="G72" s="130" t="s">
        <v>64</v>
      </c>
      <c r="H72" s="131" t="s">
        <v>356</v>
      </c>
      <c r="I72" s="130" t="s">
        <v>40</v>
      </c>
      <c r="J72" s="136">
        <v>2000</v>
      </c>
      <c r="K72" s="164">
        <v>400</v>
      </c>
      <c r="L72" s="126" t="s">
        <v>120</v>
      </c>
      <c r="M72" s="126" t="s">
        <v>41</v>
      </c>
      <c r="O72">
        <f t="shared" si="0"/>
        <v>400</v>
      </c>
    </row>
    <row r="73" spans="1:15" x14ac:dyDescent="0.25">
      <c r="A73" s="142">
        <v>10</v>
      </c>
      <c r="B73" s="192" t="s">
        <v>357</v>
      </c>
      <c r="C73" s="133" t="s">
        <v>358</v>
      </c>
      <c r="D73" s="133"/>
      <c r="E73" s="130" t="s">
        <v>127</v>
      </c>
      <c r="F73" s="130"/>
      <c r="G73" s="130" t="s">
        <v>56</v>
      </c>
      <c r="H73" s="131"/>
      <c r="I73" s="130" t="s">
        <v>40</v>
      </c>
      <c r="J73" s="136">
        <v>200</v>
      </c>
      <c r="K73" s="164">
        <v>40</v>
      </c>
      <c r="L73" s="126" t="s">
        <v>120</v>
      </c>
      <c r="M73" s="126" t="s">
        <v>41</v>
      </c>
      <c r="O73">
        <f t="shared" si="0"/>
        <v>40</v>
      </c>
    </row>
    <row r="74" spans="1:15" x14ac:dyDescent="0.25">
      <c r="A74" s="142">
        <v>10</v>
      </c>
      <c r="B74" s="192" t="s">
        <v>359</v>
      </c>
      <c r="C74" s="133" t="s">
        <v>360</v>
      </c>
      <c r="D74" s="133"/>
      <c r="E74" s="168" t="s">
        <v>129</v>
      </c>
      <c r="F74" s="130" t="s">
        <v>361</v>
      </c>
      <c r="G74" s="130" t="s">
        <v>63</v>
      </c>
      <c r="H74" s="131" t="s">
        <v>216</v>
      </c>
      <c r="I74" s="133" t="s">
        <v>40</v>
      </c>
      <c r="J74" s="136">
        <v>4000</v>
      </c>
      <c r="K74" s="164">
        <v>800</v>
      </c>
      <c r="L74" s="126" t="s">
        <v>120</v>
      </c>
      <c r="M74" s="126" t="s">
        <v>41</v>
      </c>
      <c r="O74">
        <f t="shared" si="0"/>
        <v>800</v>
      </c>
    </row>
    <row r="75" spans="1:15" x14ac:dyDescent="0.25">
      <c r="A75" s="142">
        <v>10</v>
      </c>
      <c r="B75" s="192" t="s">
        <v>362</v>
      </c>
      <c r="C75" s="133" t="s">
        <v>363</v>
      </c>
      <c r="D75" s="133"/>
      <c r="E75" s="130" t="s">
        <v>127</v>
      </c>
      <c r="F75" s="130" t="s">
        <v>364</v>
      </c>
      <c r="G75" s="130" t="s">
        <v>63</v>
      </c>
      <c r="H75" s="131" t="s">
        <v>365</v>
      </c>
      <c r="I75" s="133" t="s">
        <v>40</v>
      </c>
      <c r="J75" s="136">
        <v>3000</v>
      </c>
      <c r="K75" s="164">
        <v>600</v>
      </c>
      <c r="L75" s="126" t="s">
        <v>120</v>
      </c>
      <c r="M75" s="126" t="s">
        <v>41</v>
      </c>
      <c r="O75">
        <f t="shared" si="0"/>
        <v>600</v>
      </c>
    </row>
    <row r="76" spans="1:15" x14ac:dyDescent="0.25">
      <c r="A76" s="142">
        <v>10</v>
      </c>
      <c r="B76" s="192" t="s">
        <v>366</v>
      </c>
      <c r="C76" s="133" t="s">
        <v>367</v>
      </c>
      <c r="D76" s="133"/>
      <c r="E76" s="130" t="s">
        <v>127</v>
      </c>
      <c r="F76" s="130" t="s">
        <v>280</v>
      </c>
      <c r="G76" s="130" t="s">
        <v>58</v>
      </c>
      <c r="H76" s="131" t="s">
        <v>368</v>
      </c>
      <c r="I76" s="130" t="s">
        <v>40</v>
      </c>
      <c r="J76" s="136">
        <v>2000</v>
      </c>
      <c r="K76" s="164">
        <v>400</v>
      </c>
      <c r="L76" s="126" t="s">
        <v>120</v>
      </c>
      <c r="M76" s="126" t="s">
        <v>41</v>
      </c>
      <c r="O76">
        <f t="shared" si="0"/>
        <v>400</v>
      </c>
    </row>
    <row r="77" spans="1:15" x14ac:dyDescent="0.25">
      <c r="A77" s="210">
        <v>10</v>
      </c>
      <c r="B77" s="192" t="s">
        <v>369</v>
      </c>
      <c r="C77" s="133" t="s">
        <v>370</v>
      </c>
      <c r="D77" s="133"/>
      <c r="E77" s="130" t="s">
        <v>127</v>
      </c>
      <c r="F77" s="130" t="s">
        <v>371</v>
      </c>
      <c r="G77" s="130" t="s">
        <v>43</v>
      </c>
      <c r="H77" s="131" t="s">
        <v>372</v>
      </c>
      <c r="I77" s="130" t="s">
        <v>40</v>
      </c>
      <c r="J77" s="136">
        <v>500</v>
      </c>
      <c r="K77" s="164" t="s">
        <v>123</v>
      </c>
      <c r="L77" s="126" t="s">
        <v>120</v>
      </c>
      <c r="M77" s="126" t="s">
        <v>41</v>
      </c>
      <c r="O77">
        <f t="shared" si="0"/>
        <v>100</v>
      </c>
    </row>
    <row r="78" spans="1:15" x14ac:dyDescent="0.25">
      <c r="A78" s="142">
        <v>17</v>
      </c>
      <c r="B78" s="192" t="s">
        <v>374</v>
      </c>
      <c r="C78" s="133" t="s">
        <v>375</v>
      </c>
      <c r="D78" s="133"/>
      <c r="E78" s="130" t="s">
        <v>127</v>
      </c>
      <c r="F78" s="130" t="s">
        <v>376</v>
      </c>
      <c r="G78" s="130" t="s">
        <v>67</v>
      </c>
      <c r="H78" s="131" t="s">
        <v>377</v>
      </c>
      <c r="I78" s="214" t="s">
        <v>378</v>
      </c>
      <c r="J78" s="136">
        <v>270</v>
      </c>
      <c r="K78" s="164">
        <v>540</v>
      </c>
      <c r="L78" s="126" t="s">
        <v>120</v>
      </c>
      <c r="M78" s="126" t="s">
        <v>41</v>
      </c>
      <c r="O78">
        <f t="shared" si="0"/>
        <v>54</v>
      </c>
    </row>
    <row r="79" spans="1:15" x14ac:dyDescent="0.25">
      <c r="A79" s="142">
        <v>17</v>
      </c>
      <c r="B79" s="192" t="s">
        <v>379</v>
      </c>
      <c r="C79" s="133" t="s">
        <v>380</v>
      </c>
      <c r="D79" s="133"/>
      <c r="E79" s="130" t="s">
        <v>127</v>
      </c>
      <c r="F79" s="130" t="s">
        <v>60</v>
      </c>
      <c r="G79" s="130" t="s">
        <v>48</v>
      </c>
      <c r="H79" s="131" t="s">
        <v>381</v>
      </c>
      <c r="I79" s="133" t="s">
        <v>40</v>
      </c>
      <c r="J79" s="136">
        <v>1000</v>
      </c>
      <c r="K79" s="164">
        <v>200</v>
      </c>
      <c r="L79" s="126" t="s">
        <v>120</v>
      </c>
      <c r="M79" s="126" t="s">
        <v>41</v>
      </c>
      <c r="O79">
        <f t="shared" si="0"/>
        <v>200</v>
      </c>
    </row>
    <row r="80" spans="1:15" x14ac:dyDescent="0.25">
      <c r="A80" s="142">
        <v>17</v>
      </c>
      <c r="B80" s="192" t="s">
        <v>382</v>
      </c>
      <c r="C80" s="133" t="s">
        <v>383</v>
      </c>
      <c r="D80" s="133"/>
      <c r="E80" s="130" t="s">
        <v>127</v>
      </c>
      <c r="F80" s="130" t="s">
        <v>384</v>
      </c>
      <c r="G80" s="130" t="s">
        <v>48</v>
      </c>
      <c r="H80" s="131" t="s">
        <v>385</v>
      </c>
      <c r="I80" s="130" t="s">
        <v>40</v>
      </c>
      <c r="J80" s="136">
        <v>1000</v>
      </c>
      <c r="K80" s="164">
        <v>200</v>
      </c>
      <c r="L80" s="126" t="s">
        <v>120</v>
      </c>
      <c r="M80" s="126" t="s">
        <v>41</v>
      </c>
      <c r="O80">
        <f t="shared" si="0"/>
        <v>200</v>
      </c>
    </row>
    <row r="81" spans="1:18" x14ac:dyDescent="0.25">
      <c r="A81" s="142">
        <v>17</v>
      </c>
      <c r="B81" s="192" t="s">
        <v>386</v>
      </c>
      <c r="C81" s="133" t="s">
        <v>387</v>
      </c>
      <c r="D81" s="133"/>
      <c r="E81" s="130" t="s">
        <v>127</v>
      </c>
      <c r="F81" s="130" t="s">
        <v>388</v>
      </c>
      <c r="G81" s="130" t="s">
        <v>42</v>
      </c>
      <c r="H81" s="131" t="s">
        <v>389</v>
      </c>
      <c r="I81" s="130" t="s">
        <v>40</v>
      </c>
      <c r="J81" s="136">
        <v>500</v>
      </c>
      <c r="K81" s="164">
        <v>100</v>
      </c>
      <c r="L81" s="126" t="s">
        <v>120</v>
      </c>
      <c r="M81" s="126" t="s">
        <v>41</v>
      </c>
      <c r="O81">
        <f t="shared" si="0"/>
        <v>100</v>
      </c>
    </row>
    <row r="82" spans="1:18" x14ac:dyDescent="0.25">
      <c r="A82" s="142">
        <v>17</v>
      </c>
      <c r="B82" s="192" t="s">
        <v>390</v>
      </c>
      <c r="C82" s="133" t="s">
        <v>391</v>
      </c>
      <c r="D82" s="133"/>
      <c r="E82" s="130" t="s">
        <v>127</v>
      </c>
      <c r="F82" s="130" t="s">
        <v>392</v>
      </c>
      <c r="G82" s="130" t="s">
        <v>82</v>
      </c>
      <c r="H82" s="131" t="s">
        <v>393</v>
      </c>
      <c r="I82" s="130" t="s">
        <v>40</v>
      </c>
      <c r="J82" s="136">
        <v>200</v>
      </c>
      <c r="K82" s="164">
        <v>40</v>
      </c>
      <c r="L82" s="126" t="s">
        <v>120</v>
      </c>
      <c r="M82" s="126" t="s">
        <v>41</v>
      </c>
      <c r="O82">
        <f t="shared" si="0"/>
        <v>40</v>
      </c>
    </row>
    <row r="83" spans="1:18" x14ac:dyDescent="0.25">
      <c r="A83" s="142">
        <v>17</v>
      </c>
      <c r="B83" s="192" t="s">
        <v>394</v>
      </c>
      <c r="C83" s="133" t="s">
        <v>395</v>
      </c>
      <c r="D83" s="133"/>
      <c r="E83" s="168" t="s">
        <v>129</v>
      </c>
      <c r="F83" s="130" t="s">
        <v>396</v>
      </c>
      <c r="G83" s="130" t="s">
        <v>47</v>
      </c>
      <c r="H83" s="131" t="s">
        <v>397</v>
      </c>
      <c r="I83" s="130" t="s">
        <v>40</v>
      </c>
      <c r="J83" s="136">
        <v>200</v>
      </c>
      <c r="K83" s="164">
        <v>40</v>
      </c>
      <c r="L83" s="126" t="s">
        <v>120</v>
      </c>
      <c r="M83" s="126" t="s">
        <v>41</v>
      </c>
      <c r="O83">
        <f t="shared" si="0"/>
        <v>40</v>
      </c>
    </row>
    <row r="84" spans="1:18" x14ac:dyDescent="0.25">
      <c r="A84" s="142">
        <v>17</v>
      </c>
      <c r="B84" s="192" t="s">
        <v>398</v>
      </c>
      <c r="C84" s="133" t="s">
        <v>198</v>
      </c>
      <c r="D84" s="133"/>
      <c r="E84" s="130" t="s">
        <v>127</v>
      </c>
      <c r="F84" s="130" t="s">
        <v>159</v>
      </c>
      <c r="G84" s="130" t="s">
        <v>47</v>
      </c>
      <c r="H84" s="131"/>
      <c r="I84" s="130" t="s">
        <v>40</v>
      </c>
      <c r="J84" s="136">
        <v>250</v>
      </c>
      <c r="K84" s="164">
        <v>50</v>
      </c>
      <c r="L84" s="126" t="s">
        <v>120</v>
      </c>
      <c r="M84" s="126" t="s">
        <v>41</v>
      </c>
      <c r="O84">
        <f t="shared" si="0"/>
        <v>50</v>
      </c>
    </row>
    <row r="85" spans="1:18" x14ac:dyDescent="0.25">
      <c r="A85" s="142">
        <v>17</v>
      </c>
      <c r="B85" s="192" t="s">
        <v>402</v>
      </c>
      <c r="C85" s="133" t="s">
        <v>403</v>
      </c>
      <c r="D85" s="133"/>
      <c r="E85" s="130" t="s">
        <v>127</v>
      </c>
      <c r="F85" s="130" t="s">
        <v>404</v>
      </c>
      <c r="G85" s="130" t="s">
        <v>47</v>
      </c>
      <c r="H85" s="131" t="s">
        <v>405</v>
      </c>
      <c r="I85" s="133" t="s">
        <v>40</v>
      </c>
      <c r="J85" s="136">
        <v>1500</v>
      </c>
      <c r="K85" s="164">
        <v>300</v>
      </c>
      <c r="L85" s="126" t="s">
        <v>120</v>
      </c>
      <c r="M85" s="126" t="s">
        <v>41</v>
      </c>
      <c r="O85">
        <f t="shared" si="0"/>
        <v>300</v>
      </c>
    </row>
    <row r="86" spans="1:18" x14ac:dyDescent="0.25">
      <c r="A86" s="142">
        <v>22</v>
      </c>
      <c r="B86" s="192" t="s">
        <v>406</v>
      </c>
      <c r="C86" s="133" t="s">
        <v>407</v>
      </c>
      <c r="D86" s="133"/>
      <c r="E86" s="130" t="s">
        <v>127</v>
      </c>
      <c r="F86" s="130" t="s">
        <v>364</v>
      </c>
      <c r="G86" s="130" t="s">
        <v>45</v>
      </c>
      <c r="H86" s="131"/>
      <c r="I86" s="130" t="s">
        <v>40</v>
      </c>
      <c r="J86" s="136">
        <v>1000</v>
      </c>
      <c r="K86" s="164">
        <v>200</v>
      </c>
      <c r="L86" s="126" t="s">
        <v>120</v>
      </c>
      <c r="M86" s="126" t="s">
        <v>41</v>
      </c>
      <c r="O86">
        <f t="shared" si="0"/>
        <v>200</v>
      </c>
    </row>
    <row r="87" spans="1:18" x14ac:dyDescent="0.25">
      <c r="A87" s="142">
        <v>22</v>
      </c>
      <c r="B87" s="192" t="s">
        <v>408</v>
      </c>
      <c r="C87" s="133" t="s">
        <v>409</v>
      </c>
      <c r="D87" s="130"/>
      <c r="E87" s="130" t="s">
        <v>127</v>
      </c>
      <c r="F87" s="130" t="s">
        <v>410</v>
      </c>
      <c r="G87" s="130" t="s">
        <v>48</v>
      </c>
      <c r="H87" s="131" t="s">
        <v>411</v>
      </c>
      <c r="I87" s="133" t="s">
        <v>40</v>
      </c>
      <c r="J87" s="136">
        <v>250</v>
      </c>
      <c r="K87" s="164">
        <v>50</v>
      </c>
      <c r="L87" s="126" t="s">
        <v>120</v>
      </c>
      <c r="M87" s="126" t="s">
        <v>41</v>
      </c>
      <c r="O87">
        <f t="shared" si="0"/>
        <v>50</v>
      </c>
    </row>
    <row r="88" spans="1:18" x14ac:dyDescent="0.25">
      <c r="A88" s="142">
        <v>22</v>
      </c>
      <c r="B88" s="192" t="s">
        <v>412</v>
      </c>
      <c r="C88" s="133" t="s">
        <v>413</v>
      </c>
      <c r="D88" s="133"/>
      <c r="E88" s="168" t="s">
        <v>129</v>
      </c>
      <c r="F88" s="130" t="s">
        <v>414</v>
      </c>
      <c r="G88" s="130" t="s">
        <v>47</v>
      </c>
      <c r="H88" s="131" t="s">
        <v>415</v>
      </c>
      <c r="I88" s="130" t="s">
        <v>40</v>
      </c>
      <c r="J88" s="136">
        <v>1500</v>
      </c>
      <c r="K88" s="164">
        <v>300</v>
      </c>
      <c r="L88" s="126" t="s">
        <v>120</v>
      </c>
      <c r="M88" s="126" t="s">
        <v>41</v>
      </c>
      <c r="O88">
        <f t="shared" si="0"/>
        <v>300</v>
      </c>
    </row>
    <row r="89" spans="1:18" x14ac:dyDescent="0.25">
      <c r="A89" s="142">
        <v>22</v>
      </c>
      <c r="B89" s="192" t="s">
        <v>416</v>
      </c>
      <c r="C89" s="133" t="s">
        <v>417</v>
      </c>
      <c r="D89" s="133"/>
      <c r="E89" s="130" t="s">
        <v>127</v>
      </c>
      <c r="F89" s="130" t="s">
        <v>418</v>
      </c>
      <c r="G89" s="130" t="s">
        <v>53</v>
      </c>
      <c r="H89" s="131" t="s">
        <v>419</v>
      </c>
      <c r="I89" s="133" t="s">
        <v>40</v>
      </c>
      <c r="J89" s="136">
        <v>2000</v>
      </c>
      <c r="K89" s="164">
        <v>400</v>
      </c>
      <c r="L89" s="126" t="s">
        <v>120</v>
      </c>
      <c r="M89" s="126" t="s">
        <v>41</v>
      </c>
      <c r="O89">
        <f t="shared" si="0"/>
        <v>400</v>
      </c>
    </row>
    <row r="90" spans="1:18" x14ac:dyDescent="0.25">
      <c r="A90" s="142">
        <v>22</v>
      </c>
      <c r="B90" s="192" t="s">
        <v>161</v>
      </c>
      <c r="C90" s="133" t="s">
        <v>420</v>
      </c>
      <c r="D90" s="133"/>
      <c r="E90" s="130" t="s">
        <v>127</v>
      </c>
      <c r="F90" s="130" t="s">
        <v>134</v>
      </c>
      <c r="G90" s="130" t="s">
        <v>43</v>
      </c>
      <c r="H90" s="131" t="s">
        <v>421</v>
      </c>
      <c r="I90" s="130" t="s">
        <v>40</v>
      </c>
      <c r="J90" s="136">
        <v>7000</v>
      </c>
      <c r="K90" s="164">
        <v>1400</v>
      </c>
      <c r="L90" s="126" t="s">
        <v>120</v>
      </c>
      <c r="M90" s="126" t="s">
        <v>41</v>
      </c>
      <c r="O90">
        <f t="shared" si="0"/>
        <v>1400</v>
      </c>
    </row>
    <row r="91" spans="1:18" x14ac:dyDescent="0.25">
      <c r="A91" s="142">
        <v>22</v>
      </c>
      <c r="B91" s="192" t="s">
        <v>422</v>
      </c>
      <c r="C91" s="133" t="s">
        <v>423</v>
      </c>
      <c r="D91" s="133"/>
      <c r="E91" s="130" t="s">
        <v>127</v>
      </c>
      <c r="F91" s="130" t="s">
        <v>134</v>
      </c>
      <c r="G91" s="130" t="s">
        <v>43</v>
      </c>
      <c r="H91" s="131"/>
      <c r="I91" s="133" t="s">
        <v>40</v>
      </c>
      <c r="J91" s="136">
        <v>8000</v>
      </c>
      <c r="K91" s="164">
        <v>1600</v>
      </c>
      <c r="L91" s="126" t="s">
        <v>120</v>
      </c>
      <c r="M91" s="126" t="s">
        <v>41</v>
      </c>
      <c r="O91">
        <f t="shared" si="0"/>
        <v>1600</v>
      </c>
    </row>
    <row r="92" spans="1:18" x14ac:dyDescent="0.25">
      <c r="A92" s="142">
        <v>22</v>
      </c>
      <c r="B92" s="192" t="s">
        <v>424</v>
      </c>
      <c r="C92" s="133" t="s">
        <v>198</v>
      </c>
      <c r="D92" s="133"/>
      <c r="E92" s="130" t="s">
        <v>127</v>
      </c>
      <c r="F92" s="130" t="s">
        <v>138</v>
      </c>
      <c r="G92" s="130" t="s">
        <v>42</v>
      </c>
      <c r="H92" s="131"/>
      <c r="I92" s="133" t="s">
        <v>40</v>
      </c>
      <c r="J92" s="136">
        <v>400</v>
      </c>
      <c r="K92" s="164">
        <v>80</v>
      </c>
      <c r="L92" s="126" t="s">
        <v>120</v>
      </c>
      <c r="M92" s="126" t="s">
        <v>41</v>
      </c>
      <c r="O92">
        <f t="shared" si="0"/>
        <v>80</v>
      </c>
    </row>
    <row r="93" spans="1:18" x14ac:dyDescent="0.25">
      <c r="A93" s="142">
        <v>23</v>
      </c>
      <c r="B93" s="192" t="s">
        <v>425</v>
      </c>
      <c r="C93" s="133" t="s">
        <v>426</v>
      </c>
      <c r="D93" s="133"/>
      <c r="E93" s="130" t="s">
        <v>127</v>
      </c>
      <c r="F93" s="130" t="s">
        <v>159</v>
      </c>
      <c r="G93" s="130" t="s">
        <v>47</v>
      </c>
      <c r="H93" s="131"/>
      <c r="I93" s="130" t="s">
        <v>40</v>
      </c>
      <c r="J93" s="136">
        <v>2000</v>
      </c>
      <c r="K93" s="164">
        <v>400</v>
      </c>
      <c r="L93" s="126" t="s">
        <v>120</v>
      </c>
      <c r="M93" s="126" t="s">
        <v>41</v>
      </c>
      <c r="O93">
        <f t="shared" si="0"/>
        <v>400</v>
      </c>
    </row>
    <row r="94" spans="1:18" x14ac:dyDescent="0.25">
      <c r="A94" s="142">
        <v>23</v>
      </c>
      <c r="B94" s="192" t="s">
        <v>427</v>
      </c>
      <c r="C94" s="133" t="s">
        <v>428</v>
      </c>
      <c r="D94" s="133"/>
      <c r="E94" s="130" t="s">
        <v>127</v>
      </c>
      <c r="F94" s="130" t="s">
        <v>159</v>
      </c>
      <c r="G94" s="130" t="s">
        <v>47</v>
      </c>
      <c r="H94" s="131" t="s">
        <v>429</v>
      </c>
      <c r="I94" s="130" t="s">
        <v>40</v>
      </c>
      <c r="J94" s="136">
        <v>1000</v>
      </c>
      <c r="K94" s="164">
        <v>200</v>
      </c>
      <c r="L94" s="126" t="s">
        <v>120</v>
      </c>
      <c r="M94" s="126" t="s">
        <v>41</v>
      </c>
      <c r="O94">
        <f t="shared" si="0"/>
        <v>200</v>
      </c>
    </row>
    <row r="95" spans="1:18" x14ac:dyDescent="0.25">
      <c r="A95" s="142">
        <v>24</v>
      </c>
      <c r="B95" s="192" t="s">
        <v>430</v>
      </c>
      <c r="C95" s="133" t="s">
        <v>431</v>
      </c>
      <c r="D95" s="133"/>
      <c r="E95" s="130" t="s">
        <v>127</v>
      </c>
      <c r="F95" s="130" t="s">
        <v>432</v>
      </c>
      <c r="G95" s="130" t="s">
        <v>62</v>
      </c>
      <c r="H95" s="131" t="s">
        <v>433</v>
      </c>
      <c r="I95" s="130" t="s">
        <v>40</v>
      </c>
      <c r="J95" s="136">
        <v>1500</v>
      </c>
      <c r="K95" s="164" t="s">
        <v>123</v>
      </c>
      <c r="L95" s="126" t="s">
        <v>120</v>
      </c>
      <c r="M95" s="126" t="s">
        <v>41</v>
      </c>
      <c r="O95">
        <f t="shared" si="0"/>
        <v>300</v>
      </c>
    </row>
    <row r="96" spans="1:18" x14ac:dyDescent="0.25">
      <c r="A96" s="142">
        <v>28</v>
      </c>
      <c r="B96" s="192" t="s">
        <v>434</v>
      </c>
      <c r="C96" s="133" t="s">
        <v>431</v>
      </c>
      <c r="D96" s="133"/>
      <c r="E96" s="130" t="s">
        <v>127</v>
      </c>
      <c r="F96" s="130" t="s">
        <v>134</v>
      </c>
      <c r="G96" s="130" t="s">
        <v>43</v>
      </c>
      <c r="H96" s="131" t="s">
        <v>435</v>
      </c>
      <c r="I96" s="130" t="s">
        <v>40</v>
      </c>
      <c r="J96" s="136">
        <v>600</v>
      </c>
      <c r="K96" s="164">
        <v>120</v>
      </c>
      <c r="L96" s="126" t="s">
        <v>120</v>
      </c>
      <c r="M96" s="126" t="s">
        <v>41</v>
      </c>
      <c r="O96">
        <f t="shared" si="0"/>
        <v>120</v>
      </c>
      <c r="R96" s="57">
        <f>SUM(J93:J95,J97:J108,J110:J111)</f>
        <v>16250</v>
      </c>
    </row>
    <row r="97" spans="1:15" x14ac:dyDescent="0.25">
      <c r="A97" s="142">
        <v>28</v>
      </c>
      <c r="B97" s="192" t="s">
        <v>436</v>
      </c>
      <c r="C97" s="133" t="s">
        <v>437</v>
      </c>
      <c r="D97" s="133"/>
      <c r="E97" s="130" t="s">
        <v>127</v>
      </c>
      <c r="F97" s="130" t="s">
        <v>130</v>
      </c>
      <c r="G97" s="130" t="s">
        <v>43</v>
      </c>
      <c r="H97" s="131" t="s">
        <v>438</v>
      </c>
      <c r="I97" s="133" t="s">
        <v>40</v>
      </c>
      <c r="J97" s="136">
        <v>1500</v>
      </c>
      <c r="K97" s="164">
        <v>300</v>
      </c>
      <c r="L97" s="126" t="s">
        <v>120</v>
      </c>
      <c r="M97" s="126" t="s">
        <v>41</v>
      </c>
      <c r="O97">
        <f t="shared" si="0"/>
        <v>300</v>
      </c>
    </row>
    <row r="98" spans="1:15" x14ac:dyDescent="0.25">
      <c r="A98" s="142">
        <v>28</v>
      </c>
      <c r="B98" s="192" t="s">
        <v>439</v>
      </c>
      <c r="C98" s="133" t="s">
        <v>440</v>
      </c>
      <c r="D98" s="133"/>
      <c r="E98" s="130" t="s">
        <v>127</v>
      </c>
      <c r="F98" s="130" t="s">
        <v>159</v>
      </c>
      <c r="G98" s="130" t="s">
        <v>47</v>
      </c>
      <c r="H98" s="131"/>
      <c r="I98" s="130" t="s">
        <v>40</v>
      </c>
      <c r="J98" s="136">
        <v>1000</v>
      </c>
      <c r="K98" s="164">
        <v>200</v>
      </c>
      <c r="L98" s="126" t="s">
        <v>120</v>
      </c>
      <c r="M98" s="126" t="s">
        <v>41</v>
      </c>
      <c r="O98">
        <f t="shared" si="0"/>
        <v>200</v>
      </c>
    </row>
    <row r="99" spans="1:15" x14ac:dyDescent="0.25">
      <c r="A99" s="142">
        <v>28</v>
      </c>
      <c r="B99" s="192" t="s">
        <v>441</v>
      </c>
      <c r="C99" s="133" t="s">
        <v>442</v>
      </c>
      <c r="D99" s="133"/>
      <c r="E99" s="130" t="s">
        <v>127</v>
      </c>
      <c r="F99" s="130" t="s">
        <v>134</v>
      </c>
      <c r="G99" s="130" t="s">
        <v>43</v>
      </c>
      <c r="H99" s="131"/>
      <c r="I99" s="130" t="s">
        <v>40</v>
      </c>
      <c r="J99" s="136">
        <v>5000</v>
      </c>
      <c r="K99" s="164">
        <v>1000</v>
      </c>
      <c r="L99" s="126" t="s">
        <v>120</v>
      </c>
      <c r="M99" s="126" t="s">
        <v>41</v>
      </c>
      <c r="O99">
        <f t="shared" si="0"/>
        <v>1000</v>
      </c>
    </row>
    <row r="100" spans="1:15" x14ac:dyDescent="0.25">
      <c r="A100" s="142">
        <v>28</v>
      </c>
      <c r="B100" s="192" t="s">
        <v>443</v>
      </c>
      <c r="C100" s="133" t="s">
        <v>358</v>
      </c>
      <c r="D100" s="133"/>
      <c r="E100" s="130" t="s">
        <v>127</v>
      </c>
      <c r="F100" s="130" t="s">
        <v>132</v>
      </c>
      <c r="G100" s="130" t="s">
        <v>43</v>
      </c>
      <c r="H100" s="131" t="s">
        <v>444</v>
      </c>
      <c r="I100" s="130" t="s">
        <v>40</v>
      </c>
      <c r="J100" s="136">
        <v>500</v>
      </c>
      <c r="K100" s="164">
        <v>100</v>
      </c>
      <c r="L100" s="126" t="s">
        <v>120</v>
      </c>
      <c r="M100" s="126" t="s">
        <v>41</v>
      </c>
      <c r="O100">
        <f t="shared" si="0"/>
        <v>100</v>
      </c>
    </row>
    <row r="101" spans="1:15" x14ac:dyDescent="0.25">
      <c r="A101" s="142">
        <v>28</v>
      </c>
      <c r="B101" s="192" t="s">
        <v>445</v>
      </c>
      <c r="C101" s="133" t="s">
        <v>446</v>
      </c>
      <c r="D101" s="133"/>
      <c r="E101" s="130" t="s">
        <v>127</v>
      </c>
      <c r="F101" s="130" t="s">
        <v>384</v>
      </c>
      <c r="G101" s="130" t="s">
        <v>48</v>
      </c>
      <c r="H101" s="131"/>
      <c r="I101" s="133" t="s">
        <v>40</v>
      </c>
      <c r="J101" s="136">
        <v>500</v>
      </c>
      <c r="K101" s="164">
        <v>100</v>
      </c>
      <c r="L101" s="126" t="s">
        <v>120</v>
      </c>
      <c r="M101" s="126" t="s">
        <v>41</v>
      </c>
      <c r="O101">
        <f t="shared" si="0"/>
        <v>100</v>
      </c>
    </row>
    <row r="102" spans="1:15" x14ac:dyDescent="0.25">
      <c r="A102" s="142">
        <v>28</v>
      </c>
      <c r="B102" s="192" t="s">
        <v>447</v>
      </c>
      <c r="C102" s="133" t="s">
        <v>448</v>
      </c>
      <c r="D102" s="133"/>
      <c r="E102" s="130" t="s">
        <v>127</v>
      </c>
      <c r="F102" s="130" t="s">
        <v>449</v>
      </c>
      <c r="G102" s="130" t="s">
        <v>55</v>
      </c>
      <c r="H102" s="131" t="s">
        <v>450</v>
      </c>
      <c r="I102" s="133" t="s">
        <v>40</v>
      </c>
      <c r="J102" s="136">
        <v>3000</v>
      </c>
      <c r="K102" s="164">
        <v>600</v>
      </c>
      <c r="L102" s="126" t="s">
        <v>120</v>
      </c>
      <c r="M102" s="126" t="s">
        <v>41</v>
      </c>
      <c r="O102">
        <f t="shared" si="0"/>
        <v>600</v>
      </c>
    </row>
    <row r="103" spans="1:15" x14ac:dyDescent="0.25">
      <c r="A103" s="210">
        <v>28</v>
      </c>
      <c r="B103" s="192" t="s">
        <v>455</v>
      </c>
      <c r="C103" s="133" t="s">
        <v>456</v>
      </c>
      <c r="D103" s="133"/>
      <c r="E103" s="130" t="s">
        <v>127</v>
      </c>
      <c r="F103" s="130" t="s">
        <v>457</v>
      </c>
      <c r="G103" s="130" t="s">
        <v>42</v>
      </c>
      <c r="H103" s="131"/>
      <c r="I103" s="130" t="s">
        <v>40</v>
      </c>
      <c r="J103" s="136">
        <v>250</v>
      </c>
      <c r="K103" s="164" t="s">
        <v>123</v>
      </c>
      <c r="L103" s="126" t="s">
        <v>120</v>
      </c>
      <c r="M103" s="126" t="s">
        <v>41</v>
      </c>
      <c r="O103">
        <f t="shared" si="0"/>
        <v>50</v>
      </c>
    </row>
    <row r="104" spans="1:15" x14ac:dyDescent="0.25">
      <c r="A104" s="142"/>
      <c r="B104" s="192"/>
      <c r="C104" s="133"/>
      <c r="D104" s="133"/>
      <c r="E104" s="130"/>
      <c r="F104" s="130"/>
      <c r="G104" s="130"/>
      <c r="H104" s="131"/>
      <c r="I104" s="130"/>
      <c r="J104" s="136"/>
      <c r="K104" s="164"/>
      <c r="L104" s="126"/>
      <c r="M104" s="126"/>
      <c r="O104">
        <f t="shared" si="0"/>
        <v>0</v>
      </c>
    </row>
    <row r="105" spans="1:15" x14ac:dyDescent="0.25">
      <c r="A105" s="142"/>
      <c r="B105" s="192"/>
      <c r="C105" s="133"/>
      <c r="D105" s="133"/>
      <c r="E105" s="130"/>
      <c r="F105" s="130"/>
      <c r="G105" s="130"/>
      <c r="H105" s="131"/>
      <c r="I105" s="133"/>
      <c r="J105" s="136"/>
      <c r="K105" s="164"/>
      <c r="L105" s="126"/>
      <c r="M105" s="126"/>
      <c r="O105">
        <f t="shared" si="0"/>
        <v>0</v>
      </c>
    </row>
    <row r="106" spans="1:15" x14ac:dyDescent="0.25">
      <c r="A106" s="142"/>
      <c r="B106" s="192"/>
      <c r="C106" s="133"/>
      <c r="D106" s="133"/>
      <c r="E106" s="130"/>
      <c r="F106" s="130"/>
      <c r="G106" s="130"/>
      <c r="H106" s="131"/>
      <c r="I106" s="130"/>
      <c r="J106" s="136"/>
      <c r="K106" s="164"/>
      <c r="L106" s="126"/>
      <c r="M106" s="126"/>
      <c r="O106">
        <f t="shared" si="0"/>
        <v>0</v>
      </c>
    </row>
    <row r="107" spans="1:15" x14ac:dyDescent="0.25">
      <c r="A107" s="142"/>
      <c r="B107" s="192"/>
      <c r="C107" s="133"/>
      <c r="D107" s="133"/>
      <c r="E107" s="130"/>
      <c r="F107" s="130"/>
      <c r="G107" s="130"/>
      <c r="H107" s="131"/>
      <c r="I107" s="133"/>
      <c r="J107" s="136"/>
      <c r="K107" s="164"/>
      <c r="L107" s="126"/>
      <c r="M107" s="126"/>
      <c r="O107">
        <f t="shared" si="0"/>
        <v>0</v>
      </c>
    </row>
    <row r="108" spans="1:15" x14ac:dyDescent="0.25">
      <c r="A108" s="142"/>
      <c r="B108" s="192"/>
      <c r="C108" s="133"/>
      <c r="D108" s="133"/>
      <c r="E108" s="130"/>
      <c r="F108" s="130"/>
      <c r="G108" s="130"/>
      <c r="H108" s="131"/>
      <c r="I108" s="133"/>
      <c r="J108" s="136"/>
      <c r="K108" s="164"/>
      <c r="L108" s="126"/>
      <c r="M108" s="126"/>
      <c r="O108">
        <f t="shared" si="0"/>
        <v>0</v>
      </c>
    </row>
    <row r="109" spans="1:15" x14ac:dyDescent="0.25">
      <c r="A109" s="142"/>
      <c r="B109" s="192"/>
      <c r="C109" s="133"/>
      <c r="D109" s="133"/>
      <c r="E109" s="130"/>
      <c r="F109" s="130"/>
      <c r="G109" s="130"/>
      <c r="H109" s="131"/>
      <c r="I109" s="130"/>
      <c r="J109" s="136"/>
      <c r="K109" s="164"/>
      <c r="L109" s="126"/>
      <c r="M109" s="126"/>
      <c r="O109">
        <f t="shared" si="0"/>
        <v>0</v>
      </c>
    </row>
    <row r="110" spans="1:15" x14ac:dyDescent="0.25">
      <c r="A110" s="142"/>
      <c r="B110" s="192"/>
      <c r="C110" s="133"/>
      <c r="D110" s="133"/>
      <c r="E110" s="130"/>
      <c r="F110" s="130"/>
      <c r="G110" s="130"/>
      <c r="H110" s="131"/>
      <c r="I110" s="130"/>
      <c r="J110" s="136"/>
      <c r="K110" s="164"/>
      <c r="L110" s="126"/>
      <c r="M110" s="126"/>
      <c r="O110">
        <f t="shared" si="0"/>
        <v>0</v>
      </c>
    </row>
    <row r="111" spans="1:15" x14ac:dyDescent="0.25">
      <c r="A111" s="142"/>
      <c r="B111" s="192"/>
      <c r="C111" s="133"/>
      <c r="D111" s="133"/>
      <c r="E111" s="130"/>
      <c r="F111" s="130"/>
      <c r="G111" s="130"/>
      <c r="H111" s="131"/>
      <c r="I111" s="133"/>
      <c r="J111" s="136"/>
      <c r="K111" s="164"/>
      <c r="L111" s="126"/>
      <c r="M111" s="126"/>
      <c r="O111">
        <f t="shared" si="0"/>
        <v>0</v>
      </c>
    </row>
    <row r="112" spans="1:15" x14ac:dyDescent="0.25">
      <c r="A112" s="142"/>
      <c r="B112" s="192"/>
      <c r="C112" s="133"/>
      <c r="D112" s="133"/>
      <c r="E112" s="130"/>
      <c r="F112" s="130"/>
      <c r="G112" s="130"/>
      <c r="H112" s="131"/>
      <c r="I112" s="133"/>
      <c r="J112" s="136"/>
      <c r="K112" s="164"/>
      <c r="L112" s="126"/>
      <c r="M112" s="126"/>
      <c r="O112">
        <f t="shared" si="0"/>
        <v>0</v>
      </c>
    </row>
    <row r="113" spans="1:15" x14ac:dyDescent="0.25">
      <c r="A113" s="142"/>
      <c r="B113" s="192"/>
      <c r="C113" s="133"/>
      <c r="D113" s="133"/>
      <c r="E113" s="130"/>
      <c r="F113" s="130"/>
      <c r="G113" s="130"/>
      <c r="H113" s="131"/>
      <c r="I113" s="130"/>
      <c r="J113" s="136"/>
      <c r="K113" s="164"/>
      <c r="L113" s="126"/>
      <c r="M113" s="126"/>
      <c r="O113">
        <f t="shared" si="0"/>
        <v>0</v>
      </c>
    </row>
    <row r="114" spans="1:15" x14ac:dyDescent="0.25">
      <c r="A114" s="142"/>
      <c r="B114" s="192"/>
      <c r="C114" s="133"/>
      <c r="D114" s="133"/>
      <c r="E114" s="130"/>
      <c r="F114" s="130"/>
      <c r="G114" s="130"/>
      <c r="H114" s="131"/>
      <c r="I114" s="133"/>
      <c r="J114" s="136"/>
      <c r="K114" s="164"/>
      <c r="L114" s="126"/>
      <c r="M114" s="126"/>
      <c r="O114">
        <f t="shared" si="0"/>
        <v>0</v>
      </c>
    </row>
    <row r="115" spans="1:15" x14ac:dyDescent="0.25">
      <c r="A115" s="142"/>
      <c r="B115" s="192"/>
      <c r="C115" s="133"/>
      <c r="D115" s="133"/>
      <c r="E115" s="130"/>
      <c r="F115" s="130"/>
      <c r="G115" s="130"/>
      <c r="H115" s="131"/>
      <c r="I115" s="133"/>
      <c r="J115" s="136"/>
      <c r="K115" s="164"/>
      <c r="L115" s="126"/>
      <c r="M115" s="126"/>
      <c r="O115">
        <f t="shared" si="0"/>
        <v>0</v>
      </c>
    </row>
    <row r="116" spans="1:15" x14ac:dyDescent="0.25">
      <c r="A116" s="142"/>
      <c r="B116" s="192"/>
      <c r="C116" s="133"/>
      <c r="D116" s="133"/>
      <c r="E116" s="130"/>
      <c r="F116" s="130"/>
      <c r="G116" s="130"/>
      <c r="H116" s="131"/>
      <c r="I116" s="133"/>
      <c r="J116" s="136"/>
      <c r="K116" s="164"/>
      <c r="L116" s="126"/>
      <c r="M116" s="126"/>
      <c r="O116">
        <f t="shared" si="0"/>
        <v>0</v>
      </c>
    </row>
    <row r="117" spans="1:15" x14ac:dyDescent="0.25">
      <c r="A117" s="142"/>
      <c r="B117" s="192"/>
      <c r="C117" s="133"/>
      <c r="D117" s="133"/>
      <c r="E117" s="130"/>
      <c r="F117" s="130"/>
      <c r="G117" s="130"/>
      <c r="H117" s="131"/>
      <c r="I117" s="130"/>
      <c r="J117" s="136"/>
      <c r="K117" s="164"/>
      <c r="L117" s="126"/>
      <c r="M117" s="126"/>
      <c r="O117">
        <f t="shared" si="0"/>
        <v>0</v>
      </c>
    </row>
    <row r="118" spans="1:15" x14ac:dyDescent="0.25">
      <c r="A118" s="142"/>
      <c r="B118" s="192"/>
      <c r="C118" s="133"/>
      <c r="D118" s="133"/>
      <c r="E118" s="130"/>
      <c r="F118" s="130"/>
      <c r="G118" s="130"/>
      <c r="H118" s="131"/>
      <c r="I118" s="133"/>
      <c r="J118" s="136"/>
      <c r="K118" s="164"/>
      <c r="L118" s="126"/>
      <c r="M118" s="126"/>
      <c r="O118">
        <f t="shared" si="0"/>
        <v>0</v>
      </c>
    </row>
    <row r="119" spans="1:15" x14ac:dyDescent="0.25">
      <c r="A119" s="142"/>
      <c r="B119" s="192"/>
      <c r="C119" s="133"/>
      <c r="D119" s="133"/>
      <c r="E119" s="130"/>
      <c r="F119" s="130"/>
      <c r="G119" s="130"/>
      <c r="H119" s="131"/>
      <c r="I119" s="130"/>
      <c r="J119" s="136"/>
      <c r="K119" s="164"/>
      <c r="L119" s="126"/>
      <c r="M119" s="126"/>
      <c r="O119">
        <f t="shared" si="0"/>
        <v>0</v>
      </c>
    </row>
    <row r="120" spans="1:15" x14ac:dyDescent="0.25">
      <c r="A120" s="142"/>
      <c r="B120" s="192"/>
      <c r="C120" s="133"/>
      <c r="D120" s="133"/>
      <c r="E120" s="130"/>
      <c r="F120" s="130"/>
      <c r="G120" s="130"/>
      <c r="H120" s="131"/>
      <c r="I120" s="133"/>
      <c r="J120" s="136"/>
      <c r="K120" s="164"/>
      <c r="L120" s="126"/>
      <c r="M120" s="126"/>
      <c r="O120">
        <f t="shared" si="0"/>
        <v>0</v>
      </c>
    </row>
    <row r="121" spans="1:15" x14ac:dyDescent="0.25">
      <c r="A121" s="142"/>
      <c r="B121" s="192"/>
      <c r="C121" s="133"/>
      <c r="D121" s="133"/>
      <c r="E121" s="130"/>
      <c r="F121" s="130"/>
      <c r="G121" s="130"/>
      <c r="H121" s="131"/>
      <c r="I121" s="133"/>
      <c r="J121" s="136"/>
      <c r="K121" s="164"/>
      <c r="L121" s="126"/>
      <c r="M121" s="126"/>
      <c r="O121">
        <f t="shared" si="0"/>
        <v>0</v>
      </c>
    </row>
    <row r="122" spans="1:15" x14ac:dyDescent="0.25">
      <c r="A122" s="142"/>
      <c r="B122" s="192"/>
      <c r="C122" s="133"/>
      <c r="D122" s="133"/>
      <c r="E122" s="130"/>
      <c r="F122" s="130"/>
      <c r="G122" s="130"/>
      <c r="H122" s="131"/>
      <c r="I122" s="130"/>
      <c r="J122" s="136"/>
      <c r="K122" s="164"/>
      <c r="L122" s="126"/>
      <c r="M122" s="126"/>
      <c r="O122">
        <f t="shared" si="0"/>
        <v>0</v>
      </c>
    </row>
    <row r="123" spans="1:15" x14ac:dyDescent="0.25">
      <c r="A123" s="142"/>
      <c r="B123" s="192"/>
      <c r="C123" s="133"/>
      <c r="D123" s="133"/>
      <c r="E123" s="130"/>
      <c r="F123" s="130"/>
      <c r="G123" s="130"/>
      <c r="H123" s="131"/>
      <c r="I123" s="130"/>
      <c r="J123" s="136"/>
      <c r="K123" s="164"/>
      <c r="L123" s="126"/>
      <c r="M123" s="126"/>
      <c r="O123">
        <f t="shared" si="0"/>
        <v>0</v>
      </c>
    </row>
    <row r="124" spans="1:15" x14ac:dyDescent="0.25">
      <c r="A124" s="142"/>
      <c r="B124" s="192"/>
      <c r="C124" s="133"/>
      <c r="D124" s="133"/>
      <c r="E124" s="130"/>
      <c r="F124" s="130"/>
      <c r="G124" s="130"/>
      <c r="H124" s="131"/>
      <c r="I124" s="133"/>
      <c r="J124" s="136"/>
      <c r="K124" s="164"/>
      <c r="L124" s="126"/>
      <c r="M124" s="126"/>
      <c r="O124">
        <f t="shared" si="0"/>
        <v>0</v>
      </c>
    </row>
    <row r="125" spans="1:15" x14ac:dyDescent="0.25">
      <c r="A125" s="142"/>
      <c r="B125" s="192"/>
      <c r="C125" s="133"/>
      <c r="D125" s="133"/>
      <c r="E125" s="130"/>
      <c r="F125" s="130"/>
      <c r="G125" s="130"/>
      <c r="H125" s="131"/>
      <c r="I125" s="130"/>
      <c r="J125" s="136"/>
      <c r="K125" s="164"/>
      <c r="L125" s="126"/>
      <c r="M125" s="126"/>
      <c r="O125">
        <f t="shared" si="0"/>
        <v>0</v>
      </c>
    </row>
    <row r="126" spans="1:15" x14ac:dyDescent="0.25">
      <c r="A126" s="142"/>
      <c r="B126" s="192"/>
      <c r="C126" s="133"/>
      <c r="D126" s="133"/>
      <c r="E126" s="130"/>
      <c r="F126" s="130"/>
      <c r="G126" s="130"/>
      <c r="H126" s="131"/>
      <c r="I126" s="133"/>
      <c r="J126" s="136"/>
      <c r="K126" s="164"/>
      <c r="L126" s="126"/>
      <c r="M126" s="126"/>
      <c r="O126">
        <f t="shared" si="0"/>
        <v>0</v>
      </c>
    </row>
    <row r="127" spans="1:15" x14ac:dyDescent="0.25">
      <c r="A127" s="142"/>
      <c r="B127" s="192"/>
      <c r="C127" s="133"/>
      <c r="D127" s="133"/>
      <c r="E127" s="130"/>
      <c r="F127" s="130"/>
      <c r="G127" s="130"/>
      <c r="H127" s="131"/>
      <c r="I127" s="130"/>
      <c r="J127" s="136"/>
      <c r="K127" s="164"/>
      <c r="L127" s="126"/>
      <c r="M127" s="126"/>
      <c r="O127">
        <f t="shared" si="0"/>
        <v>0</v>
      </c>
    </row>
    <row r="128" spans="1:15" x14ac:dyDescent="0.25">
      <c r="A128" s="142"/>
      <c r="B128" s="192"/>
      <c r="C128" s="133"/>
      <c r="D128" s="133"/>
      <c r="E128" s="130"/>
      <c r="F128" s="130"/>
      <c r="G128" s="130"/>
      <c r="H128" s="131"/>
      <c r="I128" s="130"/>
      <c r="J128" s="136"/>
      <c r="K128" s="164"/>
      <c r="L128" s="126"/>
      <c r="M128" s="126"/>
      <c r="O128">
        <f t="shared" si="0"/>
        <v>0</v>
      </c>
    </row>
    <row r="129" spans="1:15" x14ac:dyDescent="0.25">
      <c r="A129" s="142"/>
      <c r="B129" s="192"/>
      <c r="C129" s="133"/>
      <c r="D129" s="133"/>
      <c r="E129" s="130"/>
      <c r="F129" s="130"/>
      <c r="G129" s="130"/>
      <c r="H129" s="131"/>
      <c r="I129" s="130"/>
      <c r="J129" s="136"/>
      <c r="K129" s="164"/>
      <c r="L129" s="126"/>
      <c r="M129" s="126"/>
      <c r="O129">
        <f t="shared" si="0"/>
        <v>0</v>
      </c>
    </row>
    <row r="130" spans="1:15" x14ac:dyDescent="0.25">
      <c r="A130" s="142"/>
      <c r="B130" s="192"/>
      <c r="C130" s="133"/>
      <c r="D130" s="133"/>
      <c r="E130" s="130"/>
      <c r="F130" s="130"/>
      <c r="G130" s="130"/>
      <c r="H130" s="131"/>
      <c r="I130" s="130"/>
      <c r="J130" s="136"/>
      <c r="K130" s="164"/>
      <c r="L130" s="126"/>
      <c r="M130" s="126"/>
      <c r="O130">
        <f t="shared" si="0"/>
        <v>0</v>
      </c>
    </row>
    <row r="131" spans="1:15" x14ac:dyDescent="0.25">
      <c r="A131" s="142"/>
      <c r="B131" s="192"/>
      <c r="C131" s="133"/>
      <c r="D131" s="133"/>
      <c r="E131" s="130"/>
      <c r="F131" s="130"/>
      <c r="G131" s="130"/>
      <c r="H131" s="131"/>
      <c r="I131" s="130"/>
      <c r="J131" s="136"/>
      <c r="K131" s="164"/>
      <c r="L131" s="126"/>
      <c r="M131" s="126"/>
      <c r="O131">
        <f t="shared" si="0"/>
        <v>0</v>
      </c>
    </row>
    <row r="132" spans="1:15" x14ac:dyDescent="0.25">
      <c r="A132" s="142"/>
      <c r="B132" s="192"/>
      <c r="C132" s="133"/>
      <c r="D132" s="133"/>
      <c r="E132" s="130"/>
      <c r="F132" s="130"/>
      <c r="G132" s="130"/>
      <c r="H132" s="131"/>
      <c r="I132" s="130"/>
      <c r="J132" s="136"/>
      <c r="K132" s="164"/>
      <c r="L132" s="126"/>
      <c r="M132" s="126"/>
      <c r="O132">
        <f t="shared" si="0"/>
        <v>0</v>
      </c>
    </row>
    <row r="133" spans="1:15" x14ac:dyDescent="0.25">
      <c r="A133" s="142"/>
      <c r="B133" s="192"/>
      <c r="C133" s="133"/>
      <c r="D133" s="133"/>
      <c r="E133" s="130"/>
      <c r="F133" s="130"/>
      <c r="G133" s="130"/>
      <c r="H133" s="131"/>
      <c r="I133" s="133"/>
      <c r="J133" s="136"/>
      <c r="K133" s="164"/>
      <c r="L133" s="126"/>
      <c r="M133" s="126"/>
      <c r="O133">
        <f t="shared" si="0"/>
        <v>0</v>
      </c>
    </row>
    <row r="134" spans="1:15" x14ac:dyDescent="0.25">
      <c r="A134" s="142"/>
      <c r="B134" s="192"/>
      <c r="C134" s="133"/>
      <c r="D134" s="133"/>
      <c r="E134" s="130"/>
      <c r="F134" s="130"/>
      <c r="G134" s="130"/>
      <c r="H134" s="131"/>
      <c r="I134" s="130"/>
      <c r="J134" s="136"/>
      <c r="K134" s="164"/>
      <c r="L134" s="126"/>
      <c r="M134" s="126"/>
      <c r="O134">
        <f t="shared" si="0"/>
        <v>0</v>
      </c>
    </row>
    <row r="135" spans="1:15" x14ac:dyDescent="0.25">
      <c r="A135" s="142"/>
      <c r="B135" s="192"/>
      <c r="C135" s="133"/>
      <c r="D135" s="133"/>
      <c r="E135" s="130"/>
      <c r="F135" s="130"/>
      <c r="G135" s="130"/>
      <c r="H135" s="131"/>
      <c r="I135" s="133"/>
      <c r="J135" s="136"/>
      <c r="K135" s="164"/>
      <c r="L135" s="126"/>
      <c r="M135" s="126"/>
      <c r="O135">
        <f t="shared" si="0"/>
        <v>0</v>
      </c>
    </row>
    <row r="136" spans="1:15" x14ac:dyDescent="0.25">
      <c r="A136" s="142"/>
      <c r="B136" s="192"/>
      <c r="C136" s="133"/>
      <c r="D136" s="133"/>
      <c r="E136" s="130"/>
      <c r="F136" s="130"/>
      <c r="G136" s="130"/>
      <c r="H136" s="131"/>
      <c r="I136" s="133"/>
      <c r="J136" s="136"/>
      <c r="K136" s="164"/>
      <c r="L136" s="126"/>
      <c r="M136" s="126"/>
      <c r="O136">
        <f t="shared" si="0"/>
        <v>0</v>
      </c>
    </row>
    <row r="137" spans="1:15" x14ac:dyDescent="0.25">
      <c r="A137" s="142"/>
      <c r="B137" s="192"/>
      <c r="C137" s="133"/>
      <c r="D137" s="133"/>
      <c r="E137" s="130"/>
      <c r="F137" s="130"/>
      <c r="G137" s="130"/>
      <c r="H137" s="131"/>
      <c r="I137" s="130"/>
      <c r="J137" s="136"/>
      <c r="K137" s="164"/>
      <c r="L137" s="126"/>
      <c r="M137" s="126"/>
      <c r="O137">
        <f t="shared" si="0"/>
        <v>0</v>
      </c>
    </row>
    <row r="138" spans="1:15" x14ac:dyDescent="0.25">
      <c r="A138" s="142"/>
      <c r="B138" s="192"/>
      <c r="C138" s="133"/>
      <c r="D138" s="133"/>
      <c r="E138" s="130"/>
      <c r="F138" s="130"/>
      <c r="G138" s="130"/>
      <c r="H138" s="131"/>
      <c r="I138" s="133"/>
      <c r="J138" s="136"/>
      <c r="K138" s="164"/>
      <c r="L138" s="126"/>
      <c r="M138" s="126"/>
      <c r="O138">
        <f t="shared" si="0"/>
        <v>0</v>
      </c>
    </row>
    <row r="139" spans="1:15" x14ac:dyDescent="0.25">
      <c r="A139" s="142"/>
      <c r="B139" s="192"/>
      <c r="C139" s="133"/>
      <c r="D139" s="133"/>
      <c r="E139" s="130"/>
      <c r="F139" s="130"/>
      <c r="G139" s="130"/>
      <c r="H139" s="131"/>
      <c r="I139" s="130"/>
      <c r="J139" s="136"/>
      <c r="K139" s="164"/>
      <c r="L139" s="126"/>
      <c r="M139" s="126"/>
      <c r="O139">
        <f t="shared" si="0"/>
        <v>0</v>
      </c>
    </row>
    <row r="140" spans="1:15" x14ac:dyDescent="0.25">
      <c r="A140" s="142"/>
      <c r="B140" s="192"/>
      <c r="C140" s="133"/>
      <c r="D140" s="133"/>
      <c r="E140" s="130"/>
      <c r="F140" s="130"/>
      <c r="G140" s="130"/>
      <c r="H140" s="131"/>
      <c r="I140" s="133"/>
      <c r="J140" s="136"/>
      <c r="K140" s="164"/>
      <c r="L140" s="126"/>
      <c r="M140" s="126"/>
      <c r="O140">
        <f t="shared" si="0"/>
        <v>0</v>
      </c>
    </row>
    <row r="141" spans="1:15" x14ac:dyDescent="0.25">
      <c r="A141" s="142"/>
      <c r="B141" s="192"/>
      <c r="C141" s="133"/>
      <c r="D141" s="133"/>
      <c r="E141" s="130"/>
      <c r="F141" s="130"/>
      <c r="G141" s="130"/>
      <c r="H141" s="131"/>
      <c r="I141" s="133"/>
      <c r="J141" s="136"/>
      <c r="K141" s="164"/>
      <c r="L141" s="126"/>
      <c r="M141" s="126"/>
      <c r="O141">
        <f t="shared" si="0"/>
        <v>0</v>
      </c>
    </row>
    <row r="142" spans="1:15" x14ac:dyDescent="0.25">
      <c r="A142" s="142"/>
      <c r="B142" s="192"/>
      <c r="C142" s="133"/>
      <c r="D142" s="133"/>
      <c r="E142" s="130"/>
      <c r="F142" s="130"/>
      <c r="G142" s="130"/>
      <c r="H142" s="131"/>
      <c r="I142" s="130"/>
      <c r="J142" s="136"/>
      <c r="K142" s="164"/>
      <c r="L142" s="126"/>
      <c r="M142" s="126"/>
      <c r="O142">
        <f t="shared" si="0"/>
        <v>0</v>
      </c>
    </row>
    <row r="143" spans="1:15" x14ac:dyDescent="0.25">
      <c r="A143" s="142"/>
      <c r="B143" s="192"/>
      <c r="C143" s="133"/>
      <c r="D143" s="133"/>
      <c r="E143" s="130"/>
      <c r="F143" s="130"/>
      <c r="G143" s="130"/>
      <c r="H143" s="131"/>
      <c r="I143" s="133"/>
      <c r="J143" s="136"/>
      <c r="K143" s="164"/>
      <c r="L143" s="126"/>
      <c r="M143" s="126"/>
      <c r="O143">
        <f t="shared" si="0"/>
        <v>0</v>
      </c>
    </row>
    <row r="144" spans="1:15" x14ac:dyDescent="0.25">
      <c r="A144" s="142"/>
      <c r="B144" s="192"/>
      <c r="C144" s="133"/>
      <c r="D144" s="133"/>
      <c r="E144" s="130"/>
      <c r="F144" s="130"/>
      <c r="G144" s="130"/>
      <c r="H144" s="131"/>
      <c r="I144" s="130"/>
      <c r="J144" s="136"/>
      <c r="K144" s="164"/>
      <c r="L144" s="126"/>
      <c r="M144" s="126"/>
      <c r="O144">
        <f t="shared" si="0"/>
        <v>0</v>
      </c>
    </row>
    <row r="145" spans="1:15" x14ac:dyDescent="0.25">
      <c r="A145" s="142"/>
      <c r="B145" s="192"/>
      <c r="C145" s="133"/>
      <c r="D145" s="133"/>
      <c r="E145" s="130"/>
      <c r="F145" s="130"/>
      <c r="G145" s="130"/>
      <c r="H145" s="131"/>
      <c r="I145" s="133"/>
      <c r="J145" s="136"/>
      <c r="K145" s="164"/>
      <c r="L145" s="126"/>
      <c r="M145" s="126"/>
      <c r="O145">
        <f t="shared" si="0"/>
        <v>0</v>
      </c>
    </row>
    <row r="146" spans="1:15" x14ac:dyDescent="0.25">
      <c r="A146" s="142"/>
      <c r="B146" s="192"/>
      <c r="C146" s="133"/>
      <c r="D146" s="133"/>
      <c r="E146" s="130"/>
      <c r="F146" s="130"/>
      <c r="G146" s="130"/>
      <c r="H146" s="131"/>
      <c r="I146" s="133"/>
      <c r="J146" s="136"/>
      <c r="K146" s="164"/>
      <c r="L146" s="126"/>
      <c r="M146" s="126"/>
      <c r="O146">
        <f t="shared" si="0"/>
        <v>0</v>
      </c>
    </row>
    <row r="147" spans="1:15" x14ac:dyDescent="0.25">
      <c r="A147" s="142"/>
      <c r="B147" s="192"/>
      <c r="C147" s="133"/>
      <c r="D147" s="133"/>
      <c r="E147" s="130"/>
      <c r="F147" s="130"/>
      <c r="G147" s="130"/>
      <c r="H147" s="131"/>
      <c r="I147" s="130"/>
      <c r="J147" s="136"/>
      <c r="K147" s="164"/>
      <c r="L147" s="126"/>
      <c r="M147" s="126"/>
      <c r="O147">
        <f t="shared" si="0"/>
        <v>0</v>
      </c>
    </row>
    <row r="148" spans="1:15" x14ac:dyDescent="0.25">
      <c r="A148" s="142"/>
      <c r="B148" s="192"/>
      <c r="C148" s="133"/>
      <c r="D148" s="133"/>
      <c r="E148" s="130"/>
      <c r="F148" s="130"/>
      <c r="G148" s="130"/>
      <c r="H148" s="131"/>
      <c r="I148" s="130"/>
      <c r="J148" s="136"/>
      <c r="K148" s="164"/>
      <c r="L148" s="126"/>
      <c r="M148" s="126"/>
      <c r="O148">
        <f t="shared" si="0"/>
        <v>0</v>
      </c>
    </row>
    <row r="149" spans="1:15" x14ac:dyDescent="0.25">
      <c r="A149" s="142"/>
      <c r="B149" s="192"/>
      <c r="C149" s="133"/>
      <c r="D149" s="133"/>
      <c r="E149" s="130"/>
      <c r="F149" s="130"/>
      <c r="G149" s="130"/>
      <c r="H149" s="131"/>
      <c r="I149" s="133"/>
      <c r="J149" s="136"/>
      <c r="K149" s="164"/>
      <c r="L149" s="126"/>
      <c r="M149" s="126"/>
      <c r="O149">
        <f t="shared" si="0"/>
        <v>0</v>
      </c>
    </row>
    <row r="150" spans="1:15" x14ac:dyDescent="0.25">
      <c r="A150" s="142"/>
      <c r="B150" s="192"/>
      <c r="C150" s="133"/>
      <c r="D150" s="133"/>
      <c r="E150" s="130"/>
      <c r="F150" s="130"/>
      <c r="G150" s="130"/>
      <c r="H150" s="131"/>
      <c r="I150" s="130"/>
      <c r="J150" s="136"/>
      <c r="K150" s="164"/>
      <c r="L150" s="126"/>
      <c r="M150" s="126"/>
      <c r="O150">
        <f t="shared" si="0"/>
        <v>0</v>
      </c>
    </row>
    <row r="151" spans="1:15" x14ac:dyDescent="0.25">
      <c r="A151" s="142"/>
      <c r="B151" s="192"/>
      <c r="C151" s="133"/>
      <c r="D151" s="133"/>
      <c r="E151" s="130"/>
      <c r="F151" s="130"/>
      <c r="G151" s="130"/>
      <c r="H151" s="131"/>
      <c r="I151" s="133"/>
      <c r="J151" s="136"/>
      <c r="K151" s="164"/>
      <c r="L151" s="126"/>
      <c r="M151" s="126"/>
      <c r="O151">
        <f t="shared" si="0"/>
        <v>0</v>
      </c>
    </row>
    <row r="152" spans="1:15" x14ac:dyDescent="0.25">
      <c r="A152" s="142"/>
      <c r="B152" s="192"/>
      <c r="C152" s="133"/>
      <c r="D152" s="133"/>
      <c r="E152" s="130"/>
      <c r="F152" s="130"/>
      <c r="G152" s="130"/>
      <c r="H152" s="131"/>
      <c r="I152" s="133"/>
      <c r="J152" s="136"/>
      <c r="K152" s="164"/>
      <c r="L152" s="126"/>
      <c r="M152" s="126"/>
    </row>
    <row r="153" spans="1:15" x14ac:dyDescent="0.25">
      <c r="A153" s="142"/>
      <c r="B153" s="192"/>
      <c r="C153" s="133"/>
      <c r="D153" s="133"/>
      <c r="E153" s="130"/>
      <c r="F153" s="130"/>
      <c r="G153" s="130"/>
      <c r="H153" s="131"/>
      <c r="I153" s="130"/>
      <c r="J153" s="136"/>
      <c r="K153" s="164"/>
      <c r="L153" s="126"/>
      <c r="M153" s="126"/>
    </row>
    <row r="154" spans="1:15" x14ac:dyDescent="0.25">
      <c r="A154" s="142"/>
      <c r="B154" s="192"/>
      <c r="C154" s="133"/>
      <c r="D154" s="133"/>
      <c r="E154" s="130"/>
      <c r="F154" s="130"/>
      <c r="G154" s="130"/>
      <c r="H154" s="131"/>
      <c r="I154" s="133"/>
      <c r="J154" s="136"/>
      <c r="K154" s="164"/>
      <c r="L154" s="126"/>
      <c r="M154" s="126"/>
    </row>
    <row r="155" spans="1:15" x14ac:dyDescent="0.25">
      <c r="A155" s="142"/>
      <c r="B155" s="192"/>
      <c r="C155" s="133"/>
      <c r="D155" s="133"/>
      <c r="E155" s="130"/>
      <c r="F155" s="130"/>
      <c r="G155" s="130"/>
      <c r="H155" s="131"/>
      <c r="I155" s="130"/>
      <c r="J155" s="136"/>
      <c r="K155" s="164"/>
      <c r="L155" s="126"/>
      <c r="M155" s="126"/>
    </row>
    <row r="156" spans="1:15" x14ac:dyDescent="0.25">
      <c r="A156" s="142"/>
      <c r="B156" s="192"/>
      <c r="C156" s="133"/>
      <c r="D156" s="133"/>
      <c r="E156" s="130"/>
      <c r="F156" s="130"/>
      <c r="G156" s="130"/>
      <c r="H156" s="131"/>
      <c r="I156" s="130"/>
      <c r="J156" s="136"/>
      <c r="K156" s="164"/>
      <c r="L156" s="126"/>
      <c r="M156" s="126"/>
    </row>
    <row r="157" spans="1:15" x14ac:dyDescent="0.25">
      <c r="A157" s="142"/>
      <c r="B157" s="192"/>
      <c r="C157" s="133"/>
      <c r="D157" s="133"/>
      <c r="E157" s="130"/>
      <c r="F157" s="130"/>
      <c r="G157" s="130"/>
      <c r="H157" s="131"/>
      <c r="I157" s="133"/>
      <c r="J157" s="136"/>
      <c r="K157" s="164"/>
      <c r="L157" s="126"/>
      <c r="M157" s="126"/>
    </row>
    <row r="158" spans="1:15" x14ac:dyDescent="0.25">
      <c r="A158" s="142"/>
      <c r="B158" s="192"/>
      <c r="C158" s="133"/>
      <c r="D158" s="133"/>
      <c r="E158" s="130"/>
      <c r="F158" s="130"/>
      <c r="G158" s="130"/>
      <c r="H158" s="131"/>
      <c r="I158" s="133"/>
      <c r="J158" s="136"/>
      <c r="K158" s="164"/>
      <c r="L158" s="126"/>
      <c r="M158" s="126"/>
    </row>
    <row r="159" spans="1:15" x14ac:dyDescent="0.25">
      <c r="A159" s="142"/>
      <c r="B159" s="192"/>
      <c r="C159" s="133"/>
      <c r="D159" s="133"/>
      <c r="E159" s="130"/>
      <c r="F159" s="130"/>
      <c r="G159" s="130"/>
      <c r="H159" s="131"/>
      <c r="I159" s="130"/>
      <c r="J159" s="136"/>
      <c r="K159" s="164"/>
      <c r="L159" s="126"/>
      <c r="M159" s="126"/>
    </row>
    <row r="160" spans="1:15" x14ac:dyDescent="0.25">
      <c r="A160" s="142"/>
      <c r="B160" s="192"/>
      <c r="C160" s="133"/>
      <c r="D160" s="133"/>
      <c r="E160" s="130"/>
      <c r="F160" s="130"/>
      <c r="G160" s="130"/>
      <c r="H160" s="131"/>
      <c r="I160" s="130"/>
      <c r="J160" s="136"/>
      <c r="K160" s="164"/>
      <c r="L160" s="126"/>
      <c r="M160" s="126"/>
    </row>
    <row r="161" spans="1:13" x14ac:dyDescent="0.25">
      <c r="A161" s="142"/>
      <c r="B161" s="192"/>
      <c r="C161" s="133"/>
      <c r="D161" s="133"/>
      <c r="E161" s="130"/>
      <c r="F161" s="130"/>
      <c r="G161" s="130"/>
      <c r="H161" s="131"/>
      <c r="I161" s="130"/>
      <c r="J161" s="136"/>
      <c r="K161" s="164"/>
      <c r="L161" s="126"/>
      <c r="M161" s="126"/>
    </row>
    <row r="162" spans="1:13" x14ac:dyDescent="0.25">
      <c r="A162" s="142"/>
      <c r="B162" s="192"/>
      <c r="C162" s="133"/>
      <c r="D162" s="133"/>
      <c r="E162" s="130"/>
      <c r="F162" s="130"/>
      <c r="G162" s="130"/>
      <c r="H162" s="131"/>
      <c r="I162" s="133"/>
      <c r="J162" s="136"/>
      <c r="K162" s="164"/>
      <c r="L162" s="126"/>
      <c r="M162" s="126"/>
    </row>
    <row r="163" spans="1:13" x14ac:dyDescent="0.25">
      <c r="A163" s="142"/>
      <c r="B163" s="192"/>
      <c r="C163" s="133"/>
      <c r="D163" s="133"/>
      <c r="E163" s="130"/>
      <c r="F163" s="130"/>
      <c r="G163" s="130"/>
      <c r="H163" s="131"/>
      <c r="I163" s="130"/>
      <c r="J163" s="136"/>
      <c r="K163" s="164"/>
      <c r="L163" s="126"/>
      <c r="M163" s="126"/>
    </row>
    <row r="164" spans="1:13" x14ac:dyDescent="0.25">
      <c r="A164" s="142"/>
      <c r="B164" s="192"/>
      <c r="C164" s="133"/>
      <c r="D164" s="133"/>
      <c r="E164" s="130"/>
      <c r="F164" s="130"/>
      <c r="G164" s="130"/>
      <c r="H164" s="131"/>
      <c r="I164" s="130"/>
      <c r="J164" s="136"/>
      <c r="K164" s="164"/>
      <c r="L164" s="126"/>
      <c r="M164" s="126"/>
    </row>
    <row r="165" spans="1:13" x14ac:dyDescent="0.25">
      <c r="A165" s="142"/>
      <c r="B165" s="192"/>
      <c r="C165" s="133"/>
      <c r="D165" s="133"/>
      <c r="E165" s="130"/>
      <c r="F165" s="130"/>
      <c r="G165" s="130"/>
      <c r="H165" s="131"/>
      <c r="I165" s="130"/>
      <c r="J165" s="136"/>
      <c r="K165" s="164"/>
      <c r="L165" s="126"/>
      <c r="M165" s="126"/>
    </row>
    <row r="166" spans="1:13" x14ac:dyDescent="0.25">
      <c r="A166" s="142"/>
      <c r="B166" s="192"/>
      <c r="C166" s="133"/>
      <c r="D166" s="133"/>
      <c r="E166" s="130"/>
      <c r="F166" s="130"/>
      <c r="G166" s="130"/>
      <c r="H166" s="131"/>
      <c r="I166" s="130"/>
      <c r="J166" s="136"/>
      <c r="K166" s="164"/>
      <c r="L166" s="126"/>
      <c r="M166" s="126"/>
    </row>
    <row r="167" spans="1:13" x14ac:dyDescent="0.25">
      <c r="A167" s="142"/>
      <c r="B167" s="192"/>
      <c r="C167" s="133"/>
      <c r="D167" s="133"/>
      <c r="E167" s="130"/>
      <c r="F167" s="130"/>
      <c r="G167" s="130"/>
      <c r="H167" s="131"/>
      <c r="I167" s="130"/>
      <c r="J167" s="136"/>
      <c r="K167" s="164"/>
      <c r="L167" s="126"/>
      <c r="M167" s="126"/>
    </row>
    <row r="168" spans="1:13" x14ac:dyDescent="0.25">
      <c r="A168" s="142"/>
      <c r="B168" s="192"/>
      <c r="C168" s="133"/>
      <c r="D168" s="133"/>
      <c r="E168" s="130"/>
      <c r="F168" s="130"/>
      <c r="G168" s="130"/>
      <c r="H168" s="131"/>
      <c r="I168" s="130"/>
      <c r="J168" s="136"/>
      <c r="K168" s="164"/>
      <c r="L168" s="126"/>
      <c r="M168" s="126"/>
    </row>
    <row r="169" spans="1:13" x14ac:dyDescent="0.25">
      <c r="A169" s="142"/>
      <c r="B169" s="192"/>
      <c r="C169" s="133"/>
      <c r="D169" s="133"/>
      <c r="E169" s="130"/>
      <c r="F169" s="130"/>
      <c r="G169" s="130"/>
      <c r="H169" s="131"/>
      <c r="I169" s="130"/>
      <c r="J169" s="136"/>
      <c r="K169" s="164"/>
      <c r="L169" s="126"/>
      <c r="M169" s="126"/>
    </row>
    <row r="170" spans="1:13" x14ac:dyDescent="0.25">
      <c r="A170" s="142"/>
      <c r="B170" s="192"/>
      <c r="C170" s="133"/>
      <c r="D170" s="133"/>
      <c r="E170" s="130"/>
      <c r="F170" s="130"/>
      <c r="G170" s="130"/>
      <c r="H170" s="131"/>
      <c r="I170" s="130"/>
      <c r="J170" s="136"/>
      <c r="K170" s="164"/>
      <c r="L170" s="126"/>
      <c r="M170" s="126"/>
    </row>
    <row r="171" spans="1:13" x14ac:dyDescent="0.25">
      <c r="A171" s="142"/>
      <c r="B171" s="192"/>
      <c r="C171" s="133"/>
      <c r="D171" s="133"/>
      <c r="E171" s="130"/>
      <c r="F171" s="130"/>
      <c r="G171" s="130"/>
      <c r="H171" s="131"/>
      <c r="I171" s="130"/>
      <c r="J171" s="136"/>
      <c r="K171" s="164"/>
      <c r="L171" s="126"/>
      <c r="M171" s="126"/>
    </row>
    <row r="172" spans="1:13" x14ac:dyDescent="0.25">
      <c r="A172" s="142"/>
      <c r="B172" s="192"/>
      <c r="C172" s="133"/>
      <c r="D172" s="133"/>
      <c r="E172" s="130"/>
      <c r="F172" s="130"/>
      <c r="G172" s="130"/>
      <c r="H172" s="131"/>
      <c r="I172" s="130"/>
      <c r="J172" s="136"/>
      <c r="K172" s="164"/>
      <c r="L172" s="126"/>
      <c r="M172" s="126"/>
    </row>
    <row r="173" spans="1:13" x14ac:dyDescent="0.25">
      <c r="A173" s="142"/>
      <c r="B173" s="192"/>
      <c r="C173" s="133"/>
      <c r="D173" s="133"/>
      <c r="E173" s="130"/>
      <c r="F173" s="130"/>
      <c r="G173" s="130"/>
      <c r="H173" s="131"/>
      <c r="I173" s="130"/>
      <c r="J173" s="136"/>
      <c r="K173" s="164"/>
      <c r="L173" s="126"/>
      <c r="M173" s="126"/>
    </row>
    <row r="174" spans="1:13" x14ac:dyDescent="0.25">
      <c r="A174" s="142"/>
      <c r="B174" s="192"/>
      <c r="C174" s="133"/>
      <c r="D174" s="133"/>
      <c r="E174" s="130"/>
      <c r="F174" s="130"/>
      <c r="G174" s="130"/>
      <c r="H174" s="131"/>
      <c r="I174" s="130"/>
      <c r="J174" s="136"/>
      <c r="K174" s="164"/>
      <c r="L174" s="126"/>
      <c r="M174" s="126"/>
    </row>
    <row r="175" spans="1:13" x14ac:dyDescent="0.25">
      <c r="A175" s="142"/>
      <c r="B175" s="192"/>
      <c r="C175" s="133"/>
      <c r="D175" s="133"/>
      <c r="E175" s="130"/>
      <c r="F175" s="130"/>
      <c r="G175" s="130"/>
      <c r="H175" s="131"/>
      <c r="I175" s="130"/>
      <c r="J175" s="136"/>
      <c r="K175" s="164"/>
      <c r="L175" s="126"/>
      <c r="M175" s="126"/>
    </row>
    <row r="176" spans="1:13" x14ac:dyDescent="0.25">
      <c r="A176" s="142"/>
      <c r="B176" s="192"/>
      <c r="C176" s="133"/>
      <c r="D176" s="133"/>
      <c r="E176" s="130"/>
      <c r="F176" s="130"/>
      <c r="G176" s="130"/>
      <c r="H176" s="131"/>
      <c r="I176" s="130"/>
      <c r="J176" s="136"/>
      <c r="K176" s="164"/>
      <c r="L176" s="126"/>
      <c r="M176" s="126"/>
    </row>
    <row r="177" spans="1:18" x14ac:dyDescent="0.25">
      <c r="A177" s="142"/>
      <c r="B177" s="192"/>
      <c r="C177" s="133"/>
      <c r="D177" s="133"/>
      <c r="E177" s="130"/>
      <c r="F177" s="130"/>
      <c r="G177" s="130"/>
      <c r="H177" s="131"/>
      <c r="I177" s="133"/>
      <c r="J177" s="136"/>
      <c r="K177" s="164"/>
      <c r="L177" s="126"/>
      <c r="M177" s="126"/>
    </row>
    <row r="178" spans="1:18" x14ac:dyDescent="0.25">
      <c r="A178" s="142"/>
      <c r="B178" s="192"/>
      <c r="C178" s="133"/>
      <c r="D178" s="133"/>
      <c r="E178" s="130"/>
      <c r="F178" s="130"/>
      <c r="G178" s="130"/>
      <c r="H178" s="131"/>
      <c r="I178" s="130"/>
      <c r="J178" s="136"/>
      <c r="K178" s="164"/>
      <c r="L178" s="126"/>
      <c r="M178" s="126"/>
      <c r="R178" s="57" t="e">
        <f>SUM(J178:J180,J176,J185:J186,J188:J190,J193:J196,J198:J199,#REF!,#REF!,#REF!,#REF!,#REF!)</f>
        <v>#REF!</v>
      </c>
    </row>
    <row r="179" spans="1:18" x14ac:dyDescent="0.25">
      <c r="A179" s="142"/>
      <c r="B179" s="192"/>
      <c r="C179" s="133"/>
      <c r="D179" s="133"/>
      <c r="E179" s="130"/>
      <c r="F179" s="130"/>
      <c r="G179" s="130"/>
      <c r="H179" s="131"/>
      <c r="I179" s="130"/>
      <c r="J179" s="136"/>
      <c r="K179" s="164"/>
      <c r="L179" s="126"/>
      <c r="M179" s="126"/>
    </row>
    <row r="180" spans="1:18" x14ac:dyDescent="0.25">
      <c r="A180" s="142"/>
      <c r="B180" s="192"/>
      <c r="C180" s="133"/>
      <c r="D180" s="133"/>
      <c r="E180" s="130"/>
      <c r="F180" s="130"/>
      <c r="G180" s="130"/>
      <c r="H180" s="131"/>
      <c r="I180" s="130"/>
      <c r="J180" s="136"/>
      <c r="K180" s="164"/>
      <c r="L180" s="126"/>
      <c r="M180" s="126"/>
    </row>
    <row r="181" spans="1:18" x14ac:dyDescent="0.25">
      <c r="A181" s="142"/>
      <c r="B181" s="192"/>
      <c r="C181" s="133"/>
      <c r="D181" s="133"/>
      <c r="E181" s="130"/>
      <c r="F181" s="130"/>
      <c r="G181" s="130"/>
      <c r="H181" s="131"/>
      <c r="I181" s="133"/>
      <c r="J181" s="136"/>
      <c r="K181" s="164"/>
      <c r="L181" s="126"/>
      <c r="M181" s="126"/>
    </row>
    <row r="182" spans="1:18" x14ac:dyDescent="0.25">
      <c r="A182" s="142"/>
      <c r="B182" s="192"/>
      <c r="C182" s="133"/>
      <c r="D182" s="133"/>
      <c r="E182" s="130"/>
      <c r="F182" s="130"/>
      <c r="G182" s="130"/>
      <c r="H182" s="131"/>
      <c r="I182" s="130"/>
      <c r="J182" s="136"/>
      <c r="K182" s="164"/>
      <c r="L182" s="126"/>
      <c r="M182" s="126"/>
    </row>
    <row r="183" spans="1:18" x14ac:dyDescent="0.25">
      <c r="A183" s="142"/>
      <c r="B183" s="192"/>
      <c r="C183" s="133"/>
      <c r="D183" s="133"/>
      <c r="E183" s="130"/>
      <c r="F183" s="130"/>
      <c r="G183" s="130"/>
      <c r="H183" s="131"/>
      <c r="I183" s="130"/>
      <c r="J183" s="136"/>
      <c r="K183" s="164"/>
      <c r="L183" s="126"/>
      <c r="M183" s="126"/>
    </row>
    <row r="184" spans="1:18" x14ac:dyDescent="0.25">
      <c r="A184" s="142"/>
      <c r="B184" s="192"/>
      <c r="C184" s="133"/>
      <c r="D184" s="133"/>
      <c r="E184" s="130"/>
      <c r="F184" s="130"/>
      <c r="G184" s="130"/>
      <c r="H184" s="131"/>
      <c r="I184" s="130"/>
      <c r="J184" s="136"/>
      <c r="K184" s="164"/>
      <c r="L184" s="126"/>
      <c r="M184" s="126"/>
    </row>
    <row r="185" spans="1:18" x14ac:dyDescent="0.25">
      <c r="A185" s="142"/>
      <c r="B185" s="192"/>
      <c r="C185" s="133"/>
      <c r="D185" s="133"/>
      <c r="E185" s="130"/>
      <c r="F185" s="130"/>
      <c r="G185" s="130"/>
      <c r="H185" s="131"/>
      <c r="I185" s="130"/>
      <c r="J185" s="136"/>
      <c r="K185" s="164"/>
      <c r="L185" s="126"/>
      <c r="M185" s="126"/>
    </row>
    <row r="186" spans="1:18" x14ac:dyDescent="0.25">
      <c r="A186" s="142"/>
      <c r="B186" s="192"/>
      <c r="C186" s="133"/>
      <c r="D186" s="133"/>
      <c r="E186" s="130"/>
      <c r="F186" s="130"/>
      <c r="G186" s="130"/>
      <c r="H186" s="131"/>
      <c r="I186" s="130"/>
      <c r="J186" s="136"/>
      <c r="K186" s="164"/>
      <c r="L186" s="126"/>
      <c r="M186" s="126"/>
    </row>
    <row r="187" spans="1:18" x14ac:dyDescent="0.25">
      <c r="A187" s="142"/>
      <c r="B187" s="192"/>
      <c r="C187" s="133"/>
      <c r="D187" s="133"/>
      <c r="E187" s="130"/>
      <c r="F187" s="130"/>
      <c r="G187" s="130"/>
      <c r="H187" s="131"/>
      <c r="I187" s="133"/>
      <c r="J187" s="136"/>
      <c r="K187" s="164"/>
      <c r="L187" s="126"/>
      <c r="M187" s="126"/>
    </row>
    <row r="188" spans="1:18" x14ac:dyDescent="0.25">
      <c r="A188" s="142"/>
      <c r="B188" s="192"/>
      <c r="C188" s="133"/>
      <c r="D188" s="133"/>
      <c r="E188" s="130"/>
      <c r="F188" s="130"/>
      <c r="G188" s="130"/>
      <c r="H188" s="131"/>
      <c r="I188" s="130"/>
      <c r="J188" s="136"/>
      <c r="K188" s="164"/>
      <c r="L188" s="126"/>
      <c r="M188" s="126"/>
    </row>
    <row r="189" spans="1:18" x14ac:dyDescent="0.25">
      <c r="A189" s="142"/>
      <c r="B189" s="192"/>
      <c r="C189" s="133"/>
      <c r="D189" s="133"/>
      <c r="E189" s="130"/>
      <c r="F189" s="130"/>
      <c r="G189" s="130"/>
      <c r="H189" s="131"/>
      <c r="I189" s="130"/>
      <c r="J189" s="136"/>
      <c r="K189" s="164"/>
      <c r="L189" s="126"/>
      <c r="M189" s="126"/>
    </row>
    <row r="190" spans="1:18" x14ac:dyDescent="0.25">
      <c r="A190" s="142"/>
      <c r="B190" s="192"/>
      <c r="C190" s="133"/>
      <c r="D190" s="133"/>
      <c r="E190" s="130"/>
      <c r="F190" s="130"/>
      <c r="G190" s="130"/>
      <c r="H190" s="131"/>
      <c r="I190" s="130"/>
      <c r="J190" s="136"/>
      <c r="K190" s="164"/>
      <c r="L190" s="126"/>
      <c r="M190" s="126"/>
    </row>
    <row r="191" spans="1:18" x14ac:dyDescent="0.25">
      <c r="A191" s="142"/>
      <c r="B191" s="192"/>
      <c r="C191" s="133"/>
      <c r="D191" s="133"/>
      <c r="E191" s="130"/>
      <c r="F191" s="130"/>
      <c r="G191" s="130"/>
      <c r="H191" s="131"/>
      <c r="I191" s="133"/>
      <c r="J191" s="136"/>
      <c r="K191" s="164"/>
      <c r="L191" s="126"/>
      <c r="M191" s="126"/>
    </row>
    <row r="192" spans="1:18" x14ac:dyDescent="0.25">
      <c r="A192" s="142"/>
      <c r="B192" s="192"/>
      <c r="C192" s="133"/>
      <c r="D192" s="133"/>
      <c r="E192" s="130"/>
      <c r="F192" s="130"/>
      <c r="G192" s="130"/>
      <c r="H192" s="131"/>
      <c r="I192" s="130"/>
      <c r="J192" s="136"/>
      <c r="K192" s="164"/>
      <c r="L192" s="126"/>
      <c r="M192" s="126"/>
    </row>
    <row r="193" spans="1:18" x14ac:dyDescent="0.25">
      <c r="A193" s="142"/>
      <c r="B193" s="192"/>
      <c r="C193" s="133"/>
      <c r="D193" s="133"/>
      <c r="E193" s="130"/>
      <c r="F193" s="130"/>
      <c r="G193" s="130"/>
      <c r="H193" s="131"/>
      <c r="I193" s="130"/>
      <c r="J193" s="136"/>
      <c r="K193" s="164"/>
      <c r="L193" s="126"/>
      <c r="M193" s="126"/>
    </row>
    <row r="194" spans="1:18" x14ac:dyDescent="0.25">
      <c r="A194" s="142"/>
      <c r="B194" s="192"/>
      <c r="C194" s="133"/>
      <c r="D194" s="133"/>
      <c r="E194" s="130"/>
      <c r="F194" s="130"/>
      <c r="G194" s="130"/>
      <c r="H194" s="131"/>
      <c r="I194" s="130"/>
      <c r="J194" s="136"/>
      <c r="K194" s="164"/>
      <c r="L194" s="126"/>
      <c r="M194" s="126"/>
    </row>
    <row r="195" spans="1:18" x14ac:dyDescent="0.25">
      <c r="A195" s="142"/>
      <c r="B195" s="192"/>
      <c r="C195" s="133"/>
      <c r="D195" s="133"/>
      <c r="E195" s="130"/>
      <c r="F195" s="130"/>
      <c r="G195" s="130"/>
      <c r="H195" s="131"/>
      <c r="I195" s="130"/>
      <c r="J195" s="136"/>
      <c r="K195" s="164"/>
      <c r="L195" s="126"/>
      <c r="M195" s="126"/>
    </row>
    <row r="196" spans="1:18" x14ac:dyDescent="0.25">
      <c r="A196" s="142"/>
      <c r="B196" s="192"/>
      <c r="C196" s="133"/>
      <c r="D196" s="133"/>
      <c r="E196" s="130"/>
      <c r="F196" s="130"/>
      <c r="G196" s="130"/>
      <c r="H196" s="131"/>
      <c r="I196" s="130"/>
      <c r="J196" s="136"/>
      <c r="K196" s="164"/>
      <c r="L196" s="126"/>
      <c r="M196" s="126"/>
    </row>
    <row r="197" spans="1:18" x14ac:dyDescent="0.25">
      <c r="A197" s="142"/>
      <c r="B197" s="192"/>
      <c r="C197" s="133"/>
      <c r="D197" s="133"/>
      <c r="E197" s="130"/>
      <c r="F197" s="130"/>
      <c r="G197" s="130"/>
      <c r="H197" s="131"/>
      <c r="I197" s="133"/>
      <c r="J197" s="136"/>
      <c r="K197" s="164"/>
      <c r="L197" s="126"/>
      <c r="M197" s="126"/>
    </row>
    <row r="198" spans="1:18" x14ac:dyDescent="0.25">
      <c r="A198" s="142"/>
      <c r="B198" s="192"/>
      <c r="C198" s="133"/>
      <c r="D198" s="133"/>
      <c r="E198" s="130"/>
      <c r="F198" s="130"/>
      <c r="G198" s="130"/>
      <c r="H198" s="131"/>
      <c r="I198" s="130"/>
      <c r="J198" s="136"/>
      <c r="K198" s="164"/>
      <c r="L198" s="126"/>
      <c r="M198" s="126"/>
    </row>
    <row r="199" spans="1:18" x14ac:dyDescent="0.25">
      <c r="A199" s="142"/>
      <c r="B199" s="192"/>
      <c r="C199" s="133"/>
      <c r="D199" s="133"/>
      <c r="E199" s="130"/>
      <c r="F199" s="130"/>
      <c r="G199" s="130"/>
      <c r="H199" s="131"/>
      <c r="I199" s="130"/>
      <c r="J199" s="136"/>
      <c r="K199" s="164"/>
      <c r="L199" s="126"/>
      <c r="M199" s="126"/>
    </row>
    <row r="200" spans="1:18" x14ac:dyDescent="0.25">
      <c r="A200" s="142"/>
      <c r="B200" s="192"/>
      <c r="C200" s="133"/>
      <c r="D200" s="133"/>
      <c r="E200" s="130"/>
      <c r="F200" s="130"/>
      <c r="G200" s="130"/>
      <c r="H200" s="131"/>
      <c r="I200" s="133"/>
      <c r="J200" s="136"/>
      <c r="K200" s="164"/>
      <c r="L200" s="126"/>
      <c r="M200" s="126"/>
    </row>
    <row r="201" spans="1:18" x14ac:dyDescent="0.25">
      <c r="A201" s="142"/>
      <c r="B201" s="192"/>
      <c r="C201" s="133"/>
      <c r="D201" s="133"/>
      <c r="E201" s="130"/>
      <c r="F201" s="130"/>
      <c r="G201" s="130"/>
      <c r="H201" s="131"/>
      <c r="I201" s="130"/>
      <c r="J201" s="136"/>
      <c r="K201" s="164"/>
      <c r="L201" s="126"/>
      <c r="M201" s="126"/>
    </row>
    <row r="202" spans="1:18" x14ac:dyDescent="0.25">
      <c r="A202" s="142"/>
      <c r="B202" s="192"/>
      <c r="C202" s="133"/>
      <c r="D202" s="133"/>
      <c r="E202" s="130"/>
      <c r="F202" s="130"/>
      <c r="G202" s="130"/>
      <c r="H202" s="131"/>
      <c r="I202" s="130"/>
      <c r="J202" s="136"/>
      <c r="K202" s="164"/>
      <c r="L202" s="126"/>
      <c r="M202" s="126"/>
    </row>
    <row r="203" spans="1:18" x14ac:dyDescent="0.25">
      <c r="A203" s="142"/>
      <c r="B203" s="192"/>
      <c r="C203" s="133"/>
      <c r="D203" s="133"/>
      <c r="E203" s="130"/>
      <c r="F203" s="130"/>
      <c r="G203" s="130"/>
      <c r="H203" s="131"/>
      <c r="I203" s="130"/>
      <c r="J203" s="136"/>
      <c r="K203" s="164"/>
      <c r="L203" s="126"/>
      <c r="M203" s="126"/>
    </row>
    <row r="204" spans="1:18" x14ac:dyDescent="0.25">
      <c r="A204" s="125"/>
      <c r="B204" s="193"/>
      <c r="C204" s="77"/>
      <c r="D204" s="77"/>
      <c r="E204" s="126"/>
      <c r="F204" s="126"/>
      <c r="G204" s="126"/>
      <c r="H204" s="127"/>
      <c r="I204" s="126"/>
      <c r="J204" s="134"/>
      <c r="K204" s="135"/>
      <c r="L204" s="126"/>
      <c r="M204" s="126"/>
      <c r="O204">
        <f>SUM(O12:O143)</f>
        <v>41916</v>
      </c>
    </row>
    <row r="205" spans="1:18" x14ac:dyDescent="0.25">
      <c r="A205" s="169"/>
      <c r="B205" s="190"/>
      <c r="J205" s="25"/>
      <c r="K205" s="88"/>
    </row>
    <row r="207" spans="1:18" x14ac:dyDescent="0.25">
      <c r="K207" s="90"/>
      <c r="L207" s="26"/>
    </row>
    <row r="208" spans="1:18" ht="16.5" customHeight="1" x14ac:dyDescent="0.25">
      <c r="C208" t="s">
        <v>20</v>
      </c>
      <c r="G208" t="s">
        <v>21</v>
      </c>
      <c r="K208" s="79" t="s">
        <v>103</v>
      </c>
      <c r="L208" s="94"/>
      <c r="R208" s="25"/>
    </row>
    <row r="209" spans="3:13" x14ac:dyDescent="0.25">
      <c r="K209" s="79" t="s">
        <v>104</v>
      </c>
      <c r="L209" s="94"/>
      <c r="M209" s="57"/>
    </row>
    <row r="210" spans="3:13" x14ac:dyDescent="0.25">
      <c r="K210" s="79" t="s">
        <v>119</v>
      </c>
      <c r="L210" s="95"/>
    </row>
    <row r="211" spans="3:13" x14ac:dyDescent="0.25">
      <c r="C211" s="91" t="s">
        <v>173</v>
      </c>
      <c r="D211" s="91"/>
      <c r="G211" s="391" t="s">
        <v>125</v>
      </c>
      <c r="H211" s="391"/>
      <c r="I211" s="391"/>
      <c r="J211" s="391"/>
      <c r="K211" s="79" t="s">
        <v>160</v>
      </c>
      <c r="L211" s="95"/>
    </row>
    <row r="212" spans="3:13" x14ac:dyDescent="0.25">
      <c r="C212" t="s">
        <v>153</v>
      </c>
      <c r="G212" s="392" t="s">
        <v>126</v>
      </c>
      <c r="H212" s="392"/>
      <c r="I212" s="392"/>
      <c r="J212" s="392"/>
      <c r="K212" s="79" t="s">
        <v>105</v>
      </c>
      <c r="L212" s="94"/>
    </row>
    <row r="213" spans="3:13" x14ac:dyDescent="0.25">
      <c r="K213" s="79" t="s">
        <v>106</v>
      </c>
      <c r="L213" s="95"/>
    </row>
    <row r="214" spans="3:13" x14ac:dyDescent="0.25">
      <c r="K214" s="79" t="s">
        <v>108</v>
      </c>
      <c r="L214" s="170"/>
    </row>
    <row r="215" spans="3:13" x14ac:dyDescent="0.25">
      <c r="K215" s="79" t="s">
        <v>22</v>
      </c>
      <c r="L215" s="95"/>
    </row>
    <row r="216" spans="3:13" x14ac:dyDescent="0.25">
      <c r="C216" s="27"/>
      <c r="D216" s="27"/>
      <c r="G216" s="27"/>
      <c r="H216" s="27"/>
      <c r="I216" s="27"/>
      <c r="K216" s="92" t="s">
        <v>101</v>
      </c>
      <c r="L216" s="58"/>
    </row>
    <row r="217" spans="3:13" x14ac:dyDescent="0.25">
      <c r="K217" s="92" t="s">
        <v>102</v>
      </c>
      <c r="L217" s="26"/>
    </row>
    <row r="218" spans="3:13" x14ac:dyDescent="0.25">
      <c r="K218" s="79"/>
      <c r="L218" s="26"/>
    </row>
    <row r="219" spans="3:13" x14ac:dyDescent="0.25">
      <c r="K219" s="79"/>
      <c r="L219" s="58"/>
    </row>
    <row r="220" spans="3:13" x14ac:dyDescent="0.25">
      <c r="K220" s="79"/>
      <c r="L220" s="58"/>
    </row>
    <row r="240" spans="14:14" x14ac:dyDescent="0.25">
      <c r="N240" s="25"/>
    </row>
    <row r="263" spans="14:14" x14ac:dyDescent="0.25">
      <c r="N263" s="25"/>
    </row>
    <row r="390" spans="14:14" x14ac:dyDescent="0.25">
      <c r="N390" s="25"/>
    </row>
  </sheetData>
  <mergeCells count="8">
    <mergeCell ref="G211:J211"/>
    <mergeCell ref="G212:J212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SUMMARY</vt:lpstr>
      <vt:lpstr>Province of Bohol</vt:lpstr>
      <vt:lpstr>September 2025 (Group)   </vt:lpstr>
      <vt:lpstr>September 2025</vt:lpstr>
      <vt:lpstr>August 2025 (Group)  </vt:lpstr>
      <vt:lpstr>August 2025</vt:lpstr>
      <vt:lpstr>July 2025 (Group) </vt:lpstr>
      <vt:lpstr>July 2025</vt:lpstr>
      <vt:lpstr>June 2025 (Group) </vt:lpstr>
      <vt:lpstr>June 2025</vt:lpstr>
      <vt:lpstr>May 2025 (Group)  </vt:lpstr>
      <vt:lpstr>May 2025</vt:lpstr>
      <vt:lpstr>April 2025 (Group)  </vt:lpstr>
      <vt:lpstr>April 2025</vt:lpstr>
      <vt:lpstr>March 2025 (Group)  </vt:lpstr>
      <vt:lpstr>March 2025</vt:lpstr>
      <vt:lpstr>February 2025 (Group)  </vt:lpstr>
      <vt:lpstr>February 2025</vt:lpstr>
      <vt:lpstr>January 2025 (Group)  </vt:lpstr>
      <vt:lpstr>January 2025</vt:lpstr>
      <vt:lpstr>'April 2025'!Print_Area</vt:lpstr>
      <vt:lpstr>'April 2025 (Group)  '!Print_Area</vt:lpstr>
      <vt:lpstr>'August 2025'!Print_Area</vt:lpstr>
      <vt:lpstr>'August 2025 (Group)  '!Print_Area</vt:lpstr>
      <vt:lpstr>'February 2025'!Print_Area</vt:lpstr>
      <vt:lpstr>'February 2025 (Group)  '!Print_Area</vt:lpstr>
      <vt:lpstr>'January 2025'!Print_Area</vt:lpstr>
      <vt:lpstr>'January 2025 (Group)  '!Print_Area</vt:lpstr>
      <vt:lpstr>'July 2025'!Print_Area</vt:lpstr>
      <vt:lpstr>'July 2025 (Group) '!Print_Area</vt:lpstr>
      <vt:lpstr>'June 2025'!Print_Area</vt:lpstr>
      <vt:lpstr>'June 2025 (Group) '!Print_Area</vt:lpstr>
      <vt:lpstr>'March 2025'!Print_Area</vt:lpstr>
      <vt:lpstr>'March 2025 (Group)  '!Print_Area</vt:lpstr>
      <vt:lpstr>'May 2025'!Print_Area</vt:lpstr>
      <vt:lpstr>'May 2025 (Group)  '!Print_Area</vt:lpstr>
      <vt:lpstr>'September 2025'!Print_Area</vt:lpstr>
      <vt:lpstr>'September 2025 (Group)   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2026-04-11T11:05:07Z</dcterms:modified>
</cp:coreProperties>
</file>